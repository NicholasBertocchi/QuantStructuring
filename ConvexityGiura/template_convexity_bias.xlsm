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5" yWindow="345" windowWidth="15015" windowHeight="9210"/>
  </bookViews>
  <sheets>
    <sheet name="Convexity bias Eur 22 Feb 2017" sheetId="1" r:id="rId1"/>
  </sheets>
  <definedNames>
    <definedName name="Conv_Dates">'Convexity bias Eur 22 Feb 2017'!$F$3:$F$13</definedName>
    <definedName name="Conv_Range">'Convexity bias Eur 22 Feb 2017'!$C$3:$C$13</definedName>
    <definedName name="FileName">'Convexity bias Eur 22 Feb 2017'!$M$3</definedName>
  </definedNames>
  <calcPr calcId="145621"/>
</workbook>
</file>

<file path=xl/calcChain.xml><?xml version="1.0" encoding="utf-8"?>
<calcChain xmlns="http://schemas.openxmlformats.org/spreadsheetml/2006/main">
  <c r="H12" i="1" l="1"/>
  <c r="C12" i="1" s="1"/>
  <c r="H4" i="1" l="1"/>
  <c r="C4" i="1" s="1"/>
  <c r="H5" i="1"/>
  <c r="C5" i="1" s="1"/>
  <c r="H6" i="1"/>
  <c r="C6" i="1" s="1"/>
  <c r="H7" i="1"/>
  <c r="C7" i="1" s="1"/>
  <c r="H8" i="1"/>
  <c r="C8" i="1" s="1"/>
  <c r="H9" i="1"/>
  <c r="C9" i="1" s="1"/>
  <c r="H10" i="1"/>
  <c r="C10" i="1" s="1"/>
  <c r="H11" i="1"/>
  <c r="C11" i="1" s="1"/>
  <c r="H13" i="1"/>
  <c r="C13" i="1" s="1"/>
  <c r="H3" i="1"/>
  <c r="C3" i="1" s="1"/>
</calcChain>
</file>

<file path=xl/sharedStrings.xml><?xml version="1.0" encoding="utf-8"?>
<sst xmlns="http://schemas.openxmlformats.org/spreadsheetml/2006/main" count="10" uniqueCount="10">
  <si>
    <t>Convexity Bias</t>
  </si>
  <si>
    <t>Mean Reversion</t>
  </si>
  <si>
    <t>Volatility</t>
  </si>
  <si>
    <t>Month-Year</t>
  </si>
  <si>
    <t>ICAP BID</t>
  </si>
  <si>
    <t>ICAP OFFER</t>
  </si>
  <si>
    <t>ICAP MID</t>
  </si>
  <si>
    <t>Convexity_Bias.txt</t>
  </si>
  <si>
    <t>FILENAME</t>
  </si>
  <si>
    <t>X:\WorkGroup\IMI_Workbooks\Test\Test_QuantLibXL\Data2\XLS\EUR\data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</si>
</sst>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\-yy;@"/>
    <numFmt numFmtId="165" formatCode="0.0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13"/>
      <color rgb="FF000000"/>
      <name val="Calibri"/>
      <family val="2"/>
    </font>
    <font>
      <b/>
      <sz val="11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0" applyFont="1"/>
    <xf numFmtId="164" fontId="18" fillId="0" borderId="0" xfId="0" applyNumberFormat="1" applyFont="1"/>
    <xf numFmtId="0" fontId="18" fillId="0" borderId="20" xfId="0" applyFont="1" applyBorder="1" applyAlignment="1">
      <alignment horizontal="center"/>
    </xf>
    <xf numFmtId="0" fontId="18" fillId="0" borderId="18" xfId="0" applyFont="1" applyBorder="1"/>
    <xf numFmtId="0" fontId="18" fillId="0" borderId="19" xfId="0" applyFont="1" applyBorder="1"/>
    <xf numFmtId="0" fontId="18" fillId="0" borderId="20" xfId="0" applyFont="1" applyBorder="1"/>
    <xf numFmtId="165" fontId="18" fillId="0" borderId="11" xfId="0" applyNumberFormat="1" applyFont="1" applyBorder="1"/>
    <xf numFmtId="165" fontId="18" fillId="0" borderId="12" xfId="0" applyNumberFormat="1" applyFont="1" applyBorder="1"/>
    <xf numFmtId="17" fontId="18" fillId="0" borderId="13" xfId="0" applyNumberFormat="1" applyFont="1" applyBorder="1"/>
    <xf numFmtId="165" fontId="18" fillId="0" borderId="14" xfId="0" applyNumberFormat="1" applyFont="1" applyBorder="1"/>
    <xf numFmtId="17" fontId="18" fillId="0" borderId="15" xfId="0" applyNumberFormat="1" applyFont="1" applyBorder="1"/>
    <xf numFmtId="0" fontId="18" fillId="33" borderId="19" xfId="0" applyFont="1" applyFill="1" applyBorder="1"/>
    <xf numFmtId="0" fontId="18" fillId="33" borderId="20" xfId="0" applyFont="1" applyFill="1" applyBorder="1"/>
    <xf numFmtId="0" fontId="18" fillId="33" borderId="12" xfId="0" applyFont="1" applyFill="1" applyBorder="1"/>
    <xf numFmtId="0" fontId="18" fillId="33" borderId="14" xfId="0" applyFont="1" applyFill="1" applyBorder="1"/>
    <xf numFmtId="0" fontId="18" fillId="34" borderId="16" xfId="0" applyFont="1" applyFill="1" applyBorder="1"/>
    <xf numFmtId="0" fontId="18" fillId="34" borderId="10" xfId="0" applyFont="1" applyFill="1" applyBorder="1"/>
    <xf numFmtId="0" fontId="18" fillId="34" borderId="17" xfId="0" applyFont="1" applyFill="1" applyBorder="1"/>
    <xf numFmtId="0" fontId="18" fillId="34" borderId="10" xfId="0" applyFont="1" applyFill="1" applyBorder="1" applyAlignment="1">
      <alignment horizontal="center"/>
    </xf>
    <xf numFmtId="0" fontId="20" fillId="33" borderId="18" xfId="0" applyFont="1" applyFill="1" applyBorder="1"/>
    <xf numFmtId="0" fontId="20" fillId="33" borderId="19" xfId="0" applyFont="1" applyFill="1" applyBorder="1"/>
    <xf numFmtId="0" fontId="20" fillId="33" borderId="2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19050</xdr:rowOff>
        </xdr:from>
        <xdr:to>
          <xdr:col>3</xdr:col>
          <xdr:colOff>914400</xdr:colOff>
          <xdr:row>17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300" b="0" i="0" u="none" strike="noStrike" baseline="0">
                  <a:solidFill>
                    <a:srgbClr val="000000"/>
                  </a:solidFill>
                  <a:latin typeface="Calibri"/>
                </a:rPr>
                <a:t>Export Convexity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P24"/>
  <sheetViews>
    <sheetView tabSelected="1" workbookViewId="0">
      <selection activeCell="N2" sqref="N2"/>
    </sheetView>
  </sheetViews>
  <sheetFormatPr defaultRowHeight="15" x14ac:dyDescent="0.25"/>
  <cols>
    <col min="1" max="1" width="10.5703125" customWidth="1"/>
    <col min="2" max="2" width="10.42578125" customWidth="1"/>
    <col min="3" max="3" width="12.28515625" bestFit="1" customWidth="1"/>
    <col min="4" max="4" width="13.85546875" bestFit="1" customWidth="1"/>
    <col min="5" max="5" width="7.28515625" bestFit="1" customWidth="1"/>
    <col min="6" max="6" width="9.85546875" bestFit="1" customWidth="1"/>
    <col min="7" max="7" width="9" customWidth="1"/>
    <col min="8" max="8" width="8.28515625" bestFit="1" customWidth="1"/>
    <col min="9" max="9" width="8.7109375" customWidth="1"/>
    <col min="10" max="10" width="8.140625" bestFit="1" customWidth="1"/>
    <col min="11" max="11" width="11" bestFit="1" customWidth="1"/>
    <col min="12" max="12" width="7.42578125" customWidth="1"/>
    <col min="13" max="13" width="15.85546875" customWidth="1"/>
    <col min="14" max="14" width="30" bestFit="1" customWidth="1"/>
    <col min="15" max="15" width="11.7109375" style="2" customWidth="1"/>
  </cols>
  <sheetData>
    <row r="2" spans="1:16" ht="14.45" x14ac:dyDescent="0.3">
      <c r="B2" s="3"/>
      <c r="C2" s="18" t="s">
        <v>0</v>
      </c>
      <c r="D2" s="19" t="s">
        <v>1</v>
      </c>
      <c r="E2" s="19" t="s">
        <v>2</v>
      </c>
      <c r="F2" s="20" t="s">
        <v>3</v>
      </c>
      <c r="G2" s="3"/>
      <c r="H2" s="19" t="s">
        <v>6</v>
      </c>
      <c r="I2" s="3"/>
      <c r="J2" s="19" t="s">
        <v>4</v>
      </c>
      <c r="K2" s="19" t="s">
        <v>5</v>
      </c>
      <c r="L2" s="3"/>
      <c r="M2" s="21" t="s">
        <v>8</v>
      </c>
      <c r="P2" s="3"/>
    </row>
    <row r="3" spans="1:16" ht="14.45" x14ac:dyDescent="0.3">
      <c r="A3" s="1"/>
      <c r="B3" s="4"/>
      <c r="C3" s="9">
        <f>-H3</f>
        <v>1.2500000000000001E-2</v>
      </c>
      <c r="D3" s="6">
        <v>0</v>
      </c>
      <c r="E3" s="6">
        <v>0</v>
      </c>
      <c r="F3" s="11">
        <v>42887</v>
      </c>
      <c r="G3" s="3"/>
      <c r="H3" s="22">
        <f>AVERAGE(J3,K3)</f>
        <v>-1.2500000000000001E-2</v>
      </c>
      <c r="I3" s="3"/>
      <c r="J3" s="16">
        <v>-2.5000000000000001E-2</v>
      </c>
      <c r="K3" s="14">
        <v>0</v>
      </c>
      <c r="L3" s="3"/>
      <c r="M3" s="5" t="s">
        <v>7</v>
      </c>
      <c r="P3" s="3"/>
    </row>
    <row r="4" spans="1:16" ht="14.45" x14ac:dyDescent="0.3">
      <c r="A4" s="1"/>
      <c r="B4" s="4"/>
      <c r="C4" s="10">
        <f t="shared" ref="C4:C13" si="0">-H4</f>
        <v>1.2500000000000001E-2</v>
      </c>
      <c r="D4" s="7">
        <v>0</v>
      </c>
      <c r="E4" s="7">
        <v>0</v>
      </c>
      <c r="F4" s="11">
        <v>42979</v>
      </c>
      <c r="G4" s="3"/>
      <c r="H4" s="23">
        <f t="shared" ref="H4:H13" si="1">AVERAGE(J4,K4)</f>
        <v>-1.2500000000000001E-2</v>
      </c>
      <c r="I4" s="3"/>
      <c r="J4" s="16">
        <v>-2.5000000000000001E-2</v>
      </c>
      <c r="K4" s="14">
        <v>0</v>
      </c>
      <c r="L4" s="3"/>
      <c r="P4" s="3"/>
    </row>
    <row r="5" spans="1:16" ht="14.45" x14ac:dyDescent="0.3">
      <c r="A5" s="1"/>
      <c r="B5" s="4"/>
      <c r="C5" s="10">
        <f t="shared" si="0"/>
        <v>2.5000000000000001E-2</v>
      </c>
      <c r="D5" s="7">
        <v>0</v>
      </c>
      <c r="E5" s="7">
        <v>0</v>
      </c>
      <c r="F5" s="11">
        <v>43070</v>
      </c>
      <c r="G5" s="3"/>
      <c r="H5" s="23">
        <f t="shared" si="1"/>
        <v>-2.5000000000000001E-2</v>
      </c>
      <c r="I5" s="3"/>
      <c r="J5" s="16">
        <v>-0.05</v>
      </c>
      <c r="K5" s="14">
        <v>0</v>
      </c>
      <c r="L5" s="3"/>
      <c r="P5" s="3"/>
    </row>
    <row r="6" spans="1:16" ht="14.45" x14ac:dyDescent="0.3">
      <c r="A6" s="1"/>
      <c r="B6" s="4"/>
      <c r="C6" s="10">
        <f t="shared" si="0"/>
        <v>5.0000000000000001E-3</v>
      </c>
      <c r="D6" s="7">
        <v>0</v>
      </c>
      <c r="E6" s="7">
        <v>0</v>
      </c>
      <c r="F6" s="11">
        <v>43160</v>
      </c>
      <c r="G6" s="3"/>
      <c r="H6" s="23">
        <f t="shared" si="1"/>
        <v>-5.0000000000000001E-3</v>
      </c>
      <c r="I6" s="3"/>
      <c r="J6" s="16">
        <v>-0.01</v>
      </c>
      <c r="K6" s="14">
        <v>0</v>
      </c>
      <c r="L6" s="3"/>
      <c r="P6" s="3"/>
    </row>
    <row r="7" spans="1:16" ht="14.45" x14ac:dyDescent="0.3">
      <c r="A7" s="1"/>
      <c r="B7" s="4"/>
      <c r="C7" s="10">
        <f t="shared" si="0"/>
        <v>0.1</v>
      </c>
      <c r="D7" s="7">
        <v>0</v>
      </c>
      <c r="E7" s="7">
        <v>0</v>
      </c>
      <c r="F7" s="11">
        <v>43252</v>
      </c>
      <c r="G7" s="3"/>
      <c r="H7" s="23">
        <f t="shared" si="1"/>
        <v>-0.1</v>
      </c>
      <c r="I7" s="3"/>
      <c r="J7" s="16">
        <v>-0.15</v>
      </c>
      <c r="K7" s="14">
        <v>-0.05</v>
      </c>
      <c r="L7" s="3"/>
      <c r="P7" s="3"/>
    </row>
    <row r="8" spans="1:16" ht="14.45" x14ac:dyDescent="0.3">
      <c r="A8" s="1"/>
      <c r="B8" s="4"/>
      <c r="C8" s="10">
        <f t="shared" si="0"/>
        <v>0.125</v>
      </c>
      <c r="D8" s="7">
        <v>0</v>
      </c>
      <c r="E8" s="7">
        <v>0</v>
      </c>
      <c r="F8" s="11">
        <v>43344</v>
      </c>
      <c r="G8" s="3"/>
      <c r="H8" s="23">
        <f t="shared" si="1"/>
        <v>-0.125</v>
      </c>
      <c r="I8" s="3"/>
      <c r="J8" s="16">
        <v>-0.15</v>
      </c>
      <c r="K8" s="14">
        <v>-0.1</v>
      </c>
      <c r="L8" s="3"/>
      <c r="P8" s="3"/>
    </row>
    <row r="9" spans="1:16" ht="14.45" x14ac:dyDescent="0.3">
      <c r="A9" s="1"/>
      <c r="B9" s="4"/>
      <c r="C9" s="10">
        <f t="shared" si="0"/>
        <v>0.2</v>
      </c>
      <c r="D9" s="7">
        <v>0</v>
      </c>
      <c r="E9" s="7">
        <v>0</v>
      </c>
      <c r="F9" s="11">
        <v>43435</v>
      </c>
      <c r="G9" s="3"/>
      <c r="H9" s="23">
        <f t="shared" si="1"/>
        <v>-0.2</v>
      </c>
      <c r="I9" s="3"/>
      <c r="J9" s="16">
        <v>-0.25</v>
      </c>
      <c r="K9" s="14">
        <v>-0.15</v>
      </c>
      <c r="L9" s="3"/>
      <c r="P9" s="3"/>
    </row>
    <row r="10" spans="1:16" ht="14.45" x14ac:dyDescent="0.3">
      <c r="A10" s="1"/>
      <c r="B10" s="4"/>
      <c r="C10" s="10">
        <f t="shared" si="0"/>
        <v>0.25</v>
      </c>
      <c r="D10" s="7">
        <v>0</v>
      </c>
      <c r="E10" s="7">
        <v>0</v>
      </c>
      <c r="F10" s="11">
        <v>43525</v>
      </c>
      <c r="G10" s="3"/>
      <c r="H10" s="23">
        <f t="shared" si="1"/>
        <v>-0.25</v>
      </c>
      <c r="I10" s="3"/>
      <c r="J10" s="16">
        <v>-0.4</v>
      </c>
      <c r="K10" s="14">
        <v>-0.1</v>
      </c>
      <c r="L10" s="3"/>
      <c r="P10" s="3"/>
    </row>
    <row r="11" spans="1:16" ht="14.45" x14ac:dyDescent="0.3">
      <c r="A11" s="1"/>
      <c r="B11" s="4"/>
      <c r="C11" s="10">
        <f t="shared" si="0"/>
        <v>0.35</v>
      </c>
      <c r="D11" s="7">
        <v>0</v>
      </c>
      <c r="E11" s="7">
        <v>0</v>
      </c>
      <c r="F11" s="11">
        <v>43617</v>
      </c>
      <c r="G11" s="3"/>
      <c r="H11" s="23">
        <f t="shared" si="1"/>
        <v>-0.35</v>
      </c>
      <c r="I11" s="3"/>
      <c r="J11" s="16">
        <v>-0.5</v>
      </c>
      <c r="K11" s="14">
        <v>-0.2</v>
      </c>
      <c r="L11" s="3"/>
      <c r="P11" s="3"/>
    </row>
    <row r="12" spans="1:16" x14ac:dyDescent="0.25">
      <c r="A12" s="1"/>
      <c r="B12" s="4"/>
      <c r="C12" s="10">
        <f t="shared" ref="C12" si="2">-H12</f>
        <v>0.35</v>
      </c>
      <c r="D12" s="7">
        <v>0</v>
      </c>
      <c r="E12" s="7">
        <v>0</v>
      </c>
      <c r="F12" s="11">
        <v>43709</v>
      </c>
      <c r="G12" s="3"/>
      <c r="H12" s="23">
        <f t="shared" ref="H12" si="3">AVERAGE(J12,K12)</f>
        <v>-0.35</v>
      </c>
      <c r="I12" s="3"/>
      <c r="J12" s="16">
        <v>-0.5</v>
      </c>
      <c r="K12" s="14">
        <v>-0.2</v>
      </c>
      <c r="L12" s="3"/>
      <c r="P12" s="3"/>
    </row>
    <row r="13" spans="1:16" ht="14.45" x14ac:dyDescent="0.3">
      <c r="B13" s="3"/>
      <c r="C13" s="12">
        <f t="shared" si="0"/>
        <v>0.35</v>
      </c>
      <c r="D13" s="8">
        <v>0</v>
      </c>
      <c r="E13" s="8">
        <v>0</v>
      </c>
      <c r="F13" s="13">
        <v>43800</v>
      </c>
      <c r="G13" s="3"/>
      <c r="H13" s="24">
        <f t="shared" si="1"/>
        <v>-0.35</v>
      </c>
      <c r="I13" s="3"/>
      <c r="J13" s="17">
        <v>-0.5</v>
      </c>
      <c r="K13" s="15">
        <v>-0.2</v>
      </c>
      <c r="L13" s="3"/>
      <c r="P13" s="3"/>
    </row>
    <row r="24" spans="3:3" ht="14.45" x14ac:dyDescent="0.3">
      <c r="C24" t="s">
        <v>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convexity">
                <anchor moveWithCells="1">
                  <from>
                    <xdr:col>2</xdr:col>
                    <xdr:colOff>19050</xdr:colOff>
                    <xdr:row>14</xdr:row>
                    <xdr:rowOff>19050</xdr:rowOff>
                  </from>
                  <to>
                    <xdr:col>3</xdr:col>
                    <xdr:colOff>914400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Convexity bias Eur 22 Feb 2017</vt:lpstr>
      <vt:lpstr>Conv_Dates</vt:lpstr>
      <vt:lpstr>Conv_Range</vt:lpstr>
      <vt:lpstr>FileName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GIURA RAFFAELE</dc:creator>
  <cp:lastModifiedBy>BERTOCCHI NICHOLAS</cp:lastModifiedBy>
  <dcterms:created xsi:type="dcterms:W3CDTF">2013-07-17T10:06:25Z</dcterms:created>
  <dcterms:modified xsi:type="dcterms:W3CDTF">2017-03-16T14:43:34Z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CHAINSIZE_##EUR.CM_TRADE.EUREX_NTA.2511##">
    <vt:i4>4</vt:i4>
  </property>
</Properties>
</file>