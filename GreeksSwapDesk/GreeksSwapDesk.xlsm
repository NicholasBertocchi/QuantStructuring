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2250" windowWidth="14295" windowHeight="1150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Q15" i="1" l="1"/>
  <c r="Q23" i="1"/>
  <c r="Q25" i="1"/>
  <c r="Q21" i="1"/>
  <c r="Q20" i="1"/>
  <c r="I1" i="1"/>
  <c r="I24" i="1"/>
  <c r="I41" i="1"/>
  <c r="I58" i="1"/>
  <c r="I28" i="1"/>
  <c r="I53" i="1"/>
  <c r="I39" i="1"/>
  <c r="I22" i="1"/>
  <c r="I8" i="1"/>
  <c r="I12" i="1"/>
  <c r="F7" i="1"/>
  <c r="F15" i="1"/>
  <c r="F23" i="1"/>
  <c r="F31" i="1"/>
  <c r="F39" i="1"/>
  <c r="F47" i="1"/>
  <c r="F55" i="1"/>
  <c r="F63" i="1"/>
  <c r="I32" i="1"/>
  <c r="I49" i="1"/>
  <c r="I66" i="1"/>
  <c r="I36" i="1"/>
  <c r="I61" i="1"/>
  <c r="I47" i="1"/>
  <c r="I5" i="1"/>
  <c r="I16" i="1"/>
  <c r="I20" i="1"/>
  <c r="F8" i="1"/>
  <c r="F16" i="1"/>
  <c r="F24" i="1"/>
  <c r="F32" i="1"/>
  <c r="F40" i="1"/>
  <c r="F48" i="1"/>
  <c r="F56" i="1"/>
  <c r="F64" i="1"/>
  <c r="I40" i="1"/>
  <c r="I57" i="1"/>
  <c r="I27" i="1"/>
  <c r="I44" i="1"/>
  <c r="I30" i="1"/>
  <c r="I55" i="1"/>
  <c r="I13" i="1"/>
  <c r="I9" i="1"/>
  <c r="I4" i="1"/>
  <c r="F9" i="1"/>
  <c r="F17" i="1"/>
  <c r="F25" i="1"/>
  <c r="F33" i="1"/>
  <c r="F41" i="1"/>
  <c r="F49" i="1"/>
  <c r="F57" i="1"/>
  <c r="F65" i="1"/>
  <c r="I48" i="1"/>
  <c r="I65" i="1"/>
  <c r="I35" i="1"/>
  <c r="I52" i="1"/>
  <c r="I38" i="1"/>
  <c r="I63" i="1"/>
  <c r="I21" i="1"/>
  <c r="I17" i="1"/>
  <c r="I3" i="1"/>
  <c r="F10" i="1"/>
  <c r="F18" i="1"/>
  <c r="F26" i="1"/>
  <c r="F34" i="1"/>
  <c r="F42" i="1"/>
  <c r="F50" i="1"/>
  <c r="F58" i="1"/>
  <c r="F66" i="1"/>
  <c r="I56" i="1"/>
  <c r="I26" i="1"/>
  <c r="I43" i="1"/>
  <c r="I60" i="1"/>
  <c r="I23" i="1"/>
  <c r="I6" i="1"/>
  <c r="I10" i="1"/>
  <c r="F3" i="1"/>
  <c r="F11" i="1"/>
  <c r="F19" i="1"/>
  <c r="F27" i="1"/>
  <c r="F43" i="1"/>
  <c r="F51" i="1"/>
  <c r="F67" i="1"/>
  <c r="I34" i="1"/>
  <c r="I29" i="1"/>
  <c r="I18" i="1"/>
  <c r="F12" i="1"/>
  <c r="F28" i="1"/>
  <c r="F36" i="1"/>
  <c r="F52" i="1"/>
  <c r="I42" i="1"/>
  <c r="I37" i="1"/>
  <c r="Q24" i="1"/>
  <c r="I7" i="1"/>
  <c r="F5" i="1"/>
  <c r="F21" i="1"/>
  <c r="F37" i="1"/>
  <c r="F53" i="1"/>
  <c r="I33" i="1"/>
  <c r="I67" i="1"/>
  <c r="I31" i="1"/>
  <c r="I15" i="1"/>
  <c r="F6" i="1"/>
  <c r="F22" i="1"/>
  <c r="F38" i="1"/>
  <c r="F54" i="1"/>
  <c r="I46" i="1"/>
  <c r="F35" i="1"/>
  <c r="F59" i="1"/>
  <c r="I64" i="1"/>
  <c r="I51" i="1"/>
  <c r="I54" i="1"/>
  <c r="I14" i="1"/>
  <c r="F4" i="1"/>
  <c r="F20" i="1"/>
  <c r="F44" i="1"/>
  <c r="F60" i="1"/>
  <c r="I25" i="1"/>
  <c r="I59" i="1"/>
  <c r="I62" i="1"/>
  <c r="I11" i="1"/>
  <c r="F13" i="1"/>
  <c r="F29" i="1"/>
  <c r="F45" i="1"/>
  <c r="F61" i="1"/>
  <c r="I50" i="1"/>
  <c r="I45" i="1"/>
  <c r="Q16" i="1"/>
  <c r="I19" i="1"/>
  <c r="F14" i="1"/>
  <c r="F30" i="1"/>
  <c r="F46" i="1"/>
  <c r="F62" i="1"/>
  <c r="Q22" i="1"/>
  <c r="Q26" i="1"/>
  <c r="R29" i="1" l="1"/>
  <c r="Q14" i="1"/>
  <c r="Q31" i="1"/>
  <c r="Q13" i="1"/>
  <c r="Q30" i="1"/>
  <c r="AA19" i="1"/>
  <c r="Z19" i="1"/>
  <c r="Y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X19" i="1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14" i="2"/>
  <c r="L15" i="2"/>
  <c r="L16" i="2"/>
  <c r="L17" i="2"/>
  <c r="L18" i="2"/>
  <c r="L19" i="2"/>
  <c r="L20" i="2"/>
  <c r="L11" i="2"/>
  <c r="L12" i="2"/>
  <c r="L13" i="2"/>
  <c r="L10" i="2"/>
  <c r="L9" i="2"/>
  <c r="L3" i="2"/>
  <c r="L4" i="2"/>
  <c r="L5" i="2"/>
  <c r="L6" i="2"/>
  <c r="L7" i="2"/>
  <c r="L8" i="2"/>
  <c r="L2" i="2"/>
  <c r="R14" i="1" l="1"/>
  <c r="R31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4" i="1"/>
  <c r="W3" i="1"/>
  <c r="Q28" i="1" l="1"/>
  <c r="Q29" i="1" l="1"/>
  <c r="Q27" i="1"/>
  <c r="Q35" i="1" l="1"/>
  <c r="Q36" i="1"/>
  <c r="Q33" i="1"/>
  <c r="Q34" i="1"/>
  <c r="S36" i="1" l="1"/>
  <c r="S34" i="1"/>
  <c r="Q37" i="1"/>
</calcChain>
</file>

<file path=xl/sharedStrings.xml><?xml version="1.0" encoding="utf-8"?>
<sst xmlns="http://schemas.openxmlformats.org/spreadsheetml/2006/main" count="1059" uniqueCount="139">
  <si>
    <t>Tp</t>
  </si>
  <si>
    <t>Start date</t>
  </si>
  <si>
    <t>ds.factor</t>
  </si>
  <si>
    <t>ds.rate</t>
  </si>
  <si>
    <t>Dg</t>
  </si>
  <si>
    <t>DEP_EUR3M_FOLL_C</t>
  </si>
  <si>
    <t>S/N</t>
  </si>
  <si>
    <t>1W</t>
  </si>
  <si>
    <t>2W</t>
  </si>
  <si>
    <t>3W</t>
  </si>
  <si>
    <t>Dp</t>
  </si>
  <si>
    <t>DEP_EUR3M_C</t>
  </si>
  <si>
    <t>1M</t>
  </si>
  <si>
    <t>2M</t>
  </si>
  <si>
    <t>3M</t>
  </si>
  <si>
    <t>Fr</t>
  </si>
  <si>
    <t>FRA_EUR3M_C</t>
  </si>
  <si>
    <t>1M-4M</t>
  </si>
  <si>
    <t>2M-5M</t>
  </si>
  <si>
    <t>3M-6M</t>
  </si>
  <si>
    <t>4M-7M</t>
  </si>
  <si>
    <t>5M-8M</t>
  </si>
  <si>
    <t>Sf</t>
  </si>
  <si>
    <t>FUT_EUR3M_CL_C</t>
  </si>
  <si>
    <t>6M-9M</t>
  </si>
  <si>
    <t>7M-10M</t>
  </si>
  <si>
    <t>8M-11M</t>
  </si>
  <si>
    <t>9M-12M</t>
  </si>
  <si>
    <t>10M-13M</t>
  </si>
  <si>
    <t>11M-14M</t>
  </si>
  <si>
    <t>12M-15M</t>
  </si>
  <si>
    <t>Sw</t>
  </si>
  <si>
    <t>SWP_EUR3M_C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</si>
  <si>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</si>
  <si>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</si>
  <si>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</si>
  <si>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</si>
  <si>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</si>
  <si>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</si>
  <si>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</si>
  <si>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</si>
  <si>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</si>
  <si>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</si>
  <si>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</si>
  <si>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</si>
  <si>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</si>
  <si>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</si>
  <si>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</si>
  <si>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</si>
  <si>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</si>
  <si>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</si>
  <si>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</si>
  <si>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</si>
  <si>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</si>
  <si>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</si>
  <si>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</si>
  <si>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</si>
  <si>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</si>
  <si>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</si>
  <si>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</si>
  <si>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</si>
  <si>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</si>
  <si>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</si>
  <si>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</si>
  <si>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</si>
  <si>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</si>
  <si>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</si>
  <si>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</si>
  <si>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</si>
  <si>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</si>
  <si>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40Y</t>
  </si>
  <si>
    <t>50Y</t>
  </si>
  <si>
    <t>60Y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</si>
  <si>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</si>
  <si>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</si>
  <si>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</si>
  <si>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</si>
  <si>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</si>
  <si>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</si>
  <si>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</si>
  <si>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</si>
  <si>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</si>
  <si>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</si>
  <si>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</si>
  <si>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</si>
  <si>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</si>
  <si>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</si>
  <si>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</si>
  <si>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</si>
  <si>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</si>
  <si>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</si>
  <si>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</si>
  <si>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</si>
  <si>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</si>
  <si>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j-1</t>
  </si>
  <si>
    <t>j</t>
  </si>
  <si>
    <t>Z_A</t>
  </si>
  <si>
    <t>Z_B</t>
  </si>
  <si>
    <t>Tau(0,A)</t>
  </si>
  <si>
    <t>Tau(A,B)</t>
  </si>
  <si>
    <t>Tau(0,B)</t>
  </si>
  <si>
    <t>dF/dZ_A</t>
  </si>
  <si>
    <t>dZ_A/dZ_j-1</t>
  </si>
  <si>
    <t>dNPV/dQorig</t>
  </si>
  <si>
    <t>exp/exp</t>
  </si>
  <si>
    <t>3M BUCKETs</t>
  </si>
  <si>
    <t>OIS BUCKETs</t>
  </si>
  <si>
    <t>Tau(0,13M)</t>
  </si>
  <si>
    <t>Algo</t>
  </si>
  <si>
    <t>Mx-Sensitivity</t>
  </si>
  <si>
    <t>Maturity</t>
  </si>
  <si>
    <t>Tenor</t>
  </si>
  <si>
    <t>YearF.</t>
  </si>
  <si>
    <t>Generator</t>
  </si>
  <si>
    <t>DEP_EURON_C_BIS</t>
  </si>
  <si>
    <t>SWP_EURON_C</t>
  </si>
  <si>
    <t>OIS Curve</t>
  </si>
  <si>
    <t>3M Curve</t>
  </si>
  <si>
    <t>T0day</t>
  </si>
  <si>
    <t>TA</t>
  </si>
  <si>
    <t>TB</t>
  </si>
  <si>
    <t>Tau(0,10M)</t>
  </si>
  <si>
    <t>Tau(0,11M)</t>
  </si>
  <si>
    <t>Tau(0,14M)</t>
  </si>
  <si>
    <t>dF/dZ_B</t>
  </si>
  <si>
    <t>i</t>
  </si>
  <si>
    <t>i-1</t>
  </si>
  <si>
    <t>dZ_A/dZ_j</t>
  </si>
  <si>
    <t>dZ_B/dZ_i-1</t>
  </si>
  <si>
    <t>dZ_B/dZ_i</t>
  </si>
  <si>
    <t>dNPV/dQ10M</t>
  </si>
  <si>
    <t>dNPV/dQ11M</t>
  </si>
  <si>
    <t>dNPV/dQ13M</t>
  </si>
  <si>
    <t>dNPV/dQ14M</t>
  </si>
  <si>
    <t>Tot</t>
  </si>
  <si>
    <t>Market quote</t>
  </si>
  <si>
    <t>Curve spread</t>
  </si>
  <si>
    <t>Selected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</si>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</sst>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ourier New"/>
      <family val="3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8"/>
      <color rgb="FFFF0000"/>
      <name val="Courier New"/>
      <family val="3"/>
    </font>
    <font>
      <b/>
      <sz val="9"/>
      <color theme="1"/>
      <name val="Courier New"/>
      <family val="3"/>
    </font>
    <font>
      <b/>
      <sz val="12"/>
      <color theme="1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11" xfId="0" applyBorder="1"/>
    <xf numFmtId="0" fontId="0" fillId="0" borderId="0" xfId="0" applyAlignment="1">
      <alignment horizontal="center"/>
    </xf>
    <xf numFmtId="17" fontId="0" fillId="0" borderId="0" xfId="0" applyNumberFormat="1"/>
    <xf numFmtId="15" fontId="0" fillId="0" borderId="0" xfId="0" applyNumberFormat="1"/>
    <xf numFmtId="0" fontId="0" fillId="5" borderId="0" xfId="0" applyFill="1"/>
    <xf numFmtId="15" fontId="0" fillId="5" borderId="0" xfId="0" applyNumberFormat="1" applyFill="1"/>
    <xf numFmtId="0" fontId="1" fillId="0" borderId="0" xfId="0" applyFont="1" applyBorder="1"/>
    <xf numFmtId="0" fontId="1" fillId="0" borderId="3" xfId="0" applyFont="1" applyBorder="1"/>
    <xf numFmtId="0" fontId="2" fillId="0" borderId="0" xfId="0" applyFont="1"/>
    <xf numFmtId="0" fontId="2" fillId="0" borderId="8" xfId="0" applyFont="1" applyBorder="1"/>
    <xf numFmtId="164" fontId="2" fillId="0" borderId="0" xfId="0" applyNumberFormat="1" applyFont="1"/>
    <xf numFmtId="0" fontId="2" fillId="0" borderId="3" xfId="0" applyFont="1" applyBorder="1"/>
    <xf numFmtId="0" fontId="3" fillId="5" borderId="12" xfId="0" applyFont="1" applyFill="1" applyBorder="1"/>
    <xf numFmtId="0" fontId="3" fillId="5" borderId="5" xfId="0" applyFont="1" applyFill="1" applyBorder="1"/>
    <xf numFmtId="0" fontId="4" fillId="8" borderId="1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5" fontId="2" fillId="4" borderId="8" xfId="0" applyNumberFormat="1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164" fontId="2" fillId="4" borderId="3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2" fillId="4" borderId="8" xfId="0" applyNumberFormat="1" applyFont="1" applyFill="1" applyBorder="1" applyAlignment="1">
      <alignment horizontal="center" vertical="center"/>
    </xf>
    <xf numFmtId="17" fontId="2" fillId="4" borderId="8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15" fontId="2" fillId="4" borderId="9" xfId="0" applyNumberFormat="1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9" xfId="0" applyNumberFormat="1" applyFont="1" applyFill="1" applyBorder="1" applyAlignment="1">
      <alignment horizontal="center" vertical="center"/>
    </xf>
    <xf numFmtId="15" fontId="2" fillId="6" borderId="8" xfId="0" applyNumberFormat="1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1" fillId="0" borderId="6" xfId="0" applyFont="1" applyBorder="1"/>
    <xf numFmtId="0" fontId="1" fillId="0" borderId="5" xfId="0" applyFont="1" applyBorder="1"/>
    <xf numFmtId="0" fontId="6" fillId="4" borderId="14" xfId="0" applyFont="1" applyFill="1" applyBorder="1"/>
    <xf numFmtId="0" fontId="6" fillId="4" borderId="15" xfId="0" applyFont="1" applyFill="1" applyBorder="1"/>
    <xf numFmtId="0" fontId="6" fillId="4" borderId="7" xfId="0" applyFont="1" applyFill="1" applyBorder="1" applyAlignment="1">
      <alignment horizontal="right"/>
    </xf>
    <xf numFmtId="0" fontId="6" fillId="4" borderId="8" xfId="0" applyFont="1" applyFill="1" applyBorder="1" applyAlignment="1">
      <alignment horizontal="right"/>
    </xf>
    <xf numFmtId="17" fontId="6" fillId="4" borderId="8" xfId="0" applyNumberFormat="1" applyFont="1" applyFill="1" applyBorder="1" applyAlignment="1">
      <alignment horizontal="right"/>
    </xf>
    <xf numFmtId="0" fontId="6" fillId="4" borderId="9" xfId="0" applyFont="1" applyFill="1" applyBorder="1" applyAlignment="1">
      <alignment horizontal="right"/>
    </xf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6" fillId="4" borderId="8" xfId="0" applyFont="1" applyFill="1" applyBorder="1"/>
    <xf numFmtId="0" fontId="2" fillId="9" borderId="0" xfId="0" applyFont="1" applyFill="1"/>
    <xf numFmtId="0" fontId="2" fillId="10" borderId="0" xfId="0" applyFont="1" applyFill="1"/>
    <xf numFmtId="0" fontId="3" fillId="0" borderId="0" xfId="0" applyFont="1"/>
    <xf numFmtId="15" fontId="2" fillId="0" borderId="0" xfId="0" applyNumberFormat="1" applyFont="1" applyFill="1" applyBorder="1" applyAlignment="1">
      <alignment horizontal="right" vertical="center"/>
    </xf>
    <xf numFmtId="0" fontId="3" fillId="5" borderId="3" xfId="0" applyFont="1" applyFill="1" applyBorder="1"/>
    <xf numFmtId="0" fontId="6" fillId="7" borderId="1" xfId="0" applyFont="1" applyFill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5" xfId="0" applyFont="1" applyBorder="1"/>
    <xf numFmtId="0" fontId="3" fillId="5" borderId="1" xfId="0" applyFont="1" applyFill="1" applyBorder="1"/>
    <xf numFmtId="0" fontId="7" fillId="7" borderId="7" xfId="0" applyFont="1" applyFill="1" applyBorder="1" applyAlignment="1">
      <alignment horizontal="right" vertical="center" textRotation="90"/>
    </xf>
    <xf numFmtId="0" fontId="7" fillId="7" borderId="8" xfId="0" applyFont="1" applyFill="1" applyBorder="1" applyAlignment="1">
      <alignment horizontal="right" vertical="center" textRotation="90"/>
    </xf>
    <xf numFmtId="0" fontId="7" fillId="7" borderId="9" xfId="0" applyFont="1" applyFill="1" applyBorder="1" applyAlignment="1">
      <alignment horizontal="right" vertical="center" textRotation="90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7" fillId="7" borderId="13" xfId="0" applyFont="1" applyFill="1" applyBorder="1" applyAlignment="1">
      <alignment horizontal="center"/>
    </xf>
    <xf numFmtId="0" fontId="7" fillId="7" borderId="14" xfId="0" applyFont="1" applyFill="1" applyBorder="1" applyAlignment="1">
      <alignment horizontal="center"/>
    </xf>
    <xf numFmtId="0" fontId="7" fillId="7" borderId="15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15" xfId="0" applyFont="1" applyFill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14" fontId="0" fillId="0" borderId="0" xfId="0" applyNumberFormat="1"/>
    <xf numFmtId="0" fontId="4" fillId="2" borderId="14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E135"/>
  <sheetViews>
    <sheetView tabSelected="1" topLeftCell="A22" workbookViewId="0">
      <selection activeCell="B71" sqref="B71:C135"/>
    </sheetView>
  </sheetViews>
  <sheetFormatPr defaultRowHeight="15" outlineLevelCol="1" x14ac:dyDescent="0.25"/>
  <cols>
    <col min="1" max="1" width="8.28515625" customWidth="1" outlineLevel="1"/>
    <col min="2" max="2" width="10.7109375" customWidth="1" outlineLevel="1"/>
    <col min="3" max="3" width="19.140625" customWidth="1" outlineLevel="1"/>
    <col min="4" max="4" width="10.140625" customWidth="1" outlineLevel="1"/>
    <col min="5" max="5" width="9.140625" customWidth="1" outlineLevel="1"/>
    <col min="6" max="6" width="9.140625" style="2" customWidth="1" outlineLevel="1"/>
    <col min="7" max="7" width="12" customWidth="1" outlineLevel="1"/>
    <col min="8" max="8" width="12.7109375" customWidth="1" outlineLevel="1"/>
    <col min="9" max="10" width="15.28515625" customWidth="1" outlineLevel="1"/>
    <col min="11" max="11" width="8.28515625" customWidth="1" outlineLevel="1"/>
    <col min="12" max="12" width="15" customWidth="1" outlineLevel="1"/>
    <col min="13" max="13" width="17.85546875" customWidth="1" outlineLevel="1"/>
    <col min="14" max="14" width="15" customWidth="1" outlineLevel="1"/>
    <col min="15" max="15" width="15" customWidth="1"/>
    <col min="16" max="16" width="15.42578125" bestFit="1" customWidth="1"/>
    <col min="17" max="17" width="25.140625" customWidth="1"/>
    <col min="18" max="18" width="7.85546875" customWidth="1"/>
    <col min="19" max="19" width="9.42578125" customWidth="1"/>
    <col min="20" max="20" width="15.140625" customWidth="1"/>
    <col min="21" max="21" width="4" customWidth="1"/>
    <col min="22" max="22" width="4.28515625" customWidth="1"/>
    <col min="24" max="24" width="4.28515625" bestFit="1" customWidth="1"/>
    <col min="25" max="27" width="3.85546875" bestFit="1" customWidth="1"/>
    <col min="28" max="36" width="3.7109375" bestFit="1" customWidth="1"/>
    <col min="37" max="38" width="4.7109375" bestFit="1" customWidth="1"/>
    <col min="39" max="39" width="3" bestFit="1" customWidth="1"/>
    <col min="40" max="50" width="4.7109375" bestFit="1" customWidth="1"/>
    <col min="51" max="58" width="3" bestFit="1" customWidth="1"/>
    <col min="59" max="83" width="4" bestFit="1" customWidth="1"/>
  </cols>
  <sheetData>
    <row r="1" spans="1:83" ht="16.5" x14ac:dyDescent="0.3">
      <c r="A1" s="74" t="s">
        <v>117</v>
      </c>
      <c r="B1" s="72"/>
      <c r="C1" s="72"/>
      <c r="D1" s="72"/>
      <c r="E1" s="72"/>
      <c r="F1" s="72"/>
      <c r="G1" s="72"/>
      <c r="H1" s="73"/>
      <c r="I1" s="40" t="str">
        <f>_xll.qlInterpolatedYieldCurve(,D3:D67,H3:H67,"TARGET","Actual/365",,,"ZeroYield","Linear")</f>
        <v>obj_005b7#0006</v>
      </c>
      <c r="J1" s="76"/>
      <c r="K1" s="71" t="s">
        <v>116</v>
      </c>
      <c r="L1" s="72"/>
      <c r="M1" s="72"/>
      <c r="N1" s="73"/>
      <c r="O1" s="9"/>
      <c r="P1" s="9"/>
      <c r="Q1" s="9"/>
      <c r="R1" s="9"/>
      <c r="S1" s="9"/>
      <c r="T1" s="9"/>
      <c r="V1" s="68" t="s">
        <v>106</v>
      </c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70"/>
    </row>
    <row r="2" spans="1:83" x14ac:dyDescent="0.25">
      <c r="A2" s="15" t="s">
        <v>0</v>
      </c>
      <c r="B2" s="15" t="s">
        <v>1</v>
      </c>
      <c r="C2" s="16" t="s">
        <v>113</v>
      </c>
      <c r="D2" s="15" t="s">
        <v>110</v>
      </c>
      <c r="E2" s="15" t="s">
        <v>111</v>
      </c>
      <c r="F2" s="15" t="s">
        <v>112</v>
      </c>
      <c r="G2" s="15" t="s">
        <v>2</v>
      </c>
      <c r="H2" s="15" t="s">
        <v>3</v>
      </c>
      <c r="I2" s="15" t="s">
        <v>112</v>
      </c>
      <c r="J2" s="77" t="s">
        <v>135</v>
      </c>
      <c r="K2" s="35" t="s">
        <v>0</v>
      </c>
      <c r="L2" s="15" t="s">
        <v>1</v>
      </c>
      <c r="M2" s="16" t="s">
        <v>113</v>
      </c>
      <c r="N2" s="15" t="s">
        <v>110</v>
      </c>
      <c r="O2" s="9"/>
      <c r="P2" s="9"/>
      <c r="Q2" s="9"/>
      <c r="R2" s="9"/>
      <c r="S2" s="9"/>
      <c r="T2" s="58" t="s">
        <v>109</v>
      </c>
      <c r="V2" s="66"/>
      <c r="W2" s="67"/>
      <c r="X2" s="43" t="s">
        <v>6</v>
      </c>
      <c r="Y2" s="43" t="s">
        <v>7</v>
      </c>
      <c r="Z2" s="43" t="s">
        <v>8</v>
      </c>
      <c r="AA2" s="43" t="s">
        <v>9</v>
      </c>
      <c r="AB2" s="43" t="s">
        <v>12</v>
      </c>
      <c r="AC2" s="43" t="s">
        <v>13</v>
      </c>
      <c r="AD2" s="43" t="s">
        <v>14</v>
      </c>
      <c r="AE2" s="43" t="s">
        <v>73</v>
      </c>
      <c r="AF2" s="43" t="s">
        <v>74</v>
      </c>
      <c r="AG2" s="43" t="s">
        <v>75</v>
      </c>
      <c r="AH2" s="43" t="s">
        <v>76</v>
      </c>
      <c r="AI2" s="43" t="s">
        <v>77</v>
      </c>
      <c r="AJ2" s="43" t="s">
        <v>78</v>
      </c>
      <c r="AK2" s="43" t="s">
        <v>79</v>
      </c>
      <c r="AL2" s="43" t="s">
        <v>80</v>
      </c>
      <c r="AM2" s="43" t="s">
        <v>81</v>
      </c>
      <c r="AN2" s="43" t="s">
        <v>82</v>
      </c>
      <c r="AO2" s="43" t="s">
        <v>83</v>
      </c>
      <c r="AP2" s="43" t="s">
        <v>84</v>
      </c>
      <c r="AQ2" s="43" t="s">
        <v>85</v>
      </c>
      <c r="AR2" s="43" t="s">
        <v>86</v>
      </c>
      <c r="AS2" s="43" t="s">
        <v>87</v>
      </c>
      <c r="AT2" s="43" t="s">
        <v>88</v>
      </c>
      <c r="AU2" s="43" t="s">
        <v>89</v>
      </c>
      <c r="AV2" s="43" t="s">
        <v>90</v>
      </c>
      <c r="AW2" s="43" t="s">
        <v>91</v>
      </c>
      <c r="AX2" s="43" t="s">
        <v>92</v>
      </c>
      <c r="AY2" s="43" t="s">
        <v>93</v>
      </c>
      <c r="AZ2" s="43" t="s">
        <v>33</v>
      </c>
      <c r="BA2" s="43" t="s">
        <v>34</v>
      </c>
      <c r="BB2" s="43" t="s">
        <v>35</v>
      </c>
      <c r="BC2" s="43" t="s">
        <v>36</v>
      </c>
      <c r="BD2" s="43" t="s">
        <v>37</v>
      </c>
      <c r="BE2" s="43" t="s">
        <v>38</v>
      </c>
      <c r="BF2" s="43" t="s">
        <v>39</v>
      </c>
      <c r="BG2" s="43" t="s">
        <v>40</v>
      </c>
      <c r="BH2" s="43" t="s">
        <v>41</v>
      </c>
      <c r="BI2" s="43" t="s">
        <v>42</v>
      </c>
      <c r="BJ2" s="43" t="s">
        <v>43</v>
      </c>
      <c r="BK2" s="43" t="s">
        <v>44</v>
      </c>
      <c r="BL2" s="43" t="s">
        <v>45</v>
      </c>
      <c r="BM2" s="43" t="s">
        <v>46</v>
      </c>
      <c r="BN2" s="43" t="s">
        <v>47</v>
      </c>
      <c r="BO2" s="43" t="s">
        <v>48</v>
      </c>
      <c r="BP2" s="43" t="s">
        <v>49</v>
      </c>
      <c r="BQ2" s="43" t="s">
        <v>50</v>
      </c>
      <c r="BR2" s="43" t="s">
        <v>51</v>
      </c>
      <c r="BS2" s="43" t="s">
        <v>52</v>
      </c>
      <c r="BT2" s="43" t="s">
        <v>53</v>
      </c>
      <c r="BU2" s="43" t="s">
        <v>54</v>
      </c>
      <c r="BV2" s="43" t="s">
        <v>55</v>
      </c>
      <c r="BW2" s="43" t="s">
        <v>56</v>
      </c>
      <c r="BX2" s="43" t="s">
        <v>57</v>
      </c>
      <c r="BY2" s="43" t="s">
        <v>58</v>
      </c>
      <c r="BZ2" s="43" t="s">
        <v>59</v>
      </c>
      <c r="CA2" s="43" t="s">
        <v>60</v>
      </c>
      <c r="CB2" s="43" t="s">
        <v>65</v>
      </c>
      <c r="CC2" s="43" t="s">
        <v>70</v>
      </c>
      <c r="CD2" s="43" t="s">
        <v>71</v>
      </c>
      <c r="CE2" s="44" t="s">
        <v>72</v>
      </c>
    </row>
    <row r="3" spans="1:83" x14ac:dyDescent="0.25">
      <c r="A3" s="38" t="s">
        <v>4</v>
      </c>
      <c r="B3" s="18">
        <v>42649</v>
      </c>
      <c r="C3" s="19" t="s">
        <v>5</v>
      </c>
      <c r="D3" s="18">
        <v>42650</v>
      </c>
      <c r="E3" s="20" t="s">
        <v>6</v>
      </c>
      <c r="F3" s="21">
        <f>IF(B3="","--",_xll.qlDayCounterYearFraction("Act/360",B3,D3))</f>
        <v>2.7777777777777779E-3</v>
      </c>
      <c r="G3" s="22">
        <v>1.00002520381098</v>
      </c>
      <c r="H3" s="22">
        <v>-0.30664250265054699</v>
      </c>
      <c r="I3" s="21">
        <f>IF(B3="","--",_xll.qlDayCounterYearFraction("Act/360",B3,D3))</f>
        <v>2.7777777777777779E-3</v>
      </c>
      <c r="J3" s="21">
        <v>-0.30244064999999998</v>
      </c>
      <c r="K3" s="39" t="s">
        <v>10</v>
      </c>
      <c r="L3" s="30">
        <v>42636</v>
      </c>
      <c r="M3" s="31" t="s">
        <v>114</v>
      </c>
      <c r="N3" s="30">
        <v>42639</v>
      </c>
      <c r="O3" s="9"/>
      <c r="P3" s="9"/>
      <c r="Q3" s="9"/>
      <c r="R3" s="9"/>
      <c r="S3" s="9"/>
      <c r="T3" s="49"/>
      <c r="V3" s="63" t="s">
        <v>105</v>
      </c>
      <c r="W3" s="45" t="str">
        <f>E3</f>
        <v>S/N</v>
      </c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8"/>
    </row>
    <row r="4" spans="1:83" x14ac:dyDescent="0.25">
      <c r="A4" s="17" t="s">
        <v>4</v>
      </c>
      <c r="B4" s="18">
        <v>42649</v>
      </c>
      <c r="C4" s="17" t="s">
        <v>5</v>
      </c>
      <c r="D4" s="18">
        <v>42656</v>
      </c>
      <c r="E4" s="20" t="s">
        <v>7</v>
      </c>
      <c r="F4" s="21">
        <f>IF(B4="","--",_xll.qlDayCounterYearFraction("Act/360",B4,D4))</f>
        <v>1.9444444444444445E-2</v>
      </c>
      <c r="G4" s="23">
        <v>1.0000756133387301</v>
      </c>
      <c r="H4" s="23">
        <v>-0.30664250298808898</v>
      </c>
      <c r="I4" s="21">
        <f>IF(B4="","--",_xll.qlDayCounterYearFraction("Act/360",B4,D4))</f>
        <v>1.9444444444444445E-2</v>
      </c>
      <c r="J4" s="21">
        <v>-0.30243302799999999</v>
      </c>
      <c r="K4" s="36" t="s">
        <v>10</v>
      </c>
      <c r="L4" s="30">
        <v>42639</v>
      </c>
      <c r="M4" s="32" t="s">
        <v>114</v>
      </c>
      <c r="N4" s="30">
        <v>42640</v>
      </c>
      <c r="O4" s="9"/>
      <c r="P4" s="9"/>
      <c r="Q4" s="9"/>
      <c r="R4" s="9"/>
      <c r="S4" s="9"/>
      <c r="T4" s="50"/>
      <c r="V4" s="64"/>
      <c r="W4" s="46" t="str">
        <f>E4</f>
        <v>1W</v>
      </c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</row>
    <row r="5" spans="1:83" x14ac:dyDescent="0.25">
      <c r="A5" s="17" t="s">
        <v>4</v>
      </c>
      <c r="B5" s="18">
        <v>42649</v>
      </c>
      <c r="C5" s="17" t="s">
        <v>5</v>
      </c>
      <c r="D5" s="18">
        <v>42663</v>
      </c>
      <c r="E5" s="20" t="s">
        <v>8</v>
      </c>
      <c r="F5" s="21">
        <f>IF(B5="","--",_xll.qlDayCounterYearFraction("Act/360",B5,D5))</f>
        <v>3.888888888888889E-2</v>
      </c>
      <c r="G5" s="23">
        <v>1.0001344276658599</v>
      </c>
      <c r="H5" s="23">
        <v>-0.30664250258888498</v>
      </c>
      <c r="I5" s="21">
        <f>IF(B5="","--",_xll.qlDayCounterYearFraction("Act/360",B5,D5))</f>
        <v>3.888888888888889E-2</v>
      </c>
      <c r="J5" s="21">
        <v>-0.30242413499999998</v>
      </c>
      <c r="K5" s="36" t="s">
        <v>10</v>
      </c>
      <c r="L5" s="30">
        <v>42640</v>
      </c>
      <c r="M5" s="32" t="s">
        <v>114</v>
      </c>
      <c r="N5" s="30">
        <v>42641</v>
      </c>
      <c r="O5" s="9"/>
      <c r="P5" s="9"/>
      <c r="Q5" s="9"/>
      <c r="R5" s="9"/>
      <c r="S5" s="9"/>
      <c r="T5" s="50"/>
      <c r="V5" s="64"/>
      <c r="W5" s="46" t="str">
        <f t="shared" ref="W5:W67" si="0">E5</f>
        <v>2W</v>
      </c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8"/>
    </row>
    <row r="6" spans="1:83" x14ac:dyDescent="0.25">
      <c r="A6" s="17" t="s">
        <v>4</v>
      </c>
      <c r="B6" s="18">
        <v>42649</v>
      </c>
      <c r="C6" s="17" t="s">
        <v>5</v>
      </c>
      <c r="D6" s="18">
        <v>42670</v>
      </c>
      <c r="E6" s="20" t="s">
        <v>9</v>
      </c>
      <c r="F6" s="21">
        <f>IF(B6="","--",_xll.qlDayCounterYearFraction("Act/360",B6,D6))</f>
        <v>5.8333333333333334E-2</v>
      </c>
      <c r="G6" s="23">
        <v>1.0001932454520399</v>
      </c>
      <c r="H6" s="23">
        <v>-0.306642502728116</v>
      </c>
      <c r="I6" s="21">
        <f>IF(B6="","--",_xll.qlDayCounterYearFraction("Act/360",B6,D6))</f>
        <v>5.8333333333333334E-2</v>
      </c>
      <c r="J6" s="21">
        <v>-0.302415243</v>
      </c>
      <c r="K6" s="36" t="s">
        <v>31</v>
      </c>
      <c r="L6" s="30">
        <v>42640</v>
      </c>
      <c r="M6" s="32" t="s">
        <v>115</v>
      </c>
      <c r="N6" s="30">
        <v>42647</v>
      </c>
      <c r="O6" s="9"/>
      <c r="P6" s="9"/>
      <c r="Q6" s="9"/>
      <c r="R6" s="9"/>
      <c r="S6" s="9"/>
      <c r="T6" s="50"/>
      <c r="V6" s="64"/>
      <c r="W6" s="46" t="str">
        <f t="shared" si="0"/>
        <v>3W</v>
      </c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8"/>
    </row>
    <row r="7" spans="1:83" x14ac:dyDescent="0.25">
      <c r="A7" s="17" t="s">
        <v>10</v>
      </c>
      <c r="B7" s="18">
        <v>42649</v>
      </c>
      <c r="C7" s="17" t="s">
        <v>11</v>
      </c>
      <c r="D7" s="18">
        <v>42681</v>
      </c>
      <c r="E7" s="20" t="s">
        <v>12</v>
      </c>
      <c r="F7" s="21">
        <f>IF(B7="","--",_xll.qlDayCounterYearFraction("Act/360",B7,D7))</f>
        <v>8.8888888888888892E-2</v>
      </c>
      <c r="G7" s="23">
        <v>1.00028567926066</v>
      </c>
      <c r="H7" s="23">
        <v>-0.30664129020360398</v>
      </c>
      <c r="I7" s="21">
        <f>IF(B7="","--",_xll.qlDayCounterYearFraction("Act/360",B7,D7))</f>
        <v>8.8888888888888892E-2</v>
      </c>
      <c r="J7" s="21">
        <v>-0.3024</v>
      </c>
      <c r="K7" s="36" t="s">
        <v>31</v>
      </c>
      <c r="L7" s="30">
        <v>42640</v>
      </c>
      <c r="M7" s="32" t="s">
        <v>115</v>
      </c>
      <c r="N7" s="30">
        <v>42654</v>
      </c>
      <c r="O7" s="9"/>
      <c r="P7" s="9"/>
      <c r="Q7" s="9"/>
      <c r="R7" s="9"/>
      <c r="S7" s="9"/>
      <c r="T7" s="50"/>
      <c r="V7" s="64"/>
      <c r="W7" s="46" t="str">
        <f t="shared" si="0"/>
        <v>1M</v>
      </c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8"/>
    </row>
    <row r="8" spans="1:83" x14ac:dyDescent="0.25">
      <c r="A8" s="17" t="s">
        <v>10</v>
      </c>
      <c r="B8" s="18">
        <v>42649</v>
      </c>
      <c r="C8" s="17" t="s">
        <v>11</v>
      </c>
      <c r="D8" s="18">
        <v>42710</v>
      </c>
      <c r="E8" s="20" t="s">
        <v>13</v>
      </c>
      <c r="F8" s="21">
        <f>IF(B8="","--",_xll.qlDayCounterYearFraction("Act/360",B8,D8))</f>
        <v>0.16944444444444445</v>
      </c>
      <c r="G8" s="23">
        <v>1.00052709908302</v>
      </c>
      <c r="H8" s="23">
        <v>-0.30530234684265201</v>
      </c>
      <c r="I8" s="21">
        <f>IF(B8="","--",_xll.qlDayCounterYearFraction("Act/360",B8,D8))</f>
        <v>0.16944444444444445</v>
      </c>
      <c r="J8" s="21">
        <v>-0.30099999999999999</v>
      </c>
      <c r="K8" s="36" t="s">
        <v>31</v>
      </c>
      <c r="L8" s="30">
        <v>42640</v>
      </c>
      <c r="M8" s="32" t="s">
        <v>115</v>
      </c>
      <c r="N8" s="30">
        <v>42661</v>
      </c>
      <c r="O8" s="9"/>
      <c r="P8" s="9"/>
      <c r="Q8" s="9"/>
      <c r="R8" s="9"/>
      <c r="S8" s="9"/>
      <c r="T8" s="50"/>
      <c r="V8" s="64"/>
      <c r="W8" s="46" t="str">
        <f t="shared" si="0"/>
        <v>2M</v>
      </c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8"/>
    </row>
    <row r="9" spans="1:83" x14ac:dyDescent="0.25">
      <c r="A9" s="17" t="s">
        <v>10</v>
      </c>
      <c r="B9" s="18">
        <v>42649</v>
      </c>
      <c r="C9" s="17" t="s">
        <v>11</v>
      </c>
      <c r="D9" s="18">
        <v>42741</v>
      </c>
      <c r="E9" s="20" t="s">
        <v>14</v>
      </c>
      <c r="F9" s="21">
        <f>IF(B9="","--",_xll.qlDayCounterYearFraction("Act/360",B9,D9))</f>
        <v>0.25555555555555554</v>
      </c>
      <c r="G9" s="23">
        <v>1.00078176669314</v>
      </c>
      <c r="H9" s="23">
        <v>-0.30343974951628999</v>
      </c>
      <c r="I9" s="21">
        <f>IF(B9="","--",_xll.qlDayCounterYearFraction("Act/360",B9,D9))</f>
        <v>0.25555555555555554</v>
      </c>
      <c r="J9" s="21">
        <v>-0.29909999999999998</v>
      </c>
      <c r="K9" s="36" t="s">
        <v>31</v>
      </c>
      <c r="L9" s="30">
        <v>42640</v>
      </c>
      <c r="M9" s="32" t="s">
        <v>115</v>
      </c>
      <c r="N9" s="30">
        <v>42670</v>
      </c>
      <c r="O9" s="9"/>
      <c r="P9" s="9"/>
      <c r="Q9" s="9"/>
      <c r="R9" s="9"/>
      <c r="S9" s="9"/>
      <c r="T9" s="50"/>
      <c r="V9" s="64"/>
      <c r="W9" s="46" t="str">
        <f t="shared" si="0"/>
        <v>3M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8"/>
    </row>
    <row r="10" spans="1:83" x14ac:dyDescent="0.25">
      <c r="A10" s="17" t="s">
        <v>15</v>
      </c>
      <c r="B10" s="18">
        <v>42681</v>
      </c>
      <c r="C10" s="17" t="s">
        <v>16</v>
      </c>
      <c r="D10" s="18">
        <v>42772</v>
      </c>
      <c r="E10" s="20" t="s">
        <v>17</v>
      </c>
      <c r="F10" s="21">
        <f>IF(B10="","--",_xll.qlDayCounterYearFraction("Act/360",B10,D10))</f>
        <v>0.25277777777777777</v>
      </c>
      <c r="G10" s="23">
        <v>1.0010422593822701</v>
      </c>
      <c r="H10" s="23">
        <v>-0.30418124926314999</v>
      </c>
      <c r="I10" s="21">
        <f>IF(B10="","--",_xll.qlDayCounterYearFraction("Act/360",B10,D10))</f>
        <v>0.25277777777777777</v>
      </c>
      <c r="J10" s="21">
        <v>-0.29899999999999999</v>
      </c>
      <c r="K10" s="36" t="s">
        <v>31</v>
      </c>
      <c r="L10" s="30">
        <v>42640</v>
      </c>
      <c r="M10" s="32" t="s">
        <v>115</v>
      </c>
      <c r="N10" s="30">
        <v>42702</v>
      </c>
      <c r="O10" s="9"/>
      <c r="P10" s="9"/>
      <c r="Q10" s="9"/>
      <c r="R10" s="9"/>
      <c r="S10" s="9"/>
      <c r="T10" s="50"/>
      <c r="V10" s="64"/>
      <c r="W10" s="46" t="str">
        <f t="shared" si="0"/>
        <v>1M-4M</v>
      </c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8"/>
    </row>
    <row r="11" spans="1:83" x14ac:dyDescent="0.25">
      <c r="A11" s="17" t="s">
        <v>15</v>
      </c>
      <c r="B11" s="18">
        <v>42710</v>
      </c>
      <c r="C11" s="17" t="s">
        <v>16</v>
      </c>
      <c r="D11" s="18">
        <v>42800</v>
      </c>
      <c r="E11" s="20" t="s">
        <v>18</v>
      </c>
      <c r="F11" s="21">
        <f>IF(B11="","--",_xll.qlDayCounterYearFraction("Act/360",B11,D11))</f>
        <v>0.25</v>
      </c>
      <c r="G11" s="23">
        <v>1.00127304750341</v>
      </c>
      <c r="H11" s="23">
        <v>-0.303507726084916</v>
      </c>
      <c r="I11" s="21">
        <f>IF(B11="","--",_xll.qlDayCounterYearFraction("Act/360",B11,D11))</f>
        <v>0.25</v>
      </c>
      <c r="J11" s="21">
        <v>-0.29799999999999999</v>
      </c>
      <c r="K11" s="36" t="s">
        <v>31</v>
      </c>
      <c r="L11" s="30">
        <v>42640</v>
      </c>
      <c r="M11" s="32" t="s">
        <v>115</v>
      </c>
      <c r="N11" s="30">
        <v>42731</v>
      </c>
      <c r="O11" s="9"/>
      <c r="P11" s="9"/>
      <c r="Q11" s="9"/>
      <c r="R11" s="9"/>
      <c r="S11" s="9"/>
      <c r="T11" s="50"/>
      <c r="V11" s="64"/>
      <c r="W11" s="46" t="str">
        <f t="shared" si="0"/>
        <v>2M-5M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8"/>
    </row>
    <row r="12" spans="1:83" x14ac:dyDescent="0.25">
      <c r="A12" s="17" t="s">
        <v>15</v>
      </c>
      <c r="B12" s="18">
        <v>42741</v>
      </c>
      <c r="C12" s="17" t="s">
        <v>16</v>
      </c>
      <c r="D12" s="18">
        <v>42831</v>
      </c>
      <c r="E12" s="20" t="s">
        <v>19</v>
      </c>
      <c r="F12" s="21">
        <f>IF(B12="","--",_xll.qlDayCounterYearFraction("Act/360",B12,D12))</f>
        <v>0.25</v>
      </c>
      <c r="G12" s="23">
        <v>1.00153792782865</v>
      </c>
      <c r="H12" s="23">
        <v>-0.30484372092337803</v>
      </c>
      <c r="I12" s="21">
        <f>IF(B12="","--",_xll.qlDayCounterYearFraction("Act/360",B12,D12))</f>
        <v>0.25</v>
      </c>
      <c r="J12" s="21">
        <v>-0.30199999999999999</v>
      </c>
      <c r="K12" s="36" t="s">
        <v>31</v>
      </c>
      <c r="L12" s="30">
        <v>42640</v>
      </c>
      <c r="M12" s="32" t="s">
        <v>115</v>
      </c>
      <c r="N12" s="30">
        <v>42762</v>
      </c>
      <c r="O12" s="9"/>
      <c r="P12" s="9"/>
      <c r="Q12" s="9"/>
      <c r="R12" s="9"/>
      <c r="S12" s="9"/>
      <c r="T12" s="50"/>
      <c r="V12" s="64"/>
      <c r="W12" s="46" t="str">
        <f t="shared" si="0"/>
        <v>3M-6M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8"/>
    </row>
    <row r="13" spans="1:83" x14ac:dyDescent="0.25">
      <c r="A13" s="17" t="s">
        <v>15</v>
      </c>
      <c r="B13" s="18">
        <v>42772</v>
      </c>
      <c r="C13" s="17" t="s">
        <v>16</v>
      </c>
      <c r="D13" s="18">
        <v>42863</v>
      </c>
      <c r="E13" s="20" t="s">
        <v>20</v>
      </c>
      <c r="F13" s="21">
        <f>IF(B13="","--",_xll.qlDayCounterYearFraction("Act/360",B13,D13))</f>
        <v>0.25277777777777777</v>
      </c>
      <c r="G13" s="23">
        <v>1.0018196992972499</v>
      </c>
      <c r="H13" s="23">
        <v>-0.30721604738352698</v>
      </c>
      <c r="I13" s="21">
        <f>IF(B13="","--",_xll.qlDayCounterYearFraction("Act/360",B13,D13))</f>
        <v>0.25277777777777777</v>
      </c>
      <c r="J13" s="21">
        <v>-0.307</v>
      </c>
      <c r="K13" s="36" t="s">
        <v>31</v>
      </c>
      <c r="L13" s="30">
        <v>42640</v>
      </c>
      <c r="M13" s="32" t="s">
        <v>115</v>
      </c>
      <c r="N13" s="30">
        <v>42793</v>
      </c>
      <c r="O13" s="9"/>
      <c r="P13" s="54" t="s">
        <v>128</v>
      </c>
      <c r="Q13" s="54">
        <f>((Q16-Q20)/(Q16-Q15))</f>
        <v>1</v>
      </c>
      <c r="R13" s="54"/>
      <c r="S13" s="9"/>
      <c r="T13" s="50"/>
      <c r="V13" s="64"/>
      <c r="W13" s="46" t="str">
        <f t="shared" si="0"/>
        <v>4M-7M</v>
      </c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8"/>
    </row>
    <row r="14" spans="1:83" x14ac:dyDescent="0.25">
      <c r="A14" s="17" t="s">
        <v>15</v>
      </c>
      <c r="B14" s="18">
        <v>42800</v>
      </c>
      <c r="C14" s="17" t="s">
        <v>16</v>
      </c>
      <c r="D14" s="18">
        <v>42892</v>
      </c>
      <c r="E14" s="20" t="s">
        <v>21</v>
      </c>
      <c r="F14" s="21">
        <f>IF(B14="","--",_xll.qlDayCounterYearFraction("Act/360",B14,D14))</f>
        <v>0.25555555555555554</v>
      </c>
      <c r="G14" s="23">
        <v>1.00207203293768</v>
      </c>
      <c r="H14" s="23">
        <v>-0.30837125384369202</v>
      </c>
      <c r="I14" s="21">
        <f>IF(B14="","--",_xll.qlDayCounterYearFraction("Act/360",B14,D14))</f>
        <v>0.25555555555555554</v>
      </c>
      <c r="J14" s="21">
        <v>-0.312</v>
      </c>
      <c r="K14" s="36" t="s">
        <v>31</v>
      </c>
      <c r="L14" s="30">
        <v>42640</v>
      </c>
      <c r="M14" s="32" t="s">
        <v>115</v>
      </c>
      <c r="N14" s="30">
        <v>42821</v>
      </c>
      <c r="O14" s="9"/>
      <c r="P14" s="54" t="s">
        <v>129</v>
      </c>
      <c r="Q14" s="54">
        <f>((Q20-Q15)/(Q16-Q15))</f>
        <v>0</v>
      </c>
      <c r="R14" s="54">
        <f>Q14+Q13</f>
        <v>1</v>
      </c>
      <c r="S14" s="9"/>
      <c r="T14" s="50"/>
      <c r="V14" s="64"/>
      <c r="W14" s="46" t="str">
        <f t="shared" si="0"/>
        <v>5M-8M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8"/>
    </row>
    <row r="15" spans="1:83" x14ac:dyDescent="0.25">
      <c r="A15" s="17" t="s">
        <v>15</v>
      </c>
      <c r="B15" s="18">
        <v>42831</v>
      </c>
      <c r="C15" s="17" t="s">
        <v>16</v>
      </c>
      <c r="D15" s="18">
        <v>42922</v>
      </c>
      <c r="E15" s="20" t="s">
        <v>24</v>
      </c>
      <c r="F15" s="21">
        <f>IF(B15="","--",_xll.qlDayCounterYearFraction("Act/360",B15,D15))</f>
        <v>0.25277777777777777</v>
      </c>
      <c r="G15" s="23">
        <v>1.00234364506201</v>
      </c>
      <c r="H15" s="23">
        <v>-0.31070167214979399</v>
      </c>
      <c r="I15" s="21">
        <f>IF(B15="","--",_xll.qlDayCounterYearFraction("Act/360",B15,D15))</f>
        <v>0.25277777777777777</v>
      </c>
      <c r="J15" s="21">
        <v>-0.318</v>
      </c>
      <c r="K15" s="36" t="s">
        <v>31</v>
      </c>
      <c r="L15" s="30">
        <v>42640</v>
      </c>
      <c r="M15" s="32" t="s">
        <v>115</v>
      </c>
      <c r="N15" s="30">
        <v>42852</v>
      </c>
      <c r="O15" s="9"/>
      <c r="P15" s="9" t="s">
        <v>107</v>
      </c>
      <c r="Q15" s="9">
        <f>Q20</f>
        <v>1.0897597125533349</v>
      </c>
      <c r="R15" s="9" t="s">
        <v>126</v>
      </c>
      <c r="S15" s="9"/>
      <c r="T15" s="50"/>
      <c r="V15" s="64"/>
      <c r="W15" s="46" t="str">
        <f t="shared" si="0"/>
        <v>6M-9M</v>
      </c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8"/>
    </row>
    <row r="16" spans="1:83" x14ac:dyDescent="0.25">
      <c r="A16" s="17" t="s">
        <v>15</v>
      </c>
      <c r="B16" s="18">
        <v>42863</v>
      </c>
      <c r="C16" s="17" t="s">
        <v>16</v>
      </c>
      <c r="D16" s="18">
        <v>42954</v>
      </c>
      <c r="E16" s="20" t="s">
        <v>25</v>
      </c>
      <c r="F16" s="21">
        <f>IF(B16="","--",_xll.qlDayCounterYearFraction("Act/360",B16,D16))</f>
        <v>0.25277777777777777</v>
      </c>
      <c r="G16" s="23">
        <v>1.00264317321041</v>
      </c>
      <c r="H16" s="23">
        <v>-0.313838909618327</v>
      </c>
      <c r="I16" s="21">
        <f>IF(B16="","--",_xll.qlDayCounterYearFraction("Act/360",B16,D16))</f>
        <v>0.25277777777777777</v>
      </c>
      <c r="J16" s="21">
        <v>-0.32500000000000001</v>
      </c>
      <c r="K16" s="36" t="s">
        <v>31</v>
      </c>
      <c r="L16" s="30">
        <v>42640</v>
      </c>
      <c r="M16" s="32" t="s">
        <v>115</v>
      </c>
      <c r="N16" s="30">
        <v>42884</v>
      </c>
      <c r="O16" s="9"/>
      <c r="P16" s="9" t="s">
        <v>123</v>
      </c>
      <c r="Q16" s="9">
        <f>_xll.qlDayCounterYearFraction("Actual/365",B3,D20)</f>
        <v>1.1664720413204581</v>
      </c>
      <c r="R16" s="9" t="s">
        <v>125</v>
      </c>
      <c r="S16" s="9"/>
      <c r="T16" s="50"/>
      <c r="V16" s="64"/>
      <c r="W16" s="46" t="str">
        <f t="shared" si="0"/>
        <v>7M-10M</v>
      </c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8"/>
    </row>
    <row r="17" spans="1:83" x14ac:dyDescent="0.25">
      <c r="A17" s="17" t="s">
        <v>15</v>
      </c>
      <c r="B17" s="18">
        <v>42892</v>
      </c>
      <c r="C17" s="17" t="s">
        <v>16</v>
      </c>
      <c r="D17" s="18">
        <v>42984</v>
      </c>
      <c r="E17" s="20" t="s">
        <v>26</v>
      </c>
      <c r="F17" s="21">
        <f>IF(B17="","--",_xll.qlDayCounterYearFraction("Act/360",B17,D17))</f>
        <v>0.25555555555555554</v>
      </c>
      <c r="G17" s="23">
        <v>1.0029203921538401</v>
      </c>
      <c r="H17" s="23">
        <v>-0.31584263320776501</v>
      </c>
      <c r="I17" s="21">
        <f>IF(B17="","--",_xll.qlDayCounterYearFraction("Act/360",B17,D17))</f>
        <v>0.25555555555555554</v>
      </c>
      <c r="J17" s="21">
        <v>-0.33100000000000002</v>
      </c>
      <c r="K17" s="36" t="s">
        <v>31</v>
      </c>
      <c r="L17" s="30">
        <v>42640</v>
      </c>
      <c r="M17" s="32" t="s">
        <v>115</v>
      </c>
      <c r="N17" s="30">
        <v>42913</v>
      </c>
      <c r="O17" s="9"/>
      <c r="P17" s="11" t="s">
        <v>118</v>
      </c>
      <c r="Q17" s="56">
        <v>42649</v>
      </c>
      <c r="R17" s="9"/>
      <c r="S17" s="9"/>
      <c r="T17" s="50"/>
      <c r="V17" s="64"/>
      <c r="W17" s="46" t="str">
        <f t="shared" si="0"/>
        <v>8M-11M</v>
      </c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8"/>
    </row>
    <row r="18" spans="1:83" x14ac:dyDescent="0.25">
      <c r="A18" s="17" t="s">
        <v>15</v>
      </c>
      <c r="B18" s="18">
        <v>42922</v>
      </c>
      <c r="C18" s="17" t="s">
        <v>16</v>
      </c>
      <c r="D18" s="18">
        <v>43014</v>
      </c>
      <c r="E18" s="20" t="s">
        <v>27</v>
      </c>
      <c r="F18" s="21">
        <f>IF(B18="","--",_xll.qlDayCounterYearFraction("Act/360",B18,D18))</f>
        <v>0.25555555555555554</v>
      </c>
      <c r="G18" s="23">
        <v>1.00320506381013</v>
      </c>
      <c r="H18" s="23">
        <v>-0.31825001842329298</v>
      </c>
      <c r="I18" s="21">
        <f>IF(B18="","--",_xll.qlDayCounterYearFraction("Act/360",B18,D18))</f>
        <v>0.25555555555555554</v>
      </c>
      <c r="J18" s="21">
        <v>-0.33600000000000002</v>
      </c>
      <c r="K18" s="36" t="s">
        <v>31</v>
      </c>
      <c r="L18" s="30">
        <v>42640</v>
      </c>
      <c r="M18" s="32" t="s">
        <v>115</v>
      </c>
      <c r="N18" s="30">
        <v>42943</v>
      </c>
      <c r="O18" s="9"/>
      <c r="P18" s="9" t="s">
        <v>119</v>
      </c>
      <c r="Q18" s="56">
        <v>42955</v>
      </c>
      <c r="R18" s="9"/>
      <c r="S18" s="9"/>
      <c r="T18" s="50"/>
      <c r="V18" s="64"/>
      <c r="W18" s="46" t="str">
        <f t="shared" si="0"/>
        <v>9M-12M</v>
      </c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8"/>
    </row>
    <row r="19" spans="1:83" x14ac:dyDescent="0.25">
      <c r="A19" s="17" t="s">
        <v>15</v>
      </c>
      <c r="B19" s="18">
        <v>42954</v>
      </c>
      <c r="C19" s="17" t="s">
        <v>16</v>
      </c>
      <c r="D19" s="18">
        <v>43045</v>
      </c>
      <c r="E19" s="20" t="s">
        <v>28</v>
      </c>
      <c r="F19" s="21">
        <f>IF(B19="","--",_xll.qlDayCounterYearFraction("Act/360",B19,D19))</f>
        <v>0.25277777777777777</v>
      </c>
      <c r="G19" s="23">
        <v>1.00351050367339</v>
      </c>
      <c r="H19" s="23">
        <v>-0.321379403757731</v>
      </c>
      <c r="I19" s="21">
        <f>IF(B19="","--",_xll.qlDayCounterYearFraction("Act/360",B19,D19))</f>
        <v>0.25277777777777777</v>
      </c>
      <c r="J19" s="21">
        <v>-0.34200000000000003</v>
      </c>
      <c r="K19" s="36" t="s">
        <v>31</v>
      </c>
      <c r="L19" s="30">
        <v>42640</v>
      </c>
      <c r="M19" s="32" t="s">
        <v>115</v>
      </c>
      <c r="N19" s="30">
        <v>42975</v>
      </c>
      <c r="O19" s="9"/>
      <c r="P19" s="9" t="s">
        <v>120</v>
      </c>
      <c r="Q19" s="56">
        <v>43047</v>
      </c>
      <c r="R19" s="9"/>
      <c r="S19" s="9"/>
      <c r="T19" s="52">
        <v>2549.9</v>
      </c>
      <c r="V19" s="64"/>
      <c r="W19" s="46" t="str">
        <f t="shared" si="0"/>
        <v>10M-13M</v>
      </c>
      <c r="X19" s="7">
        <f>IF(OR($D$19=$D3,$D3&lt;$D$19&lt;$D4),1,0)</f>
        <v>0</v>
      </c>
      <c r="Y19" s="7">
        <f>IF(OR($D$19=$D4,$D4&lt;$D$19&lt;$D5),1,0)</f>
        <v>0</v>
      </c>
      <c r="Z19" s="7">
        <f>IF(OR($D$19=$D5,$D5&lt;$D$19&lt;$D6),1,0)</f>
        <v>0</v>
      </c>
      <c r="AA19" s="7">
        <f>IF(OR($D$19=$D5,$D5&lt;$D$19&lt;$D6),1,0)</f>
        <v>0</v>
      </c>
      <c r="AB19" s="7">
        <f t="shared" ref="AB19:CE19" si="1">IF(OR($D$19=$D3,$D3&lt;$D$19&lt;$D4),1,0)</f>
        <v>0</v>
      </c>
      <c r="AC19" s="7">
        <f t="shared" si="1"/>
        <v>0</v>
      </c>
      <c r="AD19" s="7">
        <f t="shared" si="1"/>
        <v>0</v>
      </c>
      <c r="AE19" s="7">
        <f t="shared" si="1"/>
        <v>0</v>
      </c>
      <c r="AF19" s="7">
        <f t="shared" si="1"/>
        <v>0</v>
      </c>
      <c r="AG19" s="7">
        <f t="shared" si="1"/>
        <v>0</v>
      </c>
      <c r="AH19" s="7">
        <f t="shared" si="1"/>
        <v>0</v>
      </c>
      <c r="AI19" s="7">
        <f t="shared" si="1"/>
        <v>0</v>
      </c>
      <c r="AJ19" s="7">
        <f t="shared" si="1"/>
        <v>0</v>
      </c>
      <c r="AK19" s="7">
        <f t="shared" si="1"/>
        <v>0</v>
      </c>
      <c r="AL19" s="7">
        <f t="shared" si="1"/>
        <v>0</v>
      </c>
      <c r="AM19" s="7">
        <f t="shared" si="1"/>
        <v>0</v>
      </c>
      <c r="AN19" s="7">
        <f t="shared" si="1"/>
        <v>0</v>
      </c>
      <c r="AO19" s="7">
        <f t="shared" si="1"/>
        <v>0</v>
      </c>
      <c r="AP19" s="7">
        <f t="shared" si="1"/>
        <v>0</v>
      </c>
      <c r="AQ19" s="7">
        <f t="shared" si="1"/>
        <v>0</v>
      </c>
      <c r="AR19" s="7">
        <f t="shared" si="1"/>
        <v>0</v>
      </c>
      <c r="AS19" s="7">
        <f t="shared" si="1"/>
        <v>0</v>
      </c>
      <c r="AT19" s="7">
        <f t="shared" si="1"/>
        <v>0</v>
      </c>
      <c r="AU19" s="7">
        <f t="shared" si="1"/>
        <v>0</v>
      </c>
      <c r="AV19" s="7">
        <f t="shared" si="1"/>
        <v>0</v>
      </c>
      <c r="AW19" s="7">
        <f t="shared" si="1"/>
        <v>0</v>
      </c>
      <c r="AX19" s="7">
        <f t="shared" si="1"/>
        <v>0</v>
      </c>
      <c r="AY19" s="7">
        <f t="shared" si="1"/>
        <v>0</v>
      </c>
      <c r="AZ19" s="7">
        <f t="shared" si="1"/>
        <v>0</v>
      </c>
      <c r="BA19" s="7">
        <f t="shared" si="1"/>
        <v>0</v>
      </c>
      <c r="BB19" s="7">
        <f t="shared" si="1"/>
        <v>0</v>
      </c>
      <c r="BC19" s="7">
        <f t="shared" si="1"/>
        <v>0</v>
      </c>
      <c r="BD19" s="7">
        <f t="shared" si="1"/>
        <v>0</v>
      </c>
      <c r="BE19" s="7">
        <f t="shared" si="1"/>
        <v>0</v>
      </c>
      <c r="BF19" s="7">
        <f t="shared" si="1"/>
        <v>0</v>
      </c>
      <c r="BG19" s="7">
        <f t="shared" si="1"/>
        <v>0</v>
      </c>
      <c r="BH19" s="7">
        <f t="shared" si="1"/>
        <v>0</v>
      </c>
      <c r="BI19" s="7">
        <f t="shared" si="1"/>
        <v>0</v>
      </c>
      <c r="BJ19" s="7">
        <f t="shared" si="1"/>
        <v>0</v>
      </c>
      <c r="BK19" s="7">
        <f t="shared" si="1"/>
        <v>0</v>
      </c>
      <c r="BL19" s="7">
        <f t="shared" si="1"/>
        <v>0</v>
      </c>
      <c r="BM19" s="7">
        <f t="shared" si="1"/>
        <v>0</v>
      </c>
      <c r="BN19" s="7">
        <f t="shared" si="1"/>
        <v>0</v>
      </c>
      <c r="BO19" s="7">
        <f t="shared" si="1"/>
        <v>0</v>
      </c>
      <c r="BP19" s="7">
        <f t="shared" si="1"/>
        <v>0</v>
      </c>
      <c r="BQ19" s="7">
        <f t="shared" si="1"/>
        <v>0</v>
      </c>
      <c r="BR19" s="7">
        <f t="shared" si="1"/>
        <v>0</v>
      </c>
      <c r="BS19" s="7">
        <f t="shared" si="1"/>
        <v>0</v>
      </c>
      <c r="BT19" s="7">
        <f t="shared" si="1"/>
        <v>0</v>
      </c>
      <c r="BU19" s="7">
        <f t="shared" si="1"/>
        <v>0</v>
      </c>
      <c r="BV19" s="7">
        <f t="shared" si="1"/>
        <v>0</v>
      </c>
      <c r="BW19" s="7">
        <f t="shared" si="1"/>
        <v>0</v>
      </c>
      <c r="BX19" s="7">
        <f t="shared" si="1"/>
        <v>0</v>
      </c>
      <c r="BY19" s="7">
        <f t="shared" si="1"/>
        <v>0</v>
      </c>
      <c r="BZ19" s="7">
        <f t="shared" si="1"/>
        <v>0</v>
      </c>
      <c r="CA19" s="7">
        <f t="shared" si="1"/>
        <v>0</v>
      </c>
      <c r="CB19" s="7">
        <f t="shared" si="1"/>
        <v>0</v>
      </c>
      <c r="CC19" s="7">
        <f t="shared" si="1"/>
        <v>0</v>
      </c>
      <c r="CD19" s="7">
        <f t="shared" si="1"/>
        <v>0</v>
      </c>
      <c r="CE19" s="7">
        <f t="shared" si="1"/>
        <v>0</v>
      </c>
    </row>
    <row r="20" spans="1:83" x14ac:dyDescent="0.25">
      <c r="A20" s="17" t="s">
        <v>15</v>
      </c>
      <c r="B20" s="18">
        <v>42984</v>
      </c>
      <c r="C20" s="17" t="s">
        <v>16</v>
      </c>
      <c r="D20" s="18">
        <v>43075</v>
      </c>
      <c r="E20" s="20" t="s">
        <v>29</v>
      </c>
      <c r="F20" s="21">
        <f>IF(B20="","--",_xll.qlDayCounterYearFraction("Act/360",B20,D20))</f>
        <v>0.25277777777777777</v>
      </c>
      <c r="G20" s="23">
        <v>1.0038008649291701</v>
      </c>
      <c r="H20" s="23">
        <v>-0.32352473388319503</v>
      </c>
      <c r="I20" s="21">
        <f>IF(B20="","--",_xll.qlDayCounterYearFraction("Act/360",B20,D20))</f>
        <v>0.25277777777777777</v>
      </c>
      <c r="J20" s="21">
        <v>-0.34699999999999998</v>
      </c>
      <c r="K20" s="36" t="s">
        <v>31</v>
      </c>
      <c r="L20" s="30">
        <v>42640</v>
      </c>
      <c r="M20" s="32" t="s">
        <v>115</v>
      </c>
      <c r="N20" s="30">
        <v>43005</v>
      </c>
      <c r="O20" s="9"/>
      <c r="P20" s="9" t="s">
        <v>100</v>
      </c>
      <c r="Q20" s="9">
        <f>_xll.qlDayCounterYearFraction("Actual/365",Q17,Q19)</f>
        <v>1.0897597125533349</v>
      </c>
      <c r="R20" s="9"/>
      <c r="S20" s="9"/>
      <c r="T20" s="50"/>
      <c r="V20" s="64"/>
      <c r="W20" s="46" t="str">
        <f t="shared" si="0"/>
        <v>11M-14M</v>
      </c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8"/>
    </row>
    <row r="21" spans="1:83" x14ac:dyDescent="0.25">
      <c r="A21" s="17" t="s">
        <v>15</v>
      </c>
      <c r="B21" s="18">
        <v>43014</v>
      </c>
      <c r="C21" s="17" t="s">
        <v>16</v>
      </c>
      <c r="D21" s="18">
        <v>43108</v>
      </c>
      <c r="E21" s="20" t="s">
        <v>30</v>
      </c>
      <c r="F21" s="21">
        <f>IF(B21="","--",_xll.qlDayCounterYearFraction("Act/360",B21,D21))</f>
        <v>0.26111111111111113</v>
      </c>
      <c r="G21" s="23">
        <v>1.0041227204073899</v>
      </c>
      <c r="H21" s="23">
        <v>-0.325748270648821</v>
      </c>
      <c r="I21" s="21">
        <f>IF(B21="","--",_xll.qlDayCounterYearFraction("Act/360",B21,D21))</f>
        <v>0.26111111111111113</v>
      </c>
      <c r="J21" s="21">
        <v>-0.35</v>
      </c>
      <c r="K21" s="36" t="s">
        <v>31</v>
      </c>
      <c r="L21" s="30">
        <v>42640</v>
      </c>
      <c r="M21" s="32" t="s">
        <v>115</v>
      </c>
      <c r="N21" s="30">
        <v>43035</v>
      </c>
      <c r="O21" s="9"/>
      <c r="P21" s="9" t="s">
        <v>98</v>
      </c>
      <c r="Q21" s="9">
        <f>_xll.qlDayCounterYearFraction("Actual/365",Q17,Q18)</f>
        <v>0.8377049180327869</v>
      </c>
      <c r="R21" s="9"/>
      <c r="S21" s="9"/>
      <c r="T21" s="50"/>
      <c r="V21" s="64"/>
      <c r="W21" s="46" t="str">
        <f t="shared" si="0"/>
        <v>12M-15M</v>
      </c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8"/>
    </row>
    <row r="22" spans="1:83" x14ac:dyDescent="0.25">
      <c r="A22" s="17" t="s">
        <v>22</v>
      </c>
      <c r="B22" s="18">
        <v>43089</v>
      </c>
      <c r="C22" s="17" t="s">
        <v>23</v>
      </c>
      <c r="D22" s="18">
        <v>43179</v>
      </c>
      <c r="E22" s="24">
        <v>43070</v>
      </c>
      <c r="F22" s="21">
        <f>IF(B22="","--",_xll.qlDayCounterYearFraction("Act/360",B22,D22))</f>
        <v>0.25</v>
      </c>
      <c r="G22" s="23">
        <v>1.00484795866984</v>
      </c>
      <c r="H22" s="23">
        <v>-0.33181005331823699</v>
      </c>
      <c r="I22" s="21">
        <f>IF(B22="","--",_xll.qlDayCounterYearFraction("Act/360",B22,D22))</f>
        <v>0.25</v>
      </c>
      <c r="J22" s="21">
        <v>100.3625</v>
      </c>
      <c r="K22" s="36" t="s">
        <v>31</v>
      </c>
      <c r="L22" s="30">
        <v>42640</v>
      </c>
      <c r="M22" s="32" t="s">
        <v>115</v>
      </c>
      <c r="N22" s="30">
        <v>43066</v>
      </c>
      <c r="O22" s="9"/>
      <c r="P22" s="9" t="s">
        <v>99</v>
      </c>
      <c r="Q22" s="9">
        <f>_xll.qlDayCounterYearFraction("Actual/360",Q18,Q19)</f>
        <v>0.25555555555555554</v>
      </c>
      <c r="R22" s="9"/>
      <c r="S22" s="9"/>
      <c r="T22" s="50"/>
      <c r="V22" s="64"/>
      <c r="W22" s="47">
        <f t="shared" si="0"/>
        <v>43070</v>
      </c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8"/>
    </row>
    <row r="23" spans="1:83" x14ac:dyDescent="0.25">
      <c r="A23" s="17" t="s">
        <v>22</v>
      </c>
      <c r="B23" s="18">
        <v>43180</v>
      </c>
      <c r="C23" s="17" t="s">
        <v>23</v>
      </c>
      <c r="D23" s="18">
        <v>43272</v>
      </c>
      <c r="E23" s="24">
        <v>43160</v>
      </c>
      <c r="F23" s="21">
        <f>IF(B23="","--",_xll.qlDayCounterYearFraction("Act/360",B23,D23))</f>
        <v>0.25555555555555554</v>
      </c>
      <c r="G23" s="23">
        <v>1.00580344372009</v>
      </c>
      <c r="H23" s="23">
        <v>-0.337941446915202</v>
      </c>
      <c r="I23" s="21">
        <f>IF(B23="","--",_xll.qlDayCounterYearFraction("Act/360",B23,D23))</f>
        <v>0.25555555555555554</v>
      </c>
      <c r="J23" s="21">
        <v>100.36750000000001</v>
      </c>
      <c r="K23" s="36" t="s">
        <v>31</v>
      </c>
      <c r="L23" s="30">
        <v>42640</v>
      </c>
      <c r="M23" s="32" t="s">
        <v>115</v>
      </c>
      <c r="N23" s="30">
        <v>43096</v>
      </c>
      <c r="O23" s="9"/>
      <c r="P23" s="9" t="s">
        <v>121</v>
      </c>
      <c r="Q23" s="9">
        <f>Q21</f>
        <v>0.8377049180327869</v>
      </c>
      <c r="R23" s="9" t="s">
        <v>94</v>
      </c>
      <c r="S23" s="9"/>
      <c r="T23" s="50"/>
      <c r="V23" s="64"/>
      <c r="W23" s="47">
        <f t="shared" si="0"/>
        <v>43160</v>
      </c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8"/>
    </row>
    <row r="24" spans="1:83" x14ac:dyDescent="0.25">
      <c r="A24" s="17" t="s">
        <v>22</v>
      </c>
      <c r="B24" s="18">
        <v>43271</v>
      </c>
      <c r="C24" s="17" t="s">
        <v>23</v>
      </c>
      <c r="D24" s="18">
        <v>43363</v>
      </c>
      <c r="E24" s="24">
        <v>43252</v>
      </c>
      <c r="F24" s="21">
        <f>IF(B24="","--",_xll.qlDayCounterYearFraction("Act/360",B24,D24))</f>
        <v>0.25555555555555554</v>
      </c>
      <c r="G24" s="23">
        <v>1.0067399416151599</v>
      </c>
      <c r="H24" s="23">
        <v>-0.34243370950437502</v>
      </c>
      <c r="I24" s="21">
        <f>IF(B24="","--",_xll.qlDayCounterYearFraction("Act/360",B24,D24))</f>
        <v>0.25555555555555554</v>
      </c>
      <c r="J24" s="21">
        <v>100.36750000000001</v>
      </c>
      <c r="K24" s="36" t="s">
        <v>31</v>
      </c>
      <c r="L24" s="30">
        <v>42640</v>
      </c>
      <c r="M24" s="32" t="s">
        <v>115</v>
      </c>
      <c r="N24" s="30">
        <v>43129</v>
      </c>
      <c r="O24" s="9"/>
      <c r="P24" s="9" t="s">
        <v>122</v>
      </c>
      <c r="Q24" s="9">
        <f>_xll.qlDayCounterYearFraction("Actual/365",B3,B20)</f>
        <v>0.91715697282730746</v>
      </c>
      <c r="R24" s="9" t="s">
        <v>95</v>
      </c>
      <c r="S24" s="9"/>
      <c r="T24" s="50"/>
      <c r="V24" s="64"/>
      <c r="W24" s="47">
        <f t="shared" si="0"/>
        <v>43252</v>
      </c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8"/>
    </row>
    <row r="25" spans="1:83" x14ac:dyDescent="0.25">
      <c r="A25" s="17" t="s">
        <v>22</v>
      </c>
      <c r="B25" s="18">
        <v>43362</v>
      </c>
      <c r="C25" s="17" t="s">
        <v>23</v>
      </c>
      <c r="D25" s="18">
        <v>43453</v>
      </c>
      <c r="E25" s="24">
        <v>43344</v>
      </c>
      <c r="F25" s="21">
        <f>IF(B25="","--",_xll.qlDayCounterYearFraction("Act/360",B25,D25))</f>
        <v>0.25277777777777777</v>
      </c>
      <c r="G25" s="23">
        <v>1.0076669993926299</v>
      </c>
      <c r="H25" s="23">
        <v>-0.34587858847708203</v>
      </c>
      <c r="I25" s="21">
        <f>IF(B25="","--",_xll.qlDayCounterYearFraction("Act/360",B25,D25))</f>
        <v>0.25277777777777777</v>
      </c>
      <c r="J25" s="21">
        <v>100.36750000000001</v>
      </c>
      <c r="K25" s="36" t="s">
        <v>31</v>
      </c>
      <c r="L25" s="30">
        <v>42640</v>
      </c>
      <c r="M25" s="32" t="s">
        <v>115</v>
      </c>
      <c r="N25" s="30">
        <v>43158</v>
      </c>
      <c r="O25" s="9"/>
      <c r="P25" s="9" t="s">
        <v>96</v>
      </c>
      <c r="Q25" s="9">
        <f>_xll.qlYieldTSZeroRate(I1,Q18,"Actual/365")/100</f>
        <v>-3.1390570040464149E-3</v>
      </c>
      <c r="R25" s="9"/>
      <c r="S25" s="9"/>
      <c r="T25" s="50"/>
      <c r="V25" s="64"/>
      <c r="W25" s="47">
        <f t="shared" si="0"/>
        <v>43344</v>
      </c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8"/>
    </row>
    <row r="26" spans="1:83" x14ac:dyDescent="0.25">
      <c r="A26" s="17" t="s">
        <v>22</v>
      </c>
      <c r="B26" s="18">
        <v>43453</v>
      </c>
      <c r="C26" s="17" t="s">
        <v>23</v>
      </c>
      <c r="D26" s="18">
        <v>43543</v>
      </c>
      <c r="E26" s="24">
        <v>43435</v>
      </c>
      <c r="F26" s="21">
        <f>IF(B26="","--",_xll.qlDayCounterYearFraction("Act/360",B26,D26))</f>
        <v>0.25</v>
      </c>
      <c r="G26" s="23">
        <v>1.0085703001675399</v>
      </c>
      <c r="H26" s="23">
        <v>-0.34763739138746802</v>
      </c>
      <c r="I26" s="21">
        <f>IF(B26="","--",_xll.qlDayCounterYearFraction("Act/360",B26,D26))</f>
        <v>0.25</v>
      </c>
      <c r="J26" s="21">
        <v>100.3575</v>
      </c>
      <c r="K26" s="36" t="s">
        <v>31</v>
      </c>
      <c r="L26" s="30">
        <v>42640</v>
      </c>
      <c r="M26" s="32" t="s">
        <v>115</v>
      </c>
      <c r="N26" s="30">
        <v>43186</v>
      </c>
      <c r="O26" s="9"/>
      <c r="P26" s="9" t="s">
        <v>97</v>
      </c>
      <c r="Q26" s="9">
        <f>_xll.qlYieldTSZeroRate(I1,Q19,"Actual/365")/100</f>
        <v>-3.2152242576609534E-3</v>
      </c>
      <c r="R26" s="9"/>
      <c r="S26" s="9"/>
      <c r="T26" s="50"/>
      <c r="V26" s="64"/>
      <c r="W26" s="47">
        <f t="shared" si="0"/>
        <v>43435</v>
      </c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8"/>
    </row>
    <row r="27" spans="1:83" x14ac:dyDescent="0.25">
      <c r="A27" s="17" t="s">
        <v>22</v>
      </c>
      <c r="B27" s="18">
        <v>43544</v>
      </c>
      <c r="C27" s="17" t="s">
        <v>23</v>
      </c>
      <c r="D27" s="18">
        <v>43636</v>
      </c>
      <c r="E27" s="24">
        <v>43525</v>
      </c>
      <c r="F27" s="21">
        <f>IF(B27="","--",_xll.qlDayCounterYearFraction("Act/360",B27,D27))</f>
        <v>0.25555555555555554</v>
      </c>
      <c r="G27" s="23">
        <v>1.0094798353111101</v>
      </c>
      <c r="H27" s="23">
        <v>-0.34821456320767202</v>
      </c>
      <c r="I27" s="21">
        <f>IF(B27="","--",_xll.qlDayCounterYearFraction("Act/360",B27,D27))</f>
        <v>0.25555555555555554</v>
      </c>
      <c r="J27" s="21">
        <v>100.3475</v>
      </c>
      <c r="K27" s="36" t="s">
        <v>31</v>
      </c>
      <c r="L27" s="30">
        <v>42640</v>
      </c>
      <c r="M27" s="32" t="s">
        <v>115</v>
      </c>
      <c r="N27" s="30">
        <v>43217</v>
      </c>
      <c r="O27" s="9"/>
      <c r="P27" s="55" t="s">
        <v>124</v>
      </c>
      <c r="Q27" s="55">
        <f>(1/Q22)*Q20*Q28</f>
        <v>4.2605508556889795</v>
      </c>
      <c r="R27" s="9"/>
      <c r="S27" s="9"/>
      <c r="T27" s="50"/>
      <c r="V27" s="64"/>
      <c r="W27" s="47">
        <f t="shared" si="0"/>
        <v>43525</v>
      </c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8"/>
    </row>
    <row r="28" spans="1:83" x14ac:dyDescent="0.25">
      <c r="A28" s="17" t="s">
        <v>31</v>
      </c>
      <c r="B28" s="18">
        <v>42649</v>
      </c>
      <c r="C28" s="17" t="s">
        <v>32</v>
      </c>
      <c r="D28" s="18">
        <v>43745</v>
      </c>
      <c r="E28" s="20" t="s">
        <v>33</v>
      </c>
      <c r="F28" s="21">
        <f>IF(B28="","--",_xll.qlDayCounterYearFraction("30/360 (Bond Basis)",B28,D28))</f>
        <v>3.0027777777777778</v>
      </c>
      <c r="G28" s="23">
        <v>1.01122177568852</v>
      </c>
      <c r="H28" s="23">
        <v>-0.37095962827414503</v>
      </c>
      <c r="I28" s="21">
        <f>IF(B28="","--",_xll.qlDayCounterYearFraction("Act/360",B28,D28))</f>
        <v>3.0444444444444443</v>
      </c>
      <c r="J28" s="21">
        <v>-0.34499999999999997</v>
      </c>
      <c r="K28" s="36" t="s">
        <v>31</v>
      </c>
      <c r="L28" s="30">
        <v>42640</v>
      </c>
      <c r="M28" s="32" t="s">
        <v>115</v>
      </c>
      <c r="N28" s="30">
        <v>43248</v>
      </c>
      <c r="O28" s="9"/>
      <c r="P28" s="9" t="s">
        <v>104</v>
      </c>
      <c r="Q28" s="9">
        <f>((EXP(-Q25*Q21))/(EXP(-Q26*Q20)))</f>
        <v>0.99912616364500295</v>
      </c>
      <c r="R28" s="9"/>
      <c r="S28" s="9"/>
      <c r="T28" s="50"/>
      <c r="V28" s="64"/>
      <c r="W28" s="46" t="str">
        <f t="shared" si="0"/>
        <v>3Y</v>
      </c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8"/>
    </row>
    <row r="29" spans="1:83" x14ac:dyDescent="0.25">
      <c r="A29" s="17" t="s">
        <v>31</v>
      </c>
      <c r="B29" s="18">
        <v>42649</v>
      </c>
      <c r="C29" s="17" t="s">
        <v>32</v>
      </c>
      <c r="D29" s="18">
        <v>44110</v>
      </c>
      <c r="E29" s="20" t="s">
        <v>34</v>
      </c>
      <c r="F29" s="21">
        <f>IF(B29="","--",_xll.qlDayCounterYearFraction("30/360 (Bond Basis)",B29,D29))</f>
        <v>4</v>
      </c>
      <c r="G29" s="23">
        <v>1.0139470423680299</v>
      </c>
      <c r="H29" s="23">
        <v>-0.34555688519650701</v>
      </c>
      <c r="I29" s="21">
        <f>IF(B29="","--",_xll.qlDayCounterYearFraction("Act/360",B29,D29))</f>
        <v>4.0583333333333336</v>
      </c>
      <c r="J29" s="21">
        <v>-0.32600000000000001</v>
      </c>
      <c r="K29" s="36" t="s">
        <v>31</v>
      </c>
      <c r="L29" s="30">
        <v>42640</v>
      </c>
      <c r="M29" s="32" t="s">
        <v>115</v>
      </c>
      <c r="N29" s="30">
        <v>43278</v>
      </c>
      <c r="O29" s="9"/>
      <c r="P29" s="55" t="s">
        <v>101</v>
      </c>
      <c r="Q29" s="55">
        <f>(1/Q22)*(-Q21)*Q28</f>
        <v>-3.2751113518199353</v>
      </c>
      <c r="R29" s="9">
        <f>(J19/100+1/Q22)*-Q21</f>
        <v>-3.275110815395581</v>
      </c>
      <c r="S29" s="9"/>
      <c r="T29" s="50"/>
      <c r="V29" s="64"/>
      <c r="W29" s="46" t="str">
        <f t="shared" si="0"/>
        <v>4Y</v>
      </c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8"/>
    </row>
    <row r="30" spans="1:83" x14ac:dyDescent="0.25">
      <c r="A30" s="17" t="s">
        <v>31</v>
      </c>
      <c r="B30" s="18">
        <v>42649</v>
      </c>
      <c r="C30" s="17" t="s">
        <v>32</v>
      </c>
      <c r="D30" s="18">
        <v>44475</v>
      </c>
      <c r="E30" s="20" t="s">
        <v>35</v>
      </c>
      <c r="F30" s="21">
        <f>IF(B30="","--",_xll.qlDayCounterYearFraction("30/360 (Bond Basis)",B30,D30))</f>
        <v>5</v>
      </c>
      <c r="G30" s="23">
        <v>1.0149384267894199</v>
      </c>
      <c r="H30" s="23">
        <v>-0.29607225372439</v>
      </c>
      <c r="I30" s="21">
        <f>IF(B30="","--",_xll.qlDayCounterYearFraction("Act/360",B30,D30))</f>
        <v>5.072222222222222</v>
      </c>
      <c r="J30" s="21">
        <v>-0.28000000000000003</v>
      </c>
      <c r="K30" s="36" t="s">
        <v>31</v>
      </c>
      <c r="L30" s="30">
        <v>42640</v>
      </c>
      <c r="M30" s="32" t="s">
        <v>115</v>
      </c>
      <c r="N30" s="30">
        <v>43308</v>
      </c>
      <c r="O30" s="9"/>
      <c r="P30" s="53" t="s">
        <v>102</v>
      </c>
      <c r="Q30" s="53">
        <f>((Q24-Q21)/(Q24-Q23))</f>
        <v>1</v>
      </c>
      <c r="R30" s="53"/>
      <c r="S30" s="9"/>
      <c r="T30" s="50"/>
      <c r="V30" s="64"/>
      <c r="W30" s="46" t="str">
        <f t="shared" si="0"/>
        <v>5Y</v>
      </c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8"/>
    </row>
    <row r="31" spans="1:83" x14ac:dyDescent="0.25">
      <c r="A31" s="17" t="s">
        <v>31</v>
      </c>
      <c r="B31" s="18">
        <v>42649</v>
      </c>
      <c r="C31" s="17" t="s">
        <v>32</v>
      </c>
      <c r="D31" s="18">
        <v>44840</v>
      </c>
      <c r="E31" s="20" t="s">
        <v>36</v>
      </c>
      <c r="F31" s="21">
        <f>IF(B31="","--",_xll.qlDayCounterYearFraction("30/360 (Bond Basis)",B31,D31))</f>
        <v>6</v>
      </c>
      <c r="G31" s="23">
        <v>1.01378609758577</v>
      </c>
      <c r="H31" s="23">
        <v>-0.22788672290088599</v>
      </c>
      <c r="I31" s="21">
        <f>IF(B31="","--",_xll.qlDayCounterYearFraction("Act/360",B31,D31))</f>
        <v>6.0861111111111112</v>
      </c>
      <c r="J31" s="21">
        <v>-0.214</v>
      </c>
      <c r="K31" s="36" t="s">
        <v>31</v>
      </c>
      <c r="L31" s="30">
        <v>42640</v>
      </c>
      <c r="M31" s="32" t="s">
        <v>115</v>
      </c>
      <c r="N31" s="30">
        <v>43339</v>
      </c>
      <c r="O31" s="9"/>
      <c r="P31" s="53" t="s">
        <v>127</v>
      </c>
      <c r="Q31" s="53">
        <f>((Q21-Q23)/(Q24-Q23))</f>
        <v>0</v>
      </c>
      <c r="R31" s="53">
        <f>Q31+Q30</f>
        <v>1</v>
      </c>
      <c r="S31" s="9"/>
      <c r="T31" s="50"/>
      <c r="V31" s="64"/>
      <c r="W31" s="46" t="str">
        <f t="shared" si="0"/>
        <v>6Y</v>
      </c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8"/>
    </row>
    <row r="32" spans="1:83" x14ac:dyDescent="0.25">
      <c r="A32" s="17" t="s">
        <v>31</v>
      </c>
      <c r="B32" s="18">
        <v>42649</v>
      </c>
      <c r="C32" s="17" t="s">
        <v>32</v>
      </c>
      <c r="D32" s="18">
        <v>45205</v>
      </c>
      <c r="E32" s="20" t="s">
        <v>37</v>
      </c>
      <c r="F32" s="21">
        <f>IF(B32="","--",_xll.qlDayCounterYearFraction("30/360 (Bond Basis)",B32,D32))</f>
        <v>7</v>
      </c>
      <c r="G32" s="23">
        <v>1.0099536734501</v>
      </c>
      <c r="H32" s="23">
        <v>-0.14132637233992301</v>
      </c>
      <c r="I32" s="21">
        <f>IF(B32="","--",_xll.qlDayCounterYearFraction("Act/360",B32,D32))</f>
        <v>7.1</v>
      </c>
      <c r="J32" s="21">
        <v>-0.129</v>
      </c>
      <c r="K32" s="36" t="s">
        <v>31</v>
      </c>
      <c r="L32" s="30">
        <v>42640</v>
      </c>
      <c r="M32" s="32" t="s">
        <v>115</v>
      </c>
      <c r="N32" s="30">
        <v>43370</v>
      </c>
      <c r="O32" s="9"/>
      <c r="P32" s="9" t="s">
        <v>103</v>
      </c>
      <c r="Q32" s="9">
        <v>2564.6999999999998</v>
      </c>
      <c r="R32" s="9"/>
      <c r="S32" s="9"/>
      <c r="T32" s="50"/>
      <c r="V32" s="64"/>
      <c r="W32" s="46" t="str">
        <f t="shared" si="0"/>
        <v>7Y</v>
      </c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8"/>
    </row>
    <row r="33" spans="1:83" x14ac:dyDescent="0.25">
      <c r="A33" s="17" t="s">
        <v>31</v>
      </c>
      <c r="B33" s="18">
        <v>42649</v>
      </c>
      <c r="C33" s="17" t="s">
        <v>32</v>
      </c>
      <c r="D33" s="18">
        <v>45572</v>
      </c>
      <c r="E33" s="20" t="s">
        <v>38</v>
      </c>
      <c r="F33" s="21">
        <f>IF(B33="","--",_xll.qlDayCounterYearFraction("30/360 (Bond Basis)",B33,D33))</f>
        <v>8.0027777777777782</v>
      </c>
      <c r="G33" s="23">
        <v>1.00360451427732</v>
      </c>
      <c r="H33" s="23">
        <v>-4.4898538743336602E-2</v>
      </c>
      <c r="I33" s="21">
        <f>IF(B33="","--",_xll.qlDayCounterYearFraction("Act/360",B33,D33))</f>
        <v>8.1194444444444436</v>
      </c>
      <c r="J33" s="21">
        <v>-3.4000000000000002E-2</v>
      </c>
      <c r="K33" s="36" t="s">
        <v>31</v>
      </c>
      <c r="L33" s="30">
        <v>42640</v>
      </c>
      <c r="M33" s="32" t="s">
        <v>115</v>
      </c>
      <c r="N33" s="30">
        <v>43735</v>
      </c>
      <c r="O33" s="9"/>
      <c r="P33" s="60" t="s">
        <v>130</v>
      </c>
      <c r="Q33" s="62">
        <f>Q32*Q30*Q29</f>
        <v>-8399.6780840125866</v>
      </c>
      <c r="R33" s="13" t="s">
        <v>108</v>
      </c>
      <c r="S33" s="10"/>
      <c r="T33" s="50"/>
      <c r="V33" s="64"/>
      <c r="W33" s="46" t="str">
        <f t="shared" si="0"/>
        <v>8Y</v>
      </c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8"/>
    </row>
    <row r="34" spans="1:83" x14ac:dyDescent="0.25">
      <c r="A34" s="17" t="s">
        <v>31</v>
      </c>
      <c r="B34" s="18">
        <v>42649</v>
      </c>
      <c r="C34" s="17" t="s">
        <v>32</v>
      </c>
      <c r="D34" s="18">
        <v>45936</v>
      </c>
      <c r="E34" s="20" t="s">
        <v>39</v>
      </c>
      <c r="F34" s="21">
        <f>IF(B34="","--",_xll.qlDayCounterYearFraction("30/360 (Bond Basis)",B34,D34))</f>
        <v>9</v>
      </c>
      <c r="G34" s="23">
        <v>0.99490810704787103</v>
      </c>
      <c r="H34" s="23">
        <v>5.6652137342826502E-2</v>
      </c>
      <c r="I34" s="21">
        <f>IF(B34="","--",_xll.qlDayCounterYearFraction("Act/360",B34,D34))</f>
        <v>9.1305555555555564</v>
      </c>
      <c r="J34" s="21">
        <v>6.6000000000000003E-2</v>
      </c>
      <c r="K34" s="36" t="s">
        <v>31</v>
      </c>
      <c r="L34" s="30">
        <v>42640</v>
      </c>
      <c r="M34" s="32" t="s">
        <v>115</v>
      </c>
      <c r="N34" s="30">
        <v>44102</v>
      </c>
      <c r="O34" s="9"/>
      <c r="P34" s="60" t="s">
        <v>131</v>
      </c>
      <c r="Q34" s="62">
        <f>Q32*Q31*Q29</f>
        <v>0</v>
      </c>
      <c r="R34" s="57" t="s">
        <v>108</v>
      </c>
      <c r="S34" s="10">
        <f>Q33+Q34</f>
        <v>-8399.6780840125866</v>
      </c>
      <c r="T34" s="50"/>
      <c r="V34" s="64"/>
      <c r="W34" s="46" t="str">
        <f t="shared" si="0"/>
        <v>9Y</v>
      </c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8"/>
    </row>
    <row r="35" spans="1:83" x14ac:dyDescent="0.25">
      <c r="A35" s="17" t="s">
        <v>31</v>
      </c>
      <c r="B35" s="18">
        <v>42649</v>
      </c>
      <c r="C35" s="17" t="s">
        <v>32</v>
      </c>
      <c r="D35" s="18">
        <v>46301</v>
      </c>
      <c r="E35" s="20" t="s">
        <v>40</v>
      </c>
      <c r="F35" s="21">
        <f>IF(B35="","--",_xll.qlDayCounterYearFraction("30/360 (Bond Basis)",B35,D35))</f>
        <v>10</v>
      </c>
      <c r="G35" s="23">
        <v>0.98464801488307996</v>
      </c>
      <c r="H35" s="23">
        <v>0.15454110957451</v>
      </c>
      <c r="I35" s="21">
        <f>IF(B35="","--",_xll.qlDayCounterYearFraction("Act/360",B35,D35))</f>
        <v>10.144444444444444</v>
      </c>
      <c r="J35" s="21">
        <v>0.16200000000000001</v>
      </c>
      <c r="K35" s="36" t="s">
        <v>31</v>
      </c>
      <c r="L35" s="30">
        <v>42640</v>
      </c>
      <c r="M35" s="32" t="s">
        <v>115</v>
      </c>
      <c r="N35" s="30">
        <v>44466</v>
      </c>
      <c r="O35" s="9"/>
      <c r="P35" s="60" t="s">
        <v>132</v>
      </c>
      <c r="Q35" s="62">
        <f>Q32*Q13*Q27</f>
        <v>10927.034779585525</v>
      </c>
      <c r="R35" s="57" t="s">
        <v>108</v>
      </c>
      <c r="S35" s="10"/>
      <c r="T35" s="50"/>
      <c r="V35" s="64"/>
      <c r="W35" s="46" t="str">
        <f t="shared" si="0"/>
        <v>10Y</v>
      </c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8"/>
    </row>
    <row r="36" spans="1:83" x14ac:dyDescent="0.25">
      <c r="A36" s="17" t="s">
        <v>31</v>
      </c>
      <c r="B36" s="18">
        <v>42649</v>
      </c>
      <c r="C36" s="17" t="s">
        <v>32</v>
      </c>
      <c r="D36" s="18">
        <v>46666</v>
      </c>
      <c r="E36" s="20" t="s">
        <v>41</v>
      </c>
      <c r="F36" s="21">
        <f>IF(B36="","--",_xll.qlDayCounterYearFraction("30/360 (Bond Basis)",B36,D36))</f>
        <v>11</v>
      </c>
      <c r="G36" s="23">
        <v>0.97337480261478904</v>
      </c>
      <c r="H36" s="23">
        <v>0.24508372163009201</v>
      </c>
      <c r="I36" s="21">
        <f>IF(B36="","--",_xll.qlDayCounterYearFraction("Act/360",B36,D36))</f>
        <v>11.158333333333333</v>
      </c>
      <c r="J36" s="21">
        <v>0.25034014100000002</v>
      </c>
      <c r="K36" s="36" t="s">
        <v>31</v>
      </c>
      <c r="L36" s="30">
        <v>42640</v>
      </c>
      <c r="M36" s="32" t="s">
        <v>115</v>
      </c>
      <c r="N36" s="30">
        <v>44831</v>
      </c>
      <c r="O36" s="9"/>
      <c r="P36" s="60" t="s">
        <v>133</v>
      </c>
      <c r="Q36" s="62">
        <f>Q32*Q14*Q27</f>
        <v>0</v>
      </c>
      <c r="R36" s="14" t="s">
        <v>108</v>
      </c>
      <c r="S36" s="10">
        <f>Q36+Q35</f>
        <v>10927.034779585525</v>
      </c>
      <c r="T36" s="50"/>
      <c r="V36" s="64"/>
      <c r="W36" s="46" t="str">
        <f t="shared" si="0"/>
        <v>11Y</v>
      </c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8"/>
    </row>
    <row r="37" spans="1:83" x14ac:dyDescent="0.25">
      <c r="A37" s="17" t="s">
        <v>31</v>
      </c>
      <c r="B37" s="18">
        <v>42649</v>
      </c>
      <c r="C37" s="17" t="s">
        <v>32</v>
      </c>
      <c r="D37" s="18">
        <v>47032</v>
      </c>
      <c r="E37" s="20" t="s">
        <v>42</v>
      </c>
      <c r="F37" s="21">
        <f>IF(B37="","--",_xll.qlDayCounterYearFraction("30/360 (Bond Basis)",B37,D37))</f>
        <v>12</v>
      </c>
      <c r="G37" s="23">
        <v>0.96146562648487499</v>
      </c>
      <c r="H37" s="23">
        <v>0.32709713875702601</v>
      </c>
      <c r="I37" s="21">
        <f>IF(B37="","--",_xll.qlDayCounterYearFraction("Act/360",B37,D37))</f>
        <v>12.175000000000001</v>
      </c>
      <c r="J37" s="21">
        <v>0.33</v>
      </c>
      <c r="K37" s="36" t="s">
        <v>31</v>
      </c>
      <c r="L37" s="30">
        <v>42640</v>
      </c>
      <c r="M37" s="32" t="s">
        <v>115</v>
      </c>
      <c r="N37" s="30">
        <v>45196</v>
      </c>
      <c r="O37" s="9"/>
      <c r="P37" s="9"/>
      <c r="Q37" s="59">
        <f>Q33+Q34+Q35+Q36</f>
        <v>2527.3566955729384</v>
      </c>
      <c r="R37" s="61" t="s">
        <v>134</v>
      </c>
      <c r="S37" s="12"/>
      <c r="T37" s="50"/>
      <c r="V37" s="64"/>
      <c r="W37" s="46" t="str">
        <f t="shared" si="0"/>
        <v>12Y</v>
      </c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8"/>
    </row>
    <row r="38" spans="1:83" x14ac:dyDescent="0.25">
      <c r="A38" s="17" t="s">
        <v>31</v>
      </c>
      <c r="B38" s="18">
        <v>42649</v>
      </c>
      <c r="C38" s="17" t="s">
        <v>32</v>
      </c>
      <c r="D38" s="18">
        <v>47399</v>
      </c>
      <c r="E38" s="20" t="s">
        <v>43</v>
      </c>
      <c r="F38" s="21">
        <f>IF(B38="","--",_xll.qlDayCounterYearFraction("30/360 (Bond Basis)",B38,D38))</f>
        <v>13.005555555555556</v>
      </c>
      <c r="G38" s="23">
        <v>0.94933210647315702</v>
      </c>
      <c r="H38" s="23">
        <v>0.399384562755211</v>
      </c>
      <c r="I38" s="21">
        <f>IF(B38="","--",_xll.qlDayCounterYearFraction("Act/360",B38,D38))</f>
        <v>13.194444444444445</v>
      </c>
      <c r="J38" s="21">
        <v>0.39979229799999999</v>
      </c>
      <c r="K38" s="36" t="s">
        <v>31</v>
      </c>
      <c r="L38" s="30">
        <v>42640</v>
      </c>
      <c r="M38" s="32" t="s">
        <v>115</v>
      </c>
      <c r="N38" s="30">
        <v>45562</v>
      </c>
      <c r="O38" s="9"/>
      <c r="P38" s="9"/>
      <c r="Q38" s="9"/>
      <c r="R38" s="9"/>
      <c r="S38" s="9"/>
      <c r="T38" s="50"/>
      <c r="V38" s="64"/>
      <c r="W38" s="46" t="str">
        <f t="shared" si="0"/>
        <v>13Y</v>
      </c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8"/>
    </row>
    <row r="39" spans="1:83" x14ac:dyDescent="0.25">
      <c r="A39" s="17" t="s">
        <v>31</v>
      </c>
      <c r="B39" s="18">
        <v>42649</v>
      </c>
      <c r="C39" s="17" t="s">
        <v>32</v>
      </c>
      <c r="D39" s="18">
        <v>47763</v>
      </c>
      <c r="E39" s="20" t="s">
        <v>44</v>
      </c>
      <c r="F39" s="21">
        <f>IF(B39="","--",_xll.qlDayCounterYearFraction("30/360 (Bond Basis)",B39,D39))</f>
        <v>14.002777777777778</v>
      </c>
      <c r="G39" s="23">
        <v>0.93721093424967095</v>
      </c>
      <c r="H39" s="23">
        <v>0.46264895428992697</v>
      </c>
      <c r="I39" s="21">
        <f>IF(B39="","--",_xll.qlDayCounterYearFraction("Act/360",B39,D39))</f>
        <v>14.205555555555556</v>
      </c>
      <c r="J39" s="21">
        <v>0.46056482999999998</v>
      </c>
      <c r="K39" s="36" t="s">
        <v>31</v>
      </c>
      <c r="L39" s="30">
        <v>42640</v>
      </c>
      <c r="M39" s="32" t="s">
        <v>115</v>
      </c>
      <c r="N39" s="30">
        <v>45929</v>
      </c>
      <c r="O39" s="9"/>
      <c r="P39" s="9"/>
      <c r="Q39" s="9"/>
      <c r="R39" s="9"/>
      <c r="S39" s="9"/>
      <c r="T39" s="50"/>
      <c r="V39" s="64"/>
      <c r="W39" s="46" t="str">
        <f t="shared" si="0"/>
        <v>14Y</v>
      </c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8"/>
    </row>
    <row r="40" spans="1:83" x14ac:dyDescent="0.25">
      <c r="A40" s="17" t="s">
        <v>31</v>
      </c>
      <c r="B40" s="18">
        <v>42649</v>
      </c>
      <c r="C40" s="17" t="s">
        <v>32</v>
      </c>
      <c r="D40" s="18">
        <v>48127</v>
      </c>
      <c r="E40" s="20" t="s">
        <v>45</v>
      </c>
      <c r="F40" s="21">
        <f>IF(B40="","--",_xll.qlDayCounterYearFraction("30/360 (Bond Basis)",B40,D40))</f>
        <v>15</v>
      </c>
      <c r="G40" s="23">
        <v>0.92539365219651104</v>
      </c>
      <c r="H40" s="23">
        <v>0.51643544983049094</v>
      </c>
      <c r="I40" s="21">
        <f>IF(B40="","--",_xll.qlDayCounterYearFraction("Act/360",B40,D40))</f>
        <v>15.216666666666667</v>
      </c>
      <c r="J40" s="21">
        <v>0.51200000000000001</v>
      </c>
      <c r="K40" s="36" t="s">
        <v>31</v>
      </c>
      <c r="L40" s="30">
        <v>42640</v>
      </c>
      <c r="M40" s="32" t="s">
        <v>115</v>
      </c>
      <c r="N40" s="30">
        <v>46293</v>
      </c>
      <c r="O40" s="9"/>
      <c r="P40" s="9"/>
      <c r="Q40" s="9"/>
      <c r="R40" s="9"/>
      <c r="S40" s="12"/>
      <c r="T40" s="50"/>
      <c r="V40" s="64"/>
      <c r="W40" s="46" t="str">
        <f t="shared" si="0"/>
        <v>15Y</v>
      </c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8"/>
    </row>
    <row r="41" spans="1:83" x14ac:dyDescent="0.25">
      <c r="A41" s="17" t="s">
        <v>31</v>
      </c>
      <c r="B41" s="18">
        <v>42649</v>
      </c>
      <c r="C41" s="17" t="s">
        <v>32</v>
      </c>
      <c r="D41" s="18">
        <v>48493</v>
      </c>
      <c r="E41" s="20" t="s">
        <v>46</v>
      </c>
      <c r="F41" s="21">
        <f>IF(B41="","--",_xll.qlDayCounterYearFraction("30/360 (Bond Basis)",B41,D41))</f>
        <v>16</v>
      </c>
      <c r="G41" s="23">
        <v>0.91394103321567899</v>
      </c>
      <c r="H41" s="23">
        <v>0.56185540561115999</v>
      </c>
      <c r="I41" s="21">
        <f>IF(B41="","--",_xll.qlDayCounterYearFraction("Act/360",B41,D41))</f>
        <v>16.233333333333334</v>
      </c>
      <c r="J41" s="21">
        <v>0.55536781000000002</v>
      </c>
      <c r="K41" s="36" t="s">
        <v>31</v>
      </c>
      <c r="L41" s="30">
        <v>42640</v>
      </c>
      <c r="M41" s="32" t="s">
        <v>115</v>
      </c>
      <c r="N41" s="30">
        <v>46657</v>
      </c>
      <c r="O41" s="9"/>
      <c r="P41" s="9"/>
      <c r="Q41" s="9"/>
      <c r="R41" s="9"/>
      <c r="S41" s="12"/>
      <c r="T41" s="50"/>
      <c r="V41" s="64"/>
      <c r="W41" s="46" t="str">
        <f t="shared" si="0"/>
        <v>16Y</v>
      </c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8"/>
    </row>
    <row r="42" spans="1:83" x14ac:dyDescent="0.25">
      <c r="A42" s="17" t="s">
        <v>31</v>
      </c>
      <c r="B42" s="18">
        <v>42649</v>
      </c>
      <c r="C42" s="17" t="s">
        <v>32</v>
      </c>
      <c r="D42" s="18">
        <v>48858</v>
      </c>
      <c r="E42" s="20" t="s">
        <v>47</v>
      </c>
      <c r="F42" s="21">
        <f>IF(B42="","--",_xll.qlDayCounterYearFraction("30/360 (Bond Basis)",B42,D42))</f>
        <v>17</v>
      </c>
      <c r="G42" s="23">
        <v>0.90301106133412901</v>
      </c>
      <c r="H42" s="23">
        <v>0.59954071448659996</v>
      </c>
      <c r="I42" s="21">
        <f>IF(B42="","--",_xll.qlDayCounterYearFraction("Act/360",B42,D42))</f>
        <v>17.247222222222224</v>
      </c>
      <c r="J42" s="21">
        <v>0.59118702499999998</v>
      </c>
      <c r="K42" s="36" t="s">
        <v>31</v>
      </c>
      <c r="L42" s="30">
        <v>42640</v>
      </c>
      <c r="M42" s="32" t="s">
        <v>115</v>
      </c>
      <c r="N42" s="30">
        <v>47023</v>
      </c>
      <c r="O42" s="9"/>
      <c r="P42" s="9"/>
      <c r="Q42" s="9"/>
      <c r="R42" s="9"/>
      <c r="S42" s="12"/>
      <c r="T42" s="50"/>
      <c r="V42" s="64"/>
      <c r="W42" s="46" t="str">
        <f t="shared" si="0"/>
        <v>17Y</v>
      </c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8"/>
    </row>
    <row r="43" spans="1:83" x14ac:dyDescent="0.25">
      <c r="A43" s="17" t="s">
        <v>31</v>
      </c>
      <c r="B43" s="18">
        <v>42649</v>
      </c>
      <c r="C43" s="17" t="s">
        <v>32</v>
      </c>
      <c r="D43" s="18">
        <v>49223</v>
      </c>
      <c r="E43" s="20" t="s">
        <v>48</v>
      </c>
      <c r="F43" s="21">
        <f>IF(B43="","--",_xll.qlDayCounterYearFraction("30/360 (Bond Basis)",B43,D43))</f>
        <v>18</v>
      </c>
      <c r="G43" s="23">
        <v>0.89264231964462104</v>
      </c>
      <c r="H43" s="23">
        <v>0.63036497008562997</v>
      </c>
      <c r="I43" s="21">
        <f>IF(B43="","--",_xll.qlDayCounterYearFraction("Act/360",B43,D43))</f>
        <v>18.261111111111113</v>
      </c>
      <c r="J43" s="21">
        <v>0.62045239100000005</v>
      </c>
      <c r="K43" s="36" t="s">
        <v>31</v>
      </c>
      <c r="L43" s="30">
        <v>42640</v>
      </c>
      <c r="M43" s="32" t="s">
        <v>115</v>
      </c>
      <c r="N43" s="30">
        <v>47388</v>
      </c>
      <c r="O43" s="9"/>
      <c r="P43" s="9"/>
      <c r="Q43" s="9"/>
      <c r="R43" s="9"/>
      <c r="S43" s="12"/>
      <c r="T43" s="50"/>
      <c r="V43" s="64"/>
      <c r="W43" s="46" t="str">
        <f t="shared" si="0"/>
        <v>18Y</v>
      </c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8"/>
    </row>
    <row r="44" spans="1:83" x14ac:dyDescent="0.25">
      <c r="A44" s="17" t="s">
        <v>31</v>
      </c>
      <c r="B44" s="18">
        <v>42649</v>
      </c>
      <c r="C44" s="17" t="s">
        <v>32</v>
      </c>
      <c r="D44" s="18">
        <v>49590</v>
      </c>
      <c r="E44" s="20" t="s">
        <v>49</v>
      </c>
      <c r="F44" s="21">
        <f>IF(B44="","--",_xll.qlDayCounterYearFraction("30/360 (Bond Basis)",B44,D44))</f>
        <v>19.005555555555556</v>
      </c>
      <c r="G44" s="23">
        <v>0.88282185631557397</v>
      </c>
      <c r="H44" s="23">
        <v>0.65520126948093005</v>
      </c>
      <c r="I44" s="21">
        <f>IF(B44="","--",_xll.qlDayCounterYearFraction("Act/360",B44,D44))</f>
        <v>19.280555555555555</v>
      </c>
      <c r="J44" s="21">
        <v>0.64404549</v>
      </c>
      <c r="K44" s="36" t="s">
        <v>31</v>
      </c>
      <c r="L44" s="30">
        <v>42640</v>
      </c>
      <c r="M44" s="32" t="s">
        <v>115</v>
      </c>
      <c r="N44" s="30">
        <v>11228</v>
      </c>
      <c r="O44" s="9"/>
      <c r="P44" s="9"/>
      <c r="Q44" s="9"/>
      <c r="R44" s="9"/>
      <c r="S44" s="12"/>
      <c r="T44" s="50"/>
      <c r="V44" s="64"/>
      <c r="W44" s="46" t="str">
        <f t="shared" si="0"/>
        <v>19Y</v>
      </c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8"/>
    </row>
    <row r="45" spans="1:83" x14ac:dyDescent="0.25">
      <c r="A45" s="17" t="s">
        <v>31</v>
      </c>
      <c r="B45" s="18">
        <v>42649</v>
      </c>
      <c r="C45" s="17" t="s">
        <v>32</v>
      </c>
      <c r="D45" s="18">
        <v>49954</v>
      </c>
      <c r="E45" s="20" t="s">
        <v>50</v>
      </c>
      <c r="F45" s="21">
        <f>IF(B45="","--",_xll.qlDayCounterYearFraction("30/360 (Bond Basis)",B45,D45))</f>
        <v>20</v>
      </c>
      <c r="G45" s="23">
        <v>0.87359896716374597</v>
      </c>
      <c r="H45" s="23">
        <v>0.67502199997080103</v>
      </c>
      <c r="I45" s="21">
        <f>IF(B45="","--",_xll.qlDayCounterYearFraction("Act/360",B45,D45))</f>
        <v>20.291666666666668</v>
      </c>
      <c r="J45" s="21">
        <v>0.66300000000000003</v>
      </c>
      <c r="K45" s="36" t="s">
        <v>31</v>
      </c>
      <c r="L45" s="30">
        <v>42640</v>
      </c>
      <c r="M45" s="32" t="s">
        <v>115</v>
      </c>
      <c r="N45" s="30">
        <v>11595</v>
      </c>
      <c r="O45" s="9"/>
      <c r="P45" s="9"/>
      <c r="Q45" s="9"/>
      <c r="R45" s="9"/>
      <c r="S45" s="12"/>
      <c r="T45" s="50"/>
      <c r="V45" s="64"/>
      <c r="W45" s="46" t="str">
        <f t="shared" si="0"/>
        <v>20Y</v>
      </c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8"/>
    </row>
    <row r="46" spans="1:83" x14ac:dyDescent="0.25">
      <c r="A46" s="17" t="s">
        <v>31</v>
      </c>
      <c r="B46" s="18">
        <v>42649</v>
      </c>
      <c r="C46" s="17" t="s">
        <v>32</v>
      </c>
      <c r="D46" s="18">
        <v>50319</v>
      </c>
      <c r="E46" s="20" t="s">
        <v>51</v>
      </c>
      <c r="F46" s="21">
        <f>IF(B46="","--",_xll.qlDayCounterYearFraction("30/360 (Bond Basis)",B46,D46))</f>
        <v>21</v>
      </c>
      <c r="G46" s="23">
        <v>0.86492041073497905</v>
      </c>
      <c r="H46" s="23">
        <v>0.69040657264072103</v>
      </c>
      <c r="I46" s="21">
        <f>IF(B46="","--",_xll.qlDayCounterYearFraction("Act/360",B46,D46))</f>
        <v>21.305555555555557</v>
      </c>
      <c r="J46" s="21">
        <v>0.67772332700000004</v>
      </c>
      <c r="K46" s="36" t="s">
        <v>31</v>
      </c>
      <c r="L46" s="30">
        <v>42640</v>
      </c>
      <c r="M46" s="32" t="s">
        <v>115</v>
      </c>
      <c r="N46" s="30">
        <v>11959</v>
      </c>
      <c r="O46" s="9"/>
      <c r="P46" s="9"/>
      <c r="Q46" s="9"/>
      <c r="R46" s="9"/>
      <c r="S46" s="12"/>
      <c r="T46" s="50"/>
      <c r="V46" s="64"/>
      <c r="W46" s="46" t="str">
        <f t="shared" si="0"/>
        <v>21Y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8"/>
    </row>
    <row r="47" spans="1:83" x14ac:dyDescent="0.25">
      <c r="A47" s="17" t="s">
        <v>31</v>
      </c>
      <c r="B47" s="18">
        <v>42649</v>
      </c>
      <c r="C47" s="17" t="s">
        <v>32</v>
      </c>
      <c r="D47" s="18">
        <v>50684</v>
      </c>
      <c r="E47" s="20" t="s">
        <v>52</v>
      </c>
      <c r="F47" s="21">
        <f>IF(B47="","--",_xll.qlDayCounterYearFraction("30/360 (Bond Basis)",B47,D47))</f>
        <v>22</v>
      </c>
      <c r="G47" s="23">
        <v>0.85672816723691503</v>
      </c>
      <c r="H47" s="23">
        <v>0.70227236099213597</v>
      </c>
      <c r="I47" s="21">
        <f>IF(B47="","--",_xll.qlDayCounterYearFraction("Act/360",B47,D47))</f>
        <v>22.319444444444443</v>
      </c>
      <c r="J47" s="21">
        <v>0.68916945900000004</v>
      </c>
      <c r="K47" s="36" t="s">
        <v>31</v>
      </c>
      <c r="L47" s="30">
        <v>42640</v>
      </c>
      <c r="M47" s="32" t="s">
        <v>115</v>
      </c>
      <c r="N47" s="30">
        <v>12324</v>
      </c>
      <c r="O47" s="9"/>
      <c r="P47" s="9"/>
      <c r="Q47" s="9"/>
      <c r="R47" s="9"/>
      <c r="S47" s="9"/>
      <c r="T47" s="50"/>
      <c r="V47" s="64"/>
      <c r="W47" s="46" t="str">
        <f t="shared" si="0"/>
        <v>22Y</v>
      </c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8"/>
    </row>
    <row r="48" spans="1:83" x14ac:dyDescent="0.25">
      <c r="A48" s="17" t="s">
        <v>31</v>
      </c>
      <c r="B48" s="18">
        <v>42649</v>
      </c>
      <c r="C48" s="17" t="s">
        <v>32</v>
      </c>
      <c r="D48" s="18">
        <v>51049</v>
      </c>
      <c r="E48" s="20" t="s">
        <v>53</v>
      </c>
      <c r="F48" s="21">
        <f>IF(B48="","--",_xll.qlDayCounterYearFraction("30/360 (Bond Basis)",B48,D48))</f>
        <v>23</v>
      </c>
      <c r="G48" s="23">
        <v>0.84897734270400504</v>
      </c>
      <c r="H48" s="23">
        <v>0.71124511692456205</v>
      </c>
      <c r="I48" s="21">
        <f>IF(B48="","--",_xll.qlDayCounterYearFraction("Act/360",B48,D48))</f>
        <v>23.333333333333332</v>
      </c>
      <c r="J48" s="21">
        <v>0.69792949500000001</v>
      </c>
      <c r="K48" s="36" t="s">
        <v>31</v>
      </c>
      <c r="L48" s="30">
        <v>42640</v>
      </c>
      <c r="M48" s="32" t="s">
        <v>115</v>
      </c>
      <c r="N48" s="30">
        <v>12689</v>
      </c>
      <c r="O48" s="9"/>
      <c r="P48" s="9"/>
      <c r="Q48" s="9"/>
      <c r="R48" s="9"/>
      <c r="S48" s="9"/>
      <c r="T48" s="50"/>
      <c r="V48" s="64"/>
      <c r="W48" s="46" t="str">
        <f t="shared" si="0"/>
        <v>23Y</v>
      </c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8"/>
    </row>
    <row r="49" spans="1:83" x14ac:dyDescent="0.25">
      <c r="A49" s="17" t="s">
        <v>31</v>
      </c>
      <c r="B49" s="18">
        <v>42649</v>
      </c>
      <c r="C49" s="17" t="s">
        <v>32</v>
      </c>
      <c r="D49" s="18">
        <v>51417</v>
      </c>
      <c r="E49" s="20" t="s">
        <v>54</v>
      </c>
      <c r="F49" s="21">
        <f>IF(B49="","--",_xll.qlDayCounterYearFraction("30/360 (Bond Basis)",B49,D49))</f>
        <v>24.005555555555556</v>
      </c>
      <c r="G49" s="23">
        <v>0.841541663946761</v>
      </c>
      <c r="H49" s="23">
        <v>0.71801266356461602</v>
      </c>
      <c r="I49" s="21">
        <f>IF(B49="","--",_xll.qlDayCounterYearFraction("Act/360",B49,D49))</f>
        <v>24.355555555555554</v>
      </c>
      <c r="J49" s="21">
        <v>0.70471902900000005</v>
      </c>
      <c r="K49" s="36" t="s">
        <v>31</v>
      </c>
      <c r="L49" s="30">
        <v>42640</v>
      </c>
      <c r="M49" s="32" t="s">
        <v>115</v>
      </c>
      <c r="N49" s="30">
        <v>13054</v>
      </c>
      <c r="O49" s="9"/>
      <c r="P49" s="9"/>
      <c r="Q49" s="9"/>
      <c r="R49" s="9"/>
      <c r="S49" s="9"/>
      <c r="T49" s="50"/>
      <c r="V49" s="64"/>
      <c r="W49" s="46" t="str">
        <f t="shared" si="0"/>
        <v>24Y</v>
      </c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8"/>
    </row>
    <row r="50" spans="1:83" x14ac:dyDescent="0.25">
      <c r="A50" s="17" t="s">
        <v>31</v>
      </c>
      <c r="B50" s="18">
        <v>42649</v>
      </c>
      <c r="C50" s="17" t="s">
        <v>32</v>
      </c>
      <c r="D50" s="18">
        <v>51781</v>
      </c>
      <c r="E50" s="20" t="s">
        <v>55</v>
      </c>
      <c r="F50" s="21">
        <f>IF(B50="","--",_xll.qlDayCounterYearFraction("30/360 (Bond Basis)",B50,D50))</f>
        <v>25.002777777777776</v>
      </c>
      <c r="G50" s="23">
        <v>0.83444393572723197</v>
      </c>
      <c r="H50" s="23">
        <v>0.72324554675909403</v>
      </c>
      <c r="I50" s="21">
        <f>IF(B50="","--",_xll.qlDayCounterYearFraction("Act/360",B50,D50))</f>
        <v>25.366666666666667</v>
      </c>
      <c r="J50" s="21">
        <v>0.71</v>
      </c>
      <c r="K50" s="36" t="s">
        <v>31</v>
      </c>
      <c r="L50" s="30">
        <v>42640</v>
      </c>
      <c r="M50" s="32" t="s">
        <v>115</v>
      </c>
      <c r="N50" s="30">
        <v>13422</v>
      </c>
      <c r="O50" s="9"/>
      <c r="P50" s="9"/>
      <c r="Q50" s="9"/>
      <c r="R50" s="9"/>
      <c r="S50" s="12"/>
      <c r="T50" s="50"/>
      <c r="V50" s="64"/>
      <c r="W50" s="46" t="str">
        <f t="shared" si="0"/>
        <v>25Y</v>
      </c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8"/>
    </row>
    <row r="51" spans="1:83" x14ac:dyDescent="0.25">
      <c r="A51" s="17" t="s">
        <v>31</v>
      </c>
      <c r="B51" s="18">
        <v>42649</v>
      </c>
      <c r="C51" s="17" t="s">
        <v>32</v>
      </c>
      <c r="D51" s="18">
        <v>52145</v>
      </c>
      <c r="E51" s="20" t="s">
        <v>56</v>
      </c>
      <c r="F51" s="21">
        <f>IF(B51="","--",_xll.qlDayCounterYearFraction("30/360 (Bond Basis)",B51,D51))</f>
        <v>26</v>
      </c>
      <c r="G51" s="23">
        <v>0.82753775900869697</v>
      </c>
      <c r="H51" s="23">
        <v>0.72746576153646902</v>
      </c>
      <c r="I51" s="21">
        <f>IF(B51="","--",_xll.qlDayCounterYearFraction("Act/360",B51,D51))</f>
        <v>26.377777777777776</v>
      </c>
      <c r="J51" s="21">
        <v>0.71432978000000003</v>
      </c>
      <c r="K51" s="36" t="s">
        <v>31</v>
      </c>
      <c r="L51" s="30">
        <v>42640</v>
      </c>
      <c r="M51" s="32" t="s">
        <v>115</v>
      </c>
      <c r="N51" s="30">
        <v>13786</v>
      </c>
      <c r="O51" s="9"/>
      <c r="P51" s="9"/>
      <c r="Q51" s="9"/>
      <c r="R51" s="9"/>
      <c r="S51" s="12"/>
      <c r="T51" s="50"/>
      <c r="V51" s="64"/>
      <c r="W51" s="46" t="str">
        <f t="shared" si="0"/>
        <v>26Y</v>
      </c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8"/>
    </row>
    <row r="52" spans="1:83" x14ac:dyDescent="0.25">
      <c r="A52" s="17" t="s">
        <v>31</v>
      </c>
      <c r="B52" s="18">
        <v>42649</v>
      </c>
      <c r="C52" s="17" t="s">
        <v>32</v>
      </c>
      <c r="D52" s="18">
        <v>52510</v>
      </c>
      <c r="E52" s="20" t="s">
        <v>57</v>
      </c>
      <c r="F52" s="21">
        <f>IF(B52="","--",_xll.qlDayCounterYearFraction("30/360 (Bond Basis)",B52,D52))</f>
        <v>27</v>
      </c>
      <c r="G52" s="23">
        <v>0.82077827159167105</v>
      </c>
      <c r="H52" s="23">
        <v>0.73089659494235903</v>
      </c>
      <c r="I52" s="21">
        <f>IF(B52="","--",_xll.qlDayCounterYearFraction("Act/360",B52,D52))</f>
        <v>27.391666666666666</v>
      </c>
      <c r="J52" s="21">
        <v>0.71791600600000005</v>
      </c>
      <c r="K52" s="36" t="s">
        <v>31</v>
      </c>
      <c r="L52" s="30">
        <v>42640</v>
      </c>
      <c r="M52" s="32" t="s">
        <v>115</v>
      </c>
      <c r="N52" s="30">
        <v>14150</v>
      </c>
      <c r="O52" s="9"/>
      <c r="P52" s="9"/>
      <c r="Q52" s="9"/>
      <c r="R52" s="9"/>
      <c r="S52" s="12"/>
      <c r="T52" s="50"/>
      <c r="V52" s="64"/>
      <c r="W52" s="46" t="str">
        <f t="shared" si="0"/>
        <v>27Y</v>
      </c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8"/>
    </row>
    <row r="53" spans="1:83" x14ac:dyDescent="0.25">
      <c r="A53" s="17" t="s">
        <v>31</v>
      </c>
      <c r="B53" s="18">
        <v>42649</v>
      </c>
      <c r="C53" s="17" t="s">
        <v>32</v>
      </c>
      <c r="D53" s="18">
        <v>52876</v>
      </c>
      <c r="E53" s="20" t="s">
        <v>58</v>
      </c>
      <c r="F53" s="21">
        <f>IF(B53="","--",_xll.qlDayCounterYearFraction("30/360 (Bond Basis)",B53,D53))</f>
        <v>28</v>
      </c>
      <c r="G53" s="23">
        <v>0.81416151003538395</v>
      </c>
      <c r="H53" s="23">
        <v>0.73362722500061806</v>
      </c>
      <c r="I53" s="21">
        <f>IF(B53="","--",_xll.qlDayCounterYearFraction("Act/360",B53,D53))</f>
        <v>28.408333333333335</v>
      </c>
      <c r="J53" s="21">
        <v>0.72090666000000003</v>
      </c>
      <c r="K53" s="36" t="s">
        <v>31</v>
      </c>
      <c r="L53" s="30">
        <v>42640</v>
      </c>
      <c r="M53" s="32" t="s">
        <v>115</v>
      </c>
      <c r="N53" s="30">
        <v>14515</v>
      </c>
      <c r="O53" s="9"/>
      <c r="P53" s="9"/>
      <c r="Q53" s="9"/>
      <c r="R53" s="9"/>
      <c r="S53" s="9"/>
      <c r="T53" s="50"/>
      <c r="V53" s="64"/>
      <c r="W53" s="46" t="str">
        <f t="shared" si="0"/>
        <v>28Y</v>
      </c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8"/>
    </row>
    <row r="54" spans="1:83" x14ac:dyDescent="0.25">
      <c r="A54" s="17" t="s">
        <v>31</v>
      </c>
      <c r="B54" s="18">
        <v>42649</v>
      </c>
      <c r="C54" s="17" t="s">
        <v>32</v>
      </c>
      <c r="D54" s="18">
        <v>53241</v>
      </c>
      <c r="E54" s="20" t="s">
        <v>59</v>
      </c>
      <c r="F54" s="21">
        <f>IF(B54="","--",_xll.qlDayCounterYearFraction("30/360 (Bond Basis)",B54,D54))</f>
        <v>29</v>
      </c>
      <c r="G54" s="23">
        <v>0.80772295158899599</v>
      </c>
      <c r="H54" s="23">
        <v>0.73570604822208197</v>
      </c>
      <c r="I54" s="21">
        <f>IF(B54="","--",_xll.qlDayCounterYearFraction("Act/360",B54,D54))</f>
        <v>29.422222222222221</v>
      </c>
      <c r="J54" s="21">
        <v>0.72322007499999996</v>
      </c>
      <c r="K54" s="36" t="s">
        <v>31</v>
      </c>
      <c r="L54" s="30">
        <v>42640</v>
      </c>
      <c r="M54" s="32" t="s">
        <v>115</v>
      </c>
      <c r="N54" s="30">
        <v>14881</v>
      </c>
      <c r="O54" s="9"/>
      <c r="P54" s="9"/>
      <c r="Q54" s="9"/>
      <c r="R54" s="9"/>
      <c r="S54" s="9"/>
      <c r="T54" s="50"/>
      <c r="V54" s="64"/>
      <c r="W54" s="46" t="str">
        <f t="shared" si="0"/>
        <v>29Y</v>
      </c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8"/>
    </row>
    <row r="55" spans="1:83" x14ac:dyDescent="0.25">
      <c r="A55" s="17" t="s">
        <v>31</v>
      </c>
      <c r="B55" s="18">
        <v>42649</v>
      </c>
      <c r="C55" s="17" t="s">
        <v>32</v>
      </c>
      <c r="D55" s="18">
        <v>53608</v>
      </c>
      <c r="E55" s="20" t="s">
        <v>60</v>
      </c>
      <c r="F55" s="21">
        <f>IF(B55="","--",_xll.qlDayCounterYearFraction("30/360 (Bond Basis)",B55,D55))</f>
        <v>30.005555555555556</v>
      </c>
      <c r="G55" s="23">
        <v>0.80140668223740696</v>
      </c>
      <c r="H55" s="23">
        <v>0.73721522719308197</v>
      </c>
      <c r="I55" s="21">
        <f>IF(B55="","--",_xll.qlDayCounterYearFraction("Act/360",B55,D55))</f>
        <v>30.441666666666666</v>
      </c>
      <c r="J55" s="21">
        <v>0.72499999999999998</v>
      </c>
      <c r="K55" s="36" t="s">
        <v>31</v>
      </c>
      <c r="L55" s="30">
        <v>42640</v>
      </c>
      <c r="M55" s="32" t="s">
        <v>115</v>
      </c>
      <c r="N55" s="30">
        <v>15246</v>
      </c>
      <c r="O55" s="9"/>
      <c r="P55" s="9"/>
      <c r="Q55" s="9"/>
      <c r="R55" s="9"/>
      <c r="S55" s="9"/>
      <c r="T55" s="50"/>
      <c r="V55" s="64"/>
      <c r="W55" s="46" t="str">
        <f t="shared" si="0"/>
        <v>30Y</v>
      </c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8"/>
    </row>
    <row r="56" spans="1:83" x14ac:dyDescent="0.25">
      <c r="A56" s="17" t="s">
        <v>31</v>
      </c>
      <c r="B56" s="18">
        <v>42649</v>
      </c>
      <c r="C56" s="17" t="s">
        <v>32</v>
      </c>
      <c r="D56" s="18">
        <v>53972</v>
      </c>
      <c r="E56" s="20" t="s">
        <v>61</v>
      </c>
      <c r="F56" s="21">
        <f>IF(B56="","--",_xll.qlDayCounterYearFraction("30/360 (Bond Basis)",B56,D56))</f>
        <v>31.002777777777776</v>
      </c>
      <c r="G56" s="23">
        <v>0.79528730907284195</v>
      </c>
      <c r="H56" s="23">
        <v>0.73822445574047502</v>
      </c>
      <c r="I56" s="21">
        <f>IF(B56="","--",_xll.qlDayCounterYearFraction("Act/360",B56,D56))</f>
        <v>31.452777777777779</v>
      </c>
      <c r="J56" s="21">
        <v>0.72630908199999999</v>
      </c>
      <c r="K56" s="36" t="s">
        <v>31</v>
      </c>
      <c r="L56" s="30">
        <v>42640</v>
      </c>
      <c r="M56" s="32" t="s">
        <v>115</v>
      </c>
      <c r="N56" s="30">
        <v>15613</v>
      </c>
      <c r="O56" s="9"/>
      <c r="P56" s="9"/>
      <c r="Q56" s="9"/>
      <c r="R56" s="9"/>
      <c r="S56" s="12"/>
      <c r="T56" s="50"/>
      <c r="V56" s="64"/>
      <c r="W56" s="46" t="str">
        <f t="shared" si="0"/>
        <v>31Y</v>
      </c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8"/>
    </row>
    <row r="57" spans="1:83" x14ac:dyDescent="0.25">
      <c r="A57" s="17" t="s">
        <v>31</v>
      </c>
      <c r="B57" s="18">
        <v>42649</v>
      </c>
      <c r="C57" s="17" t="s">
        <v>32</v>
      </c>
      <c r="D57" s="18">
        <v>54337</v>
      </c>
      <c r="E57" s="20" t="s">
        <v>62</v>
      </c>
      <c r="F57" s="21">
        <f>IF(B57="","--",_xll.qlDayCounterYearFraction("30/360 (Bond Basis)",B57,D57))</f>
        <v>32</v>
      </c>
      <c r="G57" s="23">
        <v>0.78931200439460603</v>
      </c>
      <c r="H57" s="23">
        <v>0.73872251169294401</v>
      </c>
      <c r="I57" s="21">
        <f>IF(B57="","--",_xll.qlDayCounterYearFraction("Act/360",B57,D57))</f>
        <v>32.466666666666669</v>
      </c>
      <c r="J57" s="21">
        <v>0.72719992200000005</v>
      </c>
      <c r="K57" s="36" t="s">
        <v>31</v>
      </c>
      <c r="L57" s="30">
        <v>42640</v>
      </c>
      <c r="M57" s="32" t="s">
        <v>115</v>
      </c>
      <c r="N57" s="30">
        <v>15977</v>
      </c>
      <c r="O57" s="9"/>
      <c r="P57" s="9"/>
      <c r="Q57" s="9"/>
      <c r="R57" s="9"/>
      <c r="S57" s="12"/>
      <c r="T57" s="50"/>
      <c r="V57" s="64"/>
      <c r="W57" s="46" t="str">
        <f t="shared" si="0"/>
        <v>32Y</v>
      </c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8"/>
    </row>
    <row r="58" spans="1:83" x14ac:dyDescent="0.25">
      <c r="A58" s="17" t="s">
        <v>31</v>
      </c>
      <c r="B58" s="18">
        <v>42649</v>
      </c>
      <c r="C58" s="17" t="s">
        <v>32</v>
      </c>
      <c r="D58" s="18">
        <v>54702</v>
      </c>
      <c r="E58" s="20" t="s">
        <v>63</v>
      </c>
      <c r="F58" s="21">
        <f>IF(B58="","--",_xll.qlDayCounterYearFraction("30/360 (Bond Basis)",B58,D58))</f>
        <v>33</v>
      </c>
      <c r="G58" s="23">
        <v>0.78350386171092501</v>
      </c>
      <c r="H58" s="23">
        <v>0.73871787861593796</v>
      </c>
      <c r="I58" s="21">
        <f>IF(B58="","--",_xll.qlDayCounterYearFraction("Act/360",B58,D58))</f>
        <v>33.480555555555554</v>
      </c>
      <c r="J58" s="21">
        <v>0.72757019300000003</v>
      </c>
      <c r="K58" s="36" t="s">
        <v>31</v>
      </c>
      <c r="L58" s="30">
        <v>42640</v>
      </c>
      <c r="M58" s="32" t="s">
        <v>115</v>
      </c>
      <c r="N58" s="30">
        <v>16342</v>
      </c>
      <c r="O58" s="9"/>
      <c r="P58" s="9"/>
      <c r="Q58" s="9"/>
      <c r="R58" s="9"/>
      <c r="S58" s="9"/>
      <c r="T58" s="50"/>
      <c r="V58" s="64"/>
      <c r="W58" s="46" t="str">
        <f t="shared" si="0"/>
        <v>33Y</v>
      </c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8"/>
    </row>
    <row r="59" spans="1:83" x14ac:dyDescent="0.25">
      <c r="A59" s="17" t="s">
        <v>31</v>
      </c>
      <c r="B59" s="18">
        <v>42649</v>
      </c>
      <c r="C59" s="17" t="s">
        <v>32</v>
      </c>
      <c r="D59" s="18">
        <v>55067</v>
      </c>
      <c r="E59" s="20" t="s">
        <v>64</v>
      </c>
      <c r="F59" s="21">
        <f>IF(B59="","--",_xll.qlDayCounterYearFraction("30/360 (Bond Basis)",B59,D59))</f>
        <v>34</v>
      </c>
      <c r="G59" s="23">
        <v>0.77787373931147996</v>
      </c>
      <c r="H59" s="23">
        <v>0.73820238102660296</v>
      </c>
      <c r="I59" s="21">
        <f>IF(B59="","--",_xll.qlDayCounterYearFraction("Act/360",B59,D59))</f>
        <v>34.494444444444447</v>
      </c>
      <c r="J59" s="21">
        <v>0.727472491</v>
      </c>
      <c r="K59" s="36" t="s">
        <v>31</v>
      </c>
      <c r="L59" s="30">
        <v>42640</v>
      </c>
      <c r="M59" s="32" t="s">
        <v>115</v>
      </c>
      <c r="N59" s="30">
        <v>16707</v>
      </c>
      <c r="O59" s="9"/>
      <c r="P59" s="9"/>
      <c r="Q59" s="9"/>
      <c r="R59" s="9"/>
      <c r="S59" s="9"/>
      <c r="T59" s="50"/>
      <c r="V59" s="64"/>
      <c r="W59" s="46" t="str">
        <f t="shared" si="0"/>
        <v>34Y</v>
      </c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8"/>
    </row>
    <row r="60" spans="1:83" x14ac:dyDescent="0.25">
      <c r="A60" s="17" t="s">
        <v>31</v>
      </c>
      <c r="B60" s="18">
        <v>42649</v>
      </c>
      <c r="C60" s="17" t="s">
        <v>32</v>
      </c>
      <c r="D60" s="18">
        <v>55432</v>
      </c>
      <c r="E60" s="20" t="s">
        <v>65</v>
      </c>
      <c r="F60" s="21">
        <f>IF(B60="","--",_xll.qlDayCounterYearFraction("30/360 (Bond Basis)",B60,D60))</f>
        <v>35</v>
      </c>
      <c r="G60" s="23">
        <v>0.77243147932223299</v>
      </c>
      <c r="H60" s="23">
        <v>0.73717145505312398</v>
      </c>
      <c r="I60" s="21">
        <f>IF(B60="","--",_xll.qlDayCounterYearFraction("Act/360",B60,D60))</f>
        <v>35.508333333333333</v>
      </c>
      <c r="J60" s="21">
        <v>0.72690492200000001</v>
      </c>
      <c r="K60" s="36" t="s">
        <v>31</v>
      </c>
      <c r="L60" s="30">
        <v>42640</v>
      </c>
      <c r="M60" s="32" t="s">
        <v>115</v>
      </c>
      <c r="N60" s="30">
        <v>17072</v>
      </c>
      <c r="O60" s="9"/>
      <c r="P60" s="9"/>
      <c r="Q60" s="9"/>
      <c r="R60" s="9"/>
      <c r="S60" s="9"/>
      <c r="T60" s="50"/>
      <c r="V60" s="64"/>
      <c r="W60" s="46" t="str">
        <f t="shared" si="0"/>
        <v>35Y</v>
      </c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8"/>
    </row>
    <row r="61" spans="1:83" x14ac:dyDescent="0.25">
      <c r="A61" s="17" t="s">
        <v>31</v>
      </c>
      <c r="B61" s="18">
        <v>42649</v>
      </c>
      <c r="C61" s="17" t="s">
        <v>32</v>
      </c>
      <c r="D61" s="18">
        <v>55799</v>
      </c>
      <c r="E61" s="20" t="s">
        <v>66</v>
      </c>
      <c r="F61" s="21">
        <f>IF(B61="","--",_xll.qlDayCounterYearFraction("30/360 (Bond Basis)",B61,D61))</f>
        <v>36.00277777777778</v>
      </c>
      <c r="G61" s="23">
        <v>0.76716002152839502</v>
      </c>
      <c r="H61" s="23">
        <v>0.73560562058136503</v>
      </c>
      <c r="I61" s="21">
        <f>IF(B61="","--",_xll.qlDayCounterYearFraction("Act/360",B61,D61))</f>
        <v>36.527777777777779</v>
      </c>
      <c r="J61" s="21">
        <v>0.72590162700000005</v>
      </c>
      <c r="K61" s="36" t="s">
        <v>31</v>
      </c>
      <c r="L61" s="30">
        <v>42640</v>
      </c>
      <c r="M61" s="32" t="s">
        <v>115</v>
      </c>
      <c r="N61" s="30">
        <v>18898</v>
      </c>
      <c r="O61" s="9"/>
      <c r="P61" s="9"/>
      <c r="Q61" s="9"/>
      <c r="R61" s="9"/>
      <c r="S61" s="9"/>
      <c r="T61" s="50"/>
      <c r="V61" s="64"/>
      <c r="W61" s="46" t="str">
        <f t="shared" si="0"/>
        <v>36Y</v>
      </c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8"/>
    </row>
    <row r="62" spans="1:83" x14ac:dyDescent="0.25">
      <c r="A62" s="17" t="s">
        <v>31</v>
      </c>
      <c r="B62" s="18">
        <v>42649</v>
      </c>
      <c r="C62" s="17" t="s">
        <v>32</v>
      </c>
      <c r="D62" s="18">
        <v>56163</v>
      </c>
      <c r="E62" s="20" t="s">
        <v>67</v>
      </c>
      <c r="F62" s="21">
        <f>IF(B62="","--",_xll.qlDayCounterYearFraction("30/360 (Bond Basis)",B62,D62))</f>
        <v>37</v>
      </c>
      <c r="G62" s="23">
        <v>0.76213817118479699</v>
      </c>
      <c r="H62" s="23">
        <v>0.73353067211056</v>
      </c>
      <c r="I62" s="21">
        <f>IF(B62="","--",_xll.qlDayCounterYearFraction("Act/360",B62,D62))</f>
        <v>37.538888888888891</v>
      </c>
      <c r="J62" s="21">
        <v>0.72438773099999998</v>
      </c>
      <c r="K62" s="36" t="s">
        <v>31</v>
      </c>
      <c r="L62" s="30">
        <v>42640</v>
      </c>
      <c r="M62" s="32" t="s">
        <v>115</v>
      </c>
      <c r="N62" s="30">
        <v>20725</v>
      </c>
      <c r="O62" s="9"/>
      <c r="P62" s="9"/>
      <c r="Q62" s="9"/>
      <c r="R62" s="9"/>
      <c r="S62" s="9"/>
      <c r="T62" s="50"/>
      <c r="V62" s="64"/>
      <c r="W62" s="46" t="str">
        <f t="shared" si="0"/>
        <v>37Y</v>
      </c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8"/>
    </row>
    <row r="63" spans="1:83" x14ac:dyDescent="0.25">
      <c r="A63" s="17" t="s">
        <v>31</v>
      </c>
      <c r="B63" s="18">
        <v>42649</v>
      </c>
      <c r="C63" s="17" t="s">
        <v>32</v>
      </c>
      <c r="D63" s="18">
        <v>56528</v>
      </c>
      <c r="E63" s="20" t="s">
        <v>68</v>
      </c>
      <c r="F63" s="21">
        <f>IF(B63="","--",_xll.qlDayCounterYearFraction("30/360 (Bond Basis)",B63,D63))</f>
        <v>38</v>
      </c>
      <c r="G63" s="23">
        <v>0.75731796487521597</v>
      </c>
      <c r="H63" s="23">
        <v>0.730925794386867</v>
      </c>
      <c r="I63" s="21">
        <f>IF(B63="","--",_xll.qlDayCounterYearFraction("Act/360",B63,D63))</f>
        <v>38.552777777777777</v>
      </c>
      <c r="J63" s="21">
        <v>0.72239915200000004</v>
      </c>
      <c r="K63" s="36" t="s">
        <v>31</v>
      </c>
      <c r="L63" s="30">
        <v>42640</v>
      </c>
      <c r="M63" s="32" t="s">
        <v>115</v>
      </c>
      <c r="N63" s="30">
        <v>24377</v>
      </c>
      <c r="O63" s="9"/>
      <c r="P63" s="9"/>
      <c r="Q63" s="9"/>
      <c r="R63" s="9"/>
      <c r="S63" s="9"/>
      <c r="T63" s="50"/>
      <c r="V63" s="64"/>
      <c r="W63" s="46" t="str">
        <f t="shared" si="0"/>
        <v>38Y</v>
      </c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8"/>
    </row>
    <row r="64" spans="1:83" x14ac:dyDescent="0.25">
      <c r="A64" s="17" t="s">
        <v>31</v>
      </c>
      <c r="B64" s="18">
        <v>42649</v>
      </c>
      <c r="C64" s="17" t="s">
        <v>32</v>
      </c>
      <c r="D64" s="18">
        <v>56893</v>
      </c>
      <c r="E64" s="20" t="s">
        <v>69</v>
      </c>
      <c r="F64" s="21">
        <f>IF(B64="","--",_xll.qlDayCounterYearFraction("30/360 (Bond Basis)",B64,D64))</f>
        <v>39</v>
      </c>
      <c r="G64" s="23">
        <v>0.75272737207639895</v>
      </c>
      <c r="H64" s="23">
        <v>0.72777651924550701</v>
      </c>
      <c r="I64" s="21">
        <f>IF(B64="","--",_xll.qlDayCounterYearFraction("Act/360",B64,D64))</f>
        <v>39.56666666666667</v>
      </c>
      <c r="J64" s="21">
        <v>0.71992486200000005</v>
      </c>
      <c r="K64" s="36" t="s">
        <v>31</v>
      </c>
      <c r="L64" s="30">
        <v>42640</v>
      </c>
      <c r="M64" s="32" t="s">
        <v>115</v>
      </c>
      <c r="N64" s="30">
        <v>28031</v>
      </c>
      <c r="O64" s="9"/>
      <c r="P64" s="9"/>
      <c r="Q64" s="9"/>
      <c r="R64" s="9"/>
      <c r="S64" s="9"/>
      <c r="T64" s="50"/>
      <c r="V64" s="64"/>
      <c r="W64" s="46" t="str">
        <f t="shared" si="0"/>
        <v>39Y</v>
      </c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8"/>
    </row>
    <row r="65" spans="1:83" x14ac:dyDescent="0.25">
      <c r="A65" s="17" t="s">
        <v>31</v>
      </c>
      <c r="B65" s="18">
        <v>42649</v>
      </c>
      <c r="C65" s="17" t="s">
        <v>32</v>
      </c>
      <c r="D65" s="18">
        <v>57259</v>
      </c>
      <c r="E65" s="20" t="s">
        <v>70</v>
      </c>
      <c r="F65" s="21">
        <f>IF(B65="","--",_xll.qlDayCounterYearFraction("30/360 (Bond Basis)",B65,D65))</f>
        <v>40</v>
      </c>
      <c r="G65" s="23">
        <v>0.74836336804566395</v>
      </c>
      <c r="H65" s="23">
        <v>0.72407145479251001</v>
      </c>
      <c r="I65" s="21">
        <f>IF(B65="","--",_xll.qlDayCounterYearFraction("Act/360",B65,D65))</f>
        <v>40.583333333333336</v>
      </c>
      <c r="J65" s="21">
        <v>0.71699999999999997</v>
      </c>
      <c r="K65" s="36"/>
      <c r="L65" s="30"/>
      <c r="M65" s="32"/>
      <c r="N65" s="30"/>
      <c r="O65" s="9"/>
      <c r="P65" s="9"/>
      <c r="Q65" s="9"/>
      <c r="R65" s="9"/>
      <c r="S65" s="9"/>
      <c r="T65" s="50"/>
      <c r="V65" s="64"/>
      <c r="W65" s="46" t="str">
        <f t="shared" si="0"/>
        <v>40Y</v>
      </c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8"/>
    </row>
    <row r="66" spans="1:83" x14ac:dyDescent="0.25">
      <c r="A66" s="17" t="s">
        <v>31</v>
      </c>
      <c r="B66" s="18">
        <v>42649</v>
      </c>
      <c r="C66" s="17" t="s">
        <v>32</v>
      </c>
      <c r="D66" s="18">
        <v>60911</v>
      </c>
      <c r="E66" s="20" t="s">
        <v>71</v>
      </c>
      <c r="F66" s="21">
        <f>IF(B66="","--",_xll.qlDayCounterYearFraction("30/360 (Bond Basis)",B66,D66))</f>
        <v>50</v>
      </c>
      <c r="G66" s="23">
        <v>0.71426276808862799</v>
      </c>
      <c r="H66" s="23">
        <v>0.67249283870891796</v>
      </c>
      <c r="I66" s="21">
        <f>IF(B66="","--",_xll.qlDayCounterYearFraction("Act/360",B66,D66))</f>
        <v>50.727777777777774</v>
      </c>
      <c r="J66" s="21">
        <v>0.67400000000000004</v>
      </c>
      <c r="K66" s="36"/>
      <c r="L66" s="30"/>
      <c r="M66" s="32"/>
      <c r="N66" s="30"/>
      <c r="O66" s="9"/>
      <c r="P66" s="9"/>
      <c r="Q66" s="9"/>
      <c r="R66" s="9"/>
      <c r="S66" s="9"/>
      <c r="T66" s="50"/>
      <c r="V66" s="64"/>
      <c r="W66" s="46" t="str">
        <f t="shared" si="0"/>
        <v>50Y</v>
      </c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8"/>
    </row>
    <row r="67" spans="1:83" x14ac:dyDescent="0.25">
      <c r="A67" s="25" t="s">
        <v>31</v>
      </c>
      <c r="B67" s="26">
        <v>42649</v>
      </c>
      <c r="C67" s="25" t="s">
        <v>32</v>
      </c>
      <c r="D67" s="26">
        <v>64564</v>
      </c>
      <c r="E67" s="27" t="s">
        <v>72</v>
      </c>
      <c r="F67" s="28">
        <f>IF(B67="","--",_xll.qlDayCounterYearFraction("30/360 (Bond Basis)",B67,D67))</f>
        <v>60</v>
      </c>
      <c r="G67" s="29">
        <v>0.68205806211240605</v>
      </c>
      <c r="H67" s="29">
        <v>0.63723948871014302</v>
      </c>
      <c r="I67" s="21">
        <f>IF(B67="","--",_xll.qlDayCounterYearFraction("Act/360",B67,D67))</f>
        <v>60.875</v>
      </c>
      <c r="J67" s="21">
        <v>0.64400000000000002</v>
      </c>
      <c r="K67" s="37"/>
      <c r="L67" s="33"/>
      <c r="M67" s="33"/>
      <c r="N67" s="34"/>
      <c r="O67" s="9"/>
      <c r="P67" s="9"/>
      <c r="Q67" s="9"/>
      <c r="R67" s="9"/>
      <c r="S67" s="9"/>
      <c r="T67" s="51"/>
      <c r="V67" s="65"/>
      <c r="W67" s="48" t="str">
        <f t="shared" si="0"/>
        <v>60Y</v>
      </c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2"/>
    </row>
    <row r="68" spans="1:83" x14ac:dyDescent="0.25">
      <c r="I68" s="1"/>
      <c r="J68" s="78"/>
      <c r="Q68" s="9"/>
      <c r="R68" s="9"/>
    </row>
    <row r="71" spans="1:83" x14ac:dyDescent="0.25">
      <c r="B71">
        <v>42649</v>
      </c>
      <c r="C71">
        <v>42650</v>
      </c>
    </row>
    <row r="72" spans="1:83" x14ac:dyDescent="0.25">
      <c r="B72">
        <v>42649</v>
      </c>
      <c r="C72">
        <v>42656</v>
      </c>
    </row>
    <row r="73" spans="1:83" x14ac:dyDescent="0.25">
      <c r="B73">
        <v>42649</v>
      </c>
      <c r="C73">
        <v>42663</v>
      </c>
    </row>
    <row r="74" spans="1:83" x14ac:dyDescent="0.25">
      <c r="B74">
        <v>42649</v>
      </c>
      <c r="C74">
        <v>42670</v>
      </c>
    </row>
    <row r="75" spans="1:83" x14ac:dyDescent="0.25">
      <c r="B75">
        <v>42649</v>
      </c>
      <c r="C75">
        <v>42681</v>
      </c>
    </row>
    <row r="76" spans="1:83" x14ac:dyDescent="0.25">
      <c r="B76">
        <v>42649</v>
      </c>
      <c r="C76">
        <v>42710</v>
      </c>
    </row>
    <row r="77" spans="1:83" x14ac:dyDescent="0.25">
      <c r="B77">
        <v>42649</v>
      </c>
      <c r="C77">
        <v>42741</v>
      </c>
    </row>
    <row r="78" spans="1:83" x14ac:dyDescent="0.25">
      <c r="B78">
        <v>42681</v>
      </c>
      <c r="C78">
        <v>42772</v>
      </c>
    </row>
    <row r="79" spans="1:83" x14ac:dyDescent="0.25">
      <c r="B79">
        <v>42710</v>
      </c>
      <c r="C79">
        <v>42800</v>
      </c>
    </row>
    <row r="80" spans="1:83" x14ac:dyDescent="0.25">
      <c r="B80">
        <v>42741</v>
      </c>
      <c r="C80">
        <v>42831</v>
      </c>
    </row>
    <row r="81" spans="2:3" x14ac:dyDescent="0.25">
      <c r="B81">
        <v>42772</v>
      </c>
      <c r="C81">
        <v>42863</v>
      </c>
    </row>
    <row r="82" spans="2:3" x14ac:dyDescent="0.25">
      <c r="B82">
        <v>42800</v>
      </c>
      <c r="C82">
        <v>42892</v>
      </c>
    </row>
    <row r="83" spans="2:3" x14ac:dyDescent="0.25">
      <c r="B83">
        <v>42831</v>
      </c>
      <c r="C83">
        <v>42922</v>
      </c>
    </row>
    <row r="84" spans="2:3" x14ac:dyDescent="0.25">
      <c r="B84">
        <v>42863</v>
      </c>
      <c r="C84">
        <v>42954</v>
      </c>
    </row>
    <row r="85" spans="2:3" x14ac:dyDescent="0.25">
      <c r="B85">
        <v>42892</v>
      </c>
      <c r="C85">
        <v>42984</v>
      </c>
    </row>
    <row r="86" spans="2:3" x14ac:dyDescent="0.25">
      <c r="B86">
        <v>42922</v>
      </c>
      <c r="C86">
        <v>43014</v>
      </c>
    </row>
    <row r="87" spans="2:3" x14ac:dyDescent="0.25">
      <c r="B87">
        <v>42954</v>
      </c>
      <c r="C87">
        <v>43045</v>
      </c>
    </row>
    <row r="88" spans="2:3" x14ac:dyDescent="0.25">
      <c r="B88">
        <v>42984</v>
      </c>
      <c r="C88">
        <v>43075</v>
      </c>
    </row>
    <row r="89" spans="2:3" x14ac:dyDescent="0.25">
      <c r="B89">
        <v>43014</v>
      </c>
      <c r="C89">
        <v>43108</v>
      </c>
    </row>
    <row r="90" spans="2:3" x14ac:dyDescent="0.25">
      <c r="B90">
        <v>43089</v>
      </c>
      <c r="C90">
        <v>43179</v>
      </c>
    </row>
    <row r="91" spans="2:3" x14ac:dyDescent="0.25">
      <c r="B91">
        <v>43180</v>
      </c>
      <c r="C91">
        <v>43272</v>
      </c>
    </row>
    <row r="92" spans="2:3" x14ac:dyDescent="0.25">
      <c r="B92">
        <v>43271</v>
      </c>
      <c r="C92">
        <v>43363</v>
      </c>
    </row>
    <row r="93" spans="2:3" x14ac:dyDescent="0.25">
      <c r="B93">
        <v>43362</v>
      </c>
      <c r="C93">
        <v>43453</v>
      </c>
    </row>
    <row r="94" spans="2:3" x14ac:dyDescent="0.25">
      <c r="B94">
        <v>43453</v>
      </c>
      <c r="C94">
        <v>43543</v>
      </c>
    </row>
    <row r="95" spans="2:3" x14ac:dyDescent="0.25">
      <c r="B95">
        <v>43544</v>
      </c>
      <c r="C95">
        <v>43636</v>
      </c>
    </row>
    <row r="96" spans="2:3" x14ac:dyDescent="0.25">
      <c r="B96">
        <v>42649</v>
      </c>
      <c r="C96">
        <v>43745</v>
      </c>
    </row>
    <row r="97" spans="2:3" x14ac:dyDescent="0.25">
      <c r="B97">
        <v>42649</v>
      </c>
      <c r="C97">
        <v>44110</v>
      </c>
    </row>
    <row r="98" spans="2:3" x14ac:dyDescent="0.25">
      <c r="B98">
        <v>42649</v>
      </c>
      <c r="C98">
        <v>44475</v>
      </c>
    </row>
    <row r="99" spans="2:3" x14ac:dyDescent="0.25">
      <c r="B99">
        <v>42649</v>
      </c>
      <c r="C99">
        <v>44840</v>
      </c>
    </row>
    <row r="100" spans="2:3" x14ac:dyDescent="0.25">
      <c r="B100">
        <v>42649</v>
      </c>
      <c r="C100">
        <v>45205</v>
      </c>
    </row>
    <row r="101" spans="2:3" x14ac:dyDescent="0.25">
      <c r="B101">
        <v>42649</v>
      </c>
      <c r="C101">
        <v>45572</v>
      </c>
    </row>
    <row r="102" spans="2:3" x14ac:dyDescent="0.25">
      <c r="B102">
        <v>42649</v>
      </c>
      <c r="C102">
        <v>45936</v>
      </c>
    </row>
    <row r="103" spans="2:3" x14ac:dyDescent="0.25">
      <c r="B103">
        <v>42649</v>
      </c>
      <c r="C103">
        <v>46301</v>
      </c>
    </row>
    <row r="104" spans="2:3" x14ac:dyDescent="0.25">
      <c r="B104">
        <v>42649</v>
      </c>
      <c r="C104">
        <v>46666</v>
      </c>
    </row>
    <row r="105" spans="2:3" x14ac:dyDescent="0.25">
      <c r="B105">
        <v>42649</v>
      </c>
      <c r="C105">
        <v>47032</v>
      </c>
    </row>
    <row r="106" spans="2:3" x14ac:dyDescent="0.25">
      <c r="B106">
        <v>42649</v>
      </c>
      <c r="C106">
        <v>47399</v>
      </c>
    </row>
    <row r="107" spans="2:3" x14ac:dyDescent="0.25">
      <c r="B107">
        <v>42649</v>
      </c>
      <c r="C107">
        <v>47763</v>
      </c>
    </row>
    <row r="108" spans="2:3" x14ac:dyDescent="0.25">
      <c r="B108">
        <v>42649</v>
      </c>
      <c r="C108">
        <v>48127</v>
      </c>
    </row>
    <row r="109" spans="2:3" x14ac:dyDescent="0.25">
      <c r="B109">
        <v>42649</v>
      </c>
      <c r="C109">
        <v>48493</v>
      </c>
    </row>
    <row r="110" spans="2:3" x14ac:dyDescent="0.25">
      <c r="B110">
        <v>42649</v>
      </c>
      <c r="C110">
        <v>48858</v>
      </c>
    </row>
    <row r="111" spans="2:3" x14ac:dyDescent="0.25">
      <c r="B111">
        <v>42649</v>
      </c>
      <c r="C111">
        <v>49223</v>
      </c>
    </row>
    <row r="112" spans="2:3" x14ac:dyDescent="0.25">
      <c r="B112">
        <v>42649</v>
      </c>
      <c r="C112">
        <v>49590</v>
      </c>
    </row>
    <row r="113" spans="2:3" x14ac:dyDescent="0.25">
      <c r="B113">
        <v>42649</v>
      </c>
      <c r="C113">
        <v>49954</v>
      </c>
    </row>
    <row r="114" spans="2:3" x14ac:dyDescent="0.25">
      <c r="B114">
        <v>42649</v>
      </c>
      <c r="C114">
        <v>50319</v>
      </c>
    </row>
    <row r="115" spans="2:3" x14ac:dyDescent="0.25">
      <c r="B115">
        <v>42649</v>
      </c>
      <c r="C115">
        <v>50684</v>
      </c>
    </row>
    <row r="116" spans="2:3" x14ac:dyDescent="0.25">
      <c r="B116">
        <v>42649</v>
      </c>
      <c r="C116">
        <v>51049</v>
      </c>
    </row>
    <row r="117" spans="2:3" x14ac:dyDescent="0.25">
      <c r="B117">
        <v>42649</v>
      </c>
      <c r="C117">
        <v>51417</v>
      </c>
    </row>
    <row r="118" spans="2:3" x14ac:dyDescent="0.25">
      <c r="B118">
        <v>42649</v>
      </c>
      <c r="C118">
        <v>51781</v>
      </c>
    </row>
    <row r="119" spans="2:3" x14ac:dyDescent="0.25">
      <c r="B119">
        <v>42649</v>
      </c>
      <c r="C119">
        <v>52145</v>
      </c>
    </row>
    <row r="120" spans="2:3" x14ac:dyDescent="0.25">
      <c r="B120">
        <v>42649</v>
      </c>
      <c r="C120">
        <v>52510</v>
      </c>
    </row>
    <row r="121" spans="2:3" x14ac:dyDescent="0.25">
      <c r="B121">
        <v>42649</v>
      </c>
      <c r="C121">
        <v>52876</v>
      </c>
    </row>
    <row r="122" spans="2:3" x14ac:dyDescent="0.25">
      <c r="B122">
        <v>42649</v>
      </c>
      <c r="C122">
        <v>53241</v>
      </c>
    </row>
    <row r="123" spans="2:3" x14ac:dyDescent="0.25">
      <c r="B123">
        <v>42649</v>
      </c>
      <c r="C123">
        <v>53608</v>
      </c>
    </row>
    <row r="124" spans="2:3" x14ac:dyDescent="0.25">
      <c r="B124">
        <v>42649</v>
      </c>
      <c r="C124">
        <v>53972</v>
      </c>
    </row>
    <row r="125" spans="2:3" x14ac:dyDescent="0.25">
      <c r="B125">
        <v>42649</v>
      </c>
      <c r="C125">
        <v>54337</v>
      </c>
    </row>
    <row r="126" spans="2:3" x14ac:dyDescent="0.25">
      <c r="B126">
        <v>42649</v>
      </c>
      <c r="C126">
        <v>54702</v>
      </c>
    </row>
    <row r="127" spans="2:3" x14ac:dyDescent="0.25">
      <c r="B127">
        <v>42649</v>
      </c>
      <c r="C127">
        <v>55067</v>
      </c>
    </row>
    <row r="128" spans="2:3" x14ac:dyDescent="0.25">
      <c r="B128">
        <v>42649</v>
      </c>
      <c r="C128">
        <v>55432</v>
      </c>
    </row>
    <row r="129" spans="2:3" x14ac:dyDescent="0.25">
      <c r="B129">
        <v>42649</v>
      </c>
      <c r="C129">
        <v>55799</v>
      </c>
    </row>
    <row r="130" spans="2:3" x14ac:dyDescent="0.25">
      <c r="B130">
        <v>42649</v>
      </c>
      <c r="C130">
        <v>56163</v>
      </c>
    </row>
    <row r="131" spans="2:3" x14ac:dyDescent="0.25">
      <c r="B131">
        <v>42649</v>
      </c>
      <c r="C131">
        <v>56528</v>
      </c>
    </row>
    <row r="132" spans="2:3" x14ac:dyDescent="0.25">
      <c r="B132">
        <v>42649</v>
      </c>
      <c r="C132">
        <v>56893</v>
      </c>
    </row>
    <row r="133" spans="2:3" x14ac:dyDescent="0.25">
      <c r="B133">
        <v>42649</v>
      </c>
      <c r="C133">
        <v>57259</v>
      </c>
    </row>
    <row r="134" spans="2:3" x14ac:dyDescent="0.25">
      <c r="B134">
        <v>42649</v>
      </c>
      <c r="C134">
        <v>60911</v>
      </c>
    </row>
    <row r="135" spans="2:3" x14ac:dyDescent="0.25">
      <c r="B135">
        <v>42649</v>
      </c>
      <c r="C135">
        <v>64564</v>
      </c>
    </row>
  </sheetData>
  <mergeCells count="5">
    <mergeCell ref="V3:V67"/>
    <mergeCell ref="V2:W2"/>
    <mergeCell ref="V1:CE1"/>
    <mergeCell ref="K1:N1"/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6"/>
  <sheetViews>
    <sheetView workbookViewId="0">
      <selection activeCell="O17" sqref="O17"/>
    </sheetView>
  </sheetViews>
  <sheetFormatPr defaultRowHeight="15" x14ac:dyDescent="0.25"/>
  <cols>
    <col min="2" max="2" width="10.7109375" bestFit="1" customWidth="1"/>
    <col min="3" max="3" width="19.140625" bestFit="1" customWidth="1"/>
    <col min="4" max="4" width="10.7109375" style="5" bestFit="1" customWidth="1"/>
    <col min="8" max="8" width="10.7109375" bestFit="1" customWidth="1"/>
    <col min="9" max="9" width="17.85546875" bestFit="1" customWidth="1"/>
    <col min="10" max="10" width="10.7109375" style="5" bestFit="1" customWidth="1"/>
  </cols>
  <sheetData>
    <row r="1" spans="1:12" x14ac:dyDescent="0.25">
      <c r="A1" t="s">
        <v>0</v>
      </c>
      <c r="B1" t="s">
        <v>1</v>
      </c>
      <c r="C1" t="s">
        <v>113</v>
      </c>
      <c r="D1" s="5" t="s">
        <v>110</v>
      </c>
      <c r="E1" t="s">
        <v>110</v>
      </c>
      <c r="G1" t="s">
        <v>0</v>
      </c>
      <c r="H1" t="s">
        <v>1</v>
      </c>
      <c r="I1" t="s">
        <v>113</v>
      </c>
      <c r="J1" s="5" t="s">
        <v>110</v>
      </c>
      <c r="K1" t="s">
        <v>110</v>
      </c>
    </row>
    <row r="2" spans="1:12" x14ac:dyDescent="0.25">
      <c r="A2" t="s">
        <v>4</v>
      </c>
      <c r="B2" s="4">
        <v>42640</v>
      </c>
      <c r="C2" t="s">
        <v>5</v>
      </c>
      <c r="D2" s="6">
        <v>42641</v>
      </c>
      <c r="E2" t="s">
        <v>6</v>
      </c>
      <c r="G2" t="s">
        <v>10</v>
      </c>
      <c r="H2" s="4">
        <v>42640</v>
      </c>
      <c r="I2" t="s">
        <v>114</v>
      </c>
      <c r="J2" s="6">
        <v>42641</v>
      </c>
      <c r="K2" t="s">
        <v>6</v>
      </c>
      <c r="L2">
        <f>D2-J2</f>
        <v>0</v>
      </c>
    </row>
    <row r="3" spans="1:12" x14ac:dyDescent="0.25">
      <c r="A3" t="s">
        <v>4</v>
      </c>
      <c r="B3" s="4">
        <v>42640</v>
      </c>
      <c r="C3" t="s">
        <v>5</v>
      </c>
      <c r="D3" s="6">
        <v>42647</v>
      </c>
      <c r="E3" t="s">
        <v>7</v>
      </c>
      <c r="G3" t="s">
        <v>31</v>
      </c>
      <c r="H3" s="4">
        <v>42640</v>
      </c>
      <c r="I3" t="s">
        <v>115</v>
      </c>
      <c r="J3" s="6">
        <v>42647</v>
      </c>
      <c r="K3" t="s">
        <v>7</v>
      </c>
      <c r="L3">
        <f t="shared" ref="L3:L8" si="0">D3-J3</f>
        <v>0</v>
      </c>
    </row>
    <row r="4" spans="1:12" x14ac:dyDescent="0.25">
      <c r="A4" t="s">
        <v>4</v>
      </c>
      <c r="B4" s="4">
        <v>42640</v>
      </c>
      <c r="C4" t="s">
        <v>5</v>
      </c>
      <c r="D4" s="6">
        <v>42654</v>
      </c>
      <c r="E4" t="s">
        <v>8</v>
      </c>
      <c r="G4" t="s">
        <v>31</v>
      </c>
      <c r="H4" s="4">
        <v>42640</v>
      </c>
      <c r="I4" t="s">
        <v>115</v>
      </c>
      <c r="J4" s="6">
        <v>42654</v>
      </c>
      <c r="K4" t="s">
        <v>8</v>
      </c>
      <c r="L4">
        <f t="shared" si="0"/>
        <v>0</v>
      </c>
    </row>
    <row r="5" spans="1:12" x14ac:dyDescent="0.25">
      <c r="A5" t="s">
        <v>4</v>
      </c>
      <c r="B5" s="4">
        <v>42640</v>
      </c>
      <c r="C5" t="s">
        <v>5</v>
      </c>
      <c r="D5" s="6">
        <v>42661</v>
      </c>
      <c r="E5" t="s">
        <v>9</v>
      </c>
      <c r="G5" t="s">
        <v>31</v>
      </c>
      <c r="H5" s="4">
        <v>42640</v>
      </c>
      <c r="I5" t="s">
        <v>115</v>
      </c>
      <c r="J5" s="6">
        <v>42661</v>
      </c>
      <c r="K5" t="s">
        <v>9</v>
      </c>
      <c r="L5">
        <f t="shared" si="0"/>
        <v>0</v>
      </c>
    </row>
    <row r="6" spans="1:12" x14ac:dyDescent="0.25">
      <c r="A6" t="s">
        <v>10</v>
      </c>
      <c r="B6" s="4">
        <v>42640</v>
      </c>
      <c r="C6" t="s">
        <v>11</v>
      </c>
      <c r="D6" s="6">
        <v>42670</v>
      </c>
      <c r="E6" t="s">
        <v>12</v>
      </c>
      <c r="G6" t="s">
        <v>31</v>
      </c>
      <c r="H6" s="4">
        <v>42640</v>
      </c>
      <c r="I6" t="s">
        <v>115</v>
      </c>
      <c r="J6" s="6">
        <v>42670</v>
      </c>
      <c r="K6" t="s">
        <v>12</v>
      </c>
      <c r="L6">
        <f t="shared" si="0"/>
        <v>0</v>
      </c>
    </row>
    <row r="7" spans="1:12" x14ac:dyDescent="0.25">
      <c r="A7" t="s">
        <v>10</v>
      </c>
      <c r="B7" s="4">
        <v>42640</v>
      </c>
      <c r="C7" t="s">
        <v>11</v>
      </c>
      <c r="D7" s="6">
        <v>42702</v>
      </c>
      <c r="E7" t="s">
        <v>13</v>
      </c>
      <c r="G7" t="s">
        <v>31</v>
      </c>
      <c r="H7" s="4">
        <v>42640</v>
      </c>
      <c r="I7" t="s">
        <v>115</v>
      </c>
      <c r="J7" s="6">
        <v>42702</v>
      </c>
      <c r="K7" t="s">
        <v>13</v>
      </c>
      <c r="L7">
        <f t="shared" si="0"/>
        <v>0</v>
      </c>
    </row>
    <row r="8" spans="1:12" x14ac:dyDescent="0.25">
      <c r="A8" t="s">
        <v>10</v>
      </c>
      <c r="B8" s="4">
        <v>42640</v>
      </c>
      <c r="C8" t="s">
        <v>11</v>
      </c>
      <c r="D8" s="6">
        <v>42731</v>
      </c>
      <c r="E8" t="s">
        <v>14</v>
      </c>
      <c r="G8" t="s">
        <v>31</v>
      </c>
      <c r="H8" s="4">
        <v>42640</v>
      </c>
      <c r="I8" t="s">
        <v>115</v>
      </c>
      <c r="J8" s="6">
        <v>42731</v>
      </c>
      <c r="K8" t="s">
        <v>14</v>
      </c>
      <c r="L8">
        <f t="shared" si="0"/>
        <v>0</v>
      </c>
    </row>
    <row r="9" spans="1:12" x14ac:dyDescent="0.25">
      <c r="A9" t="s">
        <v>15</v>
      </c>
      <c r="B9" s="4">
        <v>42670</v>
      </c>
      <c r="C9" t="s">
        <v>16</v>
      </c>
      <c r="D9" s="6">
        <v>42762</v>
      </c>
      <c r="E9" t="s">
        <v>17</v>
      </c>
      <c r="G9" t="s">
        <v>31</v>
      </c>
      <c r="H9" s="4">
        <v>42640</v>
      </c>
      <c r="I9" t="s">
        <v>115</v>
      </c>
      <c r="J9" s="6">
        <v>42762</v>
      </c>
      <c r="K9" t="s">
        <v>73</v>
      </c>
      <c r="L9">
        <f>D9-J9</f>
        <v>0</v>
      </c>
    </row>
    <row r="10" spans="1:12" x14ac:dyDescent="0.25">
      <c r="A10" t="s">
        <v>15</v>
      </c>
      <c r="B10" s="4">
        <v>42702</v>
      </c>
      <c r="C10" t="s">
        <v>16</v>
      </c>
      <c r="D10" s="6">
        <v>42793</v>
      </c>
      <c r="E10" t="s">
        <v>18</v>
      </c>
      <c r="G10" t="s">
        <v>31</v>
      </c>
      <c r="H10" s="4">
        <v>42640</v>
      </c>
      <c r="I10" t="s">
        <v>115</v>
      </c>
      <c r="J10" s="6">
        <v>42793</v>
      </c>
      <c r="K10" t="s">
        <v>74</v>
      </c>
      <c r="L10">
        <f>D10-J10</f>
        <v>0</v>
      </c>
    </row>
    <row r="11" spans="1:12" x14ac:dyDescent="0.25">
      <c r="A11" t="s">
        <v>15</v>
      </c>
      <c r="B11" s="4">
        <v>42731</v>
      </c>
      <c r="C11" t="s">
        <v>16</v>
      </c>
      <c r="D11" s="6">
        <v>42821</v>
      </c>
      <c r="E11" t="s">
        <v>19</v>
      </c>
      <c r="G11" t="s">
        <v>31</v>
      </c>
      <c r="H11" s="4">
        <v>42640</v>
      </c>
      <c r="I11" t="s">
        <v>115</v>
      </c>
      <c r="J11" s="6">
        <v>42821</v>
      </c>
      <c r="K11" t="s">
        <v>75</v>
      </c>
      <c r="L11">
        <f>D11-J11</f>
        <v>0</v>
      </c>
    </row>
    <row r="12" spans="1:12" x14ac:dyDescent="0.25">
      <c r="A12" t="s">
        <v>15</v>
      </c>
      <c r="B12" s="4">
        <v>42762</v>
      </c>
      <c r="C12" t="s">
        <v>16</v>
      </c>
      <c r="D12" s="6">
        <v>42852</v>
      </c>
      <c r="E12" t="s">
        <v>20</v>
      </c>
      <c r="G12" t="s">
        <v>31</v>
      </c>
      <c r="H12" s="4">
        <v>42640</v>
      </c>
      <c r="I12" t="s">
        <v>115</v>
      </c>
      <c r="J12" s="6">
        <v>42852</v>
      </c>
      <c r="K12" t="s">
        <v>76</v>
      </c>
      <c r="L12">
        <f t="shared" ref="L12:L54" si="1">D12-J12</f>
        <v>0</v>
      </c>
    </row>
    <row r="13" spans="1:12" x14ac:dyDescent="0.25">
      <c r="A13" t="s">
        <v>15</v>
      </c>
      <c r="B13" s="4">
        <v>42793</v>
      </c>
      <c r="C13" t="s">
        <v>16</v>
      </c>
      <c r="D13" s="6">
        <v>42884</v>
      </c>
      <c r="E13" t="s">
        <v>21</v>
      </c>
      <c r="G13" t="s">
        <v>31</v>
      </c>
      <c r="H13" s="4">
        <v>42640</v>
      </c>
      <c r="I13" t="s">
        <v>115</v>
      </c>
      <c r="J13" s="6">
        <v>42884</v>
      </c>
      <c r="K13" t="s">
        <v>77</v>
      </c>
      <c r="L13">
        <f t="shared" si="1"/>
        <v>0</v>
      </c>
    </row>
    <row r="14" spans="1:12" x14ac:dyDescent="0.25">
      <c r="A14" t="s">
        <v>15</v>
      </c>
      <c r="B14" s="4">
        <v>42821</v>
      </c>
      <c r="C14" t="s">
        <v>16</v>
      </c>
      <c r="D14" s="6">
        <v>42913</v>
      </c>
      <c r="E14" t="s">
        <v>24</v>
      </c>
      <c r="G14" t="s">
        <v>31</v>
      </c>
      <c r="H14" s="4">
        <v>42640</v>
      </c>
      <c r="I14" t="s">
        <v>115</v>
      </c>
      <c r="J14" s="6">
        <v>42913</v>
      </c>
      <c r="K14" t="s">
        <v>78</v>
      </c>
      <c r="L14">
        <f t="shared" si="1"/>
        <v>0</v>
      </c>
    </row>
    <row r="15" spans="1:12" x14ac:dyDescent="0.25">
      <c r="A15" t="s">
        <v>15</v>
      </c>
      <c r="B15" s="4">
        <v>42852</v>
      </c>
      <c r="C15" t="s">
        <v>16</v>
      </c>
      <c r="D15" s="6">
        <v>42943</v>
      </c>
      <c r="E15" t="s">
        <v>25</v>
      </c>
      <c r="G15" t="s">
        <v>31</v>
      </c>
      <c r="H15" s="4">
        <v>42640</v>
      </c>
      <c r="I15" t="s">
        <v>115</v>
      </c>
      <c r="J15" s="6">
        <v>42943</v>
      </c>
      <c r="K15" t="s">
        <v>79</v>
      </c>
      <c r="L15">
        <f t="shared" si="1"/>
        <v>0</v>
      </c>
    </row>
    <row r="16" spans="1:12" x14ac:dyDescent="0.25">
      <c r="A16" t="s">
        <v>15</v>
      </c>
      <c r="B16" s="4">
        <v>42884</v>
      </c>
      <c r="C16" t="s">
        <v>16</v>
      </c>
      <c r="D16" s="6">
        <v>42975</v>
      </c>
      <c r="E16" t="s">
        <v>26</v>
      </c>
      <c r="G16" t="s">
        <v>31</v>
      </c>
      <c r="H16" s="4">
        <v>42640</v>
      </c>
      <c r="I16" t="s">
        <v>115</v>
      </c>
      <c r="J16" s="6">
        <v>42975</v>
      </c>
      <c r="K16" t="s">
        <v>80</v>
      </c>
      <c r="L16">
        <f t="shared" si="1"/>
        <v>0</v>
      </c>
    </row>
    <row r="17" spans="1:12" x14ac:dyDescent="0.25">
      <c r="A17" t="s">
        <v>15</v>
      </c>
      <c r="B17" s="4">
        <v>42913</v>
      </c>
      <c r="C17" t="s">
        <v>16</v>
      </c>
      <c r="D17" s="6">
        <v>43005</v>
      </c>
      <c r="E17" t="s">
        <v>27</v>
      </c>
      <c r="G17" t="s">
        <v>31</v>
      </c>
      <c r="H17" s="4">
        <v>42640</v>
      </c>
      <c r="I17" t="s">
        <v>115</v>
      </c>
      <c r="J17" s="6">
        <v>43005</v>
      </c>
      <c r="K17" t="s">
        <v>81</v>
      </c>
      <c r="L17">
        <f t="shared" si="1"/>
        <v>0</v>
      </c>
    </row>
    <row r="18" spans="1:12" x14ac:dyDescent="0.25">
      <c r="A18" t="s">
        <v>15</v>
      </c>
      <c r="B18" s="4">
        <v>42943</v>
      </c>
      <c r="C18" t="s">
        <v>16</v>
      </c>
      <c r="D18" s="6">
        <v>43035</v>
      </c>
      <c r="E18" t="s">
        <v>28</v>
      </c>
      <c r="G18" t="s">
        <v>31</v>
      </c>
      <c r="H18" s="4">
        <v>42640</v>
      </c>
      <c r="I18" t="s">
        <v>115</v>
      </c>
      <c r="J18" s="6">
        <v>43035</v>
      </c>
      <c r="K18" t="s">
        <v>82</v>
      </c>
      <c r="L18">
        <f t="shared" si="1"/>
        <v>0</v>
      </c>
    </row>
    <row r="19" spans="1:12" x14ac:dyDescent="0.25">
      <c r="A19" t="s">
        <v>15</v>
      </c>
      <c r="B19" s="4">
        <v>42975</v>
      </c>
      <c r="C19" t="s">
        <v>16</v>
      </c>
      <c r="D19" s="6">
        <v>43066</v>
      </c>
      <c r="E19" t="s">
        <v>29</v>
      </c>
      <c r="G19" t="s">
        <v>31</v>
      </c>
      <c r="H19" s="4">
        <v>42640</v>
      </c>
      <c r="I19" t="s">
        <v>115</v>
      </c>
      <c r="J19" s="6">
        <v>43066</v>
      </c>
      <c r="K19" t="s">
        <v>83</v>
      </c>
      <c r="L19">
        <f t="shared" si="1"/>
        <v>0</v>
      </c>
    </row>
    <row r="20" spans="1:12" x14ac:dyDescent="0.25">
      <c r="A20" t="s">
        <v>15</v>
      </c>
      <c r="B20" s="4">
        <v>43005</v>
      </c>
      <c r="C20" t="s">
        <v>16</v>
      </c>
      <c r="D20" s="6">
        <v>43096</v>
      </c>
      <c r="E20" t="s">
        <v>30</v>
      </c>
      <c r="G20" t="s">
        <v>31</v>
      </c>
      <c r="H20" s="4">
        <v>42640</v>
      </c>
      <c r="I20" t="s">
        <v>115</v>
      </c>
      <c r="J20" s="6">
        <v>43096</v>
      </c>
      <c r="K20" t="s">
        <v>84</v>
      </c>
      <c r="L20">
        <f t="shared" si="1"/>
        <v>0</v>
      </c>
    </row>
    <row r="21" spans="1:12" x14ac:dyDescent="0.25">
      <c r="A21" t="s">
        <v>22</v>
      </c>
      <c r="B21" s="4">
        <v>43089</v>
      </c>
      <c r="C21" t="s">
        <v>23</v>
      </c>
      <c r="D21" s="6">
        <v>43179</v>
      </c>
      <c r="E21" s="3">
        <v>43070</v>
      </c>
      <c r="G21" t="s">
        <v>31</v>
      </c>
      <c r="H21" s="4">
        <v>42640</v>
      </c>
      <c r="I21" t="s">
        <v>115</v>
      </c>
      <c r="J21" s="6">
        <v>43129</v>
      </c>
      <c r="K21" t="s">
        <v>85</v>
      </c>
    </row>
    <row r="22" spans="1:12" x14ac:dyDescent="0.25">
      <c r="A22" t="s">
        <v>22</v>
      </c>
      <c r="B22" s="4">
        <v>43180</v>
      </c>
      <c r="C22" t="s">
        <v>23</v>
      </c>
      <c r="D22" s="6">
        <v>43272</v>
      </c>
      <c r="E22" s="3">
        <v>43160</v>
      </c>
      <c r="G22" t="s">
        <v>31</v>
      </c>
      <c r="H22" s="4">
        <v>42640</v>
      </c>
      <c r="I22" t="s">
        <v>115</v>
      </c>
      <c r="J22" s="6">
        <v>43158</v>
      </c>
      <c r="K22" t="s">
        <v>86</v>
      </c>
    </row>
    <row r="23" spans="1:12" x14ac:dyDescent="0.25">
      <c r="A23" t="s">
        <v>22</v>
      </c>
      <c r="B23" s="4">
        <v>43271</v>
      </c>
      <c r="C23" t="s">
        <v>23</v>
      </c>
      <c r="D23" s="6">
        <v>43363</v>
      </c>
      <c r="E23" s="3">
        <v>43252</v>
      </c>
      <c r="G23" t="s">
        <v>31</v>
      </c>
      <c r="H23" s="4">
        <v>42640</v>
      </c>
      <c r="I23" t="s">
        <v>115</v>
      </c>
      <c r="J23" s="6">
        <v>43186</v>
      </c>
      <c r="K23" t="s">
        <v>87</v>
      </c>
    </row>
    <row r="24" spans="1:12" x14ac:dyDescent="0.25">
      <c r="A24" t="s">
        <v>22</v>
      </c>
      <c r="B24" s="4">
        <v>43362</v>
      </c>
      <c r="C24" t="s">
        <v>23</v>
      </c>
      <c r="D24" s="6">
        <v>43453</v>
      </c>
      <c r="E24" s="3">
        <v>43344</v>
      </c>
      <c r="G24" t="s">
        <v>31</v>
      </c>
      <c r="H24" s="4">
        <v>42640</v>
      </c>
      <c r="I24" t="s">
        <v>115</v>
      </c>
      <c r="J24" s="6">
        <v>43217</v>
      </c>
      <c r="K24" t="s">
        <v>88</v>
      </c>
    </row>
    <row r="25" spans="1:12" x14ac:dyDescent="0.25">
      <c r="A25" t="s">
        <v>22</v>
      </c>
      <c r="B25" s="4">
        <v>43453</v>
      </c>
      <c r="C25" t="s">
        <v>23</v>
      </c>
      <c r="D25" s="6">
        <v>43543</v>
      </c>
      <c r="E25" s="3">
        <v>43435</v>
      </c>
      <c r="G25" t="s">
        <v>31</v>
      </c>
      <c r="H25" s="4">
        <v>42640</v>
      </c>
      <c r="I25" t="s">
        <v>115</v>
      </c>
      <c r="J25" s="6">
        <v>43248</v>
      </c>
      <c r="K25" t="s">
        <v>89</v>
      </c>
    </row>
    <row r="26" spans="1:12" x14ac:dyDescent="0.25">
      <c r="A26" t="s">
        <v>22</v>
      </c>
      <c r="B26" s="4">
        <v>43544</v>
      </c>
      <c r="C26" t="s">
        <v>23</v>
      </c>
      <c r="D26" s="6">
        <v>43636</v>
      </c>
      <c r="E26" s="3">
        <v>43525</v>
      </c>
      <c r="G26" t="s">
        <v>31</v>
      </c>
      <c r="H26" s="4">
        <v>42640</v>
      </c>
      <c r="I26" t="s">
        <v>115</v>
      </c>
      <c r="J26" s="6">
        <v>43278</v>
      </c>
      <c r="K26" t="s">
        <v>90</v>
      </c>
    </row>
    <row r="27" spans="1:12" x14ac:dyDescent="0.25">
      <c r="A27" t="s">
        <v>31</v>
      </c>
      <c r="B27" s="4">
        <v>42640</v>
      </c>
      <c r="C27" t="s">
        <v>32</v>
      </c>
      <c r="D27" s="6">
        <v>43735</v>
      </c>
      <c r="E27" t="s">
        <v>33</v>
      </c>
      <c r="G27" t="s">
        <v>31</v>
      </c>
      <c r="H27" s="4">
        <v>42640</v>
      </c>
      <c r="I27" t="s">
        <v>115</v>
      </c>
      <c r="J27" s="6">
        <v>43735</v>
      </c>
      <c r="K27" t="s">
        <v>33</v>
      </c>
      <c r="L27">
        <f t="shared" si="1"/>
        <v>0</v>
      </c>
    </row>
    <row r="28" spans="1:12" x14ac:dyDescent="0.25">
      <c r="A28" t="s">
        <v>31</v>
      </c>
      <c r="B28" s="4">
        <v>42640</v>
      </c>
      <c r="C28" t="s">
        <v>32</v>
      </c>
      <c r="D28" s="6">
        <v>44102</v>
      </c>
      <c r="E28" t="s">
        <v>34</v>
      </c>
      <c r="G28" t="s">
        <v>31</v>
      </c>
      <c r="H28" s="4">
        <v>42640</v>
      </c>
      <c r="I28" t="s">
        <v>115</v>
      </c>
      <c r="J28" s="6">
        <v>44102</v>
      </c>
      <c r="K28" t="s">
        <v>34</v>
      </c>
      <c r="L28">
        <f t="shared" si="1"/>
        <v>0</v>
      </c>
    </row>
    <row r="29" spans="1:12" x14ac:dyDescent="0.25">
      <c r="A29" t="s">
        <v>31</v>
      </c>
      <c r="B29" s="4">
        <v>42640</v>
      </c>
      <c r="C29" t="s">
        <v>32</v>
      </c>
      <c r="D29" s="6">
        <v>44466</v>
      </c>
      <c r="E29" t="s">
        <v>35</v>
      </c>
      <c r="G29" t="s">
        <v>31</v>
      </c>
      <c r="H29" s="4">
        <v>42640</v>
      </c>
      <c r="I29" t="s">
        <v>115</v>
      </c>
      <c r="J29" s="6">
        <v>44466</v>
      </c>
      <c r="K29" t="s">
        <v>35</v>
      </c>
      <c r="L29">
        <f t="shared" si="1"/>
        <v>0</v>
      </c>
    </row>
    <row r="30" spans="1:12" x14ac:dyDescent="0.25">
      <c r="A30" t="s">
        <v>31</v>
      </c>
      <c r="B30" s="4">
        <v>42640</v>
      </c>
      <c r="C30" t="s">
        <v>32</v>
      </c>
      <c r="D30" s="6">
        <v>44831</v>
      </c>
      <c r="E30" t="s">
        <v>36</v>
      </c>
      <c r="G30" t="s">
        <v>31</v>
      </c>
      <c r="H30" s="4">
        <v>42640</v>
      </c>
      <c r="I30" t="s">
        <v>115</v>
      </c>
      <c r="J30" s="6">
        <v>44831</v>
      </c>
      <c r="K30" t="s">
        <v>36</v>
      </c>
      <c r="L30">
        <f t="shared" si="1"/>
        <v>0</v>
      </c>
    </row>
    <row r="31" spans="1:12" x14ac:dyDescent="0.25">
      <c r="A31" t="s">
        <v>31</v>
      </c>
      <c r="B31" s="4">
        <v>42640</v>
      </c>
      <c r="C31" t="s">
        <v>32</v>
      </c>
      <c r="D31" s="6">
        <v>45196</v>
      </c>
      <c r="E31" t="s">
        <v>37</v>
      </c>
      <c r="G31" t="s">
        <v>31</v>
      </c>
      <c r="H31" s="4">
        <v>42640</v>
      </c>
      <c r="I31" t="s">
        <v>115</v>
      </c>
      <c r="J31" s="6">
        <v>45196</v>
      </c>
      <c r="K31" t="s">
        <v>37</v>
      </c>
      <c r="L31">
        <f t="shared" si="1"/>
        <v>0</v>
      </c>
    </row>
    <row r="32" spans="1:12" x14ac:dyDescent="0.25">
      <c r="A32" t="s">
        <v>31</v>
      </c>
      <c r="B32" s="4">
        <v>42640</v>
      </c>
      <c r="C32" t="s">
        <v>32</v>
      </c>
      <c r="D32" s="6">
        <v>45562</v>
      </c>
      <c r="E32" t="s">
        <v>38</v>
      </c>
      <c r="G32" t="s">
        <v>31</v>
      </c>
      <c r="H32" s="4">
        <v>42640</v>
      </c>
      <c r="I32" t="s">
        <v>115</v>
      </c>
      <c r="J32" s="6">
        <v>45562</v>
      </c>
      <c r="K32" t="s">
        <v>38</v>
      </c>
      <c r="L32">
        <f t="shared" si="1"/>
        <v>0</v>
      </c>
    </row>
    <row r="33" spans="1:12" x14ac:dyDescent="0.25">
      <c r="A33" t="s">
        <v>31</v>
      </c>
      <c r="B33" s="4">
        <v>42640</v>
      </c>
      <c r="C33" t="s">
        <v>32</v>
      </c>
      <c r="D33" s="6">
        <v>45929</v>
      </c>
      <c r="E33" t="s">
        <v>39</v>
      </c>
      <c r="G33" t="s">
        <v>31</v>
      </c>
      <c r="H33" s="4">
        <v>42640</v>
      </c>
      <c r="I33" t="s">
        <v>115</v>
      </c>
      <c r="J33" s="6">
        <v>45929</v>
      </c>
      <c r="K33" t="s">
        <v>39</v>
      </c>
      <c r="L33">
        <f t="shared" si="1"/>
        <v>0</v>
      </c>
    </row>
    <row r="34" spans="1:12" x14ac:dyDescent="0.25">
      <c r="A34" t="s">
        <v>31</v>
      </c>
      <c r="B34" s="4">
        <v>42640</v>
      </c>
      <c r="C34" t="s">
        <v>32</v>
      </c>
      <c r="D34" s="6">
        <v>46293</v>
      </c>
      <c r="E34" t="s">
        <v>40</v>
      </c>
      <c r="G34" t="s">
        <v>31</v>
      </c>
      <c r="H34" s="4">
        <v>42640</v>
      </c>
      <c r="I34" t="s">
        <v>115</v>
      </c>
      <c r="J34" s="6">
        <v>46293</v>
      </c>
      <c r="K34" t="s">
        <v>40</v>
      </c>
      <c r="L34">
        <f t="shared" si="1"/>
        <v>0</v>
      </c>
    </row>
    <row r="35" spans="1:12" x14ac:dyDescent="0.25">
      <c r="A35" t="s">
        <v>31</v>
      </c>
      <c r="B35" s="4">
        <v>42640</v>
      </c>
      <c r="C35" t="s">
        <v>32</v>
      </c>
      <c r="D35" s="6">
        <v>46657</v>
      </c>
      <c r="E35" t="s">
        <v>41</v>
      </c>
      <c r="G35" t="s">
        <v>31</v>
      </c>
      <c r="H35" s="4">
        <v>42640</v>
      </c>
      <c r="I35" t="s">
        <v>115</v>
      </c>
      <c r="J35" s="6">
        <v>46657</v>
      </c>
      <c r="K35" t="s">
        <v>41</v>
      </c>
      <c r="L35">
        <f t="shared" si="1"/>
        <v>0</v>
      </c>
    </row>
    <row r="36" spans="1:12" x14ac:dyDescent="0.25">
      <c r="A36" t="s">
        <v>31</v>
      </c>
      <c r="B36" s="4">
        <v>42640</v>
      </c>
      <c r="C36" t="s">
        <v>32</v>
      </c>
      <c r="D36" s="6">
        <v>47023</v>
      </c>
      <c r="E36" t="s">
        <v>42</v>
      </c>
      <c r="G36" t="s">
        <v>31</v>
      </c>
      <c r="H36" s="4">
        <v>42640</v>
      </c>
      <c r="I36" t="s">
        <v>115</v>
      </c>
      <c r="J36" s="6">
        <v>47023</v>
      </c>
      <c r="K36" t="s">
        <v>42</v>
      </c>
      <c r="L36">
        <f t="shared" si="1"/>
        <v>0</v>
      </c>
    </row>
    <row r="37" spans="1:12" x14ac:dyDescent="0.25">
      <c r="A37" t="s">
        <v>31</v>
      </c>
      <c r="B37" s="4">
        <v>42640</v>
      </c>
      <c r="C37" t="s">
        <v>32</v>
      </c>
      <c r="D37" s="6">
        <v>47388</v>
      </c>
      <c r="E37" t="s">
        <v>43</v>
      </c>
      <c r="G37" t="s">
        <v>31</v>
      </c>
      <c r="H37" s="4">
        <v>42640</v>
      </c>
      <c r="I37" t="s">
        <v>115</v>
      </c>
      <c r="J37" s="6">
        <v>47388</v>
      </c>
      <c r="K37" t="s">
        <v>43</v>
      </c>
      <c r="L37">
        <f t="shared" si="1"/>
        <v>0</v>
      </c>
    </row>
    <row r="38" spans="1:12" x14ac:dyDescent="0.25">
      <c r="A38" t="s">
        <v>31</v>
      </c>
      <c r="B38" s="4">
        <v>42640</v>
      </c>
      <c r="C38" t="s">
        <v>32</v>
      </c>
      <c r="D38" s="6">
        <v>47753</v>
      </c>
      <c r="E38" t="s">
        <v>44</v>
      </c>
      <c r="G38" t="s">
        <v>31</v>
      </c>
      <c r="H38" s="4">
        <v>42640</v>
      </c>
      <c r="I38" t="s">
        <v>115</v>
      </c>
      <c r="J38" s="6">
        <v>47753</v>
      </c>
      <c r="K38" t="s">
        <v>44</v>
      </c>
      <c r="L38">
        <f t="shared" si="1"/>
        <v>0</v>
      </c>
    </row>
    <row r="39" spans="1:12" x14ac:dyDescent="0.25">
      <c r="A39" t="s">
        <v>31</v>
      </c>
      <c r="B39" s="4">
        <v>42640</v>
      </c>
      <c r="C39" t="s">
        <v>32</v>
      </c>
      <c r="D39" s="6">
        <v>48120</v>
      </c>
      <c r="E39" t="s">
        <v>45</v>
      </c>
      <c r="G39" t="s">
        <v>31</v>
      </c>
      <c r="H39" s="4">
        <v>42640</v>
      </c>
      <c r="I39" t="s">
        <v>115</v>
      </c>
      <c r="J39" s="6">
        <v>48120</v>
      </c>
      <c r="K39" t="s">
        <v>45</v>
      </c>
      <c r="L39">
        <f t="shared" si="1"/>
        <v>0</v>
      </c>
    </row>
    <row r="40" spans="1:12" x14ac:dyDescent="0.25">
      <c r="A40" t="s">
        <v>31</v>
      </c>
      <c r="B40" s="4">
        <v>42640</v>
      </c>
      <c r="C40" t="s">
        <v>32</v>
      </c>
      <c r="D40" s="6">
        <v>48484</v>
      </c>
      <c r="E40" t="s">
        <v>46</v>
      </c>
      <c r="G40" t="s">
        <v>31</v>
      </c>
      <c r="H40" s="4">
        <v>42640</v>
      </c>
      <c r="I40" t="s">
        <v>115</v>
      </c>
      <c r="J40" s="6">
        <v>48484</v>
      </c>
      <c r="K40" t="s">
        <v>46</v>
      </c>
      <c r="L40">
        <f t="shared" si="1"/>
        <v>0</v>
      </c>
    </row>
    <row r="41" spans="1:12" x14ac:dyDescent="0.25">
      <c r="A41" t="s">
        <v>31</v>
      </c>
      <c r="B41" s="4">
        <v>42640</v>
      </c>
      <c r="C41" t="s">
        <v>32</v>
      </c>
      <c r="D41" s="6">
        <v>48849</v>
      </c>
      <c r="E41" t="s">
        <v>47</v>
      </c>
      <c r="G41" t="s">
        <v>31</v>
      </c>
      <c r="H41" s="4">
        <v>42640</v>
      </c>
      <c r="I41" t="s">
        <v>115</v>
      </c>
      <c r="J41" s="6">
        <v>48849</v>
      </c>
      <c r="K41" t="s">
        <v>47</v>
      </c>
      <c r="L41">
        <f t="shared" si="1"/>
        <v>0</v>
      </c>
    </row>
    <row r="42" spans="1:12" x14ac:dyDescent="0.25">
      <c r="A42" t="s">
        <v>31</v>
      </c>
      <c r="B42" s="4">
        <v>42640</v>
      </c>
      <c r="C42" t="s">
        <v>32</v>
      </c>
      <c r="D42" s="6">
        <v>49214</v>
      </c>
      <c r="E42" t="s">
        <v>48</v>
      </c>
      <c r="G42" t="s">
        <v>31</v>
      </c>
      <c r="H42" s="4">
        <v>42640</v>
      </c>
      <c r="I42" t="s">
        <v>115</v>
      </c>
      <c r="J42" s="6">
        <v>49214</v>
      </c>
      <c r="K42" t="s">
        <v>48</v>
      </c>
      <c r="L42">
        <f t="shared" si="1"/>
        <v>0</v>
      </c>
    </row>
    <row r="43" spans="1:12" x14ac:dyDescent="0.25">
      <c r="A43" t="s">
        <v>31</v>
      </c>
      <c r="B43" s="4">
        <v>42640</v>
      </c>
      <c r="C43" t="s">
        <v>32</v>
      </c>
      <c r="D43" s="6">
        <v>49579</v>
      </c>
      <c r="E43" t="s">
        <v>49</v>
      </c>
      <c r="G43" t="s">
        <v>31</v>
      </c>
      <c r="H43" s="4">
        <v>42640</v>
      </c>
      <c r="I43" t="s">
        <v>115</v>
      </c>
      <c r="J43" s="6">
        <v>49579</v>
      </c>
      <c r="K43" t="s">
        <v>49</v>
      </c>
      <c r="L43">
        <f t="shared" si="1"/>
        <v>0</v>
      </c>
    </row>
    <row r="44" spans="1:12" x14ac:dyDescent="0.25">
      <c r="A44" t="s">
        <v>31</v>
      </c>
      <c r="B44" s="4">
        <v>42640</v>
      </c>
      <c r="C44" t="s">
        <v>32</v>
      </c>
      <c r="D44" s="6">
        <v>49947</v>
      </c>
      <c r="E44" t="s">
        <v>50</v>
      </c>
      <c r="G44" t="s">
        <v>31</v>
      </c>
      <c r="H44" s="4">
        <v>42640</v>
      </c>
      <c r="I44" t="s">
        <v>115</v>
      </c>
      <c r="J44" s="6">
        <v>49947</v>
      </c>
      <c r="K44" t="s">
        <v>50</v>
      </c>
      <c r="L44">
        <f t="shared" si="1"/>
        <v>0</v>
      </c>
    </row>
    <row r="45" spans="1:12" x14ac:dyDescent="0.25">
      <c r="A45" t="s">
        <v>31</v>
      </c>
      <c r="B45" s="4">
        <v>42640</v>
      </c>
      <c r="C45" t="s">
        <v>32</v>
      </c>
      <c r="D45" s="6">
        <v>50311</v>
      </c>
      <c r="E45" t="s">
        <v>51</v>
      </c>
      <c r="G45" t="s">
        <v>31</v>
      </c>
      <c r="H45" s="4">
        <v>42640</v>
      </c>
      <c r="I45" t="s">
        <v>115</v>
      </c>
      <c r="J45" s="6">
        <v>50311</v>
      </c>
      <c r="K45" t="s">
        <v>51</v>
      </c>
      <c r="L45">
        <f t="shared" si="1"/>
        <v>0</v>
      </c>
    </row>
    <row r="46" spans="1:12" x14ac:dyDescent="0.25">
      <c r="A46" t="s">
        <v>31</v>
      </c>
      <c r="B46" s="4">
        <v>42640</v>
      </c>
      <c r="C46" t="s">
        <v>32</v>
      </c>
      <c r="D46" s="6">
        <v>50675</v>
      </c>
      <c r="E46" t="s">
        <v>52</v>
      </c>
      <c r="G46" t="s">
        <v>31</v>
      </c>
      <c r="H46" s="4">
        <v>42640</v>
      </c>
      <c r="I46" t="s">
        <v>115</v>
      </c>
      <c r="J46" s="6">
        <v>50675</v>
      </c>
      <c r="K46" t="s">
        <v>52</v>
      </c>
      <c r="L46">
        <f t="shared" si="1"/>
        <v>0</v>
      </c>
    </row>
    <row r="47" spans="1:12" x14ac:dyDescent="0.25">
      <c r="A47" t="s">
        <v>31</v>
      </c>
      <c r="B47" s="4">
        <v>42640</v>
      </c>
      <c r="C47" t="s">
        <v>32</v>
      </c>
      <c r="D47" s="6">
        <v>51040</v>
      </c>
      <c r="E47" t="s">
        <v>53</v>
      </c>
      <c r="G47" t="s">
        <v>31</v>
      </c>
      <c r="H47" s="4">
        <v>42640</v>
      </c>
      <c r="I47" t="s">
        <v>115</v>
      </c>
      <c r="J47" s="6">
        <v>51040</v>
      </c>
      <c r="K47" t="s">
        <v>53</v>
      </c>
      <c r="L47">
        <f t="shared" si="1"/>
        <v>0</v>
      </c>
    </row>
    <row r="48" spans="1:12" x14ac:dyDescent="0.25">
      <c r="A48" t="s">
        <v>31</v>
      </c>
      <c r="B48" s="4">
        <v>42640</v>
      </c>
      <c r="C48" t="s">
        <v>32</v>
      </c>
      <c r="D48" s="6">
        <v>51406</v>
      </c>
      <c r="E48" t="s">
        <v>54</v>
      </c>
      <c r="G48" t="s">
        <v>31</v>
      </c>
      <c r="H48" s="4">
        <v>42640</v>
      </c>
      <c r="I48" t="s">
        <v>115</v>
      </c>
      <c r="J48" s="6">
        <v>51406</v>
      </c>
      <c r="K48" t="s">
        <v>54</v>
      </c>
      <c r="L48">
        <f t="shared" si="1"/>
        <v>0</v>
      </c>
    </row>
    <row r="49" spans="1:12" x14ac:dyDescent="0.25">
      <c r="A49" t="s">
        <v>31</v>
      </c>
      <c r="B49" s="4">
        <v>42640</v>
      </c>
      <c r="C49" t="s">
        <v>32</v>
      </c>
      <c r="D49" s="6">
        <v>51771</v>
      </c>
      <c r="E49" t="s">
        <v>55</v>
      </c>
      <c r="G49" t="s">
        <v>31</v>
      </c>
      <c r="H49" s="4">
        <v>42640</v>
      </c>
      <c r="I49" t="s">
        <v>115</v>
      </c>
      <c r="J49" s="6">
        <v>51771</v>
      </c>
      <c r="K49" t="s">
        <v>55</v>
      </c>
      <c r="L49">
        <f t="shared" si="1"/>
        <v>0</v>
      </c>
    </row>
    <row r="50" spans="1:12" x14ac:dyDescent="0.25">
      <c r="A50" t="s">
        <v>31</v>
      </c>
      <c r="B50" s="4">
        <v>42640</v>
      </c>
      <c r="C50" t="s">
        <v>32</v>
      </c>
      <c r="D50" s="6">
        <v>52138</v>
      </c>
      <c r="E50" t="s">
        <v>56</v>
      </c>
      <c r="G50" t="s">
        <v>31</v>
      </c>
      <c r="H50" s="4">
        <v>42640</v>
      </c>
      <c r="I50" t="s">
        <v>115</v>
      </c>
      <c r="J50" s="6">
        <v>52138</v>
      </c>
      <c r="K50" t="s">
        <v>56</v>
      </c>
      <c r="L50">
        <f t="shared" si="1"/>
        <v>0</v>
      </c>
    </row>
    <row r="51" spans="1:12" x14ac:dyDescent="0.25">
      <c r="A51" t="s">
        <v>31</v>
      </c>
      <c r="B51" s="4">
        <v>42640</v>
      </c>
      <c r="C51" t="s">
        <v>32</v>
      </c>
      <c r="D51" s="6">
        <v>52502</v>
      </c>
      <c r="E51" t="s">
        <v>57</v>
      </c>
      <c r="G51" t="s">
        <v>31</v>
      </c>
      <c r="H51" s="4">
        <v>42640</v>
      </c>
      <c r="I51" t="s">
        <v>115</v>
      </c>
      <c r="J51" s="6">
        <v>52502</v>
      </c>
      <c r="K51" t="s">
        <v>57</v>
      </c>
      <c r="L51">
        <f t="shared" si="1"/>
        <v>0</v>
      </c>
    </row>
    <row r="52" spans="1:12" x14ac:dyDescent="0.25">
      <c r="A52" t="s">
        <v>31</v>
      </c>
      <c r="B52" s="4">
        <v>42640</v>
      </c>
      <c r="C52" t="s">
        <v>32</v>
      </c>
      <c r="D52" s="6">
        <v>52867</v>
      </c>
      <c r="E52" t="s">
        <v>58</v>
      </c>
      <c r="G52" t="s">
        <v>31</v>
      </c>
      <c r="H52" s="4">
        <v>42640</v>
      </c>
      <c r="I52" t="s">
        <v>115</v>
      </c>
      <c r="J52" s="6">
        <v>52867</v>
      </c>
      <c r="K52" t="s">
        <v>58</v>
      </c>
      <c r="L52">
        <f t="shared" si="1"/>
        <v>0</v>
      </c>
    </row>
    <row r="53" spans="1:12" x14ac:dyDescent="0.25">
      <c r="A53" t="s">
        <v>31</v>
      </c>
      <c r="B53" s="4">
        <v>42640</v>
      </c>
      <c r="C53" t="s">
        <v>32</v>
      </c>
      <c r="D53" s="6">
        <v>53232</v>
      </c>
      <c r="E53" t="s">
        <v>59</v>
      </c>
      <c r="G53" t="s">
        <v>31</v>
      </c>
      <c r="H53" s="4">
        <v>42640</v>
      </c>
      <c r="I53" t="s">
        <v>115</v>
      </c>
      <c r="J53" s="6">
        <v>53232</v>
      </c>
      <c r="K53" t="s">
        <v>59</v>
      </c>
      <c r="L53">
        <f t="shared" si="1"/>
        <v>0</v>
      </c>
    </row>
    <row r="54" spans="1:12" x14ac:dyDescent="0.25">
      <c r="A54" t="s">
        <v>31</v>
      </c>
      <c r="B54" s="4">
        <v>42640</v>
      </c>
      <c r="C54" t="s">
        <v>32</v>
      </c>
      <c r="D54" s="6">
        <v>53597</v>
      </c>
      <c r="E54" t="s">
        <v>60</v>
      </c>
      <c r="G54" t="s">
        <v>31</v>
      </c>
      <c r="H54" s="4">
        <v>42640</v>
      </c>
      <c r="I54" t="s">
        <v>115</v>
      </c>
      <c r="J54" s="6">
        <v>53597</v>
      </c>
      <c r="K54" t="s">
        <v>60</v>
      </c>
      <c r="L54">
        <f t="shared" si="1"/>
        <v>0</v>
      </c>
    </row>
    <row r="55" spans="1:12" x14ac:dyDescent="0.25">
      <c r="A55" t="s">
        <v>31</v>
      </c>
      <c r="B55" s="4">
        <v>42640</v>
      </c>
      <c r="C55" t="s">
        <v>32</v>
      </c>
      <c r="D55" s="6">
        <v>53962</v>
      </c>
      <c r="E55" t="s">
        <v>61</v>
      </c>
      <c r="G55" t="s">
        <v>31</v>
      </c>
      <c r="H55" s="4">
        <v>42640</v>
      </c>
      <c r="I55" t="s">
        <v>115</v>
      </c>
      <c r="J55" s="6">
        <v>55423</v>
      </c>
      <c r="K55" t="s">
        <v>65</v>
      </c>
    </row>
    <row r="56" spans="1:12" x14ac:dyDescent="0.25">
      <c r="A56" t="s">
        <v>31</v>
      </c>
      <c r="B56" s="4">
        <v>42640</v>
      </c>
      <c r="C56" t="s">
        <v>32</v>
      </c>
      <c r="D56" s="6">
        <v>54329</v>
      </c>
      <c r="E56" t="s">
        <v>62</v>
      </c>
      <c r="G56" t="s">
        <v>31</v>
      </c>
      <c r="H56" s="4">
        <v>42640</v>
      </c>
      <c r="I56" t="s">
        <v>115</v>
      </c>
      <c r="J56" s="6">
        <v>57250</v>
      </c>
      <c r="K56" t="s">
        <v>70</v>
      </c>
    </row>
    <row r="57" spans="1:12" x14ac:dyDescent="0.25">
      <c r="A57" t="s">
        <v>31</v>
      </c>
      <c r="B57" s="4">
        <v>42640</v>
      </c>
      <c r="C57" t="s">
        <v>32</v>
      </c>
      <c r="D57" s="6">
        <v>54693</v>
      </c>
      <c r="E57" t="s">
        <v>63</v>
      </c>
      <c r="G57" t="s">
        <v>31</v>
      </c>
      <c r="H57" s="4">
        <v>42640</v>
      </c>
      <c r="I57" t="s">
        <v>115</v>
      </c>
      <c r="J57" s="6">
        <v>60902</v>
      </c>
      <c r="K57" t="s">
        <v>71</v>
      </c>
    </row>
    <row r="58" spans="1:12" x14ac:dyDescent="0.25">
      <c r="A58" t="s">
        <v>31</v>
      </c>
      <c r="B58" s="4">
        <v>42640</v>
      </c>
      <c r="C58" t="s">
        <v>32</v>
      </c>
      <c r="D58" s="6">
        <v>55058</v>
      </c>
      <c r="E58" t="s">
        <v>64</v>
      </c>
      <c r="G58" t="s">
        <v>31</v>
      </c>
      <c r="H58" s="4">
        <v>42640</v>
      </c>
      <c r="I58" t="s">
        <v>115</v>
      </c>
      <c r="J58" s="6">
        <v>64556</v>
      </c>
      <c r="K58" t="s">
        <v>72</v>
      </c>
    </row>
    <row r="59" spans="1:12" x14ac:dyDescent="0.25">
      <c r="A59" t="s">
        <v>31</v>
      </c>
      <c r="B59" s="4">
        <v>42640</v>
      </c>
      <c r="C59" t="s">
        <v>32</v>
      </c>
      <c r="D59" s="6">
        <v>55423</v>
      </c>
      <c r="E59" t="s">
        <v>65</v>
      </c>
      <c r="H59" s="4"/>
      <c r="J59" s="6"/>
    </row>
    <row r="60" spans="1:12" x14ac:dyDescent="0.25">
      <c r="A60" t="s">
        <v>31</v>
      </c>
      <c r="B60" s="4">
        <v>42640</v>
      </c>
      <c r="C60" t="s">
        <v>32</v>
      </c>
      <c r="D60" s="6">
        <v>55789</v>
      </c>
      <c r="E60" t="s">
        <v>66</v>
      </c>
      <c r="H60" s="4"/>
      <c r="J60" s="6"/>
    </row>
    <row r="61" spans="1:12" x14ac:dyDescent="0.25">
      <c r="A61" t="s">
        <v>31</v>
      </c>
      <c r="B61" s="4">
        <v>42640</v>
      </c>
      <c r="C61" t="s">
        <v>32</v>
      </c>
      <c r="D61" s="6">
        <v>56156</v>
      </c>
      <c r="E61" t="s">
        <v>67</v>
      </c>
      <c r="H61" s="4"/>
      <c r="J61" s="6"/>
    </row>
    <row r="62" spans="1:12" x14ac:dyDescent="0.25">
      <c r="A62" t="s">
        <v>31</v>
      </c>
      <c r="B62" s="4">
        <v>42640</v>
      </c>
      <c r="C62" t="s">
        <v>32</v>
      </c>
      <c r="D62" s="6">
        <v>56520</v>
      </c>
      <c r="E62" t="s">
        <v>68</v>
      </c>
      <c r="H62" s="4"/>
      <c r="J62" s="6"/>
    </row>
    <row r="63" spans="1:12" x14ac:dyDescent="0.25">
      <c r="A63" t="s">
        <v>31</v>
      </c>
      <c r="B63" s="4">
        <v>42640</v>
      </c>
      <c r="C63" t="s">
        <v>32</v>
      </c>
      <c r="D63" s="6">
        <v>56884</v>
      </c>
      <c r="E63" t="s">
        <v>69</v>
      </c>
      <c r="H63" s="4"/>
      <c r="J63" s="6"/>
    </row>
    <row r="64" spans="1:12" x14ac:dyDescent="0.25">
      <c r="A64" t="s">
        <v>31</v>
      </c>
      <c r="B64" s="4">
        <v>42640</v>
      </c>
      <c r="C64" t="s">
        <v>32</v>
      </c>
      <c r="D64" s="6">
        <v>57250</v>
      </c>
      <c r="E64" t="s">
        <v>70</v>
      </c>
      <c r="H64" s="4"/>
      <c r="J64" s="6"/>
    </row>
    <row r="65" spans="1:10" x14ac:dyDescent="0.25">
      <c r="A65" t="s">
        <v>31</v>
      </c>
      <c r="B65" s="4">
        <v>42640</v>
      </c>
      <c r="C65" t="s">
        <v>32</v>
      </c>
      <c r="D65" s="6">
        <v>60902</v>
      </c>
      <c r="E65" t="s">
        <v>71</v>
      </c>
      <c r="H65" s="4"/>
      <c r="J65" s="6"/>
    </row>
    <row r="66" spans="1:10" x14ac:dyDescent="0.25">
      <c r="A66" t="s">
        <v>31</v>
      </c>
      <c r="B66" s="4">
        <v>42640</v>
      </c>
      <c r="C66" t="s">
        <v>32</v>
      </c>
      <c r="D66" s="6">
        <v>64556</v>
      </c>
      <c r="E66" t="s">
        <v>72</v>
      </c>
      <c r="H66" s="4"/>
      <c r="J6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6"/>
  <sheetViews>
    <sheetView topLeftCell="A31" workbookViewId="0">
      <selection activeCell="J1" sqref="J1:J66"/>
    </sheetView>
  </sheetViews>
  <sheetFormatPr defaultRowHeight="15" x14ac:dyDescent="0.25"/>
  <cols>
    <col min="2" max="2" width="10.7109375" bestFit="1" customWidth="1"/>
    <col min="4" max="4" width="10.7109375" bestFit="1" customWidth="1"/>
  </cols>
  <sheetData>
    <row r="1" spans="1:12" x14ac:dyDescent="0.25">
      <c r="A1" t="s">
        <v>0</v>
      </c>
      <c r="B1" t="s">
        <v>1</v>
      </c>
      <c r="C1" t="s">
        <v>113</v>
      </c>
      <c r="D1" t="s">
        <v>110</v>
      </c>
      <c r="E1" t="s">
        <v>110</v>
      </c>
      <c r="F1" t="s">
        <v>2</v>
      </c>
      <c r="G1" t="s">
        <v>3</v>
      </c>
      <c r="J1" t="s">
        <v>135</v>
      </c>
      <c r="K1" t="s">
        <v>136</v>
      </c>
      <c r="L1" t="s">
        <v>137</v>
      </c>
    </row>
    <row r="2" spans="1:12" x14ac:dyDescent="0.25">
      <c r="A2" t="s">
        <v>4</v>
      </c>
      <c r="B2" s="75">
        <v>42649</v>
      </c>
      <c r="C2" t="s">
        <v>5</v>
      </c>
      <c r="D2" s="75">
        <v>42650</v>
      </c>
      <c r="E2" t="s">
        <v>6</v>
      </c>
      <c r="F2">
        <v>1.00002520381098</v>
      </c>
      <c r="G2">
        <v>-0.30664250265054699</v>
      </c>
      <c r="J2">
        <v>-0.30244064999999998</v>
      </c>
      <c r="K2">
        <v>0</v>
      </c>
      <c r="L2" t="s">
        <v>138</v>
      </c>
    </row>
    <row r="3" spans="1:12" x14ac:dyDescent="0.25">
      <c r="A3" t="s">
        <v>4</v>
      </c>
      <c r="B3" s="75">
        <v>42649</v>
      </c>
      <c r="C3" t="s">
        <v>5</v>
      </c>
      <c r="D3" s="75">
        <v>42656</v>
      </c>
      <c r="E3" t="s">
        <v>7</v>
      </c>
      <c r="F3">
        <v>1.0000756133387301</v>
      </c>
      <c r="G3">
        <v>-0.30664250298808898</v>
      </c>
      <c r="J3">
        <v>-0.30243302799999999</v>
      </c>
      <c r="K3">
        <v>0</v>
      </c>
      <c r="L3" t="s">
        <v>138</v>
      </c>
    </row>
    <row r="4" spans="1:12" x14ac:dyDescent="0.25">
      <c r="A4" t="s">
        <v>4</v>
      </c>
      <c r="B4" s="75">
        <v>42649</v>
      </c>
      <c r="C4" t="s">
        <v>5</v>
      </c>
      <c r="D4" s="75">
        <v>42663</v>
      </c>
      <c r="E4" t="s">
        <v>8</v>
      </c>
      <c r="F4">
        <v>1.0001344276658599</v>
      </c>
      <c r="G4">
        <v>-0.30664250258888498</v>
      </c>
      <c r="J4">
        <v>-0.30242413499999998</v>
      </c>
      <c r="K4">
        <v>0</v>
      </c>
      <c r="L4" t="s">
        <v>138</v>
      </c>
    </row>
    <row r="5" spans="1:12" x14ac:dyDescent="0.25">
      <c r="A5" t="s">
        <v>4</v>
      </c>
      <c r="B5" s="75">
        <v>42649</v>
      </c>
      <c r="C5" t="s">
        <v>5</v>
      </c>
      <c r="D5" s="75">
        <v>42670</v>
      </c>
      <c r="E5" t="s">
        <v>9</v>
      </c>
      <c r="F5">
        <v>1.0001932454520399</v>
      </c>
      <c r="G5">
        <v>-0.306642502728116</v>
      </c>
      <c r="J5">
        <v>-0.302415243</v>
      </c>
      <c r="K5">
        <v>0</v>
      </c>
      <c r="L5" t="s">
        <v>138</v>
      </c>
    </row>
    <row r="6" spans="1:12" x14ac:dyDescent="0.25">
      <c r="A6" t="s">
        <v>10</v>
      </c>
      <c r="B6" s="75">
        <v>42649</v>
      </c>
      <c r="C6" t="s">
        <v>11</v>
      </c>
      <c r="D6" s="75">
        <v>42681</v>
      </c>
      <c r="E6" t="s">
        <v>12</v>
      </c>
      <c r="F6">
        <v>1.00028567926066</v>
      </c>
      <c r="G6">
        <v>-0.30664129020360398</v>
      </c>
      <c r="J6">
        <v>-0.3024</v>
      </c>
      <c r="K6">
        <v>0</v>
      </c>
      <c r="L6" t="s">
        <v>138</v>
      </c>
    </row>
    <row r="7" spans="1:12" x14ac:dyDescent="0.25">
      <c r="A7" t="s">
        <v>10</v>
      </c>
      <c r="B7" s="75">
        <v>42649</v>
      </c>
      <c r="C7" t="s">
        <v>11</v>
      </c>
      <c r="D7" s="75">
        <v>42710</v>
      </c>
      <c r="E7" t="s">
        <v>13</v>
      </c>
      <c r="F7">
        <v>1.00052709908302</v>
      </c>
      <c r="G7">
        <v>-0.30530234684265201</v>
      </c>
      <c r="J7">
        <v>-0.30099999999999999</v>
      </c>
      <c r="K7">
        <v>0</v>
      </c>
      <c r="L7" t="s">
        <v>138</v>
      </c>
    </row>
    <row r="8" spans="1:12" x14ac:dyDescent="0.25">
      <c r="A8" t="s">
        <v>10</v>
      </c>
      <c r="B8" s="75">
        <v>42649</v>
      </c>
      <c r="C8" t="s">
        <v>11</v>
      </c>
      <c r="D8" s="75">
        <v>42741</v>
      </c>
      <c r="E8" t="s">
        <v>14</v>
      </c>
      <c r="F8">
        <v>1.00078176669314</v>
      </c>
      <c r="G8">
        <v>-0.30343974951628999</v>
      </c>
      <c r="J8">
        <v>-0.29909999999999998</v>
      </c>
      <c r="K8">
        <v>0</v>
      </c>
      <c r="L8" t="s">
        <v>138</v>
      </c>
    </row>
    <row r="9" spans="1:12" x14ac:dyDescent="0.25">
      <c r="A9" t="s">
        <v>15</v>
      </c>
      <c r="B9" s="75">
        <v>42681</v>
      </c>
      <c r="C9" t="s">
        <v>16</v>
      </c>
      <c r="D9" s="75">
        <v>42772</v>
      </c>
      <c r="E9" t="s">
        <v>17</v>
      </c>
      <c r="F9">
        <v>1.0010422593822701</v>
      </c>
      <c r="G9">
        <v>-0.30418124926314999</v>
      </c>
      <c r="J9">
        <v>-0.29899999999999999</v>
      </c>
      <c r="K9">
        <v>0</v>
      </c>
      <c r="L9" t="s">
        <v>138</v>
      </c>
    </row>
    <row r="10" spans="1:12" x14ac:dyDescent="0.25">
      <c r="A10" t="s">
        <v>15</v>
      </c>
      <c r="B10" s="75">
        <v>42710</v>
      </c>
      <c r="C10" t="s">
        <v>16</v>
      </c>
      <c r="D10" s="75">
        <v>42800</v>
      </c>
      <c r="E10" t="s">
        <v>18</v>
      </c>
      <c r="F10">
        <v>1.00127304750341</v>
      </c>
      <c r="G10">
        <v>-0.303507726084916</v>
      </c>
      <c r="J10">
        <v>-0.29799999999999999</v>
      </c>
      <c r="K10">
        <v>0</v>
      </c>
      <c r="L10" t="s">
        <v>138</v>
      </c>
    </row>
    <row r="11" spans="1:12" x14ac:dyDescent="0.25">
      <c r="A11" t="s">
        <v>15</v>
      </c>
      <c r="B11" s="75">
        <v>42741</v>
      </c>
      <c r="C11" t="s">
        <v>16</v>
      </c>
      <c r="D11" s="75">
        <v>42831</v>
      </c>
      <c r="E11" t="s">
        <v>19</v>
      </c>
      <c r="F11">
        <v>1.00153792782865</v>
      </c>
      <c r="G11">
        <v>-0.30484372092337803</v>
      </c>
      <c r="J11">
        <v>-0.30199999999999999</v>
      </c>
      <c r="K11">
        <v>0</v>
      </c>
      <c r="L11" t="s">
        <v>138</v>
      </c>
    </row>
    <row r="12" spans="1:12" x14ac:dyDescent="0.25">
      <c r="A12" t="s">
        <v>15</v>
      </c>
      <c r="B12" s="75">
        <v>42772</v>
      </c>
      <c r="C12" t="s">
        <v>16</v>
      </c>
      <c r="D12" s="75">
        <v>42863</v>
      </c>
      <c r="E12" t="s">
        <v>20</v>
      </c>
      <c r="F12">
        <v>1.0018196992972499</v>
      </c>
      <c r="G12">
        <v>-0.30721604738352698</v>
      </c>
      <c r="J12">
        <v>-0.307</v>
      </c>
      <c r="K12">
        <v>0</v>
      </c>
      <c r="L12" t="s">
        <v>138</v>
      </c>
    </row>
    <row r="13" spans="1:12" x14ac:dyDescent="0.25">
      <c r="A13" t="s">
        <v>15</v>
      </c>
      <c r="B13" s="75">
        <v>42800</v>
      </c>
      <c r="C13" t="s">
        <v>16</v>
      </c>
      <c r="D13" s="75">
        <v>42892</v>
      </c>
      <c r="E13" t="s">
        <v>21</v>
      </c>
      <c r="F13">
        <v>1.00207203293768</v>
      </c>
      <c r="G13">
        <v>-0.30837125384369202</v>
      </c>
      <c r="J13">
        <v>-0.312</v>
      </c>
      <c r="K13">
        <v>0</v>
      </c>
      <c r="L13" t="s">
        <v>138</v>
      </c>
    </row>
    <row r="14" spans="1:12" x14ac:dyDescent="0.25">
      <c r="A14" t="s">
        <v>15</v>
      </c>
      <c r="B14" s="75">
        <v>42831</v>
      </c>
      <c r="C14" t="s">
        <v>16</v>
      </c>
      <c r="D14" s="75">
        <v>42922</v>
      </c>
      <c r="E14" t="s">
        <v>24</v>
      </c>
      <c r="F14">
        <v>1.00234364506201</v>
      </c>
      <c r="G14">
        <v>-0.31070167214979399</v>
      </c>
      <c r="J14">
        <v>-0.318</v>
      </c>
      <c r="K14">
        <v>0</v>
      </c>
      <c r="L14" t="s">
        <v>138</v>
      </c>
    </row>
    <row r="15" spans="1:12" x14ac:dyDescent="0.25">
      <c r="A15" t="s">
        <v>15</v>
      </c>
      <c r="B15" s="75">
        <v>42863</v>
      </c>
      <c r="C15" t="s">
        <v>16</v>
      </c>
      <c r="D15" s="75">
        <v>42954</v>
      </c>
      <c r="E15" t="s">
        <v>25</v>
      </c>
      <c r="F15">
        <v>1.00264317321041</v>
      </c>
      <c r="G15">
        <v>-0.313838909618327</v>
      </c>
      <c r="J15">
        <v>-0.32500000000000001</v>
      </c>
      <c r="K15">
        <v>0</v>
      </c>
      <c r="L15" t="s">
        <v>138</v>
      </c>
    </row>
    <row r="16" spans="1:12" x14ac:dyDescent="0.25">
      <c r="A16" t="s">
        <v>15</v>
      </c>
      <c r="B16" s="75">
        <v>42892</v>
      </c>
      <c r="C16" t="s">
        <v>16</v>
      </c>
      <c r="D16" s="75">
        <v>42984</v>
      </c>
      <c r="E16" t="s">
        <v>26</v>
      </c>
      <c r="F16">
        <v>1.0029203921538401</v>
      </c>
      <c r="G16">
        <v>-0.31584263320776501</v>
      </c>
      <c r="J16">
        <v>-0.33100000000000002</v>
      </c>
      <c r="K16">
        <v>0</v>
      </c>
      <c r="L16" t="s">
        <v>138</v>
      </c>
    </row>
    <row r="17" spans="1:12" x14ac:dyDescent="0.25">
      <c r="A17" t="s">
        <v>15</v>
      </c>
      <c r="B17" s="75">
        <v>42922</v>
      </c>
      <c r="C17" t="s">
        <v>16</v>
      </c>
      <c r="D17" s="75">
        <v>43014</v>
      </c>
      <c r="E17" t="s">
        <v>27</v>
      </c>
      <c r="F17">
        <v>1.00320506381013</v>
      </c>
      <c r="G17">
        <v>-0.31825001842329298</v>
      </c>
      <c r="J17">
        <v>-0.33600000000000002</v>
      </c>
      <c r="K17">
        <v>0</v>
      </c>
      <c r="L17" t="s">
        <v>138</v>
      </c>
    </row>
    <row r="18" spans="1:12" x14ac:dyDescent="0.25">
      <c r="A18" t="s">
        <v>15</v>
      </c>
      <c r="B18" s="75">
        <v>42954</v>
      </c>
      <c r="C18" t="s">
        <v>16</v>
      </c>
      <c r="D18" s="75">
        <v>43045</v>
      </c>
      <c r="E18" t="s">
        <v>28</v>
      </c>
      <c r="F18">
        <v>1.00351050367339</v>
      </c>
      <c r="G18">
        <v>-0.321379403757731</v>
      </c>
      <c r="J18">
        <v>-0.34200000000000003</v>
      </c>
      <c r="K18">
        <v>0</v>
      </c>
      <c r="L18" t="s">
        <v>138</v>
      </c>
    </row>
    <row r="19" spans="1:12" x14ac:dyDescent="0.25">
      <c r="A19" t="s">
        <v>15</v>
      </c>
      <c r="B19" s="75">
        <v>42984</v>
      </c>
      <c r="C19" t="s">
        <v>16</v>
      </c>
      <c r="D19" s="75">
        <v>43075</v>
      </c>
      <c r="E19" t="s">
        <v>29</v>
      </c>
      <c r="F19">
        <v>1.0038008649291701</v>
      </c>
      <c r="G19">
        <v>-0.32352473388319503</v>
      </c>
      <c r="J19">
        <v>-0.34699999999999998</v>
      </c>
      <c r="K19">
        <v>0</v>
      </c>
      <c r="L19" t="s">
        <v>138</v>
      </c>
    </row>
    <row r="20" spans="1:12" x14ac:dyDescent="0.25">
      <c r="A20" t="s">
        <v>15</v>
      </c>
      <c r="B20" s="75">
        <v>43014</v>
      </c>
      <c r="C20" t="s">
        <v>16</v>
      </c>
      <c r="D20" s="75">
        <v>43108</v>
      </c>
      <c r="E20" t="s">
        <v>30</v>
      </c>
      <c r="F20">
        <v>1.0041227204073899</v>
      </c>
      <c r="G20">
        <v>-0.325748270648821</v>
      </c>
      <c r="J20">
        <v>-0.35</v>
      </c>
      <c r="K20">
        <v>0</v>
      </c>
      <c r="L20" t="s">
        <v>138</v>
      </c>
    </row>
    <row r="21" spans="1:12" x14ac:dyDescent="0.25">
      <c r="A21" t="s">
        <v>22</v>
      </c>
      <c r="B21" s="75">
        <v>43089</v>
      </c>
      <c r="C21" t="s">
        <v>23</v>
      </c>
      <c r="D21" s="75">
        <v>43179</v>
      </c>
      <c r="E21" s="3">
        <v>43070</v>
      </c>
      <c r="F21">
        <v>1.00484795866984</v>
      </c>
      <c r="G21">
        <v>-0.33181005331823699</v>
      </c>
      <c r="J21">
        <v>100.3625</v>
      </c>
      <c r="K21">
        <v>0</v>
      </c>
      <c r="L21" t="s">
        <v>138</v>
      </c>
    </row>
    <row r="22" spans="1:12" x14ac:dyDescent="0.25">
      <c r="A22" t="s">
        <v>22</v>
      </c>
      <c r="B22" s="75">
        <v>43180</v>
      </c>
      <c r="C22" t="s">
        <v>23</v>
      </c>
      <c r="D22" s="75">
        <v>43272</v>
      </c>
      <c r="E22" s="3">
        <v>43160</v>
      </c>
      <c r="F22">
        <v>1.00580344372009</v>
      </c>
      <c r="G22">
        <v>-0.337941446915202</v>
      </c>
      <c r="J22">
        <v>100.36750000000001</v>
      </c>
      <c r="K22">
        <v>0</v>
      </c>
      <c r="L22" t="s">
        <v>138</v>
      </c>
    </row>
    <row r="23" spans="1:12" x14ac:dyDescent="0.25">
      <c r="A23" t="s">
        <v>22</v>
      </c>
      <c r="B23" s="75">
        <v>43271</v>
      </c>
      <c r="C23" t="s">
        <v>23</v>
      </c>
      <c r="D23" s="75">
        <v>43363</v>
      </c>
      <c r="E23" s="3">
        <v>43252</v>
      </c>
      <c r="F23">
        <v>1.0067399416151599</v>
      </c>
      <c r="G23">
        <v>-0.34243370950437502</v>
      </c>
      <c r="J23">
        <v>100.36750000000001</v>
      </c>
      <c r="K23">
        <v>0</v>
      </c>
      <c r="L23" t="s">
        <v>138</v>
      </c>
    </row>
    <row r="24" spans="1:12" x14ac:dyDescent="0.25">
      <c r="A24" t="s">
        <v>22</v>
      </c>
      <c r="B24" s="75">
        <v>43362</v>
      </c>
      <c r="C24" t="s">
        <v>23</v>
      </c>
      <c r="D24" s="75">
        <v>43453</v>
      </c>
      <c r="E24" s="3">
        <v>43344</v>
      </c>
      <c r="F24">
        <v>1.0076669993926299</v>
      </c>
      <c r="G24">
        <v>-0.34587858847708203</v>
      </c>
      <c r="J24">
        <v>100.36750000000001</v>
      </c>
      <c r="K24">
        <v>0</v>
      </c>
      <c r="L24" t="s">
        <v>138</v>
      </c>
    </row>
    <row r="25" spans="1:12" x14ac:dyDescent="0.25">
      <c r="A25" t="s">
        <v>22</v>
      </c>
      <c r="B25" s="75">
        <v>43453</v>
      </c>
      <c r="C25" t="s">
        <v>23</v>
      </c>
      <c r="D25" s="75">
        <v>43543</v>
      </c>
      <c r="E25" s="3">
        <v>43435</v>
      </c>
      <c r="F25">
        <v>1.0085703001675399</v>
      </c>
      <c r="G25">
        <v>-0.34763739138746802</v>
      </c>
      <c r="J25">
        <v>100.3575</v>
      </c>
      <c r="K25">
        <v>0</v>
      </c>
      <c r="L25" t="s">
        <v>138</v>
      </c>
    </row>
    <row r="26" spans="1:12" x14ac:dyDescent="0.25">
      <c r="A26" t="s">
        <v>22</v>
      </c>
      <c r="B26" s="75">
        <v>43544</v>
      </c>
      <c r="C26" t="s">
        <v>23</v>
      </c>
      <c r="D26" s="75">
        <v>43636</v>
      </c>
      <c r="E26" s="3">
        <v>43525</v>
      </c>
      <c r="F26">
        <v>1.0094798353111101</v>
      </c>
      <c r="G26">
        <v>-0.34821456320767202</v>
      </c>
      <c r="J26">
        <v>100.3475</v>
      </c>
      <c r="K26">
        <v>0</v>
      </c>
      <c r="L26" t="s">
        <v>138</v>
      </c>
    </row>
    <row r="27" spans="1:12" x14ac:dyDescent="0.25">
      <c r="A27" t="s">
        <v>31</v>
      </c>
      <c r="B27" s="75">
        <v>42649</v>
      </c>
      <c r="C27" t="s">
        <v>32</v>
      </c>
      <c r="D27" s="75">
        <v>43745</v>
      </c>
      <c r="E27" t="s">
        <v>33</v>
      </c>
      <c r="F27">
        <v>1.01122177568852</v>
      </c>
      <c r="G27">
        <v>-0.37095962827414503</v>
      </c>
      <c r="J27">
        <v>-0.34499999999999997</v>
      </c>
      <c r="K27">
        <v>0</v>
      </c>
      <c r="L27" t="s">
        <v>138</v>
      </c>
    </row>
    <row r="28" spans="1:12" x14ac:dyDescent="0.25">
      <c r="A28" t="s">
        <v>31</v>
      </c>
      <c r="B28" s="75">
        <v>42649</v>
      </c>
      <c r="C28" t="s">
        <v>32</v>
      </c>
      <c r="D28" s="75">
        <v>44110</v>
      </c>
      <c r="E28" t="s">
        <v>34</v>
      </c>
      <c r="F28">
        <v>1.0139470423680299</v>
      </c>
      <c r="G28">
        <v>-0.34555688519650701</v>
      </c>
      <c r="J28">
        <v>-0.32600000000000001</v>
      </c>
      <c r="K28">
        <v>0</v>
      </c>
      <c r="L28" t="s">
        <v>138</v>
      </c>
    </row>
    <row r="29" spans="1:12" x14ac:dyDescent="0.25">
      <c r="A29" t="s">
        <v>31</v>
      </c>
      <c r="B29" s="75">
        <v>42649</v>
      </c>
      <c r="C29" t="s">
        <v>32</v>
      </c>
      <c r="D29" s="75">
        <v>44475</v>
      </c>
      <c r="E29" t="s">
        <v>35</v>
      </c>
      <c r="F29">
        <v>1.0149384267894199</v>
      </c>
      <c r="G29">
        <v>-0.29607225372439</v>
      </c>
      <c r="J29">
        <v>-0.28000000000000003</v>
      </c>
      <c r="K29">
        <v>0</v>
      </c>
      <c r="L29" t="s">
        <v>138</v>
      </c>
    </row>
    <row r="30" spans="1:12" x14ac:dyDescent="0.25">
      <c r="A30" t="s">
        <v>31</v>
      </c>
      <c r="B30" s="75">
        <v>42649</v>
      </c>
      <c r="C30" t="s">
        <v>32</v>
      </c>
      <c r="D30" s="75">
        <v>44840</v>
      </c>
      <c r="E30" t="s">
        <v>36</v>
      </c>
      <c r="F30">
        <v>1.01378609758577</v>
      </c>
      <c r="G30">
        <v>-0.22788672290088599</v>
      </c>
      <c r="J30">
        <v>-0.214</v>
      </c>
      <c r="K30">
        <v>0</v>
      </c>
      <c r="L30" t="s">
        <v>138</v>
      </c>
    </row>
    <row r="31" spans="1:12" x14ac:dyDescent="0.25">
      <c r="A31" t="s">
        <v>31</v>
      </c>
      <c r="B31" s="75">
        <v>42649</v>
      </c>
      <c r="C31" t="s">
        <v>32</v>
      </c>
      <c r="D31" s="75">
        <v>45205</v>
      </c>
      <c r="E31" t="s">
        <v>37</v>
      </c>
      <c r="F31">
        <v>1.0099536734501</v>
      </c>
      <c r="G31">
        <v>-0.14132637233992301</v>
      </c>
      <c r="J31">
        <v>-0.129</v>
      </c>
      <c r="K31">
        <v>0</v>
      </c>
      <c r="L31" t="s">
        <v>138</v>
      </c>
    </row>
    <row r="32" spans="1:12" x14ac:dyDescent="0.25">
      <c r="A32" t="s">
        <v>31</v>
      </c>
      <c r="B32" s="75">
        <v>42649</v>
      </c>
      <c r="C32" t="s">
        <v>32</v>
      </c>
      <c r="D32" s="75">
        <v>45572</v>
      </c>
      <c r="E32" t="s">
        <v>38</v>
      </c>
      <c r="F32">
        <v>1.00360451427732</v>
      </c>
      <c r="G32">
        <v>-4.4898538743336602E-2</v>
      </c>
      <c r="J32">
        <v>-3.4000000000000002E-2</v>
      </c>
      <c r="K32">
        <v>0</v>
      </c>
      <c r="L32" t="s">
        <v>138</v>
      </c>
    </row>
    <row r="33" spans="1:12" x14ac:dyDescent="0.25">
      <c r="A33" t="s">
        <v>31</v>
      </c>
      <c r="B33" s="75">
        <v>42649</v>
      </c>
      <c r="C33" t="s">
        <v>32</v>
      </c>
      <c r="D33" s="75">
        <v>45936</v>
      </c>
      <c r="E33" t="s">
        <v>39</v>
      </c>
      <c r="F33">
        <v>0.99490810704787103</v>
      </c>
      <c r="G33">
        <v>5.6652137342826502E-2</v>
      </c>
      <c r="J33">
        <v>6.6000000000000003E-2</v>
      </c>
      <c r="K33">
        <v>0</v>
      </c>
      <c r="L33" t="s">
        <v>138</v>
      </c>
    </row>
    <row r="34" spans="1:12" x14ac:dyDescent="0.25">
      <c r="A34" t="s">
        <v>31</v>
      </c>
      <c r="B34" s="75">
        <v>42649</v>
      </c>
      <c r="C34" t="s">
        <v>32</v>
      </c>
      <c r="D34" s="75">
        <v>46301</v>
      </c>
      <c r="E34" t="s">
        <v>40</v>
      </c>
      <c r="F34">
        <v>0.98464801488307996</v>
      </c>
      <c r="G34">
        <v>0.15454110957451</v>
      </c>
      <c r="J34">
        <v>0.16200000000000001</v>
      </c>
      <c r="K34">
        <v>0</v>
      </c>
      <c r="L34" t="s">
        <v>138</v>
      </c>
    </row>
    <row r="35" spans="1:12" x14ac:dyDescent="0.25">
      <c r="A35" t="s">
        <v>31</v>
      </c>
      <c r="B35" s="75">
        <v>42649</v>
      </c>
      <c r="C35" t="s">
        <v>32</v>
      </c>
      <c r="D35" s="75">
        <v>46666</v>
      </c>
      <c r="E35" t="s">
        <v>41</v>
      </c>
      <c r="F35">
        <v>0.97337480261478904</v>
      </c>
      <c r="G35">
        <v>0.24508372163009201</v>
      </c>
      <c r="J35">
        <v>0.25034014100000002</v>
      </c>
      <c r="K35">
        <v>0</v>
      </c>
      <c r="L35" t="s">
        <v>138</v>
      </c>
    </row>
    <row r="36" spans="1:12" x14ac:dyDescent="0.25">
      <c r="A36" t="s">
        <v>31</v>
      </c>
      <c r="B36" s="75">
        <v>42649</v>
      </c>
      <c r="C36" t="s">
        <v>32</v>
      </c>
      <c r="D36" s="75">
        <v>47032</v>
      </c>
      <c r="E36" t="s">
        <v>42</v>
      </c>
      <c r="F36">
        <v>0.96146562648487499</v>
      </c>
      <c r="G36">
        <v>0.32709713875702601</v>
      </c>
      <c r="J36">
        <v>0.33</v>
      </c>
      <c r="K36">
        <v>0</v>
      </c>
      <c r="L36" t="s">
        <v>138</v>
      </c>
    </row>
    <row r="37" spans="1:12" x14ac:dyDescent="0.25">
      <c r="A37" t="s">
        <v>31</v>
      </c>
      <c r="B37" s="75">
        <v>42649</v>
      </c>
      <c r="C37" t="s">
        <v>32</v>
      </c>
      <c r="D37" s="75">
        <v>47399</v>
      </c>
      <c r="E37" t="s">
        <v>43</v>
      </c>
      <c r="F37">
        <v>0.94933210647315702</v>
      </c>
      <c r="G37">
        <v>0.399384562755211</v>
      </c>
      <c r="J37">
        <v>0.39979229799999999</v>
      </c>
      <c r="K37">
        <v>0</v>
      </c>
      <c r="L37" t="s">
        <v>138</v>
      </c>
    </row>
    <row r="38" spans="1:12" x14ac:dyDescent="0.25">
      <c r="A38" t="s">
        <v>31</v>
      </c>
      <c r="B38" s="75">
        <v>42649</v>
      </c>
      <c r="C38" t="s">
        <v>32</v>
      </c>
      <c r="D38" s="75">
        <v>47763</v>
      </c>
      <c r="E38" t="s">
        <v>44</v>
      </c>
      <c r="F38">
        <v>0.93721093424967095</v>
      </c>
      <c r="G38">
        <v>0.46264895428992697</v>
      </c>
      <c r="J38">
        <v>0.46056482999999998</v>
      </c>
      <c r="K38">
        <v>0</v>
      </c>
      <c r="L38" t="s">
        <v>138</v>
      </c>
    </row>
    <row r="39" spans="1:12" x14ac:dyDescent="0.25">
      <c r="A39" t="s">
        <v>31</v>
      </c>
      <c r="B39" s="75">
        <v>42649</v>
      </c>
      <c r="C39" t="s">
        <v>32</v>
      </c>
      <c r="D39" s="75">
        <v>48127</v>
      </c>
      <c r="E39" t="s">
        <v>45</v>
      </c>
      <c r="F39">
        <v>0.92539365219651104</v>
      </c>
      <c r="G39">
        <v>0.51643544983049094</v>
      </c>
      <c r="J39">
        <v>0.51200000000000001</v>
      </c>
      <c r="K39">
        <v>0</v>
      </c>
      <c r="L39" t="s">
        <v>138</v>
      </c>
    </row>
    <row r="40" spans="1:12" x14ac:dyDescent="0.25">
      <c r="A40" t="s">
        <v>31</v>
      </c>
      <c r="B40" s="75">
        <v>42649</v>
      </c>
      <c r="C40" t="s">
        <v>32</v>
      </c>
      <c r="D40" s="75">
        <v>48493</v>
      </c>
      <c r="E40" t="s">
        <v>46</v>
      </c>
      <c r="F40">
        <v>0.91394103321567899</v>
      </c>
      <c r="G40">
        <v>0.56185540561115999</v>
      </c>
      <c r="J40">
        <v>0.55536781000000002</v>
      </c>
      <c r="K40">
        <v>0</v>
      </c>
      <c r="L40" t="s">
        <v>138</v>
      </c>
    </row>
    <row r="41" spans="1:12" x14ac:dyDescent="0.25">
      <c r="A41" t="s">
        <v>31</v>
      </c>
      <c r="B41" s="75">
        <v>42649</v>
      </c>
      <c r="C41" t="s">
        <v>32</v>
      </c>
      <c r="D41" s="75">
        <v>48858</v>
      </c>
      <c r="E41" t="s">
        <v>47</v>
      </c>
      <c r="F41">
        <v>0.90301106133412901</v>
      </c>
      <c r="G41">
        <v>0.59954071448659996</v>
      </c>
      <c r="J41">
        <v>0.59118702499999998</v>
      </c>
      <c r="K41">
        <v>0</v>
      </c>
      <c r="L41" t="s">
        <v>138</v>
      </c>
    </row>
    <row r="42" spans="1:12" x14ac:dyDescent="0.25">
      <c r="A42" t="s">
        <v>31</v>
      </c>
      <c r="B42" s="75">
        <v>42649</v>
      </c>
      <c r="C42" t="s">
        <v>32</v>
      </c>
      <c r="D42" s="75">
        <v>49223</v>
      </c>
      <c r="E42" t="s">
        <v>48</v>
      </c>
      <c r="F42">
        <v>0.89264231964462104</v>
      </c>
      <c r="G42">
        <v>0.63036497008562997</v>
      </c>
      <c r="J42">
        <v>0.62045239100000005</v>
      </c>
      <c r="K42">
        <v>0</v>
      </c>
      <c r="L42" t="s">
        <v>138</v>
      </c>
    </row>
    <row r="43" spans="1:12" x14ac:dyDescent="0.25">
      <c r="A43" t="s">
        <v>31</v>
      </c>
      <c r="B43" s="75">
        <v>42649</v>
      </c>
      <c r="C43" t="s">
        <v>32</v>
      </c>
      <c r="D43" s="75">
        <v>49590</v>
      </c>
      <c r="E43" t="s">
        <v>49</v>
      </c>
      <c r="F43">
        <v>0.88282185631557397</v>
      </c>
      <c r="G43">
        <v>0.65520126948093005</v>
      </c>
      <c r="J43">
        <v>0.64404549</v>
      </c>
      <c r="K43">
        <v>0</v>
      </c>
      <c r="L43" t="s">
        <v>138</v>
      </c>
    </row>
    <row r="44" spans="1:12" x14ac:dyDescent="0.25">
      <c r="A44" t="s">
        <v>31</v>
      </c>
      <c r="B44" s="75">
        <v>42649</v>
      </c>
      <c r="C44" t="s">
        <v>32</v>
      </c>
      <c r="D44" s="75">
        <v>49954</v>
      </c>
      <c r="E44" t="s">
        <v>50</v>
      </c>
      <c r="F44">
        <v>0.87359896716374597</v>
      </c>
      <c r="G44">
        <v>0.67502199997080103</v>
      </c>
      <c r="J44">
        <v>0.66300000000000003</v>
      </c>
      <c r="K44">
        <v>0</v>
      </c>
      <c r="L44" t="s">
        <v>138</v>
      </c>
    </row>
    <row r="45" spans="1:12" x14ac:dyDescent="0.25">
      <c r="A45" t="s">
        <v>31</v>
      </c>
      <c r="B45" s="75">
        <v>42649</v>
      </c>
      <c r="C45" t="s">
        <v>32</v>
      </c>
      <c r="D45" s="75">
        <v>50319</v>
      </c>
      <c r="E45" t="s">
        <v>51</v>
      </c>
      <c r="F45">
        <v>0.86492041073497905</v>
      </c>
      <c r="G45">
        <v>0.69040657264072103</v>
      </c>
      <c r="J45">
        <v>0.67772332700000004</v>
      </c>
      <c r="K45">
        <v>0</v>
      </c>
      <c r="L45" t="s">
        <v>138</v>
      </c>
    </row>
    <row r="46" spans="1:12" x14ac:dyDescent="0.25">
      <c r="A46" t="s">
        <v>31</v>
      </c>
      <c r="B46" s="75">
        <v>42649</v>
      </c>
      <c r="C46" t="s">
        <v>32</v>
      </c>
      <c r="D46" s="75">
        <v>50684</v>
      </c>
      <c r="E46" t="s">
        <v>52</v>
      </c>
      <c r="F46">
        <v>0.85672816723691503</v>
      </c>
      <c r="G46">
        <v>0.70227236099213597</v>
      </c>
      <c r="J46">
        <v>0.68916945900000004</v>
      </c>
      <c r="K46">
        <v>0</v>
      </c>
      <c r="L46" t="s">
        <v>138</v>
      </c>
    </row>
    <row r="47" spans="1:12" x14ac:dyDescent="0.25">
      <c r="A47" t="s">
        <v>31</v>
      </c>
      <c r="B47" s="75">
        <v>42649</v>
      </c>
      <c r="C47" t="s">
        <v>32</v>
      </c>
      <c r="D47" s="75">
        <v>51049</v>
      </c>
      <c r="E47" t="s">
        <v>53</v>
      </c>
      <c r="F47">
        <v>0.84897734270400504</v>
      </c>
      <c r="G47">
        <v>0.71124511692456205</v>
      </c>
      <c r="J47">
        <v>0.69792949500000001</v>
      </c>
      <c r="K47">
        <v>0</v>
      </c>
      <c r="L47" t="s">
        <v>138</v>
      </c>
    </row>
    <row r="48" spans="1:12" x14ac:dyDescent="0.25">
      <c r="A48" t="s">
        <v>31</v>
      </c>
      <c r="B48" s="75">
        <v>42649</v>
      </c>
      <c r="C48" t="s">
        <v>32</v>
      </c>
      <c r="D48" s="75">
        <v>51417</v>
      </c>
      <c r="E48" t="s">
        <v>54</v>
      </c>
      <c r="F48">
        <v>0.841541663946761</v>
      </c>
      <c r="G48">
        <v>0.71801266356461602</v>
      </c>
      <c r="J48">
        <v>0.70471902900000005</v>
      </c>
      <c r="K48">
        <v>0</v>
      </c>
      <c r="L48" t="s">
        <v>138</v>
      </c>
    </row>
    <row r="49" spans="1:12" x14ac:dyDescent="0.25">
      <c r="A49" t="s">
        <v>31</v>
      </c>
      <c r="B49" s="75">
        <v>42649</v>
      </c>
      <c r="C49" t="s">
        <v>32</v>
      </c>
      <c r="D49" s="75">
        <v>51781</v>
      </c>
      <c r="E49" t="s">
        <v>55</v>
      </c>
      <c r="F49">
        <v>0.83444393572723197</v>
      </c>
      <c r="G49">
        <v>0.72324554675909403</v>
      </c>
      <c r="J49">
        <v>0.71</v>
      </c>
      <c r="K49">
        <v>0</v>
      </c>
      <c r="L49" t="s">
        <v>138</v>
      </c>
    </row>
    <row r="50" spans="1:12" x14ac:dyDescent="0.25">
      <c r="A50" t="s">
        <v>31</v>
      </c>
      <c r="B50" s="75">
        <v>42649</v>
      </c>
      <c r="C50" t="s">
        <v>32</v>
      </c>
      <c r="D50" s="75">
        <v>52145</v>
      </c>
      <c r="E50" t="s">
        <v>56</v>
      </c>
      <c r="F50">
        <v>0.82753775900869697</v>
      </c>
      <c r="G50">
        <v>0.72746576153646902</v>
      </c>
      <c r="J50">
        <v>0.71432978000000003</v>
      </c>
      <c r="K50">
        <v>0</v>
      </c>
      <c r="L50" t="s">
        <v>138</v>
      </c>
    </row>
    <row r="51" spans="1:12" x14ac:dyDescent="0.25">
      <c r="A51" t="s">
        <v>31</v>
      </c>
      <c r="B51" s="75">
        <v>42649</v>
      </c>
      <c r="C51" t="s">
        <v>32</v>
      </c>
      <c r="D51" s="75">
        <v>52510</v>
      </c>
      <c r="E51" t="s">
        <v>57</v>
      </c>
      <c r="F51">
        <v>0.82077827159167105</v>
      </c>
      <c r="G51">
        <v>0.73089659494235903</v>
      </c>
      <c r="J51">
        <v>0.71791600600000005</v>
      </c>
      <c r="K51">
        <v>0</v>
      </c>
      <c r="L51" t="s">
        <v>138</v>
      </c>
    </row>
    <row r="52" spans="1:12" x14ac:dyDescent="0.25">
      <c r="A52" t="s">
        <v>31</v>
      </c>
      <c r="B52" s="75">
        <v>42649</v>
      </c>
      <c r="C52" t="s">
        <v>32</v>
      </c>
      <c r="D52" s="75">
        <v>52876</v>
      </c>
      <c r="E52" t="s">
        <v>58</v>
      </c>
      <c r="F52">
        <v>0.81416151003538395</v>
      </c>
      <c r="G52">
        <v>0.73362722500061806</v>
      </c>
      <c r="J52">
        <v>0.72090666000000003</v>
      </c>
      <c r="K52">
        <v>0</v>
      </c>
      <c r="L52" t="s">
        <v>138</v>
      </c>
    </row>
    <row r="53" spans="1:12" x14ac:dyDescent="0.25">
      <c r="A53" t="s">
        <v>31</v>
      </c>
      <c r="B53" s="75">
        <v>42649</v>
      </c>
      <c r="C53" t="s">
        <v>32</v>
      </c>
      <c r="D53" s="75">
        <v>53241</v>
      </c>
      <c r="E53" t="s">
        <v>59</v>
      </c>
      <c r="F53">
        <v>0.80772295158899599</v>
      </c>
      <c r="G53">
        <v>0.73570604822208197</v>
      </c>
      <c r="J53">
        <v>0.72322007499999996</v>
      </c>
      <c r="K53">
        <v>0</v>
      </c>
      <c r="L53" t="s">
        <v>138</v>
      </c>
    </row>
    <row r="54" spans="1:12" x14ac:dyDescent="0.25">
      <c r="A54" t="s">
        <v>31</v>
      </c>
      <c r="B54" s="75">
        <v>42649</v>
      </c>
      <c r="C54" t="s">
        <v>32</v>
      </c>
      <c r="D54" s="75">
        <v>53608</v>
      </c>
      <c r="E54" t="s">
        <v>60</v>
      </c>
      <c r="F54">
        <v>0.80140668223740696</v>
      </c>
      <c r="G54">
        <v>0.73721522719308197</v>
      </c>
      <c r="J54">
        <v>0.72499999999999998</v>
      </c>
      <c r="K54">
        <v>0</v>
      </c>
      <c r="L54" t="s">
        <v>138</v>
      </c>
    </row>
    <row r="55" spans="1:12" x14ac:dyDescent="0.25">
      <c r="A55" t="s">
        <v>31</v>
      </c>
      <c r="B55" s="75">
        <v>42649</v>
      </c>
      <c r="C55" t="s">
        <v>32</v>
      </c>
      <c r="D55" s="75">
        <v>53972</v>
      </c>
      <c r="E55" t="s">
        <v>61</v>
      </c>
      <c r="F55">
        <v>0.79528730907284195</v>
      </c>
      <c r="G55">
        <v>0.73822445574047502</v>
      </c>
      <c r="J55">
        <v>0.72630908199999999</v>
      </c>
      <c r="K55">
        <v>0</v>
      </c>
      <c r="L55" t="s">
        <v>138</v>
      </c>
    </row>
    <row r="56" spans="1:12" x14ac:dyDescent="0.25">
      <c r="A56" t="s">
        <v>31</v>
      </c>
      <c r="B56" s="75">
        <v>42649</v>
      </c>
      <c r="C56" t="s">
        <v>32</v>
      </c>
      <c r="D56" s="75">
        <v>54337</v>
      </c>
      <c r="E56" t="s">
        <v>62</v>
      </c>
      <c r="F56">
        <v>0.78931200439460603</v>
      </c>
      <c r="G56">
        <v>0.73872251169294401</v>
      </c>
      <c r="J56">
        <v>0.72719992200000005</v>
      </c>
      <c r="K56">
        <v>0</v>
      </c>
      <c r="L56" t="s">
        <v>138</v>
      </c>
    </row>
    <row r="57" spans="1:12" x14ac:dyDescent="0.25">
      <c r="A57" t="s">
        <v>31</v>
      </c>
      <c r="B57" s="75">
        <v>42649</v>
      </c>
      <c r="C57" t="s">
        <v>32</v>
      </c>
      <c r="D57" s="75">
        <v>54702</v>
      </c>
      <c r="E57" t="s">
        <v>63</v>
      </c>
      <c r="F57">
        <v>0.78350386171092501</v>
      </c>
      <c r="G57">
        <v>0.73871787861593796</v>
      </c>
      <c r="J57">
        <v>0.72757019300000003</v>
      </c>
      <c r="K57">
        <v>0</v>
      </c>
      <c r="L57" t="s">
        <v>138</v>
      </c>
    </row>
    <row r="58" spans="1:12" x14ac:dyDescent="0.25">
      <c r="A58" t="s">
        <v>31</v>
      </c>
      <c r="B58" s="75">
        <v>42649</v>
      </c>
      <c r="C58" t="s">
        <v>32</v>
      </c>
      <c r="D58" s="75">
        <v>55067</v>
      </c>
      <c r="E58" t="s">
        <v>64</v>
      </c>
      <c r="F58">
        <v>0.77787373931147996</v>
      </c>
      <c r="G58">
        <v>0.73820238102660296</v>
      </c>
      <c r="J58">
        <v>0.727472491</v>
      </c>
      <c r="K58">
        <v>0</v>
      </c>
      <c r="L58" t="s">
        <v>138</v>
      </c>
    </row>
    <row r="59" spans="1:12" x14ac:dyDescent="0.25">
      <c r="A59" t="s">
        <v>31</v>
      </c>
      <c r="B59" s="75">
        <v>42649</v>
      </c>
      <c r="C59" t="s">
        <v>32</v>
      </c>
      <c r="D59" s="75">
        <v>55432</v>
      </c>
      <c r="E59" t="s">
        <v>65</v>
      </c>
      <c r="F59">
        <v>0.77243147932223299</v>
      </c>
      <c r="G59">
        <v>0.73717145505312398</v>
      </c>
      <c r="J59">
        <v>0.72690492200000001</v>
      </c>
      <c r="K59">
        <v>0</v>
      </c>
      <c r="L59" t="s">
        <v>138</v>
      </c>
    </row>
    <row r="60" spans="1:12" x14ac:dyDescent="0.25">
      <c r="A60" t="s">
        <v>31</v>
      </c>
      <c r="B60" s="75">
        <v>42649</v>
      </c>
      <c r="C60" t="s">
        <v>32</v>
      </c>
      <c r="D60" s="75">
        <v>55799</v>
      </c>
      <c r="E60" t="s">
        <v>66</v>
      </c>
      <c r="F60">
        <v>0.76716002152839502</v>
      </c>
      <c r="G60">
        <v>0.73560562058136503</v>
      </c>
      <c r="J60">
        <v>0.72590162700000005</v>
      </c>
      <c r="K60">
        <v>0</v>
      </c>
      <c r="L60" t="s">
        <v>138</v>
      </c>
    </row>
    <row r="61" spans="1:12" x14ac:dyDescent="0.25">
      <c r="A61" t="s">
        <v>31</v>
      </c>
      <c r="B61" s="75">
        <v>42649</v>
      </c>
      <c r="C61" t="s">
        <v>32</v>
      </c>
      <c r="D61" s="75">
        <v>56163</v>
      </c>
      <c r="E61" t="s">
        <v>67</v>
      </c>
      <c r="F61">
        <v>0.76213817118479699</v>
      </c>
      <c r="G61">
        <v>0.73353067211056</v>
      </c>
      <c r="J61">
        <v>0.72438773099999998</v>
      </c>
      <c r="K61">
        <v>0</v>
      </c>
      <c r="L61" t="s">
        <v>138</v>
      </c>
    </row>
    <row r="62" spans="1:12" x14ac:dyDescent="0.25">
      <c r="A62" t="s">
        <v>31</v>
      </c>
      <c r="B62" s="75">
        <v>42649</v>
      </c>
      <c r="C62" t="s">
        <v>32</v>
      </c>
      <c r="D62" s="75">
        <v>56528</v>
      </c>
      <c r="E62" t="s">
        <v>68</v>
      </c>
      <c r="F62">
        <v>0.75731796487521597</v>
      </c>
      <c r="G62">
        <v>0.730925794386867</v>
      </c>
      <c r="J62">
        <v>0.72239915200000004</v>
      </c>
      <c r="K62">
        <v>0</v>
      </c>
      <c r="L62" t="s">
        <v>138</v>
      </c>
    </row>
    <row r="63" spans="1:12" x14ac:dyDescent="0.25">
      <c r="A63" t="s">
        <v>31</v>
      </c>
      <c r="B63" s="75">
        <v>42649</v>
      </c>
      <c r="C63" t="s">
        <v>32</v>
      </c>
      <c r="D63" s="75">
        <v>56893</v>
      </c>
      <c r="E63" t="s">
        <v>69</v>
      </c>
      <c r="F63">
        <v>0.75272737207639895</v>
      </c>
      <c r="G63">
        <v>0.72777651924550701</v>
      </c>
      <c r="J63">
        <v>0.71992486200000005</v>
      </c>
      <c r="K63">
        <v>0</v>
      </c>
      <c r="L63" t="s">
        <v>138</v>
      </c>
    </row>
    <row r="64" spans="1:12" x14ac:dyDescent="0.25">
      <c r="A64" t="s">
        <v>31</v>
      </c>
      <c r="B64" s="75">
        <v>42649</v>
      </c>
      <c r="C64" t="s">
        <v>32</v>
      </c>
      <c r="D64" s="75">
        <v>57259</v>
      </c>
      <c r="E64" t="s">
        <v>70</v>
      </c>
      <c r="F64">
        <v>0.74836336804566395</v>
      </c>
      <c r="G64">
        <v>0.72407145479251001</v>
      </c>
      <c r="J64">
        <v>0.71699999999999997</v>
      </c>
      <c r="K64">
        <v>0</v>
      </c>
      <c r="L64" t="s">
        <v>138</v>
      </c>
    </row>
    <row r="65" spans="1:12" x14ac:dyDescent="0.25">
      <c r="A65" t="s">
        <v>31</v>
      </c>
      <c r="B65" s="75">
        <v>42649</v>
      </c>
      <c r="C65" t="s">
        <v>32</v>
      </c>
      <c r="D65" s="75">
        <v>60911</v>
      </c>
      <c r="E65" t="s">
        <v>71</v>
      </c>
      <c r="F65">
        <v>0.71426276808862799</v>
      </c>
      <c r="G65">
        <v>0.67249283870891796</v>
      </c>
      <c r="J65">
        <v>0.67400000000000004</v>
      </c>
      <c r="K65">
        <v>0</v>
      </c>
      <c r="L65" t="s">
        <v>138</v>
      </c>
    </row>
    <row r="66" spans="1:12" x14ac:dyDescent="0.25">
      <c r="A66" t="s">
        <v>31</v>
      </c>
      <c r="B66" s="75">
        <v>42649</v>
      </c>
      <c r="C66" t="s">
        <v>32</v>
      </c>
      <c r="D66" s="75">
        <v>64564</v>
      </c>
      <c r="E66" t="s">
        <v>72</v>
      </c>
      <c r="F66">
        <v>0.68205806211240605</v>
      </c>
      <c r="G66">
        <v>0.63723948871014302</v>
      </c>
      <c r="J66">
        <v>0.64400000000000002</v>
      </c>
      <c r="K66">
        <v>0</v>
      </c>
      <c r="L66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2016-09-21T12:40:24Z</dcterms:created>
  <dcterms:modified xsi:type="dcterms:W3CDTF">2016-10-04T15:24:27Z</dcterms:modified>
</cp:coreProperties>
</file>