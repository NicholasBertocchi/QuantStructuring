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470" yWindow="-15" windowWidth="16500" windowHeight="11970" tabRatio="858" firstSheet="4" activeTab="10"/>
  </bookViews>
  <sheets>
    <sheet name="Triggers" sheetId="8" r:id="rId1"/>
    <sheet name="EUR Curves" sheetId="10" r:id="rId2"/>
    <sheet name="USD Curves" sheetId="11" r:id="rId3"/>
    <sheet name="SEK Curves" sheetId="34" r:id="rId4"/>
    <sheet name="USDBASIS(EURON)" sheetId="27" r:id="rId5"/>
    <sheet name="SEKBASIS(EURON)" sheetId="35" r:id="rId6"/>
    <sheet name="SEKBASIS(EURON,USD)" sheetId="31" r:id="rId7"/>
    <sheet name="USDBASIS(EURSTD)" sheetId="29" r:id="rId8"/>
    <sheet name="SEKBASIS(EURSTD)" sheetId="36" r:id="rId9"/>
    <sheet name="SEKBASIS(EURSTD,USD)" sheetId="32" r:id="rId10"/>
    <sheet name="SwapPricer" sheetId="33" r:id="rId11"/>
    <sheet name="dvCurveBootstrapperOptions" sheetId="2" state="hidden" r:id="rId12"/>
  </sheets>
  <functionGroups builtInGroupCount="17"/>
  <definedNames>
    <definedName name="dvBool">dvCurveBootstrapperOptions!$H$3:$H$4</definedName>
    <definedName name="dvCurveBootstrapperCompounding">dvCurveBootstrapperOptions!$E$15:$E$17</definedName>
    <definedName name="dvCurveBootstrapperDayCount">dvCurveBootstrapperOptions!$B$3:$C$12</definedName>
    <definedName name="dvCurveBootstrapperFraFutAdjust">dvCurveBootstrapperOptions!$B$15:$C$18</definedName>
    <definedName name="dvCurveBootstrapperFutCons">dvCurveBootstrapperOptions!$E$20:$E$22</definedName>
    <definedName name="dvCurveBootstrapperFutEndDate">dvCurveBootstrapperOptions!$E$29:$E$30</definedName>
    <definedName name="dvCurveBootstrapperInterpOn">dvCurveBootstrapperOptions!$E$10:$E$12</definedName>
    <definedName name="dvCurveBootstrapperInterpType">dvCurveBootstrapperOptions!$E$3:$E$7</definedName>
    <definedName name="dvCurveBootstrapperMatCons">dvCurveBootstrapperOptions!$E$25:$E$26</definedName>
    <definedName name="dvCurveBootstrapperOutputType">dvCurveBootstrapperOptions!$B$26:$C$27</definedName>
    <definedName name="dvCurveBootstrapperSwapMatType">dvCurveBootstrapperOptions!$B$21:$C$23</definedName>
    <definedName name="dvSwapPaymFreq">dvCurveBootstrapperOptions!$B$30:$C$33</definedName>
    <definedName name="EvaluationDate">Triggers!$D$5</definedName>
    <definedName name="FinDBVerbose" localSheetId="1">'EUR Curves'!$C$8</definedName>
    <definedName name="FinDBVerbose" localSheetId="3">'SEK Curves'!$C$8</definedName>
    <definedName name="FinDBVerbose" localSheetId="2">'USD Curves'!$C$8</definedName>
    <definedName name="IsBootstrapSheet" localSheetId="11">dvCurveBootstrapperOptions!$L$39</definedName>
    <definedName name="IsBootstrapSheet" localSheetId="1">'EUR Curves'!$B$20</definedName>
    <definedName name="IsBootstrapSheet" localSheetId="3">'SEK Curves'!$B$21</definedName>
    <definedName name="IsBootstrapSheet" localSheetId="5">'SEKBASIS(EURON)'!$C$70</definedName>
    <definedName name="IsBootstrapSheet" localSheetId="6">'SEKBASIS(EURON,USD)'!$C$70</definedName>
    <definedName name="IsBootstrapSheet" localSheetId="8">'SEKBASIS(EURSTD)'!$C$70</definedName>
    <definedName name="IsBootstrapSheet" localSheetId="9">'SEKBASIS(EURSTD,USD)'!$C$70</definedName>
    <definedName name="IsBootstrapSheet" localSheetId="10">SwapPricer!$A$1</definedName>
    <definedName name="IsBootstrapSheet" localSheetId="0">Triggers!$C$15</definedName>
    <definedName name="IsBootstrapSheet" localSheetId="2">'USD Curves'!$B$21</definedName>
    <definedName name="IsBootstrapSheet" localSheetId="4">'USDBASIS(EURON)'!$C$70</definedName>
    <definedName name="IsBootstrapSheet" localSheetId="7">'USDBASIS(EURSTD)'!$C$70</definedName>
    <definedName name="ManualTrigger">Triggers!$D$4</definedName>
    <definedName name="ObjectsTrigger">Triggers!$D$9</definedName>
    <definedName name="Override" localSheetId="1">'EUR Curves'!$F$4:$G$93,'EUR Curves'!$O$4:$P$93,'EUR Curves'!$X$4:$Y$93</definedName>
    <definedName name="Override" localSheetId="3">'SEK Curves'!$F$4:$G$93,'SEK Curves'!$O$4:$P$93,'SEK Curves'!$X$4:$Y$93</definedName>
    <definedName name="Override" localSheetId="5">'SEKBASIS(EURON)'!$J$3:$J$20,'SEKBASIS(EURON)'!$J$23:$J$23,'SEKBASIS(EURON)'!$J$26:$J$67</definedName>
    <definedName name="Override" localSheetId="6">'SEKBASIS(EURON,USD)'!$J$3:$J$20,'SEKBASIS(EURON,USD)'!$J$23:$J$23,'SEKBASIS(EURON,USD)'!$J$26:$J$67</definedName>
    <definedName name="Override" localSheetId="8">'SEKBASIS(EURSTD)'!$J$3:$J$20,'SEKBASIS(EURSTD)'!$J$23:$J$23,'SEKBASIS(EURSTD)'!$J$26:$J$67</definedName>
    <definedName name="Override" localSheetId="9">'SEKBASIS(EURSTD,USD)'!$J$3:$J$20,'SEKBASIS(EURSTD,USD)'!$J$23:$J$23,'SEKBASIS(EURSTD,USD)'!$J$26:$J$67</definedName>
    <definedName name="Override" localSheetId="2">'USD Curves'!$F$4:$G$93,'USD Curves'!$O$4:$P$93,'USD Curves'!$X$4:$Y$93</definedName>
    <definedName name="Override" localSheetId="4">'USDBASIS(EURON)'!$J$3:$J$20,'USDBASIS(EURON)'!$J$23:$J$23,'USDBASIS(EURON)'!$J$26:$J$67</definedName>
    <definedName name="Override" localSheetId="7">'USDBASIS(EURSTD)'!$J$3:$J$20,'USDBASIS(EURSTD)'!$J$23:$J$23,'USDBASIS(EURSTD)'!$J$26:$J$67</definedName>
    <definedName name="RealTime" localSheetId="1">'EUR Curves'!$D$4:$E$93,'EUR Curves'!$M$4:$N$93,'EUR Curves'!$V$4:$W$93</definedName>
    <definedName name="RealTime" localSheetId="3">'SEK Curves'!$D$4:$E$93,'SEK Curves'!$M$4:$N$93,'SEK Curves'!$V$4:$W$93</definedName>
    <definedName name="RealTime" localSheetId="5">'SEKBASIS(EURON)'!$I$3:$I$20,'SEKBASIS(EURON)'!$I$23:$I$23,'SEKBASIS(EURON)'!$I$26:$I$67</definedName>
    <definedName name="RealTime" localSheetId="6">'SEKBASIS(EURON,USD)'!$I$3:$I$20,'SEKBASIS(EURON,USD)'!$I$23:$I$23,'SEKBASIS(EURON,USD)'!$I$26:$I$67</definedName>
    <definedName name="RealTime" localSheetId="8">'SEKBASIS(EURSTD)'!$I$3:$I$20,'SEKBASIS(EURSTD)'!$I$23:$I$23,'SEKBASIS(EURSTD)'!$I$26:$I$67</definedName>
    <definedName name="RealTime" localSheetId="9">'SEKBASIS(EURSTD,USD)'!$I$3:$I$20,'SEKBASIS(EURSTD,USD)'!$I$23:$I$23,'SEKBASIS(EURSTD,USD)'!$I$26:$I$67</definedName>
    <definedName name="RealTime" localSheetId="2">'USD Curves'!$D$4:$E$93,'USD Curves'!$M$4:$N$93,'USD Curves'!$V$4:$W$93</definedName>
    <definedName name="RealTime" localSheetId="4">'USDBASIS(EURON)'!$I$3:$I$20,'USDBASIS(EURON)'!$I$23:$I$23,'USDBASIS(EURON)'!$I$26:$I$67</definedName>
    <definedName name="RealTime" localSheetId="7">'USDBASIS(EURSTD)'!$I$3:$I$20,'USDBASIS(EURSTD)'!$I$23:$I$23,'USDBASIS(EURSTD)'!$I$26:$I$67</definedName>
    <definedName name="RTDataTrigger" localSheetId="0">Triggers!$D$8</definedName>
    <definedName name="trigger" localSheetId="1">'EUR Curves'!$I$3</definedName>
    <definedName name="trigger" localSheetId="3">'SEK Curves'!$I$3</definedName>
    <definedName name="trigger" localSheetId="2">'USD Curves'!$I$3</definedName>
    <definedName name="Used" localSheetId="5">'SEKBASIS(EURON)'!$L$3:$L$20,'SEKBASIS(EURON)'!$L$23:$L$23,'SEKBASIS(EURON)'!$L$26:$L$67</definedName>
    <definedName name="Used" localSheetId="6">'SEKBASIS(EURON,USD)'!$L$3:$L$20,'SEKBASIS(EURON,USD)'!$L$23:$L$23,'SEKBASIS(EURON,USD)'!$L$26:$L$67</definedName>
    <definedName name="Used" localSheetId="8">'SEKBASIS(EURSTD)'!$L$3:$L$20,'SEKBASIS(EURSTD)'!$L$23:$L$23,'SEKBASIS(EURSTD)'!$L$26:$L$67</definedName>
    <definedName name="Used" localSheetId="9">'SEKBASIS(EURSTD,USD)'!$L$3:$L$20,'SEKBASIS(EURSTD,USD)'!$L$23:$L$23,'SEKBASIS(EURSTD,USD)'!$L$26:$L$67</definedName>
    <definedName name="Used" localSheetId="4">'USDBASIS(EURON)'!$L$3:$L$20,'USDBASIS(EURON)'!$L$23:$L$23,'USDBASIS(EURON)'!$L$26:$L$67</definedName>
    <definedName name="Used" localSheetId="7">'USDBASIS(EURSTD)'!$L$3:$L$20,'USDBASIS(EURSTD)'!$L$23:$L$23,'USDBASIS(EURSTD)'!$L$26:$L$67</definedName>
  </definedNames>
  <calcPr calcId="145621"/>
</workbook>
</file>

<file path=xl/calcChain.xml><?xml version="1.0" encoding="utf-8"?>
<calcChain xmlns="http://schemas.openxmlformats.org/spreadsheetml/2006/main">
  <c r="C35" i="33" l="1"/>
  <c r="G12" i="33"/>
  <c r="G44" i="33"/>
  <c r="G22" i="33"/>
  <c r="D38" i="33" l="1"/>
  <c r="C38" i="33"/>
  <c r="D37" i="33"/>
  <c r="C37" i="33"/>
  <c r="D36" i="33"/>
  <c r="C36" i="33"/>
  <c r="C36" i="33" a="1"/>
  <c r="D39" i="33" s="1"/>
  <c r="D47" i="33"/>
  <c r="C47" i="33"/>
  <c r="D46" i="33"/>
  <c r="C46" i="33"/>
  <c r="D45" i="33"/>
  <c r="C45" i="33"/>
  <c r="C45" i="33" a="1"/>
  <c r="D48" i="33" s="1"/>
  <c r="C40" i="33" a="1"/>
  <c r="C40" i="33"/>
  <c r="C34" i="33"/>
  <c r="C33" i="33"/>
  <c r="G48" i="33"/>
  <c r="H47" i="33"/>
  <c r="G47" i="33"/>
  <c r="G45" i="33" a="1"/>
  <c r="H46" i="33" s="1"/>
  <c r="G39" i="33"/>
  <c r="H38" i="33"/>
  <c r="G38" i="33"/>
  <c r="G36" i="33" a="1"/>
  <c r="H37" i="33" s="1"/>
  <c r="G35" i="33"/>
  <c r="G34" i="33"/>
  <c r="G33" i="33"/>
  <c r="H32" i="33"/>
  <c r="D32" i="33"/>
  <c r="C69" i="36"/>
  <c r="B69" i="36"/>
  <c r="C68" i="36"/>
  <c r="B68" i="36"/>
  <c r="C67" i="36"/>
  <c r="B67" i="36"/>
  <c r="C66" i="36"/>
  <c r="B66" i="36"/>
  <c r="C65" i="36"/>
  <c r="B65" i="36"/>
  <c r="C64" i="36"/>
  <c r="B64" i="36"/>
  <c r="C63" i="36"/>
  <c r="B63" i="36"/>
  <c r="C62" i="36"/>
  <c r="B62" i="36"/>
  <c r="C61" i="36"/>
  <c r="B61" i="36"/>
  <c r="C60" i="36"/>
  <c r="B60" i="36"/>
  <c r="C59" i="36"/>
  <c r="B59" i="36"/>
  <c r="C58" i="36"/>
  <c r="B58" i="36"/>
  <c r="C57" i="36"/>
  <c r="B57" i="36"/>
  <c r="B56" i="36"/>
  <c r="C55" i="36"/>
  <c r="C54" i="36"/>
  <c r="B53" i="36"/>
  <c r="B52" i="36"/>
  <c r="B51" i="36"/>
  <c r="B50" i="36"/>
  <c r="B49" i="36"/>
  <c r="B48" i="36"/>
  <c r="C45" i="36"/>
  <c r="AJ33" i="36"/>
  <c r="AJ32" i="36"/>
  <c r="M29" i="36"/>
  <c r="M30" i="36" s="1"/>
  <c r="M31" i="36" s="1"/>
  <c r="M32" i="36" s="1"/>
  <c r="M33" i="36" s="1"/>
  <c r="M34" i="36" s="1"/>
  <c r="M35" i="36" s="1"/>
  <c r="M36" i="36" s="1"/>
  <c r="M37" i="36" s="1"/>
  <c r="M38" i="36" s="1"/>
  <c r="M39" i="36" s="1"/>
  <c r="M40" i="36" s="1"/>
  <c r="M41" i="36" s="1"/>
  <c r="M42" i="36" s="1"/>
  <c r="M43" i="36" s="1"/>
  <c r="M44" i="36" s="1"/>
  <c r="M45" i="36" s="1"/>
  <c r="M46" i="36" s="1"/>
  <c r="M47" i="36" s="1"/>
  <c r="M48" i="36" s="1"/>
  <c r="M49" i="36" s="1"/>
  <c r="M50" i="36" s="1"/>
  <c r="M51" i="36" s="1"/>
  <c r="M52" i="36" s="1"/>
  <c r="M53" i="36" s="1"/>
  <c r="M54" i="36" s="1"/>
  <c r="M55" i="36" s="1"/>
  <c r="M56" i="36" s="1"/>
  <c r="M57" i="36" s="1"/>
  <c r="M58" i="36" s="1"/>
  <c r="M59" i="36" s="1"/>
  <c r="M60" i="36" s="1"/>
  <c r="M61" i="36" s="1"/>
  <c r="M62" i="36" s="1"/>
  <c r="M63" i="36" s="1"/>
  <c r="M64" i="36" s="1"/>
  <c r="M65" i="36" s="1"/>
  <c r="M66" i="36" s="1"/>
  <c r="M67" i="36" s="1"/>
  <c r="M28" i="36"/>
  <c r="M27" i="36"/>
  <c r="F23" i="36"/>
  <c r="N20" i="36"/>
  <c r="F20" i="36"/>
  <c r="N19" i="36"/>
  <c r="F19" i="36"/>
  <c r="N18" i="36"/>
  <c r="F18" i="36"/>
  <c r="N17" i="36"/>
  <c r="F17" i="36"/>
  <c r="N16" i="36"/>
  <c r="F16" i="36"/>
  <c r="N15" i="36"/>
  <c r="F15" i="36"/>
  <c r="N14" i="36"/>
  <c r="F14" i="36"/>
  <c r="N13" i="36"/>
  <c r="F13" i="36"/>
  <c r="N12" i="36"/>
  <c r="F12" i="36"/>
  <c r="AI11" i="36"/>
  <c r="N11" i="36"/>
  <c r="F11" i="36"/>
  <c r="N10" i="36"/>
  <c r="F10" i="36"/>
  <c r="N9" i="36"/>
  <c r="F9" i="36"/>
  <c r="N8" i="36"/>
  <c r="F8" i="36"/>
  <c r="N7" i="36"/>
  <c r="F7" i="36"/>
  <c r="N6" i="36"/>
  <c r="N5" i="36"/>
  <c r="F5" i="36"/>
  <c r="N4" i="36"/>
  <c r="M4" i="36"/>
  <c r="M5" i="36" s="1"/>
  <c r="M6" i="36" s="1"/>
  <c r="M7" i="36" s="1"/>
  <c r="M8" i="36" s="1"/>
  <c r="M9" i="36" s="1"/>
  <c r="M10" i="36" s="1"/>
  <c r="M11" i="36" s="1"/>
  <c r="M12" i="36" s="1"/>
  <c r="M13" i="36" s="1"/>
  <c r="M14" i="36" s="1"/>
  <c r="M15" i="36" s="1"/>
  <c r="M16" i="36" s="1"/>
  <c r="M17" i="36" s="1"/>
  <c r="M18" i="36" s="1"/>
  <c r="M19" i="36" s="1"/>
  <c r="M20" i="36" s="1"/>
  <c r="F4" i="36"/>
  <c r="N3" i="36"/>
  <c r="F3" i="36"/>
  <c r="S2" i="36"/>
  <c r="O3" i="36" s="1"/>
  <c r="S2" i="36" a="1"/>
  <c r="C69" i="35"/>
  <c r="B69" i="35"/>
  <c r="C68" i="35"/>
  <c r="B68" i="35"/>
  <c r="C67" i="35"/>
  <c r="B67" i="35"/>
  <c r="C66" i="35"/>
  <c r="B66" i="35"/>
  <c r="C65" i="35"/>
  <c r="B65" i="35"/>
  <c r="C64" i="35"/>
  <c r="B64" i="35"/>
  <c r="C63" i="35"/>
  <c r="B63" i="35"/>
  <c r="C62" i="35"/>
  <c r="B62" i="35"/>
  <c r="C61" i="35"/>
  <c r="B61" i="35"/>
  <c r="C60" i="35"/>
  <c r="B60" i="35"/>
  <c r="C59" i="35"/>
  <c r="B59" i="35"/>
  <c r="C58" i="35"/>
  <c r="B58" i="35"/>
  <c r="C57" i="35"/>
  <c r="B57" i="35"/>
  <c r="B56" i="35"/>
  <c r="C55" i="35"/>
  <c r="C54" i="35"/>
  <c r="B53" i="35"/>
  <c r="B52" i="35"/>
  <c r="B51" i="35"/>
  <c r="B50" i="35"/>
  <c r="B49" i="35"/>
  <c r="C45" i="35"/>
  <c r="AJ32" i="35"/>
  <c r="AJ33" i="35" s="1"/>
  <c r="AJ34" i="35" s="1"/>
  <c r="AJ35" i="35" s="1"/>
  <c r="AJ36" i="35" s="1"/>
  <c r="AJ37" i="35" s="1"/>
  <c r="AJ38" i="35" s="1"/>
  <c r="AJ39" i="35" s="1"/>
  <c r="AJ40" i="35" s="1"/>
  <c r="AJ41" i="35" s="1"/>
  <c r="AJ42" i="35" s="1"/>
  <c r="AJ43" i="35" s="1"/>
  <c r="AJ44" i="35" s="1"/>
  <c r="AJ45" i="35" s="1"/>
  <c r="AJ46" i="35" s="1"/>
  <c r="AJ47" i="35" s="1"/>
  <c r="M30" i="35"/>
  <c r="M31" i="35" s="1"/>
  <c r="M32" i="35" s="1"/>
  <c r="M33" i="35" s="1"/>
  <c r="M34" i="35" s="1"/>
  <c r="M35" i="35" s="1"/>
  <c r="M36" i="35" s="1"/>
  <c r="M37" i="35" s="1"/>
  <c r="M38" i="35" s="1"/>
  <c r="M39" i="35" s="1"/>
  <c r="M40" i="35" s="1"/>
  <c r="M41" i="35" s="1"/>
  <c r="M42" i="35" s="1"/>
  <c r="M43" i="35" s="1"/>
  <c r="M44" i="35" s="1"/>
  <c r="M45" i="35" s="1"/>
  <c r="M46" i="35" s="1"/>
  <c r="M47" i="35" s="1"/>
  <c r="M48" i="35" s="1"/>
  <c r="M49" i="35" s="1"/>
  <c r="M50" i="35" s="1"/>
  <c r="M51" i="35" s="1"/>
  <c r="M52" i="35" s="1"/>
  <c r="M53" i="35" s="1"/>
  <c r="M54" i="35" s="1"/>
  <c r="M55" i="35" s="1"/>
  <c r="M56" i="35" s="1"/>
  <c r="M57" i="35" s="1"/>
  <c r="M58" i="35" s="1"/>
  <c r="M59" i="35" s="1"/>
  <c r="M60" i="35" s="1"/>
  <c r="M61" i="35" s="1"/>
  <c r="M62" i="35" s="1"/>
  <c r="M63" i="35" s="1"/>
  <c r="M64" i="35" s="1"/>
  <c r="M65" i="35" s="1"/>
  <c r="M66" i="35" s="1"/>
  <c r="M67" i="35" s="1"/>
  <c r="M28" i="35"/>
  <c r="M29" i="35" s="1"/>
  <c r="M27" i="35"/>
  <c r="F23" i="35"/>
  <c r="N20" i="35"/>
  <c r="F20" i="35"/>
  <c r="N19" i="35"/>
  <c r="F19" i="35"/>
  <c r="N18" i="35"/>
  <c r="F18" i="35"/>
  <c r="N17" i="35"/>
  <c r="F17" i="35"/>
  <c r="N16" i="35"/>
  <c r="F16" i="35"/>
  <c r="N15" i="35"/>
  <c r="F15" i="35"/>
  <c r="N14" i="35"/>
  <c r="F14" i="35"/>
  <c r="N13" i="35"/>
  <c r="F13" i="35"/>
  <c r="N12" i="35"/>
  <c r="F12" i="35"/>
  <c r="AI11" i="35"/>
  <c r="N11" i="35"/>
  <c r="F11" i="35"/>
  <c r="N10" i="35"/>
  <c r="F10" i="35"/>
  <c r="N9" i="35"/>
  <c r="F9" i="35"/>
  <c r="N8" i="35"/>
  <c r="F8" i="35"/>
  <c r="B48" i="35"/>
  <c r="N7" i="35"/>
  <c r="M7" i="35"/>
  <c r="M8" i="35" s="1"/>
  <c r="M9" i="35" s="1"/>
  <c r="M10" i="35" s="1"/>
  <c r="M11" i="35" s="1"/>
  <c r="M12" i="35" s="1"/>
  <c r="M13" i="35" s="1"/>
  <c r="M14" i="35" s="1"/>
  <c r="M15" i="35" s="1"/>
  <c r="M16" i="35" s="1"/>
  <c r="M17" i="35" s="1"/>
  <c r="M18" i="35" s="1"/>
  <c r="M19" i="35" s="1"/>
  <c r="M20" i="35" s="1"/>
  <c r="F7" i="35"/>
  <c r="N6" i="35"/>
  <c r="N5" i="35"/>
  <c r="F5" i="35"/>
  <c r="N4" i="35"/>
  <c r="M4" i="35"/>
  <c r="M5" i="35" s="1"/>
  <c r="M6" i="35" s="1"/>
  <c r="F4" i="35"/>
  <c r="N3" i="35"/>
  <c r="F3" i="35"/>
  <c r="S2" i="35" a="1"/>
  <c r="S2" i="35" s="1"/>
  <c r="O3" i="35" s="1"/>
  <c r="U9" i="34"/>
  <c r="L9" i="34"/>
  <c r="C9" i="34"/>
  <c r="B49" i="33"/>
  <c r="F49" i="33"/>
  <c r="Z46" i="36"/>
  <c r="Z59" i="36"/>
  <c r="AA65" i="36"/>
  <c r="AA52" i="36"/>
  <c r="Z60" i="36"/>
  <c r="Z37" i="36"/>
  <c r="AA72" i="36"/>
  <c r="Z22" i="36"/>
  <c r="AA33" i="36"/>
  <c r="AA13" i="36"/>
  <c r="Z24" i="36"/>
  <c r="AA10" i="36"/>
  <c r="AA19" i="36"/>
  <c r="AA34" i="36"/>
  <c r="Z16" i="36"/>
  <c r="Z55" i="35"/>
  <c r="AA41" i="35"/>
  <c r="Z42" i="35"/>
  <c r="AA16" i="35"/>
  <c r="AA60" i="35"/>
  <c r="Z60" i="35"/>
  <c r="AA17" i="35"/>
  <c r="Z19" i="35"/>
  <c r="AA65" i="35"/>
  <c r="Z39" i="35"/>
  <c r="AA15" i="35"/>
  <c r="AA40" i="35"/>
  <c r="Z72" i="35"/>
  <c r="Z57" i="35"/>
  <c r="Z61" i="35"/>
  <c r="AA22" i="36"/>
  <c r="AA21" i="36"/>
  <c r="Z10" i="36"/>
  <c r="Z63" i="36"/>
  <c r="AA54" i="35"/>
  <c r="AA71" i="35"/>
  <c r="AA13" i="35"/>
  <c r="AA56" i="35"/>
  <c r="Z15" i="35"/>
  <c r="Z17" i="35"/>
  <c r="AA52" i="35"/>
  <c r="AA36" i="35"/>
  <c r="AA23" i="35"/>
  <c r="AA31" i="35"/>
  <c r="Z20" i="35"/>
  <c r="Z27" i="35"/>
  <c r="AA33" i="35"/>
  <c r="AA27" i="35"/>
  <c r="Z8" i="35"/>
  <c r="AA43" i="35"/>
  <c r="C15" i="35"/>
  <c r="AA51" i="35"/>
  <c r="Z47" i="36"/>
  <c r="Z38" i="36"/>
  <c r="AA27" i="36"/>
  <c r="AA59" i="35"/>
  <c r="AA62" i="35"/>
  <c r="AA72" i="35"/>
  <c r="Z24" i="35"/>
  <c r="Z45" i="36"/>
  <c r="Z54" i="36"/>
  <c r="Z71" i="36"/>
  <c r="AA40" i="36"/>
  <c r="Z57" i="36"/>
  <c r="Z36" i="36"/>
  <c r="AA67" i="36"/>
  <c r="Z72" i="36"/>
  <c r="Z68" i="36"/>
  <c r="AA8" i="36"/>
  <c r="AA32" i="36"/>
  <c r="Z70" i="35"/>
  <c r="Z56" i="35"/>
  <c r="AA14" i="35"/>
  <c r="AA15" i="36"/>
  <c r="Z32" i="35"/>
  <c r="Z69" i="36"/>
  <c r="AA17" i="36"/>
  <c r="AA22" i="35"/>
  <c r="Z51" i="35"/>
  <c r="AA70" i="36"/>
  <c r="AA44" i="36"/>
  <c r="AA53" i="36"/>
  <c r="Z65" i="36"/>
  <c r="AA39" i="36"/>
  <c r="AA55" i="36"/>
  <c r="Z35" i="36"/>
  <c r="Z64" i="36"/>
  <c r="AA68" i="36"/>
  <c r="Z18" i="36"/>
  <c r="AA51" i="36"/>
  <c r="AA64" i="36"/>
  <c r="Z4" i="36"/>
  <c r="Z8" i="36"/>
  <c r="AA4" i="36"/>
  <c r="Z5" i="36"/>
  <c r="Z47" i="35"/>
  <c r="Z66" i="35"/>
  <c r="AA67" i="35"/>
  <c r="AA5" i="35"/>
  <c r="Z53" i="35"/>
  <c r="Z50" i="35"/>
  <c r="Z13" i="35"/>
  <c r="Z9" i="35"/>
  <c r="AA47" i="35"/>
  <c r="AA32" i="35"/>
  <c r="Z33" i="35"/>
  <c r="Z3" i="35"/>
  <c r="Z40" i="35"/>
  <c r="AA69" i="35"/>
  <c r="AA46" i="35"/>
  <c r="Z35" i="35"/>
  <c r="AA35" i="35"/>
  <c r="AA42" i="36"/>
  <c r="AA61" i="36"/>
  <c r="AA47" i="36"/>
  <c r="AA48" i="36"/>
  <c r="AA5" i="36"/>
  <c r="Z31" i="36"/>
  <c r="AA20" i="36"/>
  <c r="AA14" i="36"/>
  <c r="Z54" i="35"/>
  <c r="Z41" i="35"/>
  <c r="Z49" i="35"/>
  <c r="AA8" i="35"/>
  <c r="Z18" i="35"/>
  <c r="AA10" i="35"/>
  <c r="AA24" i="35"/>
  <c r="Z34" i="35"/>
  <c r="Z64" i="35"/>
  <c r="Z66" i="36"/>
  <c r="AA45" i="36"/>
  <c r="Z27" i="36"/>
  <c r="Z62" i="35"/>
  <c r="AA58" i="35"/>
  <c r="AA66" i="36"/>
  <c r="AA43" i="36"/>
  <c r="Z44" i="36"/>
  <c r="Z58" i="36"/>
  <c r="AA38" i="36"/>
  <c r="Z52" i="36"/>
  <c r="Z34" i="36"/>
  <c r="AA49" i="36"/>
  <c r="Z67" i="36"/>
  <c r="Z9" i="36"/>
  <c r="Z50" i="36"/>
  <c r="AA56" i="36"/>
  <c r="Z3" i="36"/>
  <c r="AA62" i="36"/>
  <c r="Z17" i="36"/>
  <c r="C15" i="36"/>
  <c r="Z46" i="35"/>
  <c r="Z59" i="35"/>
  <c r="AA63" i="35"/>
  <c r="AA3" i="35"/>
  <c r="AA50" i="35"/>
  <c r="Z48" i="35"/>
  <c r="AA9" i="35"/>
  <c r="Z4" i="35"/>
  <c r="AA37" i="35"/>
  <c r="Z21" i="35"/>
  <c r="AA20" i="35"/>
  <c r="Z31" i="35"/>
  <c r="AA39" i="35"/>
  <c r="AA59" i="36"/>
  <c r="Z43" i="36"/>
  <c r="AA37" i="36"/>
  <c r="Z33" i="36"/>
  <c r="AA50" i="36"/>
  <c r="AA63" i="36"/>
  <c r="Z19" i="36"/>
  <c r="AA31" i="36"/>
  <c r="Z45" i="35"/>
  <c r="Z58" i="35"/>
  <c r="AA48" i="35"/>
  <c r="AA4" i="35"/>
  <c r="Z16" i="35"/>
  <c r="Z23" i="35"/>
  <c r="Z44" i="35"/>
  <c r="AA34" i="35"/>
  <c r="AA57" i="35"/>
  <c r="AA71" i="36"/>
  <c r="AA9" i="36"/>
  <c r="Z53" i="36"/>
  <c r="Z43" i="35"/>
  <c r="Z71" i="35"/>
  <c r="AA61" i="35"/>
  <c r="Z55" i="36"/>
  <c r="AA41" i="36"/>
  <c r="Z42" i="36"/>
  <c r="AA60" i="36"/>
  <c r="AA36" i="36"/>
  <c r="Z40" i="36"/>
  <c r="Z32" i="36"/>
  <c r="AA18" i="36"/>
  <c r="Z49" i="36"/>
  <c r="AA3" i="36"/>
  <c r="Z51" i="36"/>
  <c r="Z21" i="36"/>
  <c r="AA23" i="36"/>
  <c r="Z62" i="36"/>
  <c r="Z23" i="36"/>
  <c r="AA70" i="35"/>
  <c r="AA44" i="35"/>
  <c r="AA53" i="35"/>
  <c r="AA45" i="35"/>
  <c r="Z67" i="35"/>
  <c r="AA68" i="35"/>
  <c r="AA38" i="35"/>
  <c r="Z38" i="35"/>
  <c r="AA21" i="35"/>
  <c r="Z65" i="35"/>
  <c r="Z36" i="35"/>
  <c r="Z14" i="35"/>
  <c r="Z5" i="35"/>
  <c r="AA55" i="35"/>
  <c r="Z69" i="35"/>
  <c r="Z10" i="35"/>
  <c r="AA54" i="36"/>
  <c r="Z41" i="36"/>
  <c r="AA58" i="36"/>
  <c r="AA35" i="36"/>
  <c r="Z39" i="36"/>
  <c r="AA69" i="36"/>
  <c r="Z48" i="36"/>
  <c r="AA24" i="36"/>
  <c r="AA46" i="36"/>
  <c r="Z14" i="36"/>
  <c r="Z20" i="36"/>
  <c r="AA66" i="35"/>
  <c r="AA64" i="35"/>
  <c r="Z52" i="35"/>
  <c r="AA49" i="35"/>
  <c r="Z61" i="36"/>
  <c r="Z13" i="36"/>
  <c r="AA42" i="35"/>
  <c r="AA19" i="35"/>
  <c r="AA18" i="35"/>
  <c r="Z70" i="36"/>
  <c r="Z15" i="36"/>
  <c r="Z56" i="36"/>
  <c r="Z63" i="35"/>
  <c r="Z68" i="35"/>
  <c r="AA57" i="36"/>
  <c r="AA16" i="36"/>
  <c r="Z22" i="35"/>
  <c r="Z37" i="35"/>
  <c r="C39" i="33" l="1"/>
  <c r="C48" i="33"/>
  <c r="H39" i="33"/>
  <c r="H36" i="33"/>
  <c r="H45" i="33"/>
  <c r="G37" i="33"/>
  <c r="H48" i="33"/>
  <c r="G36" i="33"/>
  <c r="G40" i="33"/>
  <c r="G45" i="33"/>
  <c r="G46" i="33"/>
  <c r="I5" i="36"/>
  <c r="L5" i="36" s="1"/>
  <c r="AF63" i="36"/>
  <c r="I12" i="36"/>
  <c r="L12" i="36" s="1"/>
  <c r="I23" i="36"/>
  <c r="L23" i="36" s="1"/>
  <c r="I19" i="36"/>
  <c r="L19" i="36" s="1"/>
  <c r="I13" i="36"/>
  <c r="L13" i="36" s="1"/>
  <c r="I16" i="36"/>
  <c r="L16" i="36" s="1"/>
  <c r="AF62" i="36"/>
  <c r="I6" i="36"/>
  <c r="L6" i="36" s="1"/>
  <c r="I8" i="36"/>
  <c r="L8" i="36" s="1"/>
  <c r="AF53" i="36"/>
  <c r="AF56" i="36"/>
  <c r="I15" i="36"/>
  <c r="L15" i="36" s="1"/>
  <c r="I9" i="36"/>
  <c r="L9" i="36" s="1"/>
  <c r="I10" i="36"/>
  <c r="L10" i="36" s="1"/>
  <c r="I17" i="36"/>
  <c r="L17" i="36" s="1"/>
  <c r="AF31" i="36"/>
  <c r="I20" i="36"/>
  <c r="L20" i="36" s="1"/>
  <c r="AF51" i="36"/>
  <c r="AF50" i="36"/>
  <c r="AF68" i="36"/>
  <c r="I7" i="36"/>
  <c r="L7" i="36" s="1"/>
  <c r="I14" i="36"/>
  <c r="L14" i="36" s="1"/>
  <c r="AF48" i="36"/>
  <c r="AF49" i="36"/>
  <c r="AF67" i="36"/>
  <c r="AF72" i="36"/>
  <c r="I18" i="36"/>
  <c r="L18" i="36" s="1"/>
  <c r="I11" i="36"/>
  <c r="L11" i="36" s="1"/>
  <c r="AF64" i="36"/>
  <c r="AF69" i="36"/>
  <c r="AF32" i="36"/>
  <c r="AF33" i="36"/>
  <c r="AF34" i="36"/>
  <c r="AF35" i="36"/>
  <c r="AF36" i="36"/>
  <c r="AF37" i="36"/>
  <c r="AF38" i="36"/>
  <c r="AF39" i="36"/>
  <c r="AF40" i="36"/>
  <c r="AF52" i="36"/>
  <c r="AF57" i="36"/>
  <c r="AF60" i="36"/>
  <c r="AF61" i="36"/>
  <c r="AF58" i="36"/>
  <c r="AF65" i="36"/>
  <c r="AF71" i="36"/>
  <c r="AF41" i="36"/>
  <c r="AF42" i="36"/>
  <c r="AF43" i="36"/>
  <c r="AF44" i="36"/>
  <c r="AF54" i="36"/>
  <c r="AF59" i="36"/>
  <c r="AF66" i="36"/>
  <c r="AF70" i="36"/>
  <c r="AF45" i="36"/>
  <c r="AF46" i="36"/>
  <c r="AF47" i="36"/>
  <c r="AF55" i="36"/>
  <c r="AJ34" i="36"/>
  <c r="AJ35" i="36" s="1"/>
  <c r="AJ36" i="36" s="1"/>
  <c r="AJ37" i="36" s="1"/>
  <c r="AJ38" i="36" s="1"/>
  <c r="AJ39" i="36" s="1"/>
  <c r="AJ40" i="36" s="1"/>
  <c r="AJ41" i="36" s="1"/>
  <c r="AJ42" i="36" s="1"/>
  <c r="AJ43" i="36" s="1"/>
  <c r="AJ44" i="36" s="1"/>
  <c r="AJ45" i="36" s="1"/>
  <c r="AJ46" i="36" s="1"/>
  <c r="AJ47" i="36" s="1"/>
  <c r="AJ48" i="36" s="1"/>
  <c r="AJ49" i="36" s="1"/>
  <c r="AJ50" i="36" s="1"/>
  <c r="AJ51" i="36" s="1"/>
  <c r="AJ52" i="36" s="1"/>
  <c r="AJ53" i="36" s="1"/>
  <c r="AJ54" i="36" s="1"/>
  <c r="AJ55" i="36" s="1"/>
  <c r="AJ56" i="36" s="1"/>
  <c r="AJ57" i="36" s="1"/>
  <c r="AJ58" i="36" s="1"/>
  <c r="AJ59" i="36" s="1"/>
  <c r="AJ60" i="36" s="1"/>
  <c r="AJ61" i="36" s="1"/>
  <c r="AJ62" i="36" s="1"/>
  <c r="AJ63" i="36" s="1"/>
  <c r="AJ64" i="36" s="1"/>
  <c r="AJ65" i="36" s="1"/>
  <c r="AJ66" i="36" s="1"/>
  <c r="AJ67" i="36" s="1"/>
  <c r="AJ68" i="36" s="1"/>
  <c r="AJ69" i="36" s="1"/>
  <c r="AJ70" i="36" s="1"/>
  <c r="AJ71" i="36" s="1"/>
  <c r="AJ72" i="36" s="1"/>
  <c r="Q3" i="36"/>
  <c r="P3" i="36"/>
  <c r="O4" i="36"/>
  <c r="AF51" i="35"/>
  <c r="I8" i="35"/>
  <c r="L8" i="35" s="1"/>
  <c r="I23" i="35"/>
  <c r="L23" i="35" s="1"/>
  <c r="AF61" i="35"/>
  <c r="AF37" i="35"/>
  <c r="AF69" i="35"/>
  <c r="I6" i="35"/>
  <c r="L6" i="35" s="1"/>
  <c r="I16" i="35"/>
  <c r="L16" i="35" s="1"/>
  <c r="AF57" i="35"/>
  <c r="I20" i="35"/>
  <c r="L20" i="35" s="1"/>
  <c r="I19" i="35"/>
  <c r="L19" i="35" s="1"/>
  <c r="AF31" i="35"/>
  <c r="AF40" i="35"/>
  <c r="AF72" i="35"/>
  <c r="AF64" i="35"/>
  <c r="I5" i="35"/>
  <c r="L5" i="35" s="1"/>
  <c r="AF35" i="35"/>
  <c r="AF68" i="35"/>
  <c r="I10" i="35"/>
  <c r="L10" i="35" s="1"/>
  <c r="I14" i="35"/>
  <c r="L14" i="35" s="1"/>
  <c r="AF33" i="35"/>
  <c r="AF32" i="35"/>
  <c r="AF36" i="35"/>
  <c r="I12" i="35"/>
  <c r="L12" i="35" s="1"/>
  <c r="I17" i="35"/>
  <c r="L17" i="35" s="1"/>
  <c r="AF39" i="35"/>
  <c r="AF52" i="35"/>
  <c r="AF65" i="35"/>
  <c r="AF71" i="35"/>
  <c r="I7" i="35"/>
  <c r="L7" i="35" s="1"/>
  <c r="I13" i="35"/>
  <c r="L13" i="35" s="1"/>
  <c r="I15" i="35"/>
  <c r="L15" i="35" s="1"/>
  <c r="AF34" i="35"/>
  <c r="AF38" i="35"/>
  <c r="I9" i="35"/>
  <c r="L9" i="35" s="1"/>
  <c r="I11" i="35"/>
  <c r="L11" i="35" s="1"/>
  <c r="AF49" i="35"/>
  <c r="AF48" i="35"/>
  <c r="AF50" i="35"/>
  <c r="AF56" i="35"/>
  <c r="AF60" i="35"/>
  <c r="AF62" i="35"/>
  <c r="AF53" i="35"/>
  <c r="AF63" i="35"/>
  <c r="AF67" i="35"/>
  <c r="AF41" i="35"/>
  <c r="I18" i="35"/>
  <c r="L18" i="35" s="1"/>
  <c r="AF58" i="35"/>
  <c r="AF42" i="35"/>
  <c r="AF43" i="35"/>
  <c r="AF44" i="35"/>
  <c r="AF54" i="35"/>
  <c r="AF59" i="35"/>
  <c r="AF66" i="35"/>
  <c r="AF70" i="35"/>
  <c r="AF45" i="35"/>
  <c r="AF46" i="35"/>
  <c r="AF47" i="35"/>
  <c r="AF55" i="35"/>
  <c r="P3" i="35"/>
  <c r="Q3" i="35"/>
  <c r="AJ48" i="35"/>
  <c r="AJ49" i="35" s="1"/>
  <c r="AJ50" i="35" s="1"/>
  <c r="AJ51" i="35" s="1"/>
  <c r="AJ52" i="35" s="1"/>
  <c r="AJ53" i="35" s="1"/>
  <c r="AJ54" i="35" s="1"/>
  <c r="AJ55" i="35" s="1"/>
  <c r="AJ56" i="35" s="1"/>
  <c r="AJ57" i="35" s="1"/>
  <c r="AJ58" i="35" s="1"/>
  <c r="AJ59" i="35" s="1"/>
  <c r="AJ60" i="35" s="1"/>
  <c r="AJ61" i="35" s="1"/>
  <c r="AJ62" i="35" s="1"/>
  <c r="AJ63" i="35" s="1"/>
  <c r="AJ64" i="35" s="1"/>
  <c r="AJ65" i="35" s="1"/>
  <c r="AJ66" i="35" s="1"/>
  <c r="AJ67" i="35" s="1"/>
  <c r="AJ68" i="35" s="1"/>
  <c r="AJ69" i="35" s="1"/>
  <c r="AJ70" i="35" s="1"/>
  <c r="AJ71" i="35" s="1"/>
  <c r="AJ72" i="35" s="1"/>
  <c r="AQ31" i="35" a="1"/>
  <c r="O4" i="35"/>
  <c r="AI11" i="29"/>
  <c r="AI11" i="31"/>
  <c r="AI11" i="32"/>
  <c r="AI11" i="27"/>
  <c r="I40" i="36" l="1"/>
  <c r="L40" i="36" s="1"/>
  <c r="AG45" i="36"/>
  <c r="I35" i="36"/>
  <c r="L35" i="36" s="1"/>
  <c r="AG40" i="36"/>
  <c r="AG32" i="36"/>
  <c r="I27" i="36"/>
  <c r="L27" i="36" s="1"/>
  <c r="AG62" i="36"/>
  <c r="I57" i="36"/>
  <c r="L57" i="36" s="1"/>
  <c r="S3" i="36"/>
  <c r="R3" i="36"/>
  <c r="AG65" i="36"/>
  <c r="I60" i="36"/>
  <c r="L60" i="36" s="1"/>
  <c r="AG58" i="36"/>
  <c r="I53" i="36"/>
  <c r="L53" i="36" s="1"/>
  <c r="I32" i="36"/>
  <c r="L32" i="36" s="1"/>
  <c r="AG37" i="36"/>
  <c r="AQ31" i="36" a="1"/>
  <c r="AG61" i="36"/>
  <c r="I56" i="36"/>
  <c r="L56" i="36" s="1"/>
  <c r="AG36" i="36"/>
  <c r="I31" i="36"/>
  <c r="L31" i="36" s="1"/>
  <c r="AG55" i="36"/>
  <c r="I50" i="36"/>
  <c r="L50" i="36" s="1"/>
  <c r="I55" i="36"/>
  <c r="L55" i="36" s="1"/>
  <c r="AG60" i="36"/>
  <c r="I42" i="36"/>
  <c r="L42" i="36" s="1"/>
  <c r="AG47" i="36"/>
  <c r="AG43" i="36"/>
  <c r="I38" i="36"/>
  <c r="L38" i="36" s="1"/>
  <c r="I52" i="36"/>
  <c r="L52" i="36" s="1"/>
  <c r="AG57" i="36"/>
  <c r="AG34" i="36"/>
  <c r="I29" i="36"/>
  <c r="L29" i="36" s="1"/>
  <c r="I62" i="36"/>
  <c r="L62" i="36" s="1"/>
  <c r="AG67" i="36"/>
  <c r="I58" i="36"/>
  <c r="L58" i="36" s="1"/>
  <c r="AG63" i="36"/>
  <c r="P4" i="36"/>
  <c r="O5" i="36"/>
  <c r="Q4" i="36"/>
  <c r="I36" i="36"/>
  <c r="L36" i="36" s="1"/>
  <c r="AG41" i="36"/>
  <c r="I43" i="36"/>
  <c r="L43" i="36" s="1"/>
  <c r="AG48" i="36"/>
  <c r="I65" i="36"/>
  <c r="L65" i="36" s="1"/>
  <c r="AG70" i="36"/>
  <c r="AG71" i="36"/>
  <c r="I66" i="36"/>
  <c r="L66" i="36" s="1"/>
  <c r="I34" i="36"/>
  <c r="L34" i="36" s="1"/>
  <c r="AG39" i="36"/>
  <c r="AG69" i="36"/>
  <c r="I64" i="36"/>
  <c r="L64" i="36" s="1"/>
  <c r="AG66" i="36"/>
  <c r="I61" i="36"/>
  <c r="L61" i="36" s="1"/>
  <c r="I33" i="36"/>
  <c r="L33" i="36" s="1"/>
  <c r="AG38" i="36"/>
  <c r="I59" i="36"/>
  <c r="L59" i="36" s="1"/>
  <c r="AG64" i="36"/>
  <c r="I54" i="36"/>
  <c r="L54" i="36" s="1"/>
  <c r="AG59" i="36"/>
  <c r="AG68" i="36"/>
  <c r="I63" i="36"/>
  <c r="L63" i="36" s="1"/>
  <c r="I49" i="36"/>
  <c r="L49" i="36" s="1"/>
  <c r="AG54" i="36"/>
  <c r="I45" i="36"/>
  <c r="L45" i="36" s="1"/>
  <c r="AG50" i="36"/>
  <c r="AG56" i="36"/>
  <c r="I51" i="36"/>
  <c r="L51" i="36" s="1"/>
  <c r="I39" i="36"/>
  <c r="L39" i="36" s="1"/>
  <c r="AG44" i="36"/>
  <c r="I30" i="36"/>
  <c r="L30" i="36" s="1"/>
  <c r="AG35" i="36"/>
  <c r="AG72" i="36"/>
  <c r="F67" i="36" s="1"/>
  <c r="E67" i="36" s="1"/>
  <c r="N67" i="36" s="1"/>
  <c r="I67" i="36"/>
  <c r="L67" i="36" s="1"/>
  <c r="I46" i="36"/>
  <c r="L46" i="36" s="1"/>
  <c r="AG51" i="36"/>
  <c r="AG53" i="36"/>
  <c r="I48" i="36"/>
  <c r="L48" i="36" s="1"/>
  <c r="I41" i="36"/>
  <c r="L41" i="36" s="1"/>
  <c r="AG46" i="36"/>
  <c r="I37" i="36"/>
  <c r="L37" i="36" s="1"/>
  <c r="AG42" i="36"/>
  <c r="AG52" i="36"/>
  <c r="I47" i="36"/>
  <c r="L47" i="36" s="1"/>
  <c r="I28" i="36"/>
  <c r="L28" i="36" s="1"/>
  <c r="AG33" i="36"/>
  <c r="I44" i="36"/>
  <c r="L44" i="36" s="1"/>
  <c r="AG49" i="36"/>
  <c r="AG31" i="36"/>
  <c r="I26" i="36"/>
  <c r="L26" i="36" s="1"/>
  <c r="AQ69" i="35"/>
  <c r="AQ61" i="35"/>
  <c r="AQ53" i="35"/>
  <c r="AQ45" i="35"/>
  <c r="AQ37" i="35"/>
  <c r="AQ70" i="35"/>
  <c r="AQ60" i="35"/>
  <c r="AQ51" i="35"/>
  <c r="AQ42" i="35"/>
  <c r="AQ33" i="35"/>
  <c r="AQ58" i="35"/>
  <c r="AQ31" i="35"/>
  <c r="AQ68" i="35"/>
  <c r="AQ59" i="35"/>
  <c r="AQ50" i="35"/>
  <c r="AQ41" i="35"/>
  <c r="AQ32" i="35"/>
  <c r="AQ67" i="35"/>
  <c r="AQ49" i="35"/>
  <c r="AQ40" i="35"/>
  <c r="AQ66" i="35"/>
  <c r="AQ54" i="35"/>
  <c r="AQ38" i="35"/>
  <c r="AQ65" i="35"/>
  <c r="AQ52" i="35"/>
  <c r="AQ36" i="35"/>
  <c r="AQ64" i="35"/>
  <c r="AQ34" i="35"/>
  <c r="AQ48" i="35"/>
  <c r="AQ63" i="35"/>
  <c r="AQ62" i="35"/>
  <c r="AQ46" i="35"/>
  <c r="AQ44" i="35"/>
  <c r="AQ35" i="35"/>
  <c r="AQ47" i="35"/>
  <c r="AQ57" i="35"/>
  <c r="AQ72" i="35"/>
  <c r="AQ71" i="35"/>
  <c r="AQ56" i="35"/>
  <c r="AQ55" i="35"/>
  <c r="AQ43" i="35"/>
  <c r="AQ39" i="35"/>
  <c r="I64" i="35"/>
  <c r="L64" i="35" s="1"/>
  <c r="AG69" i="35"/>
  <c r="I54" i="35"/>
  <c r="L54" i="35" s="1"/>
  <c r="AG59" i="35"/>
  <c r="I62" i="35"/>
  <c r="L62" i="35" s="1"/>
  <c r="AG67" i="35"/>
  <c r="I44" i="35"/>
  <c r="L44" i="35" s="1"/>
  <c r="AG49" i="35"/>
  <c r="AG71" i="35"/>
  <c r="I66" i="35"/>
  <c r="L66" i="35" s="1"/>
  <c r="AG33" i="35"/>
  <c r="I28" i="35"/>
  <c r="L28" i="35" s="1"/>
  <c r="AG40" i="35"/>
  <c r="I35" i="35"/>
  <c r="L35" i="35" s="1"/>
  <c r="AG37" i="35"/>
  <c r="I32" i="35"/>
  <c r="L32" i="35" s="1"/>
  <c r="AG58" i="35"/>
  <c r="I53" i="35"/>
  <c r="L53" i="35" s="1"/>
  <c r="I26" i="35"/>
  <c r="L26" i="35" s="1"/>
  <c r="AG31" i="35"/>
  <c r="I56" i="35"/>
  <c r="L56" i="35" s="1"/>
  <c r="AG61" i="35"/>
  <c r="AG45" i="35"/>
  <c r="I40" i="35"/>
  <c r="L40" i="35" s="1"/>
  <c r="AG70" i="35"/>
  <c r="I65" i="35"/>
  <c r="L65" i="35" s="1"/>
  <c r="I45" i="35"/>
  <c r="L45" i="35" s="1"/>
  <c r="AG50" i="35"/>
  <c r="AG36" i="35"/>
  <c r="I31" i="35"/>
  <c r="L31" i="35" s="1"/>
  <c r="AG66" i="35"/>
  <c r="I61" i="35"/>
  <c r="L61" i="35" s="1"/>
  <c r="AG41" i="35"/>
  <c r="I36" i="35"/>
  <c r="L36" i="35" s="1"/>
  <c r="I43" i="35"/>
  <c r="L43" i="35" s="1"/>
  <c r="AG48" i="35"/>
  <c r="I27" i="35"/>
  <c r="L27" i="35" s="1"/>
  <c r="AG32" i="35"/>
  <c r="AG72" i="35"/>
  <c r="F67" i="35" s="1"/>
  <c r="E67" i="35" s="1"/>
  <c r="N67" i="35" s="1"/>
  <c r="I67" i="35"/>
  <c r="L67" i="35" s="1"/>
  <c r="S3" i="35"/>
  <c r="R3" i="35"/>
  <c r="AG54" i="35"/>
  <c r="I49" i="35"/>
  <c r="L49" i="35" s="1"/>
  <c r="I58" i="35"/>
  <c r="L58" i="35" s="1"/>
  <c r="AG63" i="35"/>
  <c r="AG65" i="35"/>
  <c r="I60" i="35"/>
  <c r="L60" i="35" s="1"/>
  <c r="I50" i="35"/>
  <c r="L50" i="35" s="1"/>
  <c r="AG55" i="35"/>
  <c r="AG44" i="35"/>
  <c r="I39" i="35"/>
  <c r="L39" i="35" s="1"/>
  <c r="AG53" i="35"/>
  <c r="I48" i="35"/>
  <c r="L48" i="35" s="1"/>
  <c r="AG52" i="35"/>
  <c r="I47" i="35"/>
  <c r="L47" i="35" s="1"/>
  <c r="O5" i="35"/>
  <c r="Q4" i="35"/>
  <c r="P4" i="35"/>
  <c r="AG56" i="35"/>
  <c r="I51" i="35"/>
  <c r="L51" i="35" s="1"/>
  <c r="I59" i="35"/>
  <c r="L59" i="35" s="1"/>
  <c r="AG64" i="35"/>
  <c r="I42" i="35"/>
  <c r="L42" i="35" s="1"/>
  <c r="AG47" i="35"/>
  <c r="AG43" i="35"/>
  <c r="I38" i="35"/>
  <c r="L38" i="35" s="1"/>
  <c r="I57" i="35"/>
  <c r="L57" i="35" s="1"/>
  <c r="AG62" i="35"/>
  <c r="I33" i="35"/>
  <c r="L33" i="35" s="1"/>
  <c r="AG38" i="35"/>
  <c r="I34" i="35"/>
  <c r="L34" i="35" s="1"/>
  <c r="AG39" i="35"/>
  <c r="AG68" i="35"/>
  <c r="I63" i="35"/>
  <c r="L63" i="35" s="1"/>
  <c r="I41" i="35"/>
  <c r="L41" i="35" s="1"/>
  <c r="AG46" i="35"/>
  <c r="I37" i="35"/>
  <c r="L37" i="35" s="1"/>
  <c r="AG42" i="35"/>
  <c r="I55" i="35"/>
  <c r="L55" i="35" s="1"/>
  <c r="AG60" i="35"/>
  <c r="I29" i="35"/>
  <c r="L29" i="35" s="1"/>
  <c r="AG34" i="35"/>
  <c r="I30" i="35"/>
  <c r="L30" i="35" s="1"/>
  <c r="AG35" i="35"/>
  <c r="AG57" i="35"/>
  <c r="I52" i="35"/>
  <c r="L52" i="35" s="1"/>
  <c r="I46" i="35"/>
  <c r="L46" i="35" s="1"/>
  <c r="AG51" i="35"/>
  <c r="G23" i="33" a="1"/>
  <c r="G26" i="33" s="1"/>
  <c r="G13" i="33"/>
  <c r="G11" i="33"/>
  <c r="H10" i="33"/>
  <c r="D10" i="33"/>
  <c r="O7" i="33"/>
  <c r="N7" i="33"/>
  <c r="O6" i="33"/>
  <c r="N6" i="33"/>
  <c r="B27" i="33"/>
  <c r="F27" i="33"/>
  <c r="O11" i="33"/>
  <c r="Z9" i="27"/>
  <c r="Z13" i="27"/>
  <c r="AA20" i="27"/>
  <c r="Z8" i="27"/>
  <c r="AA18" i="27"/>
  <c r="AA10" i="27"/>
  <c r="AA13" i="27"/>
  <c r="Z20" i="27"/>
  <c r="Z15" i="27"/>
  <c r="AA19" i="27"/>
  <c r="AA19" i="29"/>
  <c r="AA9" i="27"/>
  <c r="Z18" i="27"/>
  <c r="AA20" i="29"/>
  <c r="Z17" i="27"/>
  <c r="Z21" i="27"/>
  <c r="AA15" i="29"/>
  <c r="AA13" i="29"/>
  <c r="Z13" i="29"/>
  <c r="AA17" i="27"/>
  <c r="AA10" i="29"/>
  <c r="AA22" i="29"/>
  <c r="AA16" i="27"/>
  <c r="AA8" i="27"/>
  <c r="Z16" i="27"/>
  <c r="Z19" i="27"/>
  <c r="AA14" i="27"/>
  <c r="AA16" i="29"/>
  <c r="Z14" i="27"/>
  <c r="AA15" i="27"/>
  <c r="AA9" i="29"/>
  <c r="AA21" i="29"/>
  <c r="AA23" i="29"/>
  <c r="AA17" i="29"/>
  <c r="AA18" i="29"/>
  <c r="Z14" i="29"/>
  <c r="AI37" i="36" l="1"/>
  <c r="AH37" i="36"/>
  <c r="AK37" i="36" s="1"/>
  <c r="F32" i="36"/>
  <c r="E32" i="36" s="1"/>
  <c r="N32" i="36" s="1"/>
  <c r="AI62" i="36"/>
  <c r="AH62" i="36"/>
  <c r="AK62" i="36" s="1"/>
  <c r="F57" i="36"/>
  <c r="E57" i="36" s="1"/>
  <c r="N57" i="36" s="1"/>
  <c r="AI49" i="36"/>
  <c r="AH49" i="36"/>
  <c r="AK49" i="36" s="1"/>
  <c r="F44" i="36"/>
  <c r="E44" i="36" s="1"/>
  <c r="N44" i="36" s="1"/>
  <c r="AI34" i="36"/>
  <c r="AH34" i="36"/>
  <c r="AK34" i="36" s="1"/>
  <c r="F29" i="36"/>
  <c r="E29" i="36" s="1"/>
  <c r="N29" i="36" s="1"/>
  <c r="AI57" i="36"/>
  <c r="AH57" i="36"/>
  <c r="AK57" i="36" s="1"/>
  <c r="F52" i="36"/>
  <c r="E52" i="36" s="1"/>
  <c r="N52" i="36" s="1"/>
  <c r="S4" i="36"/>
  <c r="R4" i="36"/>
  <c r="AH66" i="36"/>
  <c r="AK66" i="36" s="1"/>
  <c r="F61" i="36"/>
  <c r="E61" i="36" s="1"/>
  <c r="N61" i="36" s="1"/>
  <c r="AI66" i="36"/>
  <c r="F53" i="36"/>
  <c r="E53" i="36" s="1"/>
  <c r="N53" i="36" s="1"/>
  <c r="AI58" i="36"/>
  <c r="AH58" i="36"/>
  <c r="AK58" i="36" s="1"/>
  <c r="F38" i="36"/>
  <c r="E38" i="36" s="1"/>
  <c r="N38" i="36" s="1"/>
  <c r="AI43" i="36"/>
  <c r="AH43" i="36"/>
  <c r="AK43" i="36" s="1"/>
  <c r="F47" i="36"/>
  <c r="E47" i="36" s="1"/>
  <c r="N47" i="36" s="1"/>
  <c r="AI52" i="36"/>
  <c r="AH52" i="36"/>
  <c r="AK52" i="36" s="1"/>
  <c r="AI56" i="36"/>
  <c r="F51" i="36"/>
  <c r="E51" i="36" s="1"/>
  <c r="N51" i="36" s="1"/>
  <c r="AH56" i="36"/>
  <c r="AK56" i="36" s="1"/>
  <c r="AI69" i="36"/>
  <c r="AH69" i="36"/>
  <c r="AK69" i="36" s="1"/>
  <c r="F64" i="36"/>
  <c r="E64" i="36" s="1"/>
  <c r="N64" i="36" s="1"/>
  <c r="AI47" i="36"/>
  <c r="F42" i="36"/>
  <c r="E42" i="36" s="1"/>
  <c r="N42" i="36" s="1"/>
  <c r="AH47" i="36"/>
  <c r="AK47" i="36" s="1"/>
  <c r="AI50" i="36"/>
  <c r="AH50" i="36"/>
  <c r="AK50" i="36" s="1"/>
  <c r="F45" i="36"/>
  <c r="E45" i="36" s="1"/>
  <c r="N45" i="36" s="1"/>
  <c r="AI64" i="36"/>
  <c r="AH64" i="36"/>
  <c r="AK64" i="36" s="1"/>
  <c r="F59" i="36"/>
  <c r="E59" i="36" s="1"/>
  <c r="N59" i="36" s="1"/>
  <c r="AI41" i="36"/>
  <c r="AH41" i="36"/>
  <c r="AK41" i="36" s="1"/>
  <c r="F36" i="36"/>
  <c r="E36" i="36" s="1"/>
  <c r="N36" i="36" s="1"/>
  <c r="AI61" i="36"/>
  <c r="F56" i="36"/>
  <c r="E56" i="36" s="1"/>
  <c r="N56" i="36" s="1"/>
  <c r="AH61" i="36"/>
  <c r="AK61" i="36" s="1"/>
  <c r="AI45" i="36"/>
  <c r="F40" i="36"/>
  <c r="E40" i="36" s="1"/>
  <c r="N40" i="36" s="1"/>
  <c r="AH45" i="36"/>
  <c r="AK45" i="36" s="1"/>
  <c r="AH46" i="36"/>
  <c r="AK46" i="36" s="1"/>
  <c r="AI46" i="36"/>
  <c r="F41" i="36"/>
  <c r="E41" i="36" s="1"/>
  <c r="N41" i="36" s="1"/>
  <c r="F30" i="36"/>
  <c r="E30" i="36" s="1"/>
  <c r="N30" i="36" s="1"/>
  <c r="AI35" i="36"/>
  <c r="AH35" i="36"/>
  <c r="AK35" i="36" s="1"/>
  <c r="AI54" i="36"/>
  <c r="AH54" i="36"/>
  <c r="AK54" i="36" s="1"/>
  <c r="F49" i="36"/>
  <c r="E49" i="36" s="1"/>
  <c r="N49" i="36" s="1"/>
  <c r="F33" i="36"/>
  <c r="E33" i="36" s="1"/>
  <c r="N33" i="36" s="1"/>
  <c r="AH38" i="36"/>
  <c r="AK38" i="36" s="1"/>
  <c r="AI38" i="36"/>
  <c r="F66" i="36"/>
  <c r="E66" i="36" s="1"/>
  <c r="N66" i="36" s="1"/>
  <c r="AI71" i="36"/>
  <c r="AH71" i="36"/>
  <c r="AK71" i="36" s="1"/>
  <c r="P5" i="36"/>
  <c r="O6" i="36"/>
  <c r="Q5" i="36"/>
  <c r="F28" i="36"/>
  <c r="E28" i="36" s="1"/>
  <c r="N28" i="36" s="1"/>
  <c r="AI33" i="36"/>
  <c r="AH33" i="36"/>
  <c r="AK33" i="36" s="1"/>
  <c r="AI44" i="36"/>
  <c r="AH44" i="36"/>
  <c r="AK44" i="36" s="1"/>
  <c r="F39" i="36"/>
  <c r="E39" i="36" s="1"/>
  <c r="N39" i="36" s="1"/>
  <c r="AI70" i="36"/>
  <c r="AH70" i="36"/>
  <c r="AK70" i="36" s="1"/>
  <c r="F65" i="36"/>
  <c r="E65" i="36" s="1"/>
  <c r="N65" i="36" s="1"/>
  <c r="AH55" i="36"/>
  <c r="AK55" i="36" s="1"/>
  <c r="AI55" i="36"/>
  <c r="F50" i="36"/>
  <c r="E50" i="36" s="1"/>
  <c r="N50" i="36" s="1"/>
  <c r="F48" i="36"/>
  <c r="E48" i="36" s="1"/>
  <c r="N48" i="36" s="1"/>
  <c r="AH53" i="36"/>
  <c r="AK53" i="36" s="1"/>
  <c r="AI53" i="36"/>
  <c r="F63" i="36"/>
  <c r="E63" i="36" s="1"/>
  <c r="N63" i="36" s="1"/>
  <c r="AI68" i="36"/>
  <c r="AH68" i="36"/>
  <c r="AK68" i="36" s="1"/>
  <c r="AI63" i="36"/>
  <c r="AH63" i="36"/>
  <c r="AK63" i="36" s="1"/>
  <c r="F58" i="36"/>
  <c r="E58" i="36" s="1"/>
  <c r="N58" i="36" s="1"/>
  <c r="AI32" i="36"/>
  <c r="AH32" i="36"/>
  <c r="AK32" i="36" s="1"/>
  <c r="F27" i="36"/>
  <c r="E27" i="36" s="1"/>
  <c r="N27" i="36" s="1"/>
  <c r="AH51" i="36"/>
  <c r="AK51" i="36" s="1"/>
  <c r="F46" i="36"/>
  <c r="E46" i="36" s="1"/>
  <c r="N46" i="36" s="1"/>
  <c r="AI51" i="36"/>
  <c r="AI59" i="36"/>
  <c r="AH59" i="36"/>
  <c r="AK59" i="36" s="1"/>
  <c r="F54" i="36"/>
  <c r="E54" i="36" s="1"/>
  <c r="N54" i="36" s="1"/>
  <c r="F43" i="36"/>
  <c r="E43" i="36" s="1"/>
  <c r="N43" i="36" s="1"/>
  <c r="AI48" i="36"/>
  <c r="AH48" i="36"/>
  <c r="AK48" i="36" s="1"/>
  <c r="AI36" i="36"/>
  <c r="AH36" i="36"/>
  <c r="AK36" i="36" s="1"/>
  <c r="F31" i="36"/>
  <c r="E31" i="36" s="1"/>
  <c r="N31" i="36" s="1"/>
  <c r="AI40" i="36"/>
  <c r="AH40" i="36"/>
  <c r="AK40" i="36" s="1"/>
  <c r="F35" i="36"/>
  <c r="E35" i="36" s="1"/>
  <c r="N35" i="36" s="1"/>
  <c r="AI67" i="36"/>
  <c r="AH67" i="36"/>
  <c r="AK67" i="36" s="1"/>
  <c r="F62" i="36"/>
  <c r="E62" i="36" s="1"/>
  <c r="N62" i="36" s="1"/>
  <c r="F60" i="36"/>
  <c r="E60" i="36" s="1"/>
  <c r="N60" i="36" s="1"/>
  <c r="AI65" i="36"/>
  <c r="AH65" i="36"/>
  <c r="AK65" i="36" s="1"/>
  <c r="AI42" i="36"/>
  <c r="AH42" i="36"/>
  <c r="AK42" i="36" s="1"/>
  <c r="F37" i="36"/>
  <c r="E37" i="36" s="1"/>
  <c r="N37" i="36" s="1"/>
  <c r="F34" i="36"/>
  <c r="E34" i="36" s="1"/>
  <c r="N34" i="36" s="1"/>
  <c r="AI39" i="36"/>
  <c r="AH39" i="36"/>
  <c r="AK39" i="36" s="1"/>
  <c r="AI31" i="36"/>
  <c r="AH31" i="36"/>
  <c r="AK31" i="36" s="1"/>
  <c r="F26" i="36"/>
  <c r="E26" i="36" s="1"/>
  <c r="AG29" i="36"/>
  <c r="F55" i="36"/>
  <c r="E55" i="36" s="1"/>
  <c r="N55" i="36" s="1"/>
  <c r="AI60" i="36"/>
  <c r="AH60" i="36"/>
  <c r="AK60" i="36" s="1"/>
  <c r="AQ71" i="36"/>
  <c r="AQ63" i="36"/>
  <c r="AQ55" i="36"/>
  <c r="AQ47" i="36"/>
  <c r="AQ39" i="36"/>
  <c r="AQ31" i="36"/>
  <c r="AQ61" i="36"/>
  <c r="AQ45" i="36"/>
  <c r="AQ70" i="36"/>
  <c r="AQ62" i="36"/>
  <c r="AQ54" i="36"/>
  <c r="AQ46" i="36"/>
  <c r="AQ38" i="36"/>
  <c r="AQ53" i="36"/>
  <c r="AQ37" i="36"/>
  <c r="AQ69" i="36"/>
  <c r="AQ68" i="36"/>
  <c r="AQ60" i="36"/>
  <c r="AQ52" i="36"/>
  <c r="AQ44" i="36"/>
  <c r="AQ36" i="36"/>
  <c r="AQ65" i="36"/>
  <c r="AQ49" i="36"/>
  <c r="AQ33" i="36"/>
  <c r="AQ58" i="36"/>
  <c r="AQ64" i="36"/>
  <c r="AQ48" i="36"/>
  <c r="AQ32" i="36"/>
  <c r="AQ59" i="36"/>
  <c r="AQ43" i="36"/>
  <c r="AQ42" i="36"/>
  <c r="AQ41" i="36"/>
  <c r="AQ67" i="36"/>
  <c r="AQ34" i="36"/>
  <c r="AQ72" i="36"/>
  <c r="AQ40" i="36"/>
  <c r="AQ35" i="36"/>
  <c r="AQ66" i="36"/>
  <c r="AQ57" i="36"/>
  <c r="AQ56" i="36"/>
  <c r="AQ51" i="36"/>
  <c r="AQ50" i="36"/>
  <c r="AI57" i="35"/>
  <c r="AH57" i="35"/>
  <c r="AK57" i="35" s="1"/>
  <c r="F52" i="35"/>
  <c r="E52" i="35" s="1"/>
  <c r="N52" i="35" s="1"/>
  <c r="AI32" i="35"/>
  <c r="AH32" i="35"/>
  <c r="AK32" i="35" s="1"/>
  <c r="F27" i="35"/>
  <c r="E27" i="35" s="1"/>
  <c r="N27" i="35" s="1"/>
  <c r="AI61" i="35"/>
  <c r="F56" i="35"/>
  <c r="E56" i="35" s="1"/>
  <c r="N56" i="35" s="1"/>
  <c r="AH61" i="35"/>
  <c r="AK61" i="35" s="1"/>
  <c r="F62" i="35"/>
  <c r="E62" i="35" s="1"/>
  <c r="N62" i="35" s="1"/>
  <c r="AH67" i="35"/>
  <c r="AK67" i="35" s="1"/>
  <c r="AI67" i="35"/>
  <c r="F41" i="35"/>
  <c r="E41" i="35" s="1"/>
  <c r="N41" i="35" s="1"/>
  <c r="AI46" i="35"/>
  <c r="AH46" i="35"/>
  <c r="AK46" i="35" s="1"/>
  <c r="AH56" i="35"/>
  <c r="AK56" i="35" s="1"/>
  <c r="AI56" i="35"/>
  <c r="F51" i="35"/>
  <c r="E51" i="35" s="1"/>
  <c r="N51" i="35" s="1"/>
  <c r="AH48" i="35"/>
  <c r="AK48" i="35" s="1"/>
  <c r="AI48" i="35"/>
  <c r="F43" i="35"/>
  <c r="E43" i="35" s="1"/>
  <c r="N43" i="35" s="1"/>
  <c r="R4" i="35"/>
  <c r="S4" i="35"/>
  <c r="AH44" i="35"/>
  <c r="AK44" i="35" s="1"/>
  <c r="F39" i="35"/>
  <c r="E39" i="35" s="1"/>
  <c r="N39" i="35" s="1"/>
  <c r="AI44" i="35"/>
  <c r="F63" i="35"/>
  <c r="E63" i="35" s="1"/>
  <c r="N63" i="35" s="1"/>
  <c r="AI68" i="35"/>
  <c r="AH68" i="35"/>
  <c r="AK68" i="35" s="1"/>
  <c r="F38" i="35"/>
  <c r="E38" i="35" s="1"/>
  <c r="N38" i="35" s="1"/>
  <c r="AI43" i="35"/>
  <c r="AH43" i="35"/>
  <c r="AK43" i="35" s="1"/>
  <c r="AI55" i="35"/>
  <c r="AH55" i="35"/>
  <c r="AK55" i="35" s="1"/>
  <c r="F50" i="35"/>
  <c r="E50" i="35" s="1"/>
  <c r="N50" i="35" s="1"/>
  <c r="AI69" i="35"/>
  <c r="AH69" i="35"/>
  <c r="AK69" i="35" s="1"/>
  <c r="F64" i="35"/>
  <c r="E64" i="35" s="1"/>
  <c r="N64" i="35" s="1"/>
  <c r="AQ29" i="35"/>
  <c r="AI63" i="35"/>
  <c r="AH63" i="35"/>
  <c r="AK63" i="35" s="1"/>
  <c r="F58" i="35"/>
  <c r="E58" i="35" s="1"/>
  <c r="N58" i="35" s="1"/>
  <c r="AI36" i="35"/>
  <c r="AH36" i="35"/>
  <c r="AK36" i="35" s="1"/>
  <c r="F31" i="35"/>
  <c r="E31" i="35" s="1"/>
  <c r="N31" i="35" s="1"/>
  <c r="F34" i="35"/>
  <c r="E34" i="35" s="1"/>
  <c r="N34" i="35" s="1"/>
  <c r="AI39" i="35"/>
  <c r="AH39" i="35"/>
  <c r="AK39" i="35" s="1"/>
  <c r="AI47" i="35"/>
  <c r="AH47" i="35"/>
  <c r="AK47" i="35" s="1"/>
  <c r="F42" i="35"/>
  <c r="E42" i="35" s="1"/>
  <c r="N42" i="35" s="1"/>
  <c r="F36" i="35"/>
  <c r="E36" i="35" s="1"/>
  <c r="N36" i="35" s="1"/>
  <c r="AI41" i="35"/>
  <c r="AH41" i="35"/>
  <c r="AK41" i="35" s="1"/>
  <c r="F66" i="35"/>
  <c r="E66" i="35" s="1"/>
  <c r="N66" i="35" s="1"/>
  <c r="AH71" i="35"/>
  <c r="AK71" i="35" s="1"/>
  <c r="AI71" i="35"/>
  <c r="AI49" i="35"/>
  <c r="F44" i="35"/>
  <c r="E44" i="35" s="1"/>
  <c r="N44" i="35" s="1"/>
  <c r="AH49" i="35"/>
  <c r="AK49" i="35" s="1"/>
  <c r="F30" i="35"/>
  <c r="E30" i="35" s="1"/>
  <c r="N30" i="35" s="1"/>
  <c r="AI35" i="35"/>
  <c r="AH35" i="35"/>
  <c r="AK35" i="35" s="1"/>
  <c r="AI62" i="35"/>
  <c r="AH62" i="35"/>
  <c r="AK62" i="35" s="1"/>
  <c r="F57" i="35"/>
  <c r="E57" i="35" s="1"/>
  <c r="N57" i="35" s="1"/>
  <c r="F48" i="35"/>
  <c r="E48" i="35" s="1"/>
  <c r="N48" i="35" s="1"/>
  <c r="AI53" i="35"/>
  <c r="AH53" i="35"/>
  <c r="AK53" i="35" s="1"/>
  <c r="F35" i="35"/>
  <c r="E35" i="35" s="1"/>
  <c r="N35" i="35" s="1"/>
  <c r="AI40" i="35"/>
  <c r="AH40" i="35"/>
  <c r="AK40" i="35" s="1"/>
  <c r="AI50" i="35"/>
  <c r="AH50" i="35"/>
  <c r="AK50" i="35" s="1"/>
  <c r="F45" i="35"/>
  <c r="E45" i="35" s="1"/>
  <c r="N45" i="35" s="1"/>
  <c r="AH31" i="35"/>
  <c r="AK31" i="35" s="1"/>
  <c r="AI31" i="35"/>
  <c r="AG29" i="35"/>
  <c r="F26" i="35"/>
  <c r="E26" i="35" s="1"/>
  <c r="AI59" i="35"/>
  <c r="AH59" i="35"/>
  <c r="AK59" i="35" s="1"/>
  <c r="F54" i="35"/>
  <c r="E54" i="35" s="1"/>
  <c r="N54" i="35" s="1"/>
  <c r="AI34" i="35"/>
  <c r="F29" i="35"/>
  <c r="E29" i="35" s="1"/>
  <c r="N29" i="35" s="1"/>
  <c r="AH34" i="35"/>
  <c r="AK34" i="35" s="1"/>
  <c r="AH54" i="35"/>
  <c r="AK54" i="35" s="1"/>
  <c r="F49" i="35"/>
  <c r="E49" i="35" s="1"/>
  <c r="N49" i="35" s="1"/>
  <c r="AI54" i="35"/>
  <c r="AI33" i="35"/>
  <c r="AH33" i="35"/>
  <c r="AK33" i="35" s="1"/>
  <c r="F28" i="35"/>
  <c r="E28" i="35" s="1"/>
  <c r="N28" i="35" s="1"/>
  <c r="AH51" i="35"/>
  <c r="AK51" i="35" s="1"/>
  <c r="F46" i="35"/>
  <c r="E46" i="35" s="1"/>
  <c r="N46" i="35" s="1"/>
  <c r="AI51" i="35"/>
  <c r="F55" i="35"/>
  <c r="E55" i="35" s="1"/>
  <c r="N55" i="35" s="1"/>
  <c r="AI60" i="35"/>
  <c r="AH60" i="35"/>
  <c r="AK60" i="35" s="1"/>
  <c r="Q5" i="35"/>
  <c r="P5" i="35"/>
  <c r="O6" i="35"/>
  <c r="AH70" i="35"/>
  <c r="AK70" i="35" s="1"/>
  <c r="F65" i="35"/>
  <c r="E65" i="35" s="1"/>
  <c r="N65" i="35" s="1"/>
  <c r="AI70" i="35"/>
  <c r="F53" i="35"/>
  <c r="E53" i="35" s="1"/>
  <c r="N53" i="35" s="1"/>
  <c r="AI58" i="35"/>
  <c r="AH58" i="35"/>
  <c r="AK58" i="35" s="1"/>
  <c r="F37" i="35"/>
  <c r="E37" i="35" s="1"/>
  <c r="N37" i="35" s="1"/>
  <c r="AI42" i="35"/>
  <c r="AH42" i="35"/>
  <c r="AK42" i="35" s="1"/>
  <c r="F33" i="35"/>
  <c r="E33" i="35" s="1"/>
  <c r="N33" i="35" s="1"/>
  <c r="AH38" i="35"/>
  <c r="AK38" i="35" s="1"/>
  <c r="AI38" i="35"/>
  <c r="AI64" i="35"/>
  <c r="AH64" i="35"/>
  <c r="AK64" i="35" s="1"/>
  <c r="F59" i="35"/>
  <c r="E59" i="35" s="1"/>
  <c r="N59" i="35" s="1"/>
  <c r="F47" i="35"/>
  <c r="E47" i="35" s="1"/>
  <c r="N47" i="35" s="1"/>
  <c r="AI52" i="35"/>
  <c r="AH52" i="35"/>
  <c r="AK52" i="35" s="1"/>
  <c r="F60" i="35"/>
  <c r="E60" i="35" s="1"/>
  <c r="N60" i="35" s="1"/>
  <c r="AH65" i="35"/>
  <c r="AK65" i="35" s="1"/>
  <c r="AI65" i="35"/>
  <c r="AI66" i="35"/>
  <c r="AH66" i="35"/>
  <c r="AK66" i="35" s="1"/>
  <c r="F61" i="35"/>
  <c r="E61" i="35" s="1"/>
  <c r="N61" i="35" s="1"/>
  <c r="F40" i="35"/>
  <c r="E40" i="35" s="1"/>
  <c r="N40" i="35" s="1"/>
  <c r="AH45" i="35"/>
  <c r="AK45" i="35" s="1"/>
  <c r="AI45" i="35"/>
  <c r="F32" i="35"/>
  <c r="E32" i="35" s="1"/>
  <c r="N32" i="35" s="1"/>
  <c r="AI37" i="35"/>
  <c r="AH37" i="35"/>
  <c r="AK37" i="35" s="1"/>
  <c r="H23" i="33"/>
  <c r="H24" i="33"/>
  <c r="H26" i="33"/>
  <c r="G23" i="33"/>
  <c r="G24" i="33"/>
  <c r="G25" i="33"/>
  <c r="H25" i="33"/>
  <c r="AH30" i="35" l="1"/>
  <c r="O7" i="36"/>
  <c r="Q6" i="36"/>
  <c r="P6" i="36"/>
  <c r="S25" i="36" a="1"/>
  <c r="S25" i="36" s="1"/>
  <c r="N26" i="36"/>
  <c r="AQ29" i="36"/>
  <c r="AH30" i="36" s="1"/>
  <c r="S5" i="36"/>
  <c r="R5" i="36"/>
  <c r="Q6" i="35"/>
  <c r="P6" i="35"/>
  <c r="O7" i="35"/>
  <c r="AI72" i="35"/>
  <c r="AH72" i="35"/>
  <c r="AK72" i="35" s="1"/>
  <c r="AL30" i="35" s="1"/>
  <c r="S5" i="35"/>
  <c r="R5" i="35"/>
  <c r="S25" i="35" a="1"/>
  <c r="S25" i="35" s="1"/>
  <c r="N26" i="35"/>
  <c r="C69" i="32"/>
  <c r="B69" i="32"/>
  <c r="C68" i="32"/>
  <c r="B68" i="32"/>
  <c r="C67" i="32"/>
  <c r="B67" i="32"/>
  <c r="C66" i="32"/>
  <c r="B66" i="32"/>
  <c r="C65" i="32"/>
  <c r="B65" i="32"/>
  <c r="C64" i="32"/>
  <c r="B64" i="32"/>
  <c r="C63" i="32"/>
  <c r="B63" i="32"/>
  <c r="C62" i="32"/>
  <c r="B62" i="32"/>
  <c r="C61" i="32"/>
  <c r="B61" i="32"/>
  <c r="C60" i="32"/>
  <c r="B60" i="32"/>
  <c r="C59" i="32"/>
  <c r="B59" i="32"/>
  <c r="C58" i="32"/>
  <c r="B58" i="32"/>
  <c r="C57" i="32"/>
  <c r="B57" i="32"/>
  <c r="B56" i="32"/>
  <c r="C55" i="32"/>
  <c r="C54" i="32"/>
  <c r="B53" i="32"/>
  <c r="B52" i="32"/>
  <c r="B51" i="32"/>
  <c r="B50" i="32"/>
  <c r="B49" i="32"/>
  <c r="C45" i="32"/>
  <c r="AJ32" i="32"/>
  <c r="AJ33" i="32" s="1"/>
  <c r="AJ34" i="32" s="1"/>
  <c r="AJ35" i="32" s="1"/>
  <c r="AJ36" i="32" s="1"/>
  <c r="AJ37" i="32" s="1"/>
  <c r="AJ38" i="32" s="1"/>
  <c r="AJ39" i="32" s="1"/>
  <c r="AJ40" i="32" s="1"/>
  <c r="AJ41" i="32" s="1"/>
  <c r="AJ42" i="32" s="1"/>
  <c r="AJ43" i="32" s="1"/>
  <c r="AJ44" i="32" s="1"/>
  <c r="AJ45" i="32" s="1"/>
  <c r="AJ46" i="32" s="1"/>
  <c r="AJ47" i="32" s="1"/>
  <c r="AJ48" i="32" s="1"/>
  <c r="AJ49" i="32" s="1"/>
  <c r="AJ50" i="32" s="1"/>
  <c r="AJ51" i="32" s="1"/>
  <c r="AJ52" i="32" s="1"/>
  <c r="AJ53" i="32" s="1"/>
  <c r="AJ54" i="32" s="1"/>
  <c r="AJ55" i="32" s="1"/>
  <c r="AJ56" i="32" s="1"/>
  <c r="AJ57" i="32" s="1"/>
  <c r="AJ58" i="32" s="1"/>
  <c r="AJ59" i="32" s="1"/>
  <c r="AJ60" i="32" s="1"/>
  <c r="AJ61" i="32" s="1"/>
  <c r="AJ62" i="32" s="1"/>
  <c r="AJ63" i="32" s="1"/>
  <c r="AJ64" i="32" s="1"/>
  <c r="AJ65" i="32" s="1"/>
  <c r="AJ66" i="32" s="1"/>
  <c r="AJ67" i="32" s="1"/>
  <c r="AJ68" i="32" s="1"/>
  <c r="AJ69" i="32" s="1"/>
  <c r="AJ70" i="32" s="1"/>
  <c r="AJ71" i="32" s="1"/>
  <c r="AJ72" i="32" s="1"/>
  <c r="M27" i="32"/>
  <c r="M28" i="32" s="1"/>
  <c r="M29" i="32" s="1"/>
  <c r="M30" i="32" s="1"/>
  <c r="M31" i="32" s="1"/>
  <c r="M32" i="32" s="1"/>
  <c r="M33" i="32" s="1"/>
  <c r="M34" i="32" s="1"/>
  <c r="M35" i="32" s="1"/>
  <c r="M36" i="32" s="1"/>
  <c r="M37" i="32" s="1"/>
  <c r="M38" i="32" s="1"/>
  <c r="M39" i="32" s="1"/>
  <c r="M40" i="32" s="1"/>
  <c r="M41" i="32" s="1"/>
  <c r="M42" i="32" s="1"/>
  <c r="M43" i="32" s="1"/>
  <c r="M44" i="32" s="1"/>
  <c r="M45" i="32" s="1"/>
  <c r="M46" i="32" s="1"/>
  <c r="M47" i="32" s="1"/>
  <c r="M48" i="32" s="1"/>
  <c r="M49" i="32" s="1"/>
  <c r="M50" i="32" s="1"/>
  <c r="M51" i="32" s="1"/>
  <c r="M52" i="32" s="1"/>
  <c r="M53" i="32" s="1"/>
  <c r="M54" i="32" s="1"/>
  <c r="M55" i="32" s="1"/>
  <c r="M56" i="32" s="1"/>
  <c r="M57" i="32" s="1"/>
  <c r="M58" i="32" s="1"/>
  <c r="M59" i="32" s="1"/>
  <c r="M60" i="32" s="1"/>
  <c r="M61" i="32" s="1"/>
  <c r="M62" i="32" s="1"/>
  <c r="M63" i="32" s="1"/>
  <c r="M64" i="32" s="1"/>
  <c r="M65" i="32" s="1"/>
  <c r="M66" i="32" s="1"/>
  <c r="M67" i="32" s="1"/>
  <c r="F23" i="32"/>
  <c r="N20" i="32"/>
  <c r="F20" i="32"/>
  <c r="N19" i="32"/>
  <c r="F19" i="32"/>
  <c r="N18" i="32"/>
  <c r="F18" i="32"/>
  <c r="N17" i="32"/>
  <c r="F17" i="32"/>
  <c r="N16" i="32"/>
  <c r="F16" i="32"/>
  <c r="N15" i="32"/>
  <c r="F15" i="32"/>
  <c r="N14" i="32"/>
  <c r="F14" i="32"/>
  <c r="N13" i="32"/>
  <c r="F13" i="32"/>
  <c r="N12" i="32"/>
  <c r="F12" i="32"/>
  <c r="N11" i="32"/>
  <c r="F11" i="32"/>
  <c r="N10" i="32"/>
  <c r="F10" i="32"/>
  <c r="N9" i="32"/>
  <c r="F9" i="32"/>
  <c r="N8" i="32"/>
  <c r="F8" i="32"/>
  <c r="B48" i="32"/>
  <c r="N7" i="32"/>
  <c r="F7" i="32"/>
  <c r="N6" i="32"/>
  <c r="N5" i="32"/>
  <c r="F5" i="32"/>
  <c r="N4" i="32"/>
  <c r="M4" i="32"/>
  <c r="M5" i="32" s="1"/>
  <c r="M6" i="32" s="1"/>
  <c r="M7" i="32" s="1"/>
  <c r="M8" i="32" s="1"/>
  <c r="M9" i="32" s="1"/>
  <c r="M10" i="32" s="1"/>
  <c r="M11" i="32" s="1"/>
  <c r="M12" i="32" s="1"/>
  <c r="M13" i="32" s="1"/>
  <c r="M14" i="32" s="1"/>
  <c r="M15" i="32" s="1"/>
  <c r="M16" i="32" s="1"/>
  <c r="M17" i="32" s="1"/>
  <c r="M18" i="32" s="1"/>
  <c r="M19" i="32" s="1"/>
  <c r="M20" i="32" s="1"/>
  <c r="F4" i="32"/>
  <c r="N3" i="32"/>
  <c r="F3" i="32"/>
  <c r="S2" i="32" a="1"/>
  <c r="S2" i="32" s="1"/>
  <c r="O3" i="32" s="1"/>
  <c r="F23" i="31"/>
  <c r="F23" i="29"/>
  <c r="F23" i="27"/>
  <c r="Z46" i="32"/>
  <c r="Z19" i="32"/>
  <c r="AA51" i="32"/>
  <c r="Z20" i="32"/>
  <c r="AA13" i="32"/>
  <c r="AA45" i="32"/>
  <c r="AA59" i="32"/>
  <c r="AA8" i="32"/>
  <c r="Z55" i="32"/>
  <c r="Z10" i="32"/>
  <c r="Z31" i="32"/>
  <c r="Z40" i="32"/>
  <c r="AA42" i="32"/>
  <c r="Z62" i="32"/>
  <c r="AA53" i="32"/>
  <c r="AA24" i="32"/>
  <c r="Z38" i="32"/>
  <c r="Z13" i="32"/>
  <c r="AA44" i="32"/>
  <c r="Z37" i="32"/>
  <c r="AA63" i="32"/>
  <c r="AA39" i="32"/>
  <c r="Z18" i="32"/>
  <c r="Z21" i="32"/>
  <c r="AA9" i="32"/>
  <c r="AA58" i="32"/>
  <c r="Z65" i="32"/>
  <c r="AA66" i="32"/>
  <c r="Z50" i="32"/>
  <c r="Z41" i="32"/>
  <c r="AA23" i="32"/>
  <c r="Z51" i="32"/>
  <c r="AA52" i="32"/>
  <c r="Z4" i="32"/>
  <c r="Z64" i="32"/>
  <c r="AA32" i="32"/>
  <c r="Z66" i="32"/>
  <c r="AA72" i="32"/>
  <c r="AA67" i="32"/>
  <c r="AA46" i="32"/>
  <c r="AA41" i="32"/>
  <c r="Z47" i="32"/>
  <c r="AA50" i="32"/>
  <c r="AA40" i="32"/>
  <c r="AA22" i="32"/>
  <c r="Z14" i="32"/>
  <c r="AA31" i="32"/>
  <c r="Z15" i="32"/>
  <c r="Z17" i="32"/>
  <c r="Z39" i="32"/>
  <c r="AA21" i="32"/>
  <c r="AA47" i="32"/>
  <c r="Z8" i="32"/>
  <c r="AA55" i="32"/>
  <c r="AA64" i="32"/>
  <c r="Z58" i="32"/>
  <c r="Z70" i="32"/>
  <c r="Z68" i="32"/>
  <c r="AA68" i="32"/>
  <c r="AA43" i="32"/>
  <c r="Z3" i="32"/>
  <c r="AA48" i="32"/>
  <c r="AA54" i="32"/>
  <c r="Z35" i="32"/>
  <c r="AA17" i="32"/>
  <c r="AA4" i="32"/>
  <c r="AA5" i="32"/>
  <c r="AA61" i="32"/>
  <c r="AA33" i="32"/>
  <c r="Z27" i="32"/>
  <c r="AA10" i="32"/>
  <c r="Z49" i="32"/>
  <c r="AA27" i="32"/>
  <c r="Z69" i="32"/>
  <c r="Z23" i="32"/>
  <c r="Z54" i="32"/>
  <c r="Z59" i="32"/>
  <c r="Z72" i="32"/>
  <c r="AA70" i="32"/>
  <c r="Z9" i="32"/>
  <c r="Z36" i="32"/>
  <c r="Z57" i="32"/>
  <c r="AA34" i="32"/>
  <c r="Z16" i="32"/>
  <c r="Z61" i="32"/>
  <c r="Z45" i="32"/>
  <c r="AA60" i="32"/>
  <c r="Z48" i="32"/>
  <c r="Z42" i="32"/>
  <c r="AA49" i="32"/>
  <c r="Z52" i="32"/>
  <c r="AA16" i="32"/>
  <c r="Z53" i="32"/>
  <c r="AA37" i="32"/>
  <c r="AA71" i="32"/>
  <c r="AA20" i="32"/>
  <c r="AA38" i="32"/>
  <c r="AA15" i="32"/>
  <c r="Z33" i="32"/>
  <c r="Z43" i="32"/>
  <c r="AA3" i="32"/>
  <c r="AA35" i="32"/>
  <c r="AA62" i="32"/>
  <c r="Z34" i="32"/>
  <c r="Z32" i="32"/>
  <c r="AA36" i="32"/>
  <c r="AA18" i="32"/>
  <c r="Z22" i="32"/>
  <c r="AA65" i="32"/>
  <c r="Z60" i="32"/>
  <c r="Z44" i="32"/>
  <c r="Z71" i="32"/>
  <c r="AA69" i="32"/>
  <c r="AA19" i="32"/>
  <c r="Z67" i="32"/>
  <c r="Z24" i="32"/>
  <c r="Z56" i="32"/>
  <c r="AA56" i="32"/>
  <c r="Z63" i="32"/>
  <c r="Z5" i="32"/>
  <c r="C15" i="32"/>
  <c r="AA14" i="32"/>
  <c r="AA57" i="32"/>
  <c r="AI72" i="36" l="1"/>
  <c r="AH72" i="36"/>
  <c r="AK72" i="36" s="1"/>
  <c r="AL30" i="36" s="1"/>
  <c r="O26" i="36"/>
  <c r="R6" i="36"/>
  <c r="S6" i="36"/>
  <c r="O8" i="36"/>
  <c r="P7" i="36"/>
  <c r="Q7" i="36"/>
  <c r="AL31" i="35"/>
  <c r="O8" i="35"/>
  <c r="P7" i="35"/>
  <c r="Q7" i="35"/>
  <c r="S6" i="35"/>
  <c r="R6" i="35"/>
  <c r="O26" i="35"/>
  <c r="AF33" i="32"/>
  <c r="AF63" i="32"/>
  <c r="AF62" i="32"/>
  <c r="I7" i="32"/>
  <c r="L7" i="32" s="1"/>
  <c r="AF36" i="32"/>
  <c r="AF53" i="32"/>
  <c r="AF35" i="32"/>
  <c r="AF60" i="32"/>
  <c r="I8" i="32"/>
  <c r="L8" i="32" s="1"/>
  <c r="I13" i="32"/>
  <c r="L13" i="32" s="1"/>
  <c r="I23" i="32"/>
  <c r="L23" i="32" s="1"/>
  <c r="I5" i="32"/>
  <c r="L5" i="32" s="1"/>
  <c r="I10" i="32"/>
  <c r="L10" i="32" s="1"/>
  <c r="AF51" i="32"/>
  <c r="I6" i="32"/>
  <c r="L6" i="32" s="1"/>
  <c r="I14" i="32"/>
  <c r="L14" i="32" s="1"/>
  <c r="I19" i="32"/>
  <c r="L19" i="32" s="1"/>
  <c r="AF31" i="32"/>
  <c r="AF38" i="32"/>
  <c r="I15" i="32"/>
  <c r="L15" i="32" s="1"/>
  <c r="I12" i="32"/>
  <c r="L12" i="32" s="1"/>
  <c r="I16" i="32"/>
  <c r="L16" i="32" s="1"/>
  <c r="AF32" i="32"/>
  <c r="I9" i="32"/>
  <c r="L9" i="32" s="1"/>
  <c r="AF72" i="32"/>
  <c r="I11" i="32"/>
  <c r="L11" i="32" s="1"/>
  <c r="AF56" i="32"/>
  <c r="AF65" i="32"/>
  <c r="I17" i="32"/>
  <c r="L17" i="32" s="1"/>
  <c r="AF67" i="32"/>
  <c r="AF40" i="32"/>
  <c r="AF48" i="32"/>
  <c r="AF69" i="32"/>
  <c r="AF37" i="32"/>
  <c r="I20" i="32"/>
  <c r="L20" i="32" s="1"/>
  <c r="AF34" i="32"/>
  <c r="AF49" i="32"/>
  <c r="AF64" i="32"/>
  <c r="I18" i="32"/>
  <c r="L18" i="32" s="1"/>
  <c r="AF39" i="32"/>
  <c r="AF50" i="32"/>
  <c r="AF58" i="32"/>
  <c r="AF68" i="32"/>
  <c r="AF71" i="32"/>
  <c r="AF52" i="32"/>
  <c r="AF57" i="32"/>
  <c r="AF61" i="32"/>
  <c r="AF41" i="32"/>
  <c r="AF42" i="32"/>
  <c r="AF43" i="32"/>
  <c r="AF44" i="32"/>
  <c r="AF54" i="32"/>
  <c r="AF59" i="32"/>
  <c r="AF66" i="32"/>
  <c r="AF70" i="32"/>
  <c r="AF45" i="32"/>
  <c r="AF46" i="32"/>
  <c r="AF47" i="32"/>
  <c r="AF55" i="32"/>
  <c r="P3" i="32"/>
  <c r="O4" i="32"/>
  <c r="Q3" i="32"/>
  <c r="AQ31" i="32" a="1"/>
  <c r="S7" i="36" l="1"/>
  <c r="R7" i="36"/>
  <c r="O27" i="36"/>
  <c r="P26" i="36"/>
  <c r="AL31" i="36"/>
  <c r="Q8" i="36"/>
  <c r="P8" i="36"/>
  <c r="O9" i="36"/>
  <c r="O27" i="35"/>
  <c r="P26" i="35"/>
  <c r="S7" i="35"/>
  <c r="R7" i="35"/>
  <c r="O9" i="35"/>
  <c r="P8" i="35"/>
  <c r="Q8" i="35"/>
  <c r="AL32" i="35"/>
  <c r="AM31" i="35"/>
  <c r="AG41" i="32"/>
  <c r="I36" i="32"/>
  <c r="L36" i="32" s="1"/>
  <c r="I27" i="32"/>
  <c r="L27" i="32" s="1"/>
  <c r="AG32" i="32"/>
  <c r="I30" i="32"/>
  <c r="L30" i="32" s="1"/>
  <c r="AG35" i="32"/>
  <c r="I59" i="32"/>
  <c r="L59" i="32" s="1"/>
  <c r="AG64" i="32"/>
  <c r="S3" i="32"/>
  <c r="R3" i="32"/>
  <c r="I49" i="32"/>
  <c r="L49" i="32" s="1"/>
  <c r="AG54" i="32"/>
  <c r="AG71" i="32"/>
  <c r="I66" i="32"/>
  <c r="L66" i="32" s="1"/>
  <c r="AG34" i="32"/>
  <c r="I29" i="32"/>
  <c r="L29" i="32" s="1"/>
  <c r="AG65" i="32"/>
  <c r="I60" i="32"/>
  <c r="L60" i="32" s="1"/>
  <c r="I34" i="32"/>
  <c r="L34" i="32" s="1"/>
  <c r="AG39" i="32"/>
  <c r="I43" i="32"/>
  <c r="L43" i="32" s="1"/>
  <c r="AG48" i="32"/>
  <c r="I55" i="32"/>
  <c r="L55" i="32" s="1"/>
  <c r="AG60" i="32"/>
  <c r="AG70" i="32"/>
  <c r="I65" i="32"/>
  <c r="L65" i="32" s="1"/>
  <c r="AG61" i="32"/>
  <c r="I56" i="32"/>
  <c r="L56" i="32" s="1"/>
  <c r="I61" i="32"/>
  <c r="L61" i="32" s="1"/>
  <c r="AG66" i="32"/>
  <c r="I48" i="32"/>
  <c r="L48" i="32" s="1"/>
  <c r="AG53" i="32"/>
  <c r="AG52" i="32"/>
  <c r="I47" i="32"/>
  <c r="L47" i="32" s="1"/>
  <c r="AG55" i="32"/>
  <c r="I50" i="32"/>
  <c r="L50" i="32" s="1"/>
  <c r="AG44" i="32"/>
  <c r="I39" i="32"/>
  <c r="L39" i="32" s="1"/>
  <c r="I63" i="32"/>
  <c r="L63" i="32" s="1"/>
  <c r="AG68" i="32"/>
  <c r="AG56" i="32"/>
  <c r="I51" i="32"/>
  <c r="L51" i="32" s="1"/>
  <c r="AG38" i="32"/>
  <c r="I33" i="32"/>
  <c r="L33" i="32" s="1"/>
  <c r="AG62" i="32"/>
  <c r="I57" i="32"/>
  <c r="L57" i="32" s="1"/>
  <c r="AQ69" i="32"/>
  <c r="AQ61" i="32"/>
  <c r="AQ53" i="32"/>
  <c r="AQ45" i="32"/>
  <c r="AQ37" i="32"/>
  <c r="AQ68" i="32"/>
  <c r="AQ60" i="32"/>
  <c r="AQ52" i="32"/>
  <c r="AQ44" i="32"/>
  <c r="AQ36" i="32"/>
  <c r="AQ65" i="32"/>
  <c r="AQ55" i="32"/>
  <c r="AQ43" i="32"/>
  <c r="AQ33" i="32"/>
  <c r="AQ64" i="32"/>
  <c r="AQ54" i="32"/>
  <c r="AQ42" i="32"/>
  <c r="AQ32" i="32"/>
  <c r="AQ66" i="32"/>
  <c r="AQ50" i="32"/>
  <c r="AQ38" i="32"/>
  <c r="AQ63" i="32"/>
  <c r="AQ49" i="32"/>
  <c r="AQ35" i="32"/>
  <c r="AQ62" i="32"/>
  <c r="AQ48" i="32"/>
  <c r="AQ34" i="32"/>
  <c r="AQ59" i="32"/>
  <c r="AQ47" i="32"/>
  <c r="AQ31" i="32"/>
  <c r="AQ72" i="32"/>
  <c r="AQ46" i="32"/>
  <c r="AQ57" i="32"/>
  <c r="AQ56" i="32"/>
  <c r="AQ51" i="32"/>
  <c r="AQ71" i="32"/>
  <c r="AQ41" i="32"/>
  <c r="AQ70" i="32"/>
  <c r="AQ40" i="32"/>
  <c r="AQ67" i="32"/>
  <c r="AQ39" i="32"/>
  <c r="AQ58" i="32"/>
  <c r="AG40" i="32"/>
  <c r="I35" i="32"/>
  <c r="L35" i="32" s="1"/>
  <c r="O5" i="32"/>
  <c r="Q4" i="32"/>
  <c r="P4" i="32"/>
  <c r="I44" i="32"/>
  <c r="L44" i="32" s="1"/>
  <c r="AG49" i="32"/>
  <c r="I42" i="32"/>
  <c r="L42" i="32" s="1"/>
  <c r="AG47" i="32"/>
  <c r="AG43" i="32"/>
  <c r="I38" i="32"/>
  <c r="L38" i="32" s="1"/>
  <c r="AG58" i="32"/>
  <c r="I53" i="32"/>
  <c r="L53" i="32" s="1"/>
  <c r="AG37" i="32"/>
  <c r="I32" i="32"/>
  <c r="L32" i="32" s="1"/>
  <c r="AG31" i="32"/>
  <c r="I26" i="32"/>
  <c r="L26" i="32" s="1"/>
  <c r="AG63" i="32"/>
  <c r="I58" i="32"/>
  <c r="L58" i="32" s="1"/>
  <c r="AG45" i="32"/>
  <c r="I40" i="32"/>
  <c r="L40" i="32" s="1"/>
  <c r="AG57" i="32"/>
  <c r="I52" i="32"/>
  <c r="L52" i="32" s="1"/>
  <c r="I62" i="32"/>
  <c r="L62" i="32" s="1"/>
  <c r="AG67" i="32"/>
  <c r="I46" i="32"/>
  <c r="L46" i="32" s="1"/>
  <c r="AG51" i="32"/>
  <c r="I54" i="32"/>
  <c r="L54" i="32" s="1"/>
  <c r="AG59" i="32"/>
  <c r="I31" i="32"/>
  <c r="L31" i="32" s="1"/>
  <c r="AG36" i="32"/>
  <c r="I41" i="32"/>
  <c r="L41" i="32" s="1"/>
  <c r="AG46" i="32"/>
  <c r="AG42" i="32"/>
  <c r="I37" i="32"/>
  <c r="L37" i="32" s="1"/>
  <c r="I45" i="32"/>
  <c r="L45" i="32" s="1"/>
  <c r="AG50" i="32"/>
  <c r="AG69" i="32"/>
  <c r="I64" i="32"/>
  <c r="L64" i="32" s="1"/>
  <c r="I67" i="32"/>
  <c r="L67" i="32" s="1"/>
  <c r="AG72" i="32"/>
  <c r="F67" i="32" s="1"/>
  <c r="E67" i="32" s="1"/>
  <c r="N67" i="32" s="1"/>
  <c r="AG33" i="32"/>
  <c r="I28" i="32"/>
  <c r="L28" i="32" s="1"/>
  <c r="AL32" i="36" l="1"/>
  <c r="AM31" i="36"/>
  <c r="S8" i="36"/>
  <c r="R8" i="36"/>
  <c r="R26" i="36"/>
  <c r="S26" i="36"/>
  <c r="P27" i="36"/>
  <c r="O28" i="36"/>
  <c r="O10" i="36"/>
  <c r="Q9" i="36"/>
  <c r="P9" i="36"/>
  <c r="AM32" i="35"/>
  <c r="AL33" i="35"/>
  <c r="S8" i="35"/>
  <c r="R8" i="35"/>
  <c r="O10" i="35"/>
  <c r="Q9" i="35"/>
  <c r="P9" i="35"/>
  <c r="S26" i="35"/>
  <c r="R26" i="35"/>
  <c r="AN31" i="35"/>
  <c r="AO31" i="35" s="1" a="1"/>
  <c r="P27" i="35"/>
  <c r="O28" i="35"/>
  <c r="F55" i="32"/>
  <c r="E55" i="32" s="1"/>
  <c r="N55" i="32" s="1"/>
  <c r="AI60" i="32"/>
  <c r="AH60" i="32"/>
  <c r="AK60" i="32" s="1"/>
  <c r="F31" i="32"/>
  <c r="E31" i="32" s="1"/>
  <c r="N31" i="32" s="1"/>
  <c r="AI36" i="32"/>
  <c r="AH36" i="32"/>
  <c r="AK36" i="32" s="1"/>
  <c r="F32" i="32"/>
  <c r="E32" i="32" s="1"/>
  <c r="N32" i="32" s="1"/>
  <c r="AI37" i="32"/>
  <c r="AH37" i="32"/>
  <c r="AK37" i="32" s="1"/>
  <c r="AI66" i="32"/>
  <c r="F61" i="32"/>
  <c r="E61" i="32" s="1"/>
  <c r="N61" i="32" s="1"/>
  <c r="AH66" i="32"/>
  <c r="AK66" i="32" s="1"/>
  <c r="AI50" i="32"/>
  <c r="AH50" i="32"/>
  <c r="AK50" i="32" s="1"/>
  <c r="F45" i="32"/>
  <c r="E45" i="32" s="1"/>
  <c r="N45" i="32" s="1"/>
  <c r="AH44" i="32"/>
  <c r="AK44" i="32" s="1"/>
  <c r="F39" i="32"/>
  <c r="E39" i="32" s="1"/>
  <c r="N39" i="32" s="1"/>
  <c r="AI44" i="32"/>
  <c r="AI71" i="32"/>
  <c r="F66" i="32"/>
  <c r="E66" i="32" s="1"/>
  <c r="N66" i="32" s="1"/>
  <c r="AH71" i="32"/>
  <c r="AK71" i="32" s="1"/>
  <c r="AI45" i="32"/>
  <c r="F40" i="32"/>
  <c r="E40" i="32" s="1"/>
  <c r="N40" i="32" s="1"/>
  <c r="AH45" i="32"/>
  <c r="AK45" i="32" s="1"/>
  <c r="AI58" i="32"/>
  <c r="AH58" i="32"/>
  <c r="AK58" i="32" s="1"/>
  <c r="F53" i="32"/>
  <c r="E53" i="32" s="1"/>
  <c r="N53" i="32" s="1"/>
  <c r="AQ29" i="32"/>
  <c r="F34" i="32"/>
  <c r="E34" i="32" s="1"/>
  <c r="N34" i="32" s="1"/>
  <c r="AI39" i="32"/>
  <c r="AH39" i="32"/>
  <c r="AK39" i="32" s="1"/>
  <c r="AH54" i="32"/>
  <c r="AK54" i="32" s="1"/>
  <c r="AI54" i="32"/>
  <c r="F49" i="32"/>
  <c r="E49" i="32" s="1"/>
  <c r="N49" i="32" s="1"/>
  <c r="AI32" i="32"/>
  <c r="F27" i="32"/>
  <c r="E27" i="32" s="1"/>
  <c r="N27" i="32" s="1"/>
  <c r="AH32" i="32"/>
  <c r="AK32" i="32" s="1"/>
  <c r="F63" i="32"/>
  <c r="E63" i="32" s="1"/>
  <c r="N63" i="32" s="1"/>
  <c r="AI68" i="32"/>
  <c r="AH68" i="32"/>
  <c r="AK68" i="32" s="1"/>
  <c r="AI64" i="32"/>
  <c r="AH64" i="32"/>
  <c r="AK64" i="32" s="1"/>
  <c r="F59" i="32"/>
  <c r="E59" i="32" s="1"/>
  <c r="N59" i="32" s="1"/>
  <c r="AH69" i="32"/>
  <c r="AK69" i="32" s="1"/>
  <c r="F64" i="32"/>
  <c r="E64" i="32" s="1"/>
  <c r="N64" i="32" s="1"/>
  <c r="AI69" i="32"/>
  <c r="F43" i="32"/>
  <c r="E43" i="32" s="1"/>
  <c r="N43" i="32" s="1"/>
  <c r="AI48" i="32"/>
  <c r="AH48" i="32"/>
  <c r="AK48" i="32" s="1"/>
  <c r="F54" i="32"/>
  <c r="E54" i="32" s="1"/>
  <c r="N54" i="32" s="1"/>
  <c r="AI59" i="32"/>
  <c r="AH59" i="32"/>
  <c r="AK59" i="32" s="1"/>
  <c r="AH51" i="32"/>
  <c r="AK51" i="32" s="1"/>
  <c r="F46" i="32"/>
  <c r="E46" i="32" s="1"/>
  <c r="N46" i="32" s="1"/>
  <c r="AI51" i="32"/>
  <c r="P5" i="32"/>
  <c r="Q5" i="32"/>
  <c r="O6" i="32"/>
  <c r="F33" i="32"/>
  <c r="E33" i="32" s="1"/>
  <c r="N33" i="32" s="1"/>
  <c r="AI38" i="32"/>
  <c r="AH38" i="32"/>
  <c r="AK38" i="32" s="1"/>
  <c r="AI55" i="32"/>
  <c r="AH55" i="32"/>
  <c r="AK55" i="32" s="1"/>
  <c r="F50" i="32"/>
  <c r="E50" i="32" s="1"/>
  <c r="N50" i="32" s="1"/>
  <c r="AI61" i="32"/>
  <c r="F56" i="32"/>
  <c r="E56" i="32" s="1"/>
  <c r="N56" i="32" s="1"/>
  <c r="AH61" i="32"/>
  <c r="AK61" i="32" s="1"/>
  <c r="AH34" i="32"/>
  <c r="AK34" i="32" s="1"/>
  <c r="AI34" i="32"/>
  <c r="F29" i="32"/>
  <c r="E29" i="32" s="1"/>
  <c r="N29" i="32" s="1"/>
  <c r="AI57" i="32"/>
  <c r="AH57" i="32"/>
  <c r="AK57" i="32" s="1"/>
  <c r="F52" i="32"/>
  <c r="E52" i="32" s="1"/>
  <c r="N52" i="32" s="1"/>
  <c r="S4" i="32"/>
  <c r="R4" i="32"/>
  <c r="AI33" i="32"/>
  <c r="AH33" i="32"/>
  <c r="AK33" i="32" s="1"/>
  <c r="F28" i="32"/>
  <c r="E28" i="32" s="1"/>
  <c r="N28" i="32" s="1"/>
  <c r="AH42" i="32"/>
  <c r="AK42" i="32" s="1"/>
  <c r="F37" i="32"/>
  <c r="E37" i="32" s="1"/>
  <c r="N37" i="32" s="1"/>
  <c r="AI42" i="32"/>
  <c r="AI63" i="32"/>
  <c r="AH63" i="32"/>
  <c r="AK63" i="32" s="1"/>
  <c r="F58" i="32"/>
  <c r="E58" i="32" s="1"/>
  <c r="N58" i="32" s="1"/>
  <c r="AH43" i="32"/>
  <c r="AK43" i="32" s="1"/>
  <c r="F38" i="32"/>
  <c r="E38" i="32" s="1"/>
  <c r="N38" i="32" s="1"/>
  <c r="AI43" i="32"/>
  <c r="AH31" i="32"/>
  <c r="AK31" i="32" s="1"/>
  <c r="AI31" i="32"/>
  <c r="F26" i="32"/>
  <c r="E26" i="32" s="1"/>
  <c r="AG29" i="32"/>
  <c r="F48" i="32"/>
  <c r="E48" i="32" s="1"/>
  <c r="N48" i="32" s="1"/>
  <c r="AI53" i="32"/>
  <c r="AH53" i="32"/>
  <c r="AK53" i="32" s="1"/>
  <c r="AI49" i="32"/>
  <c r="F44" i="32"/>
  <c r="E44" i="32" s="1"/>
  <c r="N44" i="32" s="1"/>
  <c r="AH49" i="32"/>
  <c r="AK49" i="32" s="1"/>
  <c r="AI35" i="32"/>
  <c r="AH35" i="32"/>
  <c r="AK35" i="32" s="1"/>
  <c r="F30" i="32"/>
  <c r="E30" i="32" s="1"/>
  <c r="N30" i="32" s="1"/>
  <c r="AI62" i="32"/>
  <c r="AH62" i="32"/>
  <c r="AK62" i="32" s="1"/>
  <c r="F57" i="32"/>
  <c r="E57" i="32" s="1"/>
  <c r="N57" i="32" s="1"/>
  <c r="AH46" i="32"/>
  <c r="AK46" i="32" s="1"/>
  <c r="F41" i="32"/>
  <c r="E41" i="32" s="1"/>
  <c r="N41" i="32" s="1"/>
  <c r="AI46" i="32"/>
  <c r="AI67" i="32"/>
  <c r="AH67" i="32"/>
  <c r="AK67" i="32" s="1"/>
  <c r="F62" i="32"/>
  <c r="E62" i="32" s="1"/>
  <c r="N62" i="32" s="1"/>
  <c r="AH47" i="32"/>
  <c r="AK47" i="32" s="1"/>
  <c r="AI47" i="32"/>
  <c r="F42" i="32"/>
  <c r="E42" i="32" s="1"/>
  <c r="N42" i="32" s="1"/>
  <c r="AH40" i="32"/>
  <c r="AK40" i="32" s="1"/>
  <c r="AI40" i="32"/>
  <c r="F35" i="32"/>
  <c r="E35" i="32" s="1"/>
  <c r="N35" i="32" s="1"/>
  <c r="AI56" i="32"/>
  <c r="AH56" i="32"/>
  <c r="AK56" i="32" s="1"/>
  <c r="F51" i="32"/>
  <c r="E51" i="32" s="1"/>
  <c r="N51" i="32" s="1"/>
  <c r="F47" i="32"/>
  <c r="E47" i="32" s="1"/>
  <c r="N47" i="32" s="1"/>
  <c r="AI52" i="32"/>
  <c r="AH52" i="32"/>
  <c r="AK52" i="32" s="1"/>
  <c r="AH70" i="32"/>
  <c r="AK70" i="32" s="1"/>
  <c r="AI70" i="32"/>
  <c r="F65" i="32"/>
  <c r="E65" i="32" s="1"/>
  <c r="N65" i="32" s="1"/>
  <c r="F60" i="32"/>
  <c r="E60" i="32" s="1"/>
  <c r="N60" i="32" s="1"/>
  <c r="AI65" i="32"/>
  <c r="AH65" i="32"/>
  <c r="AK65" i="32" s="1"/>
  <c r="F36" i="32"/>
  <c r="E36" i="32" s="1"/>
  <c r="N36" i="32" s="1"/>
  <c r="AI41" i="32"/>
  <c r="AH41" i="32"/>
  <c r="AK41" i="32" s="1"/>
  <c r="O29" i="36" l="1"/>
  <c r="P28" i="36"/>
  <c r="AN31" i="36"/>
  <c r="AO31" i="36" s="1" a="1"/>
  <c r="R27" i="36"/>
  <c r="S27" i="36"/>
  <c r="S9" i="36"/>
  <c r="R9" i="36"/>
  <c r="Q10" i="36"/>
  <c r="P10" i="36"/>
  <c r="O11" i="36"/>
  <c r="AL33" i="36"/>
  <c r="AM32" i="36"/>
  <c r="AP31" i="35"/>
  <c r="AO31" i="35"/>
  <c r="S9" i="35"/>
  <c r="R9" i="35"/>
  <c r="R27" i="35"/>
  <c r="S27" i="35"/>
  <c r="O29" i="35"/>
  <c r="P28" i="35"/>
  <c r="AL34" i="35"/>
  <c r="AM33" i="35"/>
  <c r="O11" i="35"/>
  <c r="P10" i="35"/>
  <c r="Q10" i="35"/>
  <c r="AN32" i="35"/>
  <c r="AO32" i="35" s="1" a="1"/>
  <c r="AH30" i="32"/>
  <c r="R5" i="32"/>
  <c r="S5" i="32"/>
  <c r="N26" i="32"/>
  <c r="S25" i="32" a="1"/>
  <c r="S25" i="32" s="1"/>
  <c r="P6" i="32"/>
  <c r="Q6" i="32"/>
  <c r="O7" i="32"/>
  <c r="AP31" i="36" l="1"/>
  <c r="AO31" i="36"/>
  <c r="AL34" i="36"/>
  <c r="AM33" i="36"/>
  <c r="O12" i="36"/>
  <c r="Q11" i="36"/>
  <c r="P11" i="36"/>
  <c r="S28" i="36"/>
  <c r="R28" i="36"/>
  <c r="AN32" i="36"/>
  <c r="AO32" i="36" s="1" a="1"/>
  <c r="S10" i="36"/>
  <c r="R10" i="36"/>
  <c r="P29" i="36"/>
  <c r="O30" i="36"/>
  <c r="AO32" i="35"/>
  <c r="AP32" i="35"/>
  <c r="R28" i="35"/>
  <c r="S28" i="35"/>
  <c r="P29" i="35"/>
  <c r="O30" i="35"/>
  <c r="R10" i="35"/>
  <c r="S10" i="35"/>
  <c r="Q11" i="35"/>
  <c r="O12" i="35"/>
  <c r="P11" i="35"/>
  <c r="AN33" i="35"/>
  <c r="AO33" i="35" s="1" a="1"/>
  <c r="AL35" i="35"/>
  <c r="AM34" i="35"/>
  <c r="O26" i="32"/>
  <c r="Q7" i="32"/>
  <c r="P7" i="32"/>
  <c r="O8" i="32"/>
  <c r="S6" i="32"/>
  <c r="R6" i="32"/>
  <c r="AI72" i="32"/>
  <c r="AH72" i="32"/>
  <c r="AK72" i="32" s="1"/>
  <c r="AL30" i="32" s="1"/>
  <c r="AP32" i="36" l="1"/>
  <c r="AO32" i="36"/>
  <c r="O31" i="36"/>
  <c r="P30" i="36"/>
  <c r="S11" i="36"/>
  <c r="R11" i="36"/>
  <c r="R29" i="36"/>
  <c r="S29" i="36"/>
  <c r="O13" i="36"/>
  <c r="Q12" i="36"/>
  <c r="P12" i="36"/>
  <c r="AN33" i="36"/>
  <c r="AO33" i="36" s="1" a="1"/>
  <c r="AL35" i="36"/>
  <c r="AM34" i="36"/>
  <c r="AP33" i="35"/>
  <c r="AO33" i="35"/>
  <c r="AN34" i="35"/>
  <c r="AO34" i="35" s="1" a="1"/>
  <c r="AM35" i="35"/>
  <c r="AL36" i="35"/>
  <c r="O31" i="35"/>
  <c r="P30" i="35"/>
  <c r="S29" i="35"/>
  <c r="R29" i="35"/>
  <c r="S11" i="35"/>
  <c r="R11" i="35"/>
  <c r="P12" i="35"/>
  <c r="Q12" i="35"/>
  <c r="O13" i="35"/>
  <c r="Q8" i="32"/>
  <c r="O9" i="32"/>
  <c r="P8" i="32"/>
  <c r="AL31" i="32"/>
  <c r="S7" i="32"/>
  <c r="R7" i="32"/>
  <c r="P26" i="32"/>
  <c r="O27" i="32"/>
  <c r="AP33" i="36" l="1"/>
  <c r="AO33" i="36"/>
  <c r="AN34" i="36"/>
  <c r="AO34" i="36" s="1" a="1"/>
  <c r="AM35" i="36"/>
  <c r="AL36" i="36"/>
  <c r="S30" i="36"/>
  <c r="R30" i="36"/>
  <c r="R12" i="36"/>
  <c r="S12" i="36"/>
  <c r="P31" i="36"/>
  <c r="O32" i="36"/>
  <c r="O14" i="36"/>
  <c r="Q13" i="36"/>
  <c r="P13" i="36"/>
  <c r="AP34" i="35"/>
  <c r="AO34" i="35"/>
  <c r="S30" i="35"/>
  <c r="R30" i="35"/>
  <c r="O14" i="35"/>
  <c r="Q13" i="35"/>
  <c r="P13" i="35"/>
  <c r="P31" i="35"/>
  <c r="O32" i="35"/>
  <c r="AM36" i="35"/>
  <c r="AL37" i="35"/>
  <c r="S12" i="35"/>
  <c r="R12" i="35"/>
  <c r="AN35" i="35"/>
  <c r="AO35" i="35" s="1" a="1"/>
  <c r="AL32" i="32"/>
  <c r="AM31" i="32"/>
  <c r="R8" i="32"/>
  <c r="S8" i="32"/>
  <c r="O10" i="32"/>
  <c r="Q9" i="32"/>
  <c r="P9" i="32"/>
  <c r="S26" i="32"/>
  <c r="R26" i="32"/>
  <c r="O28" i="32"/>
  <c r="P27" i="32"/>
  <c r="AP34" i="36" l="1"/>
  <c r="AO34" i="36"/>
  <c r="R13" i="36"/>
  <c r="S13" i="36"/>
  <c r="AM36" i="36"/>
  <c r="AL37" i="36"/>
  <c r="P14" i="36"/>
  <c r="Q14" i="36"/>
  <c r="O15" i="36"/>
  <c r="AN35" i="36"/>
  <c r="AO35" i="36" s="1" a="1"/>
  <c r="P32" i="36"/>
  <c r="O33" i="36"/>
  <c r="R31" i="36"/>
  <c r="S31" i="36"/>
  <c r="R31" i="35"/>
  <c r="S31" i="35"/>
  <c r="AP35" i="35"/>
  <c r="AO35" i="35"/>
  <c r="R13" i="35"/>
  <c r="S13" i="35"/>
  <c r="P14" i="35"/>
  <c r="Q14" i="35"/>
  <c r="O15" i="35"/>
  <c r="AM37" i="35"/>
  <c r="AL38" i="35"/>
  <c r="AN36" i="35"/>
  <c r="AO36" i="35" s="1" a="1"/>
  <c r="P32" i="35"/>
  <c r="O33" i="35"/>
  <c r="Q10" i="32"/>
  <c r="P10" i="32"/>
  <c r="O11" i="32"/>
  <c r="R27" i="32"/>
  <c r="S27" i="32"/>
  <c r="O29" i="32"/>
  <c r="P28" i="32"/>
  <c r="AN31" i="32"/>
  <c r="AO31" i="32" s="1" a="1"/>
  <c r="S9" i="32"/>
  <c r="R9" i="32"/>
  <c r="AL33" i="32"/>
  <c r="AM32" i="32"/>
  <c r="AO35" i="36" l="1"/>
  <c r="AP35" i="36"/>
  <c r="R14" i="36"/>
  <c r="S14" i="36"/>
  <c r="AM37" i="36"/>
  <c r="AL38" i="36"/>
  <c r="O34" i="36"/>
  <c r="P33" i="36"/>
  <c r="AN36" i="36"/>
  <c r="AO36" i="36" a="1"/>
  <c r="R32" i="36"/>
  <c r="S32" i="36"/>
  <c r="O16" i="36"/>
  <c r="P15" i="36"/>
  <c r="Q15" i="36"/>
  <c r="O34" i="35"/>
  <c r="P33" i="35"/>
  <c r="S14" i="35"/>
  <c r="R14" i="35"/>
  <c r="S32" i="35"/>
  <c r="R32" i="35"/>
  <c r="AP36" i="35"/>
  <c r="AO36" i="35"/>
  <c r="AL39" i="35"/>
  <c r="AM38" i="35"/>
  <c r="AN37" i="35"/>
  <c r="AO37" i="35" s="1" a="1"/>
  <c r="O16" i="35"/>
  <c r="Q15" i="35"/>
  <c r="P15" i="35"/>
  <c r="AP31" i="32"/>
  <c r="AO31" i="32"/>
  <c r="AN32" i="32"/>
  <c r="AO32" i="32" s="1" a="1"/>
  <c r="AM33" i="32"/>
  <c r="AL34" i="32"/>
  <c r="R28" i="32"/>
  <c r="S28" i="32"/>
  <c r="O12" i="32"/>
  <c r="Q11" i="32"/>
  <c r="P11" i="32"/>
  <c r="O30" i="32"/>
  <c r="P29" i="32"/>
  <c r="R10" i="32"/>
  <c r="S10" i="32"/>
  <c r="S33" i="36" l="1"/>
  <c r="R33" i="36"/>
  <c r="O35" i="36"/>
  <c r="P34" i="36"/>
  <c r="R15" i="36"/>
  <c r="S15" i="36"/>
  <c r="AM38" i="36"/>
  <c r="AL39" i="36"/>
  <c r="P16" i="36"/>
  <c r="Q16" i="36"/>
  <c r="O17" i="36"/>
  <c r="AN37" i="36"/>
  <c r="AO37" i="36" s="1" a="1"/>
  <c r="AO36" i="36"/>
  <c r="AP36" i="36"/>
  <c r="AP37" i="35"/>
  <c r="AO37" i="35"/>
  <c r="R15" i="35"/>
  <c r="S15" i="35"/>
  <c r="P16" i="35"/>
  <c r="O17" i="35"/>
  <c r="Q16" i="35"/>
  <c r="AN38" i="35"/>
  <c r="AO38" i="35" s="1" a="1"/>
  <c r="S33" i="35"/>
  <c r="R33" i="35"/>
  <c r="AM39" i="35"/>
  <c r="AL40" i="35"/>
  <c r="O35" i="35"/>
  <c r="P34" i="35"/>
  <c r="AP32" i="32"/>
  <c r="AO32" i="32"/>
  <c r="AM34" i="32"/>
  <c r="AL35" i="32"/>
  <c r="S11" i="32"/>
  <c r="R11" i="32"/>
  <c r="AN33" i="32"/>
  <c r="AO33" i="32" s="1" a="1"/>
  <c r="R29" i="32"/>
  <c r="S29" i="32"/>
  <c r="O31" i="32"/>
  <c r="P30" i="32"/>
  <c r="O13" i="32"/>
  <c r="Q12" i="32"/>
  <c r="P12" i="32"/>
  <c r="AP37" i="36" l="1"/>
  <c r="AO37" i="36"/>
  <c r="AN38" i="36"/>
  <c r="AO38" i="36" s="1" a="1"/>
  <c r="AL40" i="36"/>
  <c r="AM39" i="36"/>
  <c r="R34" i="36"/>
  <c r="S34" i="36"/>
  <c r="Q17" i="36"/>
  <c r="P17" i="36"/>
  <c r="O18" i="36"/>
  <c r="O36" i="36"/>
  <c r="P35" i="36"/>
  <c r="S16" i="36"/>
  <c r="R16" i="36"/>
  <c r="AP38" i="35"/>
  <c r="AO38" i="35"/>
  <c r="S34" i="35"/>
  <c r="R34" i="35"/>
  <c r="P35" i="35"/>
  <c r="O36" i="35"/>
  <c r="P17" i="35"/>
  <c r="O18" i="35"/>
  <c r="Q17" i="35"/>
  <c r="AM40" i="35"/>
  <c r="AL41" i="35"/>
  <c r="S16" i="35"/>
  <c r="R16" i="35"/>
  <c r="AN39" i="35"/>
  <c r="AO39" i="35" s="1" a="1"/>
  <c r="AP33" i="32"/>
  <c r="AO33" i="32"/>
  <c r="S30" i="32"/>
  <c r="R30" i="32"/>
  <c r="AM35" i="32"/>
  <c r="AL36" i="32"/>
  <c r="S12" i="32"/>
  <c r="R12" i="32"/>
  <c r="O32" i="32"/>
  <c r="P31" i="32"/>
  <c r="AN34" i="32"/>
  <c r="AO34" i="32" s="1" a="1"/>
  <c r="P13" i="32"/>
  <c r="O14" i="32"/>
  <c r="Q13" i="32"/>
  <c r="AP38" i="36" l="1"/>
  <c r="AO38" i="36"/>
  <c r="AN39" i="36"/>
  <c r="AO39" i="36" s="1" a="1"/>
  <c r="S35" i="36"/>
  <c r="R35" i="36"/>
  <c r="AM40" i="36"/>
  <c r="AL41" i="36"/>
  <c r="P36" i="36"/>
  <c r="O37" i="36"/>
  <c r="O19" i="36"/>
  <c r="Q18" i="36"/>
  <c r="P18" i="36"/>
  <c r="R17" i="36"/>
  <c r="S17" i="36"/>
  <c r="AP39" i="35"/>
  <c r="AO39" i="35"/>
  <c r="Q18" i="35"/>
  <c r="P18" i="35"/>
  <c r="O19" i="35"/>
  <c r="S17" i="35"/>
  <c r="R17" i="35"/>
  <c r="P36" i="35"/>
  <c r="O37" i="35"/>
  <c r="S35" i="35"/>
  <c r="R35" i="35"/>
  <c r="AM41" i="35"/>
  <c r="AL42" i="35"/>
  <c r="AN40" i="35"/>
  <c r="AO40" i="35" s="1" a="1"/>
  <c r="AP34" i="32"/>
  <c r="AO34" i="32"/>
  <c r="S13" i="32"/>
  <c r="R13" i="32"/>
  <c r="S31" i="32"/>
  <c r="R31" i="32"/>
  <c r="P14" i="32"/>
  <c r="Q14" i="32"/>
  <c r="O15" i="32"/>
  <c r="AM36" i="32"/>
  <c r="AL37" i="32"/>
  <c r="AN35" i="32"/>
  <c r="AO35" i="32" s="1" a="1"/>
  <c r="P32" i="32"/>
  <c r="O33" i="32"/>
  <c r="AP39" i="36" l="1"/>
  <c r="AO39" i="36"/>
  <c r="AM41" i="36"/>
  <c r="AL42" i="36"/>
  <c r="AN40" i="36"/>
  <c r="AO40" i="36" s="1" a="1"/>
  <c r="S18" i="36"/>
  <c r="R18" i="36"/>
  <c r="P19" i="36"/>
  <c r="Q19" i="36"/>
  <c r="O20" i="36"/>
  <c r="O38" i="36"/>
  <c r="P37" i="36"/>
  <c r="S36" i="36"/>
  <c r="R36" i="36"/>
  <c r="S36" i="35"/>
  <c r="R36" i="35"/>
  <c r="AP40" i="35"/>
  <c r="AO40" i="35"/>
  <c r="AM42" i="35"/>
  <c r="AL43" i="35"/>
  <c r="O20" i="35"/>
  <c r="Q19" i="35"/>
  <c r="P19" i="35"/>
  <c r="AO41" i="35" a="1"/>
  <c r="AN41" i="35"/>
  <c r="S18" i="35"/>
  <c r="R18" i="35"/>
  <c r="O38" i="35"/>
  <c r="P37" i="35"/>
  <c r="AP35" i="32"/>
  <c r="AO35" i="32"/>
  <c r="P33" i="32"/>
  <c r="O34" i="32"/>
  <c r="S14" i="32"/>
  <c r="R14" i="32"/>
  <c r="AN36" i="32"/>
  <c r="AO36" i="32" s="1" a="1"/>
  <c r="S32" i="32"/>
  <c r="R32" i="32"/>
  <c r="AM37" i="32"/>
  <c r="AL38" i="32"/>
  <c r="O16" i="32"/>
  <c r="Q15" i="32"/>
  <c r="P15" i="32"/>
  <c r="AR31" i="35" a="1"/>
  <c r="AP40" i="36" l="1"/>
  <c r="AO40" i="36"/>
  <c r="S37" i="36"/>
  <c r="R37" i="36"/>
  <c r="O39" i="36"/>
  <c r="P38" i="36"/>
  <c r="AM42" i="36"/>
  <c r="AL43" i="36"/>
  <c r="Q20" i="36"/>
  <c r="P20" i="36"/>
  <c r="AO41" i="36" a="1"/>
  <c r="AN41" i="36"/>
  <c r="S19" i="36"/>
  <c r="R19" i="36"/>
  <c r="AR66" i="35"/>
  <c r="AR58" i="35"/>
  <c r="AR50" i="35"/>
  <c r="AR42" i="35"/>
  <c r="AR34" i="35"/>
  <c r="AR72" i="35"/>
  <c r="AR63" i="35"/>
  <c r="AR54" i="35"/>
  <c r="AR45" i="35"/>
  <c r="AR36" i="35"/>
  <c r="AR70" i="35"/>
  <c r="AR71" i="35"/>
  <c r="AR62" i="35"/>
  <c r="AR53" i="35"/>
  <c r="AR44" i="35"/>
  <c r="AR35" i="35"/>
  <c r="AR61" i="35"/>
  <c r="AR52" i="35"/>
  <c r="AR43" i="35"/>
  <c r="AR33" i="35"/>
  <c r="AR68" i="35"/>
  <c r="AR55" i="35"/>
  <c r="AR39" i="35"/>
  <c r="AR67" i="35"/>
  <c r="AR51" i="35"/>
  <c r="AR38" i="35"/>
  <c r="AR65" i="35"/>
  <c r="AR37" i="35"/>
  <c r="AR48" i="35"/>
  <c r="AR49" i="35"/>
  <c r="AR64" i="35"/>
  <c r="AR60" i="35"/>
  <c r="AR47" i="35"/>
  <c r="AR31" i="35"/>
  <c r="AR32" i="35"/>
  <c r="AR59" i="35"/>
  <c r="AR46" i="35"/>
  <c r="AR41" i="35"/>
  <c r="AR40" i="35"/>
  <c r="AR69" i="35"/>
  <c r="AR57" i="35"/>
  <c r="AR56" i="35"/>
  <c r="S37" i="35"/>
  <c r="R37" i="35"/>
  <c r="Q20" i="35"/>
  <c r="P20" i="35"/>
  <c r="O39" i="35"/>
  <c r="P38" i="35"/>
  <c r="AM43" i="35"/>
  <c r="AL44" i="35"/>
  <c r="AN42" i="35"/>
  <c r="AO42" i="35" a="1"/>
  <c r="AO41" i="35"/>
  <c r="AP41" i="35"/>
  <c r="S19" i="35"/>
  <c r="R19" i="35"/>
  <c r="AP36" i="32"/>
  <c r="AO36" i="32"/>
  <c r="S15" i="32"/>
  <c r="R15" i="32"/>
  <c r="AM38" i="32"/>
  <c r="AL39" i="32"/>
  <c r="O35" i="32"/>
  <c r="P34" i="32"/>
  <c r="S33" i="32"/>
  <c r="R33" i="32"/>
  <c r="AN37" i="32"/>
  <c r="AO37" i="32" s="1" a="1"/>
  <c r="P16" i="32"/>
  <c r="O17" i="32"/>
  <c r="Q16" i="32"/>
  <c r="AR31" i="36" a="1"/>
  <c r="AR67" i="36" l="1"/>
  <c r="AR59" i="36"/>
  <c r="AR51" i="36"/>
  <c r="AR43" i="36"/>
  <c r="AR72" i="36"/>
  <c r="AR63" i="36"/>
  <c r="AR54" i="36"/>
  <c r="AR45" i="36"/>
  <c r="AR36" i="36"/>
  <c r="AR70" i="36"/>
  <c r="AR61" i="36"/>
  <c r="AR34" i="36"/>
  <c r="AR71" i="36"/>
  <c r="AR62" i="36"/>
  <c r="AR53" i="36"/>
  <c r="AR44" i="36"/>
  <c r="AR35" i="36"/>
  <c r="AR42" i="36"/>
  <c r="AR52" i="36"/>
  <c r="AR69" i="36"/>
  <c r="AR60" i="36"/>
  <c r="AR50" i="36"/>
  <c r="AR41" i="36"/>
  <c r="AR33" i="36"/>
  <c r="AR56" i="36"/>
  <c r="AR38" i="36"/>
  <c r="AR66" i="36"/>
  <c r="AR48" i="36"/>
  <c r="AR55" i="36"/>
  <c r="AR37" i="36"/>
  <c r="AR68" i="36"/>
  <c r="AR49" i="36"/>
  <c r="AR32" i="36"/>
  <c r="AR31" i="36"/>
  <c r="AR65" i="36"/>
  <c r="AR58" i="36"/>
  <c r="AR57" i="36"/>
  <c r="AR46" i="36"/>
  <c r="AR39" i="36"/>
  <c r="AR64" i="36"/>
  <c r="AR47" i="36"/>
  <c r="AR40" i="36"/>
  <c r="AM43" i="36"/>
  <c r="AL44" i="36"/>
  <c r="AO42" i="36" a="1"/>
  <c r="AN42" i="36"/>
  <c r="S38" i="36"/>
  <c r="R38" i="36"/>
  <c r="O40" i="36"/>
  <c r="P39" i="36"/>
  <c r="AP41" i="36"/>
  <c r="AO41" i="36"/>
  <c r="S20" i="36"/>
  <c r="R20" i="36"/>
  <c r="S38" i="35"/>
  <c r="R38" i="35"/>
  <c r="P39" i="35"/>
  <c r="O40" i="35"/>
  <c r="R20" i="35"/>
  <c r="S20" i="35"/>
  <c r="AO42" i="35"/>
  <c r="AP42" i="35"/>
  <c r="AL45" i="35"/>
  <c r="AM44" i="35"/>
  <c r="AO43" i="35" a="1"/>
  <c r="AN43" i="35"/>
  <c r="AO37" i="32"/>
  <c r="AP37" i="32"/>
  <c r="P35" i="32"/>
  <c r="O36" i="32"/>
  <c r="AL40" i="32"/>
  <c r="AM39" i="32"/>
  <c r="O18" i="32"/>
  <c r="Q17" i="32"/>
  <c r="P17" i="32"/>
  <c r="AN38" i="32"/>
  <c r="AO38" i="32" s="1" a="1"/>
  <c r="S34" i="32"/>
  <c r="R34" i="32"/>
  <c r="S16" i="32"/>
  <c r="R16" i="32"/>
  <c r="AP42" i="36" l="1"/>
  <c r="AO42" i="36"/>
  <c r="AL45" i="36"/>
  <c r="AM44" i="36"/>
  <c r="AN43" i="36"/>
  <c r="AO43" i="36" a="1"/>
  <c r="S39" i="36"/>
  <c r="R39" i="36"/>
  <c r="O41" i="36"/>
  <c r="P40" i="36"/>
  <c r="O41" i="35"/>
  <c r="P40" i="35"/>
  <c r="AP43" i="35"/>
  <c r="AO43" i="35"/>
  <c r="S39" i="35"/>
  <c r="R39" i="35"/>
  <c r="AO44" i="35" a="1"/>
  <c r="AN44" i="35"/>
  <c r="AL46" i="35"/>
  <c r="AM45" i="35"/>
  <c r="AP38" i="32"/>
  <c r="AO38" i="32"/>
  <c r="AN39" i="32"/>
  <c r="AO39" i="32" s="1" a="1"/>
  <c r="P36" i="32"/>
  <c r="O37" i="32"/>
  <c r="P18" i="32"/>
  <c r="O19" i="32"/>
  <c r="Q18" i="32"/>
  <c r="R35" i="32"/>
  <c r="S35" i="32"/>
  <c r="AL41" i="32"/>
  <c r="AM40" i="32"/>
  <c r="S17" i="32"/>
  <c r="R17" i="32"/>
  <c r="AP43" i="36" l="1"/>
  <c r="AO43" i="36"/>
  <c r="AO44" i="36" a="1"/>
  <c r="AN44" i="36"/>
  <c r="AL46" i="36"/>
  <c r="AM45" i="36"/>
  <c r="R40" i="36"/>
  <c r="S40" i="36"/>
  <c r="P41" i="36"/>
  <c r="O42" i="36"/>
  <c r="S40" i="35"/>
  <c r="R40" i="35"/>
  <c r="AP44" i="35"/>
  <c r="AO44" i="35"/>
  <c r="AO45" i="35" a="1"/>
  <c r="AN45" i="35"/>
  <c r="AL47" i="35"/>
  <c r="AM46" i="35"/>
  <c r="O42" i="35"/>
  <c r="P41" i="35"/>
  <c r="AO39" i="32"/>
  <c r="AP39" i="32"/>
  <c r="O38" i="32"/>
  <c r="P37" i="32"/>
  <c r="S36" i="32"/>
  <c r="R36" i="32"/>
  <c r="AM41" i="32"/>
  <c r="AL42" i="32"/>
  <c r="Q19" i="32"/>
  <c r="P19" i="32"/>
  <c r="O20" i="32"/>
  <c r="S18" i="32"/>
  <c r="R18" i="32"/>
  <c r="AN40" i="32"/>
  <c r="AO40" i="32" s="1" a="1"/>
  <c r="AO45" i="36" l="1" a="1"/>
  <c r="AN45" i="36"/>
  <c r="AL47" i="36"/>
  <c r="AM46" i="36"/>
  <c r="AP44" i="36"/>
  <c r="AO44" i="36"/>
  <c r="P42" i="36"/>
  <c r="O43" i="36"/>
  <c r="S41" i="36"/>
  <c r="R41" i="36"/>
  <c r="AO46" i="35" a="1"/>
  <c r="AN46" i="35"/>
  <c r="AL48" i="35"/>
  <c r="AM47" i="35"/>
  <c r="AP45" i="35"/>
  <c r="AO45" i="35"/>
  <c r="S41" i="35"/>
  <c r="R41" i="35"/>
  <c r="O43" i="35"/>
  <c r="P42" i="35"/>
  <c r="AM42" i="32"/>
  <c r="AL43" i="32"/>
  <c r="AP40" i="32"/>
  <c r="AO40" i="32"/>
  <c r="AN41" i="32"/>
  <c r="AO41" i="32" s="1" a="1"/>
  <c r="S37" i="32"/>
  <c r="R37" i="32"/>
  <c r="P20" i="32"/>
  <c r="Q20" i="32"/>
  <c r="P38" i="32"/>
  <c r="O39" i="32"/>
  <c r="S19" i="32"/>
  <c r="R19" i="32"/>
  <c r="O44" i="36" l="1"/>
  <c r="P43" i="36"/>
  <c r="S42" i="36"/>
  <c r="R42" i="36"/>
  <c r="AO46" i="36" a="1"/>
  <c r="AN46" i="36"/>
  <c r="AL48" i="36"/>
  <c r="AM47" i="36"/>
  <c r="AP45" i="36"/>
  <c r="AO45" i="36"/>
  <c r="AL49" i="35"/>
  <c r="AM48" i="35"/>
  <c r="AO47" i="35" a="1"/>
  <c r="AN47" i="35"/>
  <c r="R42" i="35"/>
  <c r="S42" i="35"/>
  <c r="P43" i="35"/>
  <c r="O44" i="35"/>
  <c r="AO46" i="35"/>
  <c r="AP46" i="35"/>
  <c r="AP41" i="32"/>
  <c r="AO41" i="32"/>
  <c r="P39" i="32"/>
  <c r="O40" i="32"/>
  <c r="S38" i="32"/>
  <c r="R38" i="32"/>
  <c r="AM43" i="32"/>
  <c r="AL44" i="32"/>
  <c r="S20" i="32"/>
  <c r="R20" i="32"/>
  <c r="AN42" i="32"/>
  <c r="AO42" i="32" s="1" a="1"/>
  <c r="AO47" i="36" l="1" a="1"/>
  <c r="AN47" i="36"/>
  <c r="S43" i="36"/>
  <c r="R43" i="36"/>
  <c r="AM48" i="36"/>
  <c r="AL49" i="36"/>
  <c r="AP46" i="36"/>
  <c r="AO46" i="36"/>
  <c r="O45" i="36"/>
  <c r="P44" i="36"/>
  <c r="O45" i="35"/>
  <c r="P44" i="35"/>
  <c r="S43" i="35"/>
  <c r="R43" i="35"/>
  <c r="AO47" i="35"/>
  <c r="AP47" i="35"/>
  <c r="AO48" i="35" a="1"/>
  <c r="AN48" i="35"/>
  <c r="AL50" i="35"/>
  <c r="AM49" i="35"/>
  <c r="AP42" i="32"/>
  <c r="AO42" i="32"/>
  <c r="O41" i="32"/>
  <c r="P40" i="32"/>
  <c r="AL45" i="32"/>
  <c r="AM44" i="32"/>
  <c r="AN43" i="32"/>
  <c r="AO43" i="32" s="1" a="1"/>
  <c r="S39" i="32"/>
  <c r="R39" i="32"/>
  <c r="AL50" i="36" l="1"/>
  <c r="AM49" i="36"/>
  <c r="AO48" i="36" a="1"/>
  <c r="AN48" i="36"/>
  <c r="S44" i="36"/>
  <c r="R44" i="36"/>
  <c r="P45" i="36"/>
  <c r="O46" i="36"/>
  <c r="AO47" i="36"/>
  <c r="AP47" i="36"/>
  <c r="AO48" i="35"/>
  <c r="AP48" i="35"/>
  <c r="AO49" i="35" a="1"/>
  <c r="AN49" i="35"/>
  <c r="R44" i="35"/>
  <c r="S44" i="35"/>
  <c r="AL51" i="35"/>
  <c r="AM50" i="35"/>
  <c r="O46" i="35"/>
  <c r="P45" i="35"/>
  <c r="AO43" i="32"/>
  <c r="AP43" i="32"/>
  <c r="AL46" i="32"/>
  <c r="AM45" i="32"/>
  <c r="S40" i="32"/>
  <c r="R40" i="32"/>
  <c r="P41" i="32"/>
  <c r="O42" i="32"/>
  <c r="AN44" i="32"/>
  <c r="AO44" i="32" s="1" a="1"/>
  <c r="O47" i="36" l="1"/>
  <c r="P46" i="36"/>
  <c r="S45" i="36"/>
  <c r="R45" i="36"/>
  <c r="AP48" i="36"/>
  <c r="AO48" i="36"/>
  <c r="AO49" i="36" a="1"/>
  <c r="AN49" i="36"/>
  <c r="AM50" i="36"/>
  <c r="AL51" i="36"/>
  <c r="AP49" i="35"/>
  <c r="AO49" i="35"/>
  <c r="AO50" i="35" a="1"/>
  <c r="AN50" i="35"/>
  <c r="S45" i="35"/>
  <c r="R45" i="35"/>
  <c r="AM51" i="35"/>
  <c r="AL52" i="35"/>
  <c r="P46" i="35"/>
  <c r="O47" i="35"/>
  <c r="AP44" i="32"/>
  <c r="AO44" i="32"/>
  <c r="P42" i="32"/>
  <c r="O43" i="32"/>
  <c r="S41" i="32"/>
  <c r="R41" i="32"/>
  <c r="AO45" i="32" a="1"/>
  <c r="AN45" i="32"/>
  <c r="AL47" i="32"/>
  <c r="AM46" i="32"/>
  <c r="AR31" i="32" a="1"/>
  <c r="AP49" i="36" l="1"/>
  <c r="AO49" i="36"/>
  <c r="S46" i="36"/>
  <c r="R46" i="36"/>
  <c r="AL52" i="36"/>
  <c r="AM51" i="36"/>
  <c r="AO50" i="36" a="1"/>
  <c r="AN50" i="36"/>
  <c r="O48" i="36"/>
  <c r="P47" i="36"/>
  <c r="AL53" i="35"/>
  <c r="AM52" i="35"/>
  <c r="AP50" i="35"/>
  <c r="AO50" i="35"/>
  <c r="AO51" i="35" a="1"/>
  <c r="AN51" i="35"/>
  <c r="O48" i="35"/>
  <c r="P47" i="35"/>
  <c r="S46" i="35"/>
  <c r="R46" i="35"/>
  <c r="AR66" i="32"/>
  <c r="AR58" i="32"/>
  <c r="AR50" i="32"/>
  <c r="AR42" i="32"/>
  <c r="AR34" i="32"/>
  <c r="AR65" i="32"/>
  <c r="AR57" i="32"/>
  <c r="AR49" i="32"/>
  <c r="AR41" i="32"/>
  <c r="AR33" i="32"/>
  <c r="AR72" i="32"/>
  <c r="AR64" i="32"/>
  <c r="AR67" i="32"/>
  <c r="AR54" i="32"/>
  <c r="AR44" i="32"/>
  <c r="AR32" i="32"/>
  <c r="AR63" i="32"/>
  <c r="AR53" i="32"/>
  <c r="AR43" i="32"/>
  <c r="AR31" i="32"/>
  <c r="AR68" i="32"/>
  <c r="AR51" i="32"/>
  <c r="AR37" i="32"/>
  <c r="AR62" i="32"/>
  <c r="AR48" i="32"/>
  <c r="AR36" i="32"/>
  <c r="AR61" i="32"/>
  <c r="AR47" i="32"/>
  <c r="AR35" i="32"/>
  <c r="AR60" i="32"/>
  <c r="AR46" i="32"/>
  <c r="AR59" i="32"/>
  <c r="AR70" i="32"/>
  <c r="AR39" i="32"/>
  <c r="AR56" i="32"/>
  <c r="AR71" i="32"/>
  <c r="AR69" i="32"/>
  <c r="AR55" i="32"/>
  <c r="AR38" i="32"/>
  <c r="AR52" i="32"/>
  <c r="AR45" i="32"/>
  <c r="AR40" i="32"/>
  <c r="AP45" i="32"/>
  <c r="AO45" i="32"/>
  <c r="P43" i="32"/>
  <c r="O44" i="32"/>
  <c r="S42" i="32"/>
  <c r="R42" i="32"/>
  <c r="AO46" i="32" a="1"/>
  <c r="AN46" i="32"/>
  <c r="AL48" i="32"/>
  <c r="AM47" i="32"/>
  <c r="AL53" i="36" l="1"/>
  <c r="AM52" i="36"/>
  <c r="S47" i="36"/>
  <c r="R47" i="36"/>
  <c r="AP50" i="36"/>
  <c r="AO50" i="36"/>
  <c r="AO51" i="36" a="1"/>
  <c r="AN51" i="36"/>
  <c r="P48" i="36"/>
  <c r="O49" i="36"/>
  <c r="AO51" i="35"/>
  <c r="AP51" i="35"/>
  <c r="S47" i="35"/>
  <c r="R47" i="35"/>
  <c r="AO52" i="35" a="1"/>
  <c r="AN52" i="35"/>
  <c r="O49" i="35"/>
  <c r="P48" i="35"/>
  <c r="AL54" i="35"/>
  <c r="AM53" i="35"/>
  <c r="S43" i="32"/>
  <c r="R43" i="32"/>
  <c r="AO47" i="32" a="1"/>
  <c r="AN47" i="32"/>
  <c r="AL49" i="32"/>
  <c r="AM48" i="32"/>
  <c r="O45" i="32"/>
  <c r="P44" i="32"/>
  <c r="AP46" i="32"/>
  <c r="AO46" i="32"/>
  <c r="O50" i="36" l="1"/>
  <c r="P49" i="36"/>
  <c r="AO52" i="36" a="1"/>
  <c r="AN52" i="36"/>
  <c r="AO51" i="36"/>
  <c r="AP51" i="36"/>
  <c r="S48" i="36"/>
  <c r="R48" i="36"/>
  <c r="AL54" i="36"/>
  <c r="AM53" i="36"/>
  <c r="O50" i="35"/>
  <c r="P49" i="35"/>
  <c r="AP52" i="35"/>
  <c r="AO52" i="35"/>
  <c r="S48" i="35"/>
  <c r="R48" i="35"/>
  <c r="AN53" i="35"/>
  <c r="AO53" i="35" a="1"/>
  <c r="AL55" i="35"/>
  <c r="AM54" i="35"/>
  <c r="AO48" i="32" a="1"/>
  <c r="AN48" i="32"/>
  <c r="AL50" i="32"/>
  <c r="AM49" i="32"/>
  <c r="AP47" i="32"/>
  <c r="AO47" i="32"/>
  <c r="O46" i="32"/>
  <c r="P45" i="32"/>
  <c r="R44" i="32"/>
  <c r="S44" i="32"/>
  <c r="AN53" i="36" l="1"/>
  <c r="AO53" i="36" a="1"/>
  <c r="R49" i="36"/>
  <c r="S49" i="36"/>
  <c r="AP52" i="36"/>
  <c r="AO52" i="36"/>
  <c r="AL55" i="36"/>
  <c r="AM54" i="36"/>
  <c r="O51" i="36"/>
  <c r="P50" i="36"/>
  <c r="AP53" i="35"/>
  <c r="AO53" i="35"/>
  <c r="R49" i="35"/>
  <c r="S49" i="35"/>
  <c r="AN54" i="35"/>
  <c r="AO54" i="35" a="1"/>
  <c r="AM55" i="35"/>
  <c r="AL56" i="35"/>
  <c r="O51" i="35"/>
  <c r="P50" i="35"/>
  <c r="O47" i="32"/>
  <c r="P46" i="32"/>
  <c r="AO49" i="32" a="1"/>
  <c r="AN49" i="32"/>
  <c r="S45" i="32"/>
  <c r="R45" i="32"/>
  <c r="AL51" i="32"/>
  <c r="AM50" i="32"/>
  <c r="AP48" i="32"/>
  <c r="AO48" i="32"/>
  <c r="AO54" i="36" l="1" a="1"/>
  <c r="AN54" i="36"/>
  <c r="AP53" i="36"/>
  <c r="AO53" i="36"/>
  <c r="AL56" i="36"/>
  <c r="AM55" i="36"/>
  <c r="S50" i="36"/>
  <c r="R50" i="36"/>
  <c r="O52" i="36"/>
  <c r="P51" i="36"/>
  <c r="AL57" i="35"/>
  <c r="AM56" i="35"/>
  <c r="AO55" i="35" a="1"/>
  <c r="AN55" i="35"/>
  <c r="AP54" i="35"/>
  <c r="AO54" i="35"/>
  <c r="S50" i="35"/>
  <c r="R50" i="35"/>
  <c r="O52" i="35"/>
  <c r="P51" i="35"/>
  <c r="AL52" i="32"/>
  <c r="AM51" i="32"/>
  <c r="AP49" i="32"/>
  <c r="AO49" i="32"/>
  <c r="AO50" i="32" a="1"/>
  <c r="AN50" i="32"/>
  <c r="S46" i="32"/>
  <c r="R46" i="32"/>
  <c r="O48" i="32"/>
  <c r="P47" i="32"/>
  <c r="AM56" i="36" l="1"/>
  <c r="AL57" i="36"/>
  <c r="R51" i="36"/>
  <c r="S51" i="36"/>
  <c r="AO55" i="36" a="1"/>
  <c r="AN55" i="36"/>
  <c r="O53" i="36"/>
  <c r="P52" i="36"/>
  <c r="AP54" i="36"/>
  <c r="AO54" i="36"/>
  <c r="AP55" i="35"/>
  <c r="AO55" i="35"/>
  <c r="AO56" i="35" a="1"/>
  <c r="AN56" i="35"/>
  <c r="S51" i="35"/>
  <c r="R51" i="35"/>
  <c r="O53" i="35"/>
  <c r="P52" i="35"/>
  <c r="AL58" i="35"/>
  <c r="AM57" i="35"/>
  <c r="AP50" i="32"/>
  <c r="AO50" i="32"/>
  <c r="S47" i="32"/>
  <c r="R47" i="32"/>
  <c r="AO51" i="32" a="1"/>
  <c r="AN51" i="32"/>
  <c r="O49" i="32"/>
  <c r="P48" i="32"/>
  <c r="AM52" i="32"/>
  <c r="AL53" i="32"/>
  <c r="P53" i="36" l="1"/>
  <c r="O54" i="36"/>
  <c r="AL58" i="36"/>
  <c r="AM57" i="36"/>
  <c r="R52" i="36"/>
  <c r="S52" i="36"/>
  <c r="AO55" i="36"/>
  <c r="AP55" i="36"/>
  <c r="AN56" i="36"/>
  <c r="AO56" i="36" a="1"/>
  <c r="AO56" i="35"/>
  <c r="AP56" i="35"/>
  <c r="S52" i="35"/>
  <c r="R52" i="35"/>
  <c r="O54" i="35"/>
  <c r="P53" i="35"/>
  <c r="AO57" i="35" a="1"/>
  <c r="AN57" i="35"/>
  <c r="AL59" i="35"/>
  <c r="AM58" i="35"/>
  <c r="O50" i="32"/>
  <c r="P49" i="32"/>
  <c r="S48" i="32"/>
  <c r="R48" i="32"/>
  <c r="AL54" i="32"/>
  <c r="AM53" i="32"/>
  <c r="AO51" i="32"/>
  <c r="AP51" i="32"/>
  <c r="AO52" i="32" a="1"/>
  <c r="AN52" i="32"/>
  <c r="AP56" i="36" l="1"/>
  <c r="AO56" i="36"/>
  <c r="P54" i="36"/>
  <c r="O55" i="36"/>
  <c r="AN57" i="36"/>
  <c r="AO57" i="36" a="1"/>
  <c r="AL59" i="36"/>
  <c r="AM58" i="36"/>
  <c r="R53" i="36"/>
  <c r="S53" i="36"/>
  <c r="AP57" i="35"/>
  <c r="AO57" i="35"/>
  <c r="S53" i="35"/>
  <c r="R53" i="35"/>
  <c r="P54" i="35"/>
  <c r="O55" i="35"/>
  <c r="AO58" i="35" a="1"/>
  <c r="AN58" i="35"/>
  <c r="AM59" i="35"/>
  <c r="AL60" i="35"/>
  <c r="AN53" i="32"/>
  <c r="AO53" i="32" a="1"/>
  <c r="AL55" i="32"/>
  <c r="AM54" i="32"/>
  <c r="R49" i="32"/>
  <c r="S49" i="32"/>
  <c r="AO52" i="32"/>
  <c r="AP52" i="32"/>
  <c r="O51" i="32"/>
  <c r="P50" i="32"/>
  <c r="AP57" i="36" l="1"/>
  <c r="AO57" i="36"/>
  <c r="O56" i="36"/>
  <c r="P55" i="36"/>
  <c r="AO58" i="36" a="1"/>
  <c r="AN58" i="36"/>
  <c r="AM59" i="36"/>
  <c r="AL60" i="36"/>
  <c r="S54" i="36"/>
  <c r="R54" i="36"/>
  <c r="AO58" i="35"/>
  <c r="AP58" i="35"/>
  <c r="P55" i="35"/>
  <c r="O56" i="35"/>
  <c r="R54" i="35"/>
  <c r="S54" i="35"/>
  <c r="AL61" i="35"/>
  <c r="AM60" i="35"/>
  <c r="AN59" i="35"/>
  <c r="AO59" i="35" a="1"/>
  <c r="AN54" i="32"/>
  <c r="AO54" i="32" a="1"/>
  <c r="AL56" i="32"/>
  <c r="AM55" i="32"/>
  <c r="AO53" i="32"/>
  <c r="AP53" i="32"/>
  <c r="R50" i="32"/>
  <c r="S50" i="32"/>
  <c r="O52" i="32"/>
  <c r="P51" i="32"/>
  <c r="AO59" i="36" l="1" a="1"/>
  <c r="AN59" i="36"/>
  <c r="S55" i="36"/>
  <c r="R55" i="36"/>
  <c r="AM60" i="36"/>
  <c r="AL61" i="36"/>
  <c r="AP58" i="36"/>
  <c r="AO58" i="36"/>
  <c r="O57" i="36"/>
  <c r="P56" i="36"/>
  <c r="AO60" i="35" a="1"/>
  <c r="AN60" i="35"/>
  <c r="AM61" i="35"/>
  <c r="AN61" i="35" s="1"/>
  <c r="AL62" i="35"/>
  <c r="O57" i="35"/>
  <c r="P56" i="35"/>
  <c r="S55" i="35"/>
  <c r="R55" i="35"/>
  <c r="AP59" i="35"/>
  <c r="AO59" i="35"/>
  <c r="AO55" i="32" a="1"/>
  <c r="AN55" i="32"/>
  <c r="AL57" i="32"/>
  <c r="AM56" i="32"/>
  <c r="AP54" i="32"/>
  <c r="AO54" i="32"/>
  <c r="S51" i="32"/>
  <c r="R51" i="32"/>
  <c r="O53" i="32"/>
  <c r="P52" i="32"/>
  <c r="AL62" i="36" l="1"/>
  <c r="AM61" i="36"/>
  <c r="AN61" i="36" s="1"/>
  <c r="AN60" i="36"/>
  <c r="AO60" i="36" a="1"/>
  <c r="S56" i="36"/>
  <c r="R56" i="36"/>
  <c r="P57" i="36"/>
  <c r="O58" i="36"/>
  <c r="AP59" i="36"/>
  <c r="AO59" i="36"/>
  <c r="S56" i="35"/>
  <c r="R56" i="35"/>
  <c r="P57" i="35"/>
  <c r="O58" i="35"/>
  <c r="AL63" i="35"/>
  <c r="AM62" i="35"/>
  <c r="AN62" i="35" s="1"/>
  <c r="AO60" i="35"/>
  <c r="AP60" i="35"/>
  <c r="AO56" i="32" a="1"/>
  <c r="AN56" i="32"/>
  <c r="AL58" i="32"/>
  <c r="AM57" i="32"/>
  <c r="R52" i="32"/>
  <c r="S52" i="32"/>
  <c r="P53" i="32"/>
  <c r="O54" i="32"/>
  <c r="AO55" i="32"/>
  <c r="AP55" i="32"/>
  <c r="S57" i="36" l="1"/>
  <c r="R57" i="36"/>
  <c r="O59" i="36"/>
  <c r="P58" i="36"/>
  <c r="AP60" i="36"/>
  <c r="AO60" i="36"/>
  <c r="AL63" i="36"/>
  <c r="AM62" i="36"/>
  <c r="AN62" i="36" s="1"/>
  <c r="AM63" i="35"/>
  <c r="AL64" i="35"/>
  <c r="O59" i="35"/>
  <c r="P58" i="35"/>
  <c r="S57" i="35"/>
  <c r="R57" i="35"/>
  <c r="AN57" i="32"/>
  <c r="AO57" i="32" a="1"/>
  <c r="AL59" i="32"/>
  <c r="AM58" i="32"/>
  <c r="P54" i="32"/>
  <c r="O55" i="32"/>
  <c r="R53" i="32"/>
  <c r="S53" i="32"/>
  <c r="AP56" i="32"/>
  <c r="AO56" i="32"/>
  <c r="O60" i="36" l="1"/>
  <c r="P59" i="36"/>
  <c r="AM63" i="36"/>
  <c r="AL64" i="36"/>
  <c r="S58" i="36"/>
  <c r="R58" i="36"/>
  <c r="AL65" i="35"/>
  <c r="AM64" i="35"/>
  <c r="S58" i="35"/>
  <c r="R58" i="35"/>
  <c r="O60" i="35"/>
  <c r="P59" i="35"/>
  <c r="AO63" i="35" a="1"/>
  <c r="AN63" i="35"/>
  <c r="S54" i="32"/>
  <c r="R54" i="32"/>
  <c r="AO58" i="32" a="1"/>
  <c r="AN58" i="32"/>
  <c r="AM59" i="32"/>
  <c r="AL60" i="32"/>
  <c r="AP57" i="32"/>
  <c r="AO57" i="32"/>
  <c r="O56" i="32"/>
  <c r="P55" i="32"/>
  <c r="AO63" i="36" l="1" a="1"/>
  <c r="AN63" i="36"/>
  <c r="R59" i="36"/>
  <c r="S59" i="36"/>
  <c r="AL65" i="36"/>
  <c r="AM64" i="36"/>
  <c r="O61" i="36"/>
  <c r="P60" i="36"/>
  <c r="AO63" i="35"/>
  <c r="AP63" i="35"/>
  <c r="AO64" i="35" a="1"/>
  <c r="AN64" i="35"/>
  <c r="S59" i="35"/>
  <c r="R59" i="35"/>
  <c r="O61" i="35"/>
  <c r="P60" i="35"/>
  <c r="AL66" i="35"/>
  <c r="AM65" i="35"/>
  <c r="AM60" i="32"/>
  <c r="AL61" i="32"/>
  <c r="AO59" i="32" a="1"/>
  <c r="AN59" i="32"/>
  <c r="AP58" i="32"/>
  <c r="AO58" i="32"/>
  <c r="S55" i="32"/>
  <c r="R55" i="32"/>
  <c r="O57" i="32"/>
  <c r="P56" i="32"/>
  <c r="AO64" i="36" l="1" a="1"/>
  <c r="AN64" i="36"/>
  <c r="P61" i="36"/>
  <c r="O62" i="36"/>
  <c r="AL66" i="36"/>
  <c r="AM65" i="36"/>
  <c r="S60" i="36"/>
  <c r="R60" i="36"/>
  <c r="AP63" i="36"/>
  <c r="AO63" i="36"/>
  <c r="S60" i="35"/>
  <c r="R60" i="35"/>
  <c r="AP64" i="35"/>
  <c r="AO64" i="35"/>
  <c r="P61" i="35"/>
  <c r="O62" i="35"/>
  <c r="AO65" i="35" a="1"/>
  <c r="AN65" i="35"/>
  <c r="AM66" i="35"/>
  <c r="AL67" i="35"/>
  <c r="AO59" i="32"/>
  <c r="AP59" i="32"/>
  <c r="S56" i="32"/>
  <c r="R56" i="32"/>
  <c r="AL62" i="32"/>
  <c r="AM61" i="32"/>
  <c r="AN61" i="32" s="1"/>
  <c r="P57" i="32"/>
  <c r="O58" i="32"/>
  <c r="AN60" i="32"/>
  <c r="AO60" i="32" a="1"/>
  <c r="AM66" i="36" l="1"/>
  <c r="AL67" i="36"/>
  <c r="P62" i="36"/>
  <c r="O63" i="36"/>
  <c r="AO65" i="36" a="1"/>
  <c r="AN65" i="36"/>
  <c r="R61" i="36"/>
  <c r="S61" i="36"/>
  <c r="AP64" i="36"/>
  <c r="AO64" i="36"/>
  <c r="AO65" i="35"/>
  <c r="AP65" i="35"/>
  <c r="P62" i="35"/>
  <c r="O63" i="35"/>
  <c r="R61" i="35"/>
  <c r="S61" i="35"/>
  <c r="AM67" i="35"/>
  <c r="AL68" i="35"/>
  <c r="AO66" i="35" a="1"/>
  <c r="AN66" i="35"/>
  <c r="O59" i="32"/>
  <c r="P58" i="32"/>
  <c r="S57" i="32"/>
  <c r="R57" i="32"/>
  <c r="AL63" i="32"/>
  <c r="AM62" i="32"/>
  <c r="AN62" i="32" s="1"/>
  <c r="AP60" i="32"/>
  <c r="AO60" i="32"/>
  <c r="R62" i="36" l="1"/>
  <c r="S62" i="36"/>
  <c r="AO65" i="36"/>
  <c r="AP65" i="36"/>
  <c r="AL68" i="36"/>
  <c r="AM67" i="36"/>
  <c r="O64" i="36"/>
  <c r="P63" i="36"/>
  <c r="AO66" i="36" a="1"/>
  <c r="AN66" i="36"/>
  <c r="AM68" i="35"/>
  <c r="AL69" i="35"/>
  <c r="AO67" i="35" a="1"/>
  <c r="AN67" i="35"/>
  <c r="O64" i="35"/>
  <c r="P63" i="35"/>
  <c r="R62" i="35"/>
  <c r="S62" i="35"/>
  <c r="AP66" i="35"/>
  <c r="AO66" i="35"/>
  <c r="AL64" i="32"/>
  <c r="AM63" i="32"/>
  <c r="S58" i="32"/>
  <c r="R58" i="32"/>
  <c r="O60" i="32"/>
  <c r="P59" i="32"/>
  <c r="S63" i="36" l="1"/>
  <c r="R63" i="36"/>
  <c r="AM68" i="36"/>
  <c r="AL69" i="36"/>
  <c r="P64" i="36"/>
  <c r="O65" i="36"/>
  <c r="AO67" i="36" a="1"/>
  <c r="AN67" i="36"/>
  <c r="AP66" i="36"/>
  <c r="AO66" i="36"/>
  <c r="S63" i="35"/>
  <c r="R63" i="35"/>
  <c r="P64" i="35"/>
  <c r="O65" i="35"/>
  <c r="AP67" i="35"/>
  <c r="AO67" i="35"/>
  <c r="AL70" i="35"/>
  <c r="AM69" i="35"/>
  <c r="AO68" i="35" a="1"/>
  <c r="AN68" i="35"/>
  <c r="O61" i="32"/>
  <c r="P60" i="32"/>
  <c r="AN63" i="32"/>
  <c r="AO63" i="32" a="1"/>
  <c r="R59" i="32"/>
  <c r="S59" i="32"/>
  <c r="AM64" i="32"/>
  <c r="AL65" i="32"/>
  <c r="O66" i="36" l="1"/>
  <c r="P65" i="36"/>
  <c r="S64" i="36"/>
  <c r="R64" i="36"/>
  <c r="AP67" i="36"/>
  <c r="AO67" i="36"/>
  <c r="AL70" i="36"/>
  <c r="AM69" i="36"/>
  <c r="AN68" i="36"/>
  <c r="AO68" i="36" a="1"/>
  <c r="AO69" i="35" a="1"/>
  <c r="AN69" i="35"/>
  <c r="AM70" i="35"/>
  <c r="AL71" i="35"/>
  <c r="P65" i="35"/>
  <c r="O66" i="35"/>
  <c r="S64" i="35"/>
  <c r="R64" i="35"/>
  <c r="AP68" i="35"/>
  <c r="AO68" i="35"/>
  <c r="AP63" i="32"/>
  <c r="AO63" i="32"/>
  <c r="AL66" i="32"/>
  <c r="AM65" i="32"/>
  <c r="AO64" i="32" a="1"/>
  <c r="AN64" i="32"/>
  <c r="S60" i="32"/>
  <c r="R60" i="32"/>
  <c r="P61" i="32"/>
  <c r="O62" i="32"/>
  <c r="AO69" i="36" l="1" a="1"/>
  <c r="AN69" i="36"/>
  <c r="AM70" i="36"/>
  <c r="AL71" i="36"/>
  <c r="AP68" i="36"/>
  <c r="AO68" i="36"/>
  <c r="S65" i="36"/>
  <c r="R65" i="36"/>
  <c r="O67" i="36"/>
  <c r="P67" i="36" s="1"/>
  <c r="P66" i="36"/>
  <c r="O67" i="35"/>
  <c r="P67" i="35" s="1"/>
  <c r="P66" i="35"/>
  <c r="S65" i="35"/>
  <c r="R65" i="35"/>
  <c r="AM71" i="35"/>
  <c r="AL72" i="35"/>
  <c r="AM72" i="35" s="1"/>
  <c r="AO70" i="35" a="1"/>
  <c r="AN70" i="35"/>
  <c r="AP69" i="35"/>
  <c r="AO69" i="35"/>
  <c r="AP64" i="32"/>
  <c r="AO64" i="32"/>
  <c r="AO65" i="32" a="1"/>
  <c r="AN65" i="32"/>
  <c r="AM66" i="32"/>
  <c r="AL67" i="32"/>
  <c r="P62" i="32"/>
  <c r="O63" i="32"/>
  <c r="R61" i="32"/>
  <c r="S61" i="32"/>
  <c r="AN70" i="36" l="1"/>
  <c r="AO70" i="36" a="1"/>
  <c r="S66" i="36"/>
  <c r="R66" i="36"/>
  <c r="AM71" i="36"/>
  <c r="AL72" i="36"/>
  <c r="AM72" i="36" s="1"/>
  <c r="S67" i="36"/>
  <c r="R67" i="36"/>
  <c r="AP69" i="36"/>
  <c r="AO69" i="36"/>
  <c r="AP70" i="35"/>
  <c r="AO70" i="35"/>
  <c r="AO72" i="35" a="1"/>
  <c r="AN72" i="35"/>
  <c r="AO71" i="35" a="1"/>
  <c r="AN71" i="35"/>
  <c r="R66" i="35"/>
  <c r="S66" i="35"/>
  <c r="S67" i="35"/>
  <c r="R67" i="35"/>
  <c r="R62" i="32"/>
  <c r="S62" i="32"/>
  <c r="AO66" i="32" a="1"/>
  <c r="AN66" i="32"/>
  <c r="AO65" i="32"/>
  <c r="AP65" i="32"/>
  <c r="O64" i="32"/>
  <c r="P63" i="32"/>
  <c r="AL68" i="32"/>
  <c r="AM67" i="32"/>
  <c r="AO72" i="36" l="1" a="1"/>
  <c r="AN72" i="36"/>
  <c r="AO71" i="36" a="1"/>
  <c r="AN71" i="36"/>
  <c r="AP70" i="36"/>
  <c r="AO70" i="36"/>
  <c r="AP71" i="35"/>
  <c r="AO71" i="35"/>
  <c r="AP72" i="35"/>
  <c r="AO72" i="35"/>
  <c r="P64" i="32"/>
  <c r="O65" i="32"/>
  <c r="AP66" i="32"/>
  <c r="AO66" i="32"/>
  <c r="S63" i="32"/>
  <c r="R63" i="32"/>
  <c r="AO67" i="32" a="1"/>
  <c r="AN67" i="32"/>
  <c r="AM68" i="32"/>
  <c r="AL69" i="32"/>
  <c r="AP71" i="36" l="1"/>
  <c r="AO71" i="36"/>
  <c r="AP72" i="36"/>
  <c r="AO72" i="36"/>
  <c r="AP67" i="32"/>
  <c r="AO67" i="32"/>
  <c r="AL70" i="32"/>
  <c r="AM69" i="32"/>
  <c r="O66" i="32"/>
  <c r="P65" i="32"/>
  <c r="AO68" i="32" a="1"/>
  <c r="AN68" i="32"/>
  <c r="S64" i="32"/>
  <c r="R64" i="32"/>
  <c r="P66" i="32" l="1"/>
  <c r="O67" i="32"/>
  <c r="P67" i="32" s="1"/>
  <c r="AO69" i="32" a="1"/>
  <c r="AN69" i="32"/>
  <c r="AM70" i="32"/>
  <c r="AL71" i="32"/>
  <c r="AP68" i="32"/>
  <c r="AO68" i="32"/>
  <c r="S65" i="32"/>
  <c r="R65" i="32"/>
  <c r="AL72" i="32" l="1"/>
  <c r="AM72" i="32" s="1"/>
  <c r="AM71" i="32"/>
  <c r="AO70" i="32" a="1"/>
  <c r="AN70" i="32"/>
  <c r="AP69" i="32"/>
  <c r="AO69" i="32"/>
  <c r="S67" i="32"/>
  <c r="R67" i="32"/>
  <c r="S66" i="32"/>
  <c r="R66" i="32"/>
  <c r="AP70" i="32" l="1"/>
  <c r="AO70" i="32"/>
  <c r="AO71" i="32" a="1"/>
  <c r="AN71" i="32"/>
  <c r="AO72" i="32" a="1"/>
  <c r="AN72" i="32"/>
  <c r="AP72" i="32" l="1"/>
  <c r="AO72" i="32"/>
  <c r="AP71" i="32"/>
  <c r="AO71" i="32"/>
  <c r="AJ32" i="29" l="1"/>
  <c r="AJ33" i="29" s="1"/>
  <c r="AJ34" i="29" s="1"/>
  <c r="AJ35" i="29" s="1"/>
  <c r="AJ36" i="29" s="1"/>
  <c r="AJ37" i="29" s="1"/>
  <c r="AJ38" i="29" s="1"/>
  <c r="AJ39" i="29" s="1"/>
  <c r="AJ40" i="29" s="1"/>
  <c r="AJ41" i="29" s="1"/>
  <c r="AJ42" i="29" s="1"/>
  <c r="AJ43" i="29" s="1"/>
  <c r="AJ44" i="29" s="1"/>
  <c r="AJ45" i="29" s="1"/>
  <c r="AJ46" i="29" s="1"/>
  <c r="AJ47" i="29" s="1"/>
  <c r="AJ48" i="29" s="1"/>
  <c r="AJ49" i="29" s="1"/>
  <c r="AJ50" i="29" s="1"/>
  <c r="AJ51" i="29" s="1"/>
  <c r="AJ52" i="29" s="1"/>
  <c r="AJ53" i="29" s="1"/>
  <c r="AJ54" i="29" s="1"/>
  <c r="AJ55" i="29" s="1"/>
  <c r="AJ56" i="29" s="1"/>
  <c r="AJ57" i="29" s="1"/>
  <c r="AJ58" i="29" s="1"/>
  <c r="AJ59" i="29" s="1"/>
  <c r="AJ60" i="29" s="1"/>
  <c r="AJ61" i="29" s="1"/>
  <c r="AJ62" i="29" s="1"/>
  <c r="AJ63" i="29" s="1"/>
  <c r="AJ64" i="29" s="1"/>
  <c r="AJ65" i="29" s="1"/>
  <c r="AJ66" i="29" s="1"/>
  <c r="AJ67" i="29" s="1"/>
  <c r="AJ68" i="29" s="1"/>
  <c r="AJ69" i="29" s="1"/>
  <c r="AJ70" i="29" s="1"/>
  <c r="AJ71" i="29" s="1"/>
  <c r="AJ72" i="29" s="1"/>
  <c r="AJ32" i="31"/>
  <c r="AJ33" i="31" s="1"/>
  <c r="AJ34" i="31" s="1"/>
  <c r="AJ35" i="31" s="1"/>
  <c r="AJ36" i="31" s="1"/>
  <c r="AJ37" i="31" s="1"/>
  <c r="AJ38" i="31" s="1"/>
  <c r="AJ39" i="31" s="1"/>
  <c r="AJ40" i="31" s="1"/>
  <c r="AJ41" i="31" s="1"/>
  <c r="AJ42" i="31" s="1"/>
  <c r="AJ43" i="31" s="1"/>
  <c r="AJ44" i="31" s="1"/>
  <c r="AJ45" i="31" s="1"/>
  <c r="AJ46" i="31" s="1"/>
  <c r="AJ47" i="31" s="1"/>
  <c r="AJ48" i="31" s="1"/>
  <c r="AJ49" i="31" s="1"/>
  <c r="AJ50" i="31" s="1"/>
  <c r="AJ51" i="31" s="1"/>
  <c r="AJ52" i="31" s="1"/>
  <c r="AJ53" i="31" s="1"/>
  <c r="AJ54" i="31" s="1"/>
  <c r="AJ55" i="31" s="1"/>
  <c r="AJ56" i="31" s="1"/>
  <c r="AJ57" i="31" s="1"/>
  <c r="AJ58" i="31" s="1"/>
  <c r="AJ59" i="31" s="1"/>
  <c r="AJ60" i="31" s="1"/>
  <c r="AJ61" i="31" s="1"/>
  <c r="AJ62" i="31" s="1"/>
  <c r="AJ63" i="31" s="1"/>
  <c r="AJ64" i="31" s="1"/>
  <c r="AJ65" i="31" s="1"/>
  <c r="AJ66" i="31" s="1"/>
  <c r="AJ67" i="31" s="1"/>
  <c r="AJ68" i="31" s="1"/>
  <c r="AJ69" i="31" s="1"/>
  <c r="AJ70" i="31" s="1"/>
  <c r="AJ71" i="31" s="1"/>
  <c r="AJ72" i="31" s="1"/>
  <c r="AJ32" i="27"/>
  <c r="C8" i="31"/>
  <c r="C69" i="31"/>
  <c r="B69" i="31"/>
  <c r="C68" i="31"/>
  <c r="B68" i="31"/>
  <c r="C67" i="31"/>
  <c r="B67" i="31"/>
  <c r="C66" i="31"/>
  <c r="B66" i="31"/>
  <c r="C65" i="31"/>
  <c r="B65" i="31"/>
  <c r="C64" i="31"/>
  <c r="B64" i="31"/>
  <c r="C63" i="31"/>
  <c r="B63" i="31"/>
  <c r="C62" i="31"/>
  <c r="B62" i="31"/>
  <c r="C61" i="31"/>
  <c r="B61" i="31"/>
  <c r="C60" i="31"/>
  <c r="B60" i="31"/>
  <c r="C59" i="31"/>
  <c r="B59" i="31"/>
  <c r="C58" i="31"/>
  <c r="B58" i="31"/>
  <c r="C57" i="31"/>
  <c r="B57" i="31"/>
  <c r="B56" i="31"/>
  <c r="C55" i="31"/>
  <c r="C54" i="31"/>
  <c r="B53" i="31"/>
  <c r="B52" i="31"/>
  <c r="B51" i="31"/>
  <c r="B50" i="31"/>
  <c r="B49" i="31"/>
  <c r="B48" i="31"/>
  <c r="C45" i="31"/>
  <c r="M27" i="31"/>
  <c r="M28" i="31" s="1"/>
  <c r="M29" i="31" s="1"/>
  <c r="M30" i="31" s="1"/>
  <c r="M31" i="31" s="1"/>
  <c r="M32" i="31" s="1"/>
  <c r="M33" i="31" s="1"/>
  <c r="M34" i="31" s="1"/>
  <c r="M35" i="31" s="1"/>
  <c r="M36" i="31" s="1"/>
  <c r="M37" i="31" s="1"/>
  <c r="M38" i="31" s="1"/>
  <c r="M39" i="31" s="1"/>
  <c r="M40" i="31" s="1"/>
  <c r="M41" i="31" s="1"/>
  <c r="M42" i="31" s="1"/>
  <c r="M43" i="31" s="1"/>
  <c r="M44" i="31" s="1"/>
  <c r="M45" i="31" s="1"/>
  <c r="M46" i="31" s="1"/>
  <c r="M47" i="31" s="1"/>
  <c r="M48" i="31" s="1"/>
  <c r="M49" i="31" s="1"/>
  <c r="M50" i="31" s="1"/>
  <c r="M51" i="31" s="1"/>
  <c r="M52" i="31" s="1"/>
  <c r="M53" i="31" s="1"/>
  <c r="M54" i="31" s="1"/>
  <c r="M55" i="31" s="1"/>
  <c r="M56" i="31" s="1"/>
  <c r="M57" i="31" s="1"/>
  <c r="M58" i="31" s="1"/>
  <c r="M59" i="31" s="1"/>
  <c r="M60" i="31" s="1"/>
  <c r="M61" i="31" s="1"/>
  <c r="M62" i="31" s="1"/>
  <c r="M63" i="31" s="1"/>
  <c r="M64" i="31" s="1"/>
  <c r="M65" i="31" s="1"/>
  <c r="M66" i="31" s="1"/>
  <c r="M67" i="31" s="1"/>
  <c r="N20" i="31"/>
  <c r="F20" i="31"/>
  <c r="N19" i="31"/>
  <c r="F19" i="31"/>
  <c r="N18" i="31"/>
  <c r="F18" i="31"/>
  <c r="F17" i="31"/>
  <c r="N16" i="31"/>
  <c r="F16" i="31"/>
  <c r="N15" i="31"/>
  <c r="F15" i="31"/>
  <c r="F14" i="31"/>
  <c r="F13" i="31"/>
  <c r="F12" i="31"/>
  <c r="F11" i="31"/>
  <c r="N10" i="31"/>
  <c r="F10" i="31"/>
  <c r="N9" i="31"/>
  <c r="F9" i="31"/>
  <c r="F8" i="31"/>
  <c r="F7" i="31"/>
  <c r="N5" i="31"/>
  <c r="F5" i="31"/>
  <c r="N4" i="31"/>
  <c r="M4" i="31"/>
  <c r="M5" i="31" s="1"/>
  <c r="M6" i="31" s="1"/>
  <c r="F4" i="31"/>
  <c r="N3" i="31"/>
  <c r="F3" i="31"/>
  <c r="S2" i="31" a="1"/>
  <c r="S2" i="31" s="1"/>
  <c r="O3" i="31" s="1"/>
  <c r="C69" i="29"/>
  <c r="B69" i="29"/>
  <c r="C68" i="29"/>
  <c r="B68" i="29"/>
  <c r="C67" i="29"/>
  <c r="B67" i="29"/>
  <c r="C66" i="29"/>
  <c r="B66" i="29"/>
  <c r="C65" i="29"/>
  <c r="B65" i="29"/>
  <c r="C64" i="29"/>
  <c r="B64" i="29"/>
  <c r="C63" i="29"/>
  <c r="B63" i="29"/>
  <c r="C62" i="29"/>
  <c r="B62" i="29"/>
  <c r="C61" i="29"/>
  <c r="B61" i="29"/>
  <c r="C60" i="29"/>
  <c r="B60" i="29"/>
  <c r="C59" i="29"/>
  <c r="B59" i="29"/>
  <c r="C58" i="29"/>
  <c r="B58" i="29"/>
  <c r="C57" i="29"/>
  <c r="B57" i="29"/>
  <c r="B56" i="29"/>
  <c r="C55" i="29"/>
  <c r="C54" i="29"/>
  <c r="B53" i="29"/>
  <c r="B52" i="29"/>
  <c r="B51" i="29"/>
  <c r="B50" i="29"/>
  <c r="B49" i="29"/>
  <c r="B48" i="29"/>
  <c r="C45" i="29"/>
  <c r="M27" i="29"/>
  <c r="M28" i="29" s="1"/>
  <c r="M29" i="29" s="1"/>
  <c r="M30" i="29" s="1"/>
  <c r="M31" i="29" s="1"/>
  <c r="M32" i="29" s="1"/>
  <c r="M33" i="29" s="1"/>
  <c r="M34" i="29" s="1"/>
  <c r="M35" i="29" s="1"/>
  <c r="M36" i="29" s="1"/>
  <c r="M37" i="29" s="1"/>
  <c r="M38" i="29" s="1"/>
  <c r="M39" i="29" s="1"/>
  <c r="M40" i="29" s="1"/>
  <c r="M41" i="29" s="1"/>
  <c r="M42" i="29" s="1"/>
  <c r="M43" i="29" s="1"/>
  <c r="M44" i="29" s="1"/>
  <c r="M45" i="29" s="1"/>
  <c r="M46" i="29" s="1"/>
  <c r="M47" i="29" s="1"/>
  <c r="M48" i="29" s="1"/>
  <c r="M49" i="29" s="1"/>
  <c r="M50" i="29" s="1"/>
  <c r="M51" i="29" s="1"/>
  <c r="M52" i="29" s="1"/>
  <c r="M53" i="29" s="1"/>
  <c r="M54" i="29" s="1"/>
  <c r="M55" i="29" s="1"/>
  <c r="M56" i="29" s="1"/>
  <c r="M57" i="29" s="1"/>
  <c r="M58" i="29" s="1"/>
  <c r="M59" i="29" s="1"/>
  <c r="M60" i="29" s="1"/>
  <c r="M61" i="29" s="1"/>
  <c r="M62" i="29" s="1"/>
  <c r="M63" i="29" s="1"/>
  <c r="M64" i="29" s="1"/>
  <c r="M65" i="29" s="1"/>
  <c r="M66" i="29" s="1"/>
  <c r="M67" i="29" s="1"/>
  <c r="N20" i="29"/>
  <c r="F20" i="29"/>
  <c r="N19" i="29"/>
  <c r="F19" i="29"/>
  <c r="N18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N5" i="29"/>
  <c r="F5" i="29"/>
  <c r="M4" i="29"/>
  <c r="N4" i="29" s="1"/>
  <c r="F4" i="29"/>
  <c r="N3" i="29"/>
  <c r="F3" i="29"/>
  <c r="S2" i="29" a="1"/>
  <c r="S2" i="29" s="1"/>
  <c r="O3" i="29" s="1"/>
  <c r="AA67" i="29"/>
  <c r="AA37" i="31"/>
  <c r="AA34" i="31"/>
  <c r="AA69" i="29"/>
  <c r="AA57" i="31"/>
  <c r="Z69" i="31"/>
  <c r="AA56" i="31"/>
  <c r="Z45" i="31"/>
  <c r="Z40" i="29"/>
  <c r="AA61" i="31"/>
  <c r="AA72" i="29"/>
  <c r="AA44" i="31"/>
  <c r="C15" i="31"/>
  <c r="AA40" i="31"/>
  <c r="AA53" i="29"/>
  <c r="Z55" i="31"/>
  <c r="Z32" i="29"/>
  <c r="Z54" i="29"/>
  <c r="Z3" i="29"/>
  <c r="Z50" i="31"/>
  <c r="AA50" i="29"/>
  <c r="C15" i="29"/>
  <c r="AA5" i="31"/>
  <c r="AA41" i="31"/>
  <c r="AA66" i="31"/>
  <c r="Z53" i="29"/>
  <c r="AA63" i="29"/>
  <c r="Z52" i="31"/>
  <c r="AA68" i="31"/>
  <c r="Z4" i="31"/>
  <c r="AA58" i="31"/>
  <c r="Z67" i="31"/>
  <c r="Z48" i="31"/>
  <c r="Z56" i="29"/>
  <c r="AA34" i="29"/>
  <c r="AA18" i="31"/>
  <c r="AA50" i="31"/>
  <c r="Z60" i="29"/>
  <c r="Z51" i="29"/>
  <c r="Z35" i="31"/>
  <c r="Z54" i="31"/>
  <c r="Z22" i="31"/>
  <c r="Z23" i="29"/>
  <c r="Z66" i="29"/>
  <c r="AA65" i="29"/>
  <c r="AA47" i="31"/>
  <c r="AA52" i="29"/>
  <c r="Z45" i="29"/>
  <c r="Z66" i="31"/>
  <c r="Z22" i="29"/>
  <c r="AA13" i="31"/>
  <c r="AA43" i="31"/>
  <c r="Z36" i="31"/>
  <c r="Z37" i="29"/>
  <c r="Z61" i="31"/>
  <c r="AA8" i="29"/>
  <c r="Z71" i="31"/>
  <c r="Z61" i="29"/>
  <c r="Z38" i="31"/>
  <c r="Z42" i="31"/>
  <c r="AA71" i="29"/>
  <c r="AA60" i="29"/>
  <c r="AA24" i="29"/>
  <c r="Z5" i="31"/>
  <c r="Z38" i="29"/>
  <c r="Z70" i="29"/>
  <c r="Z24" i="31"/>
  <c r="AA46" i="29"/>
  <c r="AA54" i="31"/>
  <c r="Z33" i="31"/>
  <c r="Z51" i="31"/>
  <c r="AA20" i="31"/>
  <c r="AA38" i="31"/>
  <c r="AA32" i="29"/>
  <c r="AA72" i="31"/>
  <c r="AA67" i="31"/>
  <c r="AA36" i="31"/>
  <c r="Z60" i="31"/>
  <c r="Z31" i="31"/>
  <c r="Z21" i="31"/>
  <c r="AA33" i="29"/>
  <c r="Z69" i="29"/>
  <c r="Z20" i="31"/>
  <c r="AA19" i="31"/>
  <c r="Z71" i="29"/>
  <c r="Z17" i="29"/>
  <c r="Z72" i="31"/>
  <c r="AA5" i="29"/>
  <c r="AA64" i="29"/>
  <c r="Z10" i="29"/>
  <c r="Z13" i="31"/>
  <c r="Z8" i="29"/>
  <c r="Z59" i="29"/>
  <c r="Z39" i="29"/>
  <c r="Z56" i="31"/>
  <c r="AA37" i="29"/>
  <c r="AA66" i="29"/>
  <c r="AA39" i="29"/>
  <c r="Z32" i="31"/>
  <c r="Z20" i="29"/>
  <c r="AA33" i="31"/>
  <c r="Z57" i="31"/>
  <c r="AA39" i="31"/>
  <c r="AA32" i="31"/>
  <c r="AA4" i="29"/>
  <c r="AA55" i="31"/>
  <c r="AA3" i="31"/>
  <c r="AA59" i="29"/>
  <c r="AA21" i="31"/>
  <c r="Z4" i="29"/>
  <c r="Z50" i="29"/>
  <c r="Z63" i="31"/>
  <c r="AA38" i="29"/>
  <c r="Z15" i="31"/>
  <c r="AA41" i="29"/>
  <c r="Z27" i="29"/>
  <c r="AA44" i="29"/>
  <c r="AA9" i="31"/>
  <c r="AA47" i="29"/>
  <c r="AA22" i="31"/>
  <c r="AA4" i="31"/>
  <c r="Z49" i="31"/>
  <c r="Z59" i="31"/>
  <c r="AA58" i="29"/>
  <c r="AA42" i="29"/>
  <c r="Z44" i="29"/>
  <c r="AA42" i="31"/>
  <c r="AA46" i="31"/>
  <c r="AA14" i="31"/>
  <c r="AA60" i="31"/>
  <c r="Z40" i="31"/>
  <c r="AA14" i="29"/>
  <c r="Z16" i="31"/>
  <c r="AA49" i="31"/>
  <c r="Z52" i="29"/>
  <c r="Z72" i="29"/>
  <c r="AA45" i="29"/>
  <c r="Z41" i="29"/>
  <c r="AA45" i="31"/>
  <c r="Z67" i="29"/>
  <c r="Z8" i="31"/>
  <c r="AA40" i="29"/>
  <c r="AA35" i="31"/>
  <c r="Z15" i="29"/>
  <c r="Z39" i="31"/>
  <c r="AA71" i="31"/>
  <c r="Z19" i="31"/>
  <c r="AA51" i="29"/>
  <c r="Z57" i="29"/>
  <c r="Z65" i="31"/>
  <c r="Z27" i="31"/>
  <c r="Z63" i="29"/>
  <c r="AA62" i="31"/>
  <c r="Z58" i="31"/>
  <c r="AA31" i="29"/>
  <c r="Z46" i="31"/>
  <c r="AA35" i="29"/>
  <c r="AA36" i="29"/>
  <c r="AA49" i="29"/>
  <c r="AA31" i="31"/>
  <c r="AA59" i="31"/>
  <c r="Z64" i="29"/>
  <c r="Z31" i="27"/>
  <c r="Z24" i="29"/>
  <c r="Z34" i="31"/>
  <c r="Z21" i="29"/>
  <c r="Z18" i="29"/>
  <c r="Z14" i="31"/>
  <c r="Z35" i="29"/>
  <c r="Z65" i="29"/>
  <c r="Z53" i="31"/>
  <c r="Z9" i="29"/>
  <c r="Z46" i="29"/>
  <c r="Z3" i="31"/>
  <c r="Z68" i="31"/>
  <c r="Z16" i="29"/>
  <c r="AA3" i="29"/>
  <c r="AA27" i="31"/>
  <c r="Z18" i="31"/>
  <c r="Z70" i="31"/>
  <c r="Z31" i="29"/>
  <c r="AA61" i="29"/>
  <c r="AA68" i="29"/>
  <c r="AA48" i="29"/>
  <c r="Z68" i="29"/>
  <c r="Z44" i="31"/>
  <c r="Z62" i="31"/>
  <c r="Z23" i="31"/>
  <c r="Z47" i="29"/>
  <c r="AA48" i="31"/>
  <c r="AA56" i="29"/>
  <c r="AA70" i="29"/>
  <c r="Z34" i="29"/>
  <c r="AA27" i="29"/>
  <c r="Z47" i="31"/>
  <c r="Z36" i="29"/>
  <c r="AA15" i="31"/>
  <c r="Z17" i="31"/>
  <c r="Z62" i="29"/>
  <c r="AA51" i="31"/>
  <c r="AA64" i="31"/>
  <c r="Z43" i="29"/>
  <c r="AA63" i="31"/>
  <c r="Z43" i="31"/>
  <c r="Z48" i="29"/>
  <c r="Z41" i="31"/>
  <c r="AA24" i="31"/>
  <c r="AA43" i="29"/>
  <c r="AA17" i="31"/>
  <c r="Z64" i="31"/>
  <c r="Z55" i="29"/>
  <c r="AA52" i="31"/>
  <c r="Z9" i="31"/>
  <c r="AA10" i="31"/>
  <c r="AA16" i="31"/>
  <c r="Z37" i="31"/>
  <c r="AA69" i="31"/>
  <c r="AA55" i="29"/>
  <c r="AA70" i="31"/>
  <c r="AA57" i="29"/>
  <c r="Z49" i="29"/>
  <c r="AA53" i="31"/>
  <c r="Z19" i="29"/>
  <c r="Z10" i="31"/>
  <c r="AA8" i="31"/>
  <c r="Z42" i="29"/>
  <c r="AA23" i="31"/>
  <c r="AA65" i="31"/>
  <c r="AA62" i="29"/>
  <c r="Z58" i="29"/>
  <c r="Z5" i="29"/>
  <c r="AA54" i="29"/>
  <c r="Z33" i="29"/>
  <c r="N6" i="31" l="1"/>
  <c r="M7" i="31"/>
  <c r="M8" i="31" s="1"/>
  <c r="M9" i="31" s="1"/>
  <c r="M10" i="31" s="1"/>
  <c r="M11" i="31" s="1"/>
  <c r="AQ31" i="29" a="1"/>
  <c r="AQ65" i="29" s="1"/>
  <c r="AQ31" i="31" a="1"/>
  <c r="AQ60" i="31" s="1"/>
  <c r="AJ33" i="27"/>
  <c r="AJ34" i="27" s="1"/>
  <c r="AJ35" i="27" s="1"/>
  <c r="AJ36" i="27" s="1"/>
  <c r="AJ37" i="27" s="1"/>
  <c r="AJ38" i="27" s="1"/>
  <c r="AJ39" i="27" s="1"/>
  <c r="AJ40" i="27" s="1"/>
  <c r="AJ41" i="27" s="1"/>
  <c r="AJ42" i="27" s="1"/>
  <c r="AJ43" i="27" s="1"/>
  <c r="AJ44" i="27" s="1"/>
  <c r="AJ45" i="27" s="1"/>
  <c r="AJ46" i="27" s="1"/>
  <c r="AJ47" i="27" s="1"/>
  <c r="AJ48" i="27" s="1"/>
  <c r="AJ49" i="27" s="1"/>
  <c r="AJ50" i="27" s="1"/>
  <c r="AJ51" i="27" s="1"/>
  <c r="AJ52" i="27" s="1"/>
  <c r="AJ53" i="27" s="1"/>
  <c r="AJ54" i="27" s="1"/>
  <c r="AJ55" i="27" s="1"/>
  <c r="AJ56" i="27" s="1"/>
  <c r="AJ57" i="27" s="1"/>
  <c r="AJ58" i="27" s="1"/>
  <c r="AJ59" i="27" s="1"/>
  <c r="AJ60" i="27" s="1"/>
  <c r="AJ61" i="27" s="1"/>
  <c r="AJ62" i="27" s="1"/>
  <c r="AJ63" i="27" s="1"/>
  <c r="AJ64" i="27" s="1"/>
  <c r="AJ65" i="27" s="1"/>
  <c r="AJ66" i="27" s="1"/>
  <c r="AJ67" i="27" s="1"/>
  <c r="AJ68" i="27" s="1"/>
  <c r="AJ69" i="27" s="1"/>
  <c r="AJ70" i="27" s="1"/>
  <c r="AJ71" i="27" s="1"/>
  <c r="AJ72" i="27" s="1"/>
  <c r="M5" i="29"/>
  <c r="M6" i="29" s="1"/>
  <c r="M7" i="29" s="1"/>
  <c r="AQ66" i="29"/>
  <c r="AQ34" i="29"/>
  <c r="AF38" i="31"/>
  <c r="AG38" i="31" s="1"/>
  <c r="AF68" i="31"/>
  <c r="AG68" i="31" s="1"/>
  <c r="AF32" i="31"/>
  <c r="AG32" i="31" s="1"/>
  <c r="F27" i="31" s="1"/>
  <c r="E27" i="31" s="1"/>
  <c r="AF42" i="31"/>
  <c r="AG42" i="31" s="1"/>
  <c r="I10" i="31"/>
  <c r="L10" i="31" s="1"/>
  <c r="AF52" i="31"/>
  <c r="AG52" i="31" s="1"/>
  <c r="AF41" i="31"/>
  <c r="AG41" i="31" s="1"/>
  <c r="I11" i="31"/>
  <c r="L11" i="31" s="1"/>
  <c r="AF31" i="31"/>
  <c r="I9" i="31"/>
  <c r="L9" i="31" s="1"/>
  <c r="AF61" i="31"/>
  <c r="AG61" i="31" s="1"/>
  <c r="F56" i="31" s="1"/>
  <c r="E56" i="31" s="1"/>
  <c r="N56" i="31" s="1"/>
  <c r="AF67" i="31"/>
  <c r="AG67" i="31" s="1"/>
  <c r="F62" i="31" s="1"/>
  <c r="E62" i="31" s="1"/>
  <c r="N62" i="31" s="1"/>
  <c r="AF33" i="31"/>
  <c r="AG33" i="31" s="1"/>
  <c r="I13" i="31"/>
  <c r="L13" i="31" s="1"/>
  <c r="I17" i="31"/>
  <c r="L17" i="31" s="1"/>
  <c r="AF65" i="31"/>
  <c r="AG65" i="31" s="1"/>
  <c r="F60" i="31" s="1"/>
  <c r="E60" i="31" s="1"/>
  <c r="N60" i="31" s="1"/>
  <c r="I5" i="31"/>
  <c r="L5" i="31" s="1"/>
  <c r="I18" i="31"/>
  <c r="L18" i="31" s="1"/>
  <c r="AF39" i="31"/>
  <c r="AG39" i="31" s="1"/>
  <c r="AF51" i="31"/>
  <c r="AG51" i="31" s="1"/>
  <c r="AF58" i="31"/>
  <c r="AG58" i="31" s="1"/>
  <c r="I6" i="31"/>
  <c r="L6" i="31" s="1"/>
  <c r="I7" i="31"/>
  <c r="L7" i="31" s="1"/>
  <c r="I8" i="31"/>
  <c r="L8" i="31" s="1"/>
  <c r="I12" i="31"/>
  <c r="L12" i="31" s="1"/>
  <c r="AF43" i="31"/>
  <c r="AG43" i="31" s="1"/>
  <c r="AF64" i="31"/>
  <c r="AG64" i="31" s="1"/>
  <c r="F59" i="31" s="1"/>
  <c r="E59" i="31" s="1"/>
  <c r="N59" i="31" s="1"/>
  <c r="AF47" i="31"/>
  <c r="AG47" i="31" s="1"/>
  <c r="AF71" i="31"/>
  <c r="AG71" i="31" s="1"/>
  <c r="F66" i="31" s="1"/>
  <c r="E66" i="31" s="1"/>
  <c r="N66" i="31" s="1"/>
  <c r="I19" i="31"/>
  <c r="L19" i="31" s="1"/>
  <c r="AF59" i="31"/>
  <c r="AG59" i="31" s="1"/>
  <c r="AF46" i="31"/>
  <c r="AG46" i="31" s="1"/>
  <c r="AF53" i="31"/>
  <c r="AG53" i="31" s="1"/>
  <c r="I16" i="31"/>
  <c r="L16" i="31" s="1"/>
  <c r="AF37" i="31"/>
  <c r="AG37" i="31" s="1"/>
  <c r="I14" i="31"/>
  <c r="L14" i="31" s="1"/>
  <c r="AF34" i="31"/>
  <c r="AG34" i="31" s="1"/>
  <c r="AF40" i="31"/>
  <c r="AG40" i="31" s="1"/>
  <c r="AF48" i="31"/>
  <c r="AG48" i="31" s="1"/>
  <c r="AF62" i="31"/>
  <c r="AG62" i="31" s="1"/>
  <c r="F57" i="31" s="1"/>
  <c r="E57" i="31" s="1"/>
  <c r="N57" i="31" s="1"/>
  <c r="AF56" i="31"/>
  <c r="AG56" i="31" s="1"/>
  <c r="AF57" i="31"/>
  <c r="AG57" i="31" s="1"/>
  <c r="AF69" i="31"/>
  <c r="AG69" i="31" s="1"/>
  <c r="F64" i="31" s="1"/>
  <c r="E64" i="31" s="1"/>
  <c r="N64" i="31" s="1"/>
  <c r="AF72" i="31"/>
  <c r="AG72" i="31" s="1"/>
  <c r="F67" i="31" s="1"/>
  <c r="E67" i="31" s="1"/>
  <c r="N67" i="31" s="1"/>
  <c r="AF35" i="31"/>
  <c r="AG35" i="31" s="1"/>
  <c r="I15" i="31"/>
  <c r="L15" i="31" s="1"/>
  <c r="I20" i="31"/>
  <c r="L20" i="31" s="1"/>
  <c r="I23" i="31"/>
  <c r="AF36" i="31"/>
  <c r="AG36" i="31" s="1"/>
  <c r="AF44" i="31"/>
  <c r="AG44" i="31" s="1"/>
  <c r="AF49" i="31"/>
  <c r="AG49" i="31" s="1"/>
  <c r="AF55" i="31"/>
  <c r="AG55" i="31" s="1"/>
  <c r="AF63" i="31"/>
  <c r="AG63" i="31" s="1"/>
  <c r="F58" i="31" s="1"/>
  <c r="E58" i="31" s="1"/>
  <c r="N58" i="31" s="1"/>
  <c r="AF66" i="31"/>
  <c r="AG66" i="31" s="1"/>
  <c r="F61" i="31" s="1"/>
  <c r="E61" i="31" s="1"/>
  <c r="N61" i="31" s="1"/>
  <c r="AF70" i="31"/>
  <c r="AG70" i="31" s="1"/>
  <c r="F65" i="31" s="1"/>
  <c r="E65" i="31" s="1"/>
  <c r="N65" i="31" s="1"/>
  <c r="AF45" i="31"/>
  <c r="AG45" i="31" s="1"/>
  <c r="AF50" i="31"/>
  <c r="AG50" i="31" s="1"/>
  <c r="AF54" i="31"/>
  <c r="AG54" i="31" s="1"/>
  <c r="AF60" i="31"/>
  <c r="AG60" i="31" s="1"/>
  <c r="O4" i="31"/>
  <c r="M12" i="31"/>
  <c r="N11" i="31"/>
  <c r="N8" i="31"/>
  <c r="N7" i="31"/>
  <c r="AF57" i="29"/>
  <c r="AG57" i="29" s="1"/>
  <c r="I12" i="29"/>
  <c r="L12" i="29" s="1"/>
  <c r="AF43" i="29"/>
  <c r="AG43" i="29" s="1"/>
  <c r="AF37" i="29"/>
  <c r="AG37" i="29" s="1"/>
  <c r="I18" i="29"/>
  <c r="L18" i="29" s="1"/>
  <c r="I5" i="29"/>
  <c r="L5" i="29" s="1"/>
  <c r="I15" i="29"/>
  <c r="L15" i="29" s="1"/>
  <c r="AF47" i="29"/>
  <c r="AG47" i="29" s="1"/>
  <c r="I17" i="29"/>
  <c r="L17" i="29" s="1"/>
  <c r="I10" i="29"/>
  <c r="L10" i="29" s="1"/>
  <c r="AF64" i="29"/>
  <c r="AG64" i="29" s="1"/>
  <c r="AF33" i="29"/>
  <c r="AG33" i="29" s="1"/>
  <c r="F28" i="29" s="1"/>
  <c r="E28" i="29" s="1"/>
  <c r="AF71" i="29"/>
  <c r="AG71" i="29" s="1"/>
  <c r="AF65" i="29"/>
  <c r="AG65" i="29" s="1"/>
  <c r="AF67" i="29"/>
  <c r="AG67" i="29" s="1"/>
  <c r="AF58" i="29"/>
  <c r="AG58" i="29" s="1"/>
  <c r="I20" i="29"/>
  <c r="L20" i="29" s="1"/>
  <c r="AF38" i="29"/>
  <c r="AG38" i="29" s="1"/>
  <c r="I6" i="29"/>
  <c r="L6" i="29" s="1"/>
  <c r="I7" i="29"/>
  <c r="L7" i="29" s="1"/>
  <c r="I14" i="29"/>
  <c r="L14" i="29" s="1"/>
  <c r="AF34" i="29"/>
  <c r="AG34" i="29" s="1"/>
  <c r="AF41" i="29"/>
  <c r="AG41" i="29" s="1"/>
  <c r="AF48" i="29"/>
  <c r="AG48" i="29" s="1"/>
  <c r="AF49" i="29"/>
  <c r="AG49" i="29" s="1"/>
  <c r="AF56" i="29"/>
  <c r="AG56" i="29" s="1"/>
  <c r="AF55" i="29"/>
  <c r="AG55" i="29" s="1"/>
  <c r="I13" i="29"/>
  <c r="L13" i="29" s="1"/>
  <c r="AF44" i="29"/>
  <c r="AG44" i="29" s="1"/>
  <c r="I8" i="29"/>
  <c r="L8" i="29" s="1"/>
  <c r="AF31" i="29"/>
  <c r="AG31" i="29" s="1"/>
  <c r="F26" i="29" s="1"/>
  <c r="E26" i="29" s="1"/>
  <c r="N26" i="29" s="1"/>
  <c r="I9" i="29"/>
  <c r="L9" i="29" s="1"/>
  <c r="AF36" i="29"/>
  <c r="AG36" i="29" s="1"/>
  <c r="I23" i="29"/>
  <c r="L23" i="29" s="1"/>
  <c r="AF59" i="29"/>
  <c r="AG59" i="29" s="1"/>
  <c r="AF61" i="29"/>
  <c r="AG61" i="29" s="1"/>
  <c r="F56" i="29" s="1"/>
  <c r="E56" i="29" s="1"/>
  <c r="N56" i="29" s="1"/>
  <c r="AF66" i="29"/>
  <c r="AG66" i="29" s="1"/>
  <c r="I16" i="29"/>
  <c r="L16" i="29" s="1"/>
  <c r="I19" i="29"/>
  <c r="L19" i="29" s="1"/>
  <c r="AF35" i="29"/>
  <c r="AG35" i="29" s="1"/>
  <c r="AF39" i="29"/>
  <c r="AG39" i="29" s="1"/>
  <c r="AF51" i="29"/>
  <c r="AG51" i="29" s="1"/>
  <c r="AF63" i="29"/>
  <c r="AG63" i="29" s="1"/>
  <c r="AF62" i="29"/>
  <c r="AG62" i="29" s="1"/>
  <c r="F57" i="29" s="1"/>
  <c r="E57" i="29" s="1"/>
  <c r="N57" i="29" s="1"/>
  <c r="AF69" i="29"/>
  <c r="AG69" i="29" s="1"/>
  <c r="F64" i="29" s="1"/>
  <c r="E64" i="29" s="1"/>
  <c r="N64" i="29" s="1"/>
  <c r="AF72" i="29"/>
  <c r="AG72" i="29" s="1"/>
  <c r="AF53" i="29"/>
  <c r="AG53" i="29" s="1"/>
  <c r="I11" i="29"/>
  <c r="L11" i="29" s="1"/>
  <c r="AF32" i="29"/>
  <c r="AG32" i="29" s="1"/>
  <c r="AF40" i="29"/>
  <c r="AG40" i="29" s="1"/>
  <c r="AF42" i="29"/>
  <c r="AG42" i="29" s="1"/>
  <c r="AF46" i="29"/>
  <c r="AG46" i="29" s="1"/>
  <c r="AF52" i="29"/>
  <c r="AG52" i="29" s="1"/>
  <c r="AF68" i="29"/>
  <c r="AG68" i="29" s="1"/>
  <c r="F63" i="29" s="1"/>
  <c r="E63" i="29" s="1"/>
  <c r="N63" i="29" s="1"/>
  <c r="AF70" i="29"/>
  <c r="AG70" i="29" s="1"/>
  <c r="F65" i="29" s="1"/>
  <c r="E65" i="29" s="1"/>
  <c r="N65" i="29" s="1"/>
  <c r="AF45" i="29"/>
  <c r="AG45" i="29" s="1"/>
  <c r="AF50" i="29"/>
  <c r="AG50" i="29" s="1"/>
  <c r="AF54" i="29"/>
  <c r="AG54" i="29" s="1"/>
  <c r="AF60" i="29"/>
  <c r="AG60" i="29" s="1"/>
  <c r="O4" i="29"/>
  <c r="S2" i="27" a="1"/>
  <c r="S2" i="27" s="1"/>
  <c r="O3" i="27" s="1"/>
  <c r="F3" i="27"/>
  <c r="N3" i="27"/>
  <c r="AA3" i="27"/>
  <c r="Z3" i="27"/>
  <c r="AG31" i="31" l="1"/>
  <c r="F26" i="31" s="1"/>
  <c r="E26" i="31" s="1"/>
  <c r="N26" i="31" s="1"/>
  <c r="N6" i="29"/>
  <c r="AQ39" i="29"/>
  <c r="AQ52" i="31"/>
  <c r="AQ72" i="29"/>
  <c r="AQ35" i="29"/>
  <c r="AQ44" i="31"/>
  <c r="AQ43" i="29"/>
  <c r="AQ51" i="29"/>
  <c r="AQ41" i="29"/>
  <c r="AQ47" i="29"/>
  <c r="AQ49" i="29"/>
  <c r="AQ68" i="31"/>
  <c r="AQ32" i="29"/>
  <c r="AQ57" i="29"/>
  <c r="AQ64" i="29"/>
  <c r="AQ36" i="31"/>
  <c r="AQ34" i="31"/>
  <c r="AQ43" i="31"/>
  <c r="AQ53" i="31"/>
  <c r="AQ62" i="31"/>
  <c r="AQ71" i="31"/>
  <c r="AQ35" i="31"/>
  <c r="AQ45" i="31"/>
  <c r="AQ54" i="31"/>
  <c r="AQ63" i="31"/>
  <c r="AQ72" i="31"/>
  <c r="AQ37" i="31"/>
  <c r="AQ46" i="31"/>
  <c r="AQ55" i="31"/>
  <c r="AQ64" i="31"/>
  <c r="AQ38" i="31"/>
  <c r="AQ47" i="31"/>
  <c r="AQ56" i="31"/>
  <c r="AQ65" i="31"/>
  <c r="AQ39" i="31"/>
  <c r="AQ48" i="31"/>
  <c r="AQ57" i="31"/>
  <c r="AQ66" i="31"/>
  <c r="AQ31" i="31"/>
  <c r="AQ40" i="31"/>
  <c r="AQ49" i="31"/>
  <c r="AQ58" i="31"/>
  <c r="AQ67" i="31"/>
  <c r="AQ32" i="31"/>
  <c r="AQ41" i="31"/>
  <c r="AQ50" i="31"/>
  <c r="AQ59" i="31"/>
  <c r="AQ69" i="31"/>
  <c r="AQ33" i="31"/>
  <c r="AQ42" i="31"/>
  <c r="AQ51" i="31"/>
  <c r="AQ61" i="31"/>
  <c r="AQ70" i="31"/>
  <c r="AQ31" i="29"/>
  <c r="AQ44" i="29"/>
  <c r="AQ62" i="29"/>
  <c r="AQ45" i="29"/>
  <c r="AQ68" i="29"/>
  <c r="AQ46" i="29"/>
  <c r="AQ69" i="29"/>
  <c r="AQ52" i="29"/>
  <c r="AQ70" i="29"/>
  <c r="AQ53" i="29"/>
  <c r="AQ36" i="29"/>
  <c r="AQ54" i="29"/>
  <c r="AQ37" i="29"/>
  <c r="AQ60" i="29"/>
  <c r="AQ38" i="29"/>
  <c r="AQ61" i="29"/>
  <c r="AQ55" i="29"/>
  <c r="AQ40" i="29"/>
  <c r="AQ59" i="29"/>
  <c r="AQ42" i="29"/>
  <c r="AQ31" i="27" a="1"/>
  <c r="AQ63" i="29"/>
  <c r="AQ48" i="29"/>
  <c r="AQ67" i="29"/>
  <c r="AQ50" i="29"/>
  <c r="AQ71" i="29"/>
  <c r="AQ56" i="29"/>
  <c r="AQ33" i="29"/>
  <c r="AQ58" i="29"/>
  <c r="L23" i="31"/>
  <c r="D4" i="33" s="1"/>
  <c r="F63" i="31"/>
  <c r="E63" i="31" s="1"/>
  <c r="N63" i="31" s="1"/>
  <c r="F60" i="29"/>
  <c r="E60" i="29" s="1"/>
  <c r="N60" i="29" s="1"/>
  <c r="F27" i="29"/>
  <c r="E27" i="29" s="1"/>
  <c r="N27" i="29" s="1"/>
  <c r="F58" i="29"/>
  <c r="E58" i="29" s="1"/>
  <c r="N58" i="29" s="1"/>
  <c r="F62" i="29"/>
  <c r="E62" i="29" s="1"/>
  <c r="N62" i="29" s="1"/>
  <c r="F66" i="29"/>
  <c r="E66" i="29" s="1"/>
  <c r="N66" i="29" s="1"/>
  <c r="F59" i="29"/>
  <c r="E59" i="29" s="1"/>
  <c r="N59" i="29" s="1"/>
  <c r="F61" i="29"/>
  <c r="E61" i="29" s="1"/>
  <c r="N61" i="29" s="1"/>
  <c r="F67" i="29"/>
  <c r="E67" i="29" s="1"/>
  <c r="N67" i="29" s="1"/>
  <c r="AH46" i="31"/>
  <c r="AK46" i="31" s="1"/>
  <c r="AI46" i="31"/>
  <c r="AI65" i="31"/>
  <c r="AH65" i="31"/>
  <c r="AK65" i="31" s="1"/>
  <c r="F28" i="31"/>
  <c r="E28" i="31" s="1"/>
  <c r="N28" i="31" s="1"/>
  <c r="AI41" i="31"/>
  <c r="AH41" i="31"/>
  <c r="AK41" i="31" s="1"/>
  <c r="AI33" i="31"/>
  <c r="AH33" i="31"/>
  <c r="AK33" i="31" s="1"/>
  <c r="N27" i="31"/>
  <c r="AH45" i="31"/>
  <c r="AK45" i="31" s="1"/>
  <c r="AI45" i="31"/>
  <c r="AI62" i="31"/>
  <c r="AH62" i="31"/>
  <c r="AK62" i="31" s="1"/>
  <c r="AI70" i="31"/>
  <c r="AH70" i="31"/>
  <c r="AK70" i="31" s="1"/>
  <c r="AH48" i="31"/>
  <c r="AK48" i="31" s="1"/>
  <c r="AI48" i="31"/>
  <c r="AH59" i="31"/>
  <c r="AK59" i="31" s="1"/>
  <c r="AI59" i="31"/>
  <c r="AI66" i="31"/>
  <c r="AH66" i="31"/>
  <c r="AK66" i="31" s="1"/>
  <c r="AH40" i="31"/>
  <c r="AK40" i="31" s="1"/>
  <c r="AI40" i="31"/>
  <c r="AH52" i="31"/>
  <c r="AK52" i="31" s="1"/>
  <c r="AI52" i="31"/>
  <c r="AI63" i="31"/>
  <c r="AH63" i="31"/>
  <c r="AK63" i="31" s="1"/>
  <c r="AH35" i="31"/>
  <c r="AK35" i="31" s="1"/>
  <c r="AI35" i="31"/>
  <c r="AI34" i="31"/>
  <c r="AH34" i="31"/>
  <c r="AK34" i="31" s="1"/>
  <c r="AI71" i="31"/>
  <c r="AH71" i="31"/>
  <c r="AK71" i="31" s="1"/>
  <c r="AI58" i="31"/>
  <c r="AH58" i="31"/>
  <c r="AK58" i="31" s="1"/>
  <c r="O5" i="31"/>
  <c r="AI55" i="31"/>
  <c r="AH55" i="31"/>
  <c r="AK55" i="31" s="1"/>
  <c r="AI47" i="31"/>
  <c r="AH47" i="31"/>
  <c r="AK47" i="31" s="1"/>
  <c r="AH51" i="31"/>
  <c r="AK51" i="31" s="1"/>
  <c r="AI51" i="31"/>
  <c r="AI67" i="31"/>
  <c r="AH67" i="31"/>
  <c r="AK67" i="31" s="1"/>
  <c r="AH42" i="31"/>
  <c r="AK42" i="31" s="1"/>
  <c r="AI42" i="31"/>
  <c r="AH60" i="31"/>
  <c r="AK60" i="31" s="1"/>
  <c r="AI60" i="31"/>
  <c r="AI49" i="31"/>
  <c r="AH49" i="31"/>
  <c r="AK49" i="31" s="1"/>
  <c r="AH69" i="31"/>
  <c r="AK69" i="31" s="1"/>
  <c r="AI69" i="31"/>
  <c r="AI37" i="31"/>
  <c r="AH37" i="31"/>
  <c r="AK37" i="31" s="1"/>
  <c r="AI64" i="31"/>
  <c r="AH64" i="31"/>
  <c r="AK64" i="31" s="1"/>
  <c r="AI39" i="31"/>
  <c r="AH39" i="31"/>
  <c r="AK39" i="31" s="1"/>
  <c r="AI61" i="31"/>
  <c r="AH61" i="31"/>
  <c r="AK61" i="31" s="1"/>
  <c r="AH32" i="31"/>
  <c r="AK32" i="31" s="1"/>
  <c r="AI32" i="31"/>
  <c r="N12" i="31"/>
  <c r="M13" i="31"/>
  <c r="AI54" i="31"/>
  <c r="AH54" i="31"/>
  <c r="AK54" i="31" s="1"/>
  <c r="AI44" i="31"/>
  <c r="AH44" i="31"/>
  <c r="AK44" i="31" s="1"/>
  <c r="AI57" i="31"/>
  <c r="AH57" i="31"/>
  <c r="AK57" i="31" s="1"/>
  <c r="AI43" i="31"/>
  <c r="AH43" i="31"/>
  <c r="AK43" i="31" s="1"/>
  <c r="AI68" i="31"/>
  <c r="AH68" i="31"/>
  <c r="AK68" i="31" s="1"/>
  <c r="AI50" i="31"/>
  <c r="AH50" i="31"/>
  <c r="AK50" i="31" s="1"/>
  <c r="AH36" i="31"/>
  <c r="AK36" i="31" s="1"/>
  <c r="AI36" i="31"/>
  <c r="AH56" i="31"/>
  <c r="AK56" i="31" s="1"/>
  <c r="AI56" i="31"/>
  <c r="AI53" i="31"/>
  <c r="AH53" i="31"/>
  <c r="AK53" i="31" s="1"/>
  <c r="AG29" i="31"/>
  <c r="AI31" i="31"/>
  <c r="AH31" i="31"/>
  <c r="AK31" i="31" s="1"/>
  <c r="AI38" i="31"/>
  <c r="AH38" i="31"/>
  <c r="AK38" i="31" s="1"/>
  <c r="AH45" i="29"/>
  <c r="AK45" i="29" s="1"/>
  <c r="AI45" i="29"/>
  <c r="AH48" i="29"/>
  <c r="AK48" i="29" s="1"/>
  <c r="AI48" i="29"/>
  <c r="AI35" i="29"/>
  <c r="AH35" i="29"/>
  <c r="AK35" i="29" s="1"/>
  <c r="AI58" i="29"/>
  <c r="AH58" i="29"/>
  <c r="AK58" i="29" s="1"/>
  <c r="AI47" i="29"/>
  <c r="AH47" i="29"/>
  <c r="AK47" i="29" s="1"/>
  <c r="AI70" i="29"/>
  <c r="AH70" i="29"/>
  <c r="AK70" i="29" s="1"/>
  <c r="AI53" i="29"/>
  <c r="AH53" i="29"/>
  <c r="AK53" i="29" s="1"/>
  <c r="AH25" i="29"/>
  <c r="AG29" i="29"/>
  <c r="AI31" i="29"/>
  <c r="AH31" i="29"/>
  <c r="AK31" i="29" s="1"/>
  <c r="AI41" i="29"/>
  <c r="AH41" i="29"/>
  <c r="AK41" i="29" s="1"/>
  <c r="AI67" i="29"/>
  <c r="AH67" i="29"/>
  <c r="AK67" i="29" s="1"/>
  <c r="AI68" i="29"/>
  <c r="AH68" i="29"/>
  <c r="AK68" i="29" s="1"/>
  <c r="AI34" i="29"/>
  <c r="AH34" i="29"/>
  <c r="AK34" i="29" s="1"/>
  <c r="AI65" i="29"/>
  <c r="AH65" i="29"/>
  <c r="AK65" i="29" s="1"/>
  <c r="N28" i="29"/>
  <c r="AH52" i="29"/>
  <c r="AK52" i="29" s="1"/>
  <c r="AI52" i="29"/>
  <c r="AI69" i="29"/>
  <c r="AH69" i="29"/>
  <c r="AK69" i="29" s="1"/>
  <c r="AI66" i="29"/>
  <c r="AH66" i="29"/>
  <c r="AK66" i="29" s="1"/>
  <c r="AI44" i="29"/>
  <c r="AH44" i="29"/>
  <c r="AK44" i="29" s="1"/>
  <c r="AI71" i="29"/>
  <c r="AH71" i="29"/>
  <c r="AK71" i="29" s="1"/>
  <c r="F29" i="29"/>
  <c r="E29" i="29" s="1"/>
  <c r="N29" i="29" s="1"/>
  <c r="AI46" i="29"/>
  <c r="AH46" i="29"/>
  <c r="AK46" i="29" s="1"/>
  <c r="AI62" i="29"/>
  <c r="AH62" i="29"/>
  <c r="AK62" i="29" s="1"/>
  <c r="AI61" i="29"/>
  <c r="AH61" i="29"/>
  <c r="AK61" i="29" s="1"/>
  <c r="AH33" i="29"/>
  <c r="AK33" i="29" s="1"/>
  <c r="AI33" i="29"/>
  <c r="AI37" i="29"/>
  <c r="AH37" i="29"/>
  <c r="AK37" i="29" s="1"/>
  <c r="AI60" i="29"/>
  <c r="AH60" i="29"/>
  <c r="AK60" i="29" s="1"/>
  <c r="AH42" i="29"/>
  <c r="AK42" i="29" s="1"/>
  <c r="AI42" i="29"/>
  <c r="AH63" i="29"/>
  <c r="AK63" i="29" s="1"/>
  <c r="AI63" i="29"/>
  <c r="AH59" i="29"/>
  <c r="AK59" i="29" s="1"/>
  <c r="AI59" i="29"/>
  <c r="AH55" i="29"/>
  <c r="AK55" i="29" s="1"/>
  <c r="AI55" i="29"/>
  <c r="AI64" i="29"/>
  <c r="AH64" i="29"/>
  <c r="AK64" i="29" s="1"/>
  <c r="AI43" i="29"/>
  <c r="AH43" i="29"/>
  <c r="AK43" i="29" s="1"/>
  <c r="N7" i="29"/>
  <c r="M8" i="29"/>
  <c r="AI54" i="29"/>
  <c r="AH54" i="29"/>
  <c r="AK54" i="29" s="1"/>
  <c r="AI40" i="29"/>
  <c r="AH40" i="29"/>
  <c r="AK40" i="29" s="1"/>
  <c r="AI51" i="29"/>
  <c r="AH51" i="29"/>
  <c r="AK51" i="29" s="1"/>
  <c r="AH56" i="29"/>
  <c r="AK56" i="29" s="1"/>
  <c r="AI56" i="29"/>
  <c r="AI38" i="29"/>
  <c r="AH38" i="29"/>
  <c r="AK38" i="29" s="1"/>
  <c r="O5" i="29"/>
  <c r="AI50" i="29"/>
  <c r="AH50" i="29"/>
  <c r="AK50" i="29" s="1"/>
  <c r="AI32" i="29"/>
  <c r="AH32" i="29"/>
  <c r="AK32" i="29" s="1"/>
  <c r="AI39" i="29"/>
  <c r="AH39" i="29"/>
  <c r="AK39" i="29" s="1"/>
  <c r="AH36" i="29"/>
  <c r="AK36" i="29" s="1"/>
  <c r="AI36" i="29"/>
  <c r="AI49" i="29"/>
  <c r="AH49" i="29"/>
  <c r="AK49" i="29" s="1"/>
  <c r="AI57" i="29"/>
  <c r="AH57" i="29"/>
  <c r="AK57" i="29" s="1"/>
  <c r="F4" i="27"/>
  <c r="M4" i="27"/>
  <c r="N4" i="27"/>
  <c r="O4" i="27"/>
  <c r="AA4" i="27"/>
  <c r="Z4" i="27"/>
  <c r="AQ37" i="27" l="1"/>
  <c r="AQ45" i="27"/>
  <c r="AQ53" i="27"/>
  <c r="AQ61" i="27"/>
  <c r="AQ38" i="27"/>
  <c r="AQ46" i="27"/>
  <c r="AQ54" i="27"/>
  <c r="AQ62" i="27"/>
  <c r="AQ31" i="27"/>
  <c r="AQ39" i="27"/>
  <c r="AQ47" i="27"/>
  <c r="AQ55" i="27"/>
  <c r="AQ63" i="27"/>
  <c r="AQ32" i="27"/>
  <c r="AQ40" i="27"/>
  <c r="AQ48" i="27"/>
  <c r="AQ56" i="27"/>
  <c r="AQ64" i="27"/>
  <c r="AQ33" i="27"/>
  <c r="AQ41" i="27"/>
  <c r="AQ49" i="27"/>
  <c r="AQ57" i="27"/>
  <c r="AQ34" i="27"/>
  <c r="AQ42" i="27"/>
  <c r="AQ50" i="27"/>
  <c r="AQ58" i="27"/>
  <c r="AQ35" i="27"/>
  <c r="AQ43" i="27"/>
  <c r="AQ51" i="27"/>
  <c r="AQ59" i="27"/>
  <c r="AQ36" i="27"/>
  <c r="AQ44" i="27"/>
  <c r="AQ52" i="27"/>
  <c r="AQ60" i="27"/>
  <c r="F29" i="31"/>
  <c r="E29" i="31" s="1"/>
  <c r="N29" i="31" s="1"/>
  <c r="M14" i="31"/>
  <c r="N13" i="31"/>
  <c r="O6" i="31"/>
  <c r="M9" i="29"/>
  <c r="N8" i="29"/>
  <c r="O6" i="29"/>
  <c r="F30" i="29"/>
  <c r="E30" i="29" s="1"/>
  <c r="F5" i="27"/>
  <c r="M5" i="27"/>
  <c r="N5" i="27"/>
  <c r="O5" i="27"/>
  <c r="AA5" i="27"/>
  <c r="Z5" i="27"/>
  <c r="AQ29" i="27" l="1"/>
  <c r="O7" i="31"/>
  <c r="N14" i="31"/>
  <c r="M15" i="31"/>
  <c r="M16" i="31" s="1"/>
  <c r="M17" i="31" s="1"/>
  <c r="F30" i="31"/>
  <c r="E30" i="31" s="1"/>
  <c r="N30" i="29"/>
  <c r="O7" i="29"/>
  <c r="F31" i="29"/>
  <c r="E31" i="29" s="1"/>
  <c r="N31" i="29" s="1"/>
  <c r="N9" i="29"/>
  <c r="M10" i="29"/>
  <c r="I5" i="27"/>
  <c r="L5" i="27" s="1"/>
  <c r="M6" i="27"/>
  <c r="M7" i="27" s="1"/>
  <c r="N7" i="27" s="1"/>
  <c r="O6" i="27"/>
  <c r="O7" i="27" s="1"/>
  <c r="F7" i="27"/>
  <c r="N6" i="27" l="1"/>
  <c r="F31" i="31"/>
  <c r="E31" i="31" s="1"/>
  <c r="N31" i="31" s="1"/>
  <c r="N17" i="31"/>
  <c r="P5" i="31" s="1"/>
  <c r="M18" i="31"/>
  <c r="M19" i="31" s="1"/>
  <c r="M20" i="31" s="1"/>
  <c r="P3" i="31"/>
  <c r="O8" i="31"/>
  <c r="N30" i="31"/>
  <c r="P4" i="31"/>
  <c r="F32" i="29"/>
  <c r="E32" i="29" s="1"/>
  <c r="N32" i="29" s="1"/>
  <c r="O8" i="29"/>
  <c r="M11" i="29"/>
  <c r="N10" i="29"/>
  <c r="F8" i="27"/>
  <c r="M8" i="27"/>
  <c r="N8" i="27" s="1"/>
  <c r="O8" i="27"/>
  <c r="P8" i="31" l="1"/>
  <c r="Q8" i="31" s="1"/>
  <c r="O9" i="31"/>
  <c r="R3" i="31"/>
  <c r="Q3" i="31"/>
  <c r="R4" i="31"/>
  <c r="Q4" i="31"/>
  <c r="R5" i="31"/>
  <c r="S5" i="31"/>
  <c r="Q5" i="31"/>
  <c r="P6" i="31"/>
  <c r="P7" i="31"/>
  <c r="F32" i="31"/>
  <c r="E32" i="31" s="1"/>
  <c r="F33" i="29"/>
  <c r="E33" i="29" s="1"/>
  <c r="N33" i="29" s="1"/>
  <c r="M12" i="29"/>
  <c r="N11" i="29"/>
  <c r="O9" i="29"/>
  <c r="I6" i="27"/>
  <c r="L6" i="27" s="1"/>
  <c r="F9" i="27"/>
  <c r="M9" i="27"/>
  <c r="N9" i="27" s="1"/>
  <c r="O9" i="27"/>
  <c r="N32" i="31" l="1"/>
  <c r="F33" i="31"/>
  <c r="E33" i="31" s="1"/>
  <c r="N33" i="31" s="1"/>
  <c r="S7" i="31"/>
  <c r="R7" i="31"/>
  <c r="Q7" i="31"/>
  <c r="S6" i="31"/>
  <c r="R6" i="31"/>
  <c r="Q6" i="31"/>
  <c r="P9" i="31"/>
  <c r="O10" i="31"/>
  <c r="R8" i="31"/>
  <c r="S8" i="31"/>
  <c r="M13" i="29"/>
  <c r="N12" i="29"/>
  <c r="F34" i="29"/>
  <c r="E34" i="29" s="1"/>
  <c r="O10" i="29"/>
  <c r="I7" i="27"/>
  <c r="L7" i="27" s="1"/>
  <c r="F10" i="27"/>
  <c r="M10" i="27"/>
  <c r="N10" i="27"/>
  <c r="O10" i="27"/>
  <c r="Z10" i="27"/>
  <c r="R9" i="31" l="1"/>
  <c r="S9" i="31"/>
  <c r="F34" i="31"/>
  <c r="E34" i="31" s="1"/>
  <c r="N34" i="31" s="1"/>
  <c r="O11" i="31"/>
  <c r="P10" i="31"/>
  <c r="Q10" i="31" s="1"/>
  <c r="Q9" i="31"/>
  <c r="M14" i="29"/>
  <c r="N13" i="29"/>
  <c r="N34" i="29"/>
  <c r="F35" i="29"/>
  <c r="E35" i="29" s="1"/>
  <c r="N35" i="29" s="1"/>
  <c r="O11" i="29"/>
  <c r="I8" i="27"/>
  <c r="L8" i="27" s="1"/>
  <c r="F11" i="27"/>
  <c r="M11" i="27"/>
  <c r="N11" i="27" s="1"/>
  <c r="O11" i="27"/>
  <c r="O12" i="27" s="1"/>
  <c r="F12" i="27"/>
  <c r="F13" i="27"/>
  <c r="F35" i="31" l="1"/>
  <c r="E35" i="31" s="1"/>
  <c r="N35" i="31" s="1"/>
  <c r="O12" i="31"/>
  <c r="P11" i="31"/>
  <c r="S10" i="31"/>
  <c r="R10" i="31"/>
  <c r="O12" i="29"/>
  <c r="M15" i="29"/>
  <c r="N14" i="29"/>
  <c r="F36" i="29"/>
  <c r="E36" i="29" s="1"/>
  <c r="N36" i="29" s="1"/>
  <c r="I9" i="27"/>
  <c r="L9" i="27" s="1"/>
  <c r="M12" i="27"/>
  <c r="O13" i="27"/>
  <c r="F14" i="27"/>
  <c r="C15" i="27"/>
  <c r="M16" i="29" l="1"/>
  <c r="N15" i="29"/>
  <c r="P12" i="31"/>
  <c r="O13" i="31"/>
  <c r="R11" i="31"/>
  <c r="S11" i="31"/>
  <c r="Q11" i="31"/>
  <c r="F36" i="31"/>
  <c r="E36" i="31" s="1"/>
  <c r="N36" i="31" s="1"/>
  <c r="O13" i="29"/>
  <c r="F37" i="29"/>
  <c r="E37" i="29" s="1"/>
  <c r="N37" i="29" s="1"/>
  <c r="I10" i="27"/>
  <c r="L10" i="27" s="1"/>
  <c r="O14" i="27"/>
  <c r="O15" i="27" s="1"/>
  <c r="M13" i="27"/>
  <c r="N12" i="27"/>
  <c r="F15" i="27"/>
  <c r="M17" i="29" l="1"/>
  <c r="N16" i="29"/>
  <c r="F37" i="31"/>
  <c r="E37" i="31" s="1"/>
  <c r="N37" i="31" s="1"/>
  <c r="O14" i="31"/>
  <c r="P13" i="31"/>
  <c r="R12" i="31"/>
  <c r="S12" i="31"/>
  <c r="Q12" i="31"/>
  <c r="O14" i="29"/>
  <c r="F38" i="29"/>
  <c r="E38" i="29" s="1"/>
  <c r="N38" i="29" s="1"/>
  <c r="I11" i="27"/>
  <c r="L11" i="27" s="1"/>
  <c r="N13" i="27"/>
  <c r="M14" i="27"/>
  <c r="F16" i="27"/>
  <c r="O16" i="27"/>
  <c r="N17" i="29" l="1"/>
  <c r="P11" i="29" s="1"/>
  <c r="M18" i="29"/>
  <c r="M19" i="29" s="1"/>
  <c r="M20" i="29" s="1"/>
  <c r="S13" i="31"/>
  <c r="R13" i="31"/>
  <c r="P14" i="31"/>
  <c r="O15" i="31"/>
  <c r="F38" i="31"/>
  <c r="E38" i="31" s="1"/>
  <c r="N38" i="31" s="1"/>
  <c r="Q13" i="31"/>
  <c r="P14" i="29"/>
  <c r="O15" i="29"/>
  <c r="F39" i="29"/>
  <c r="E39" i="29" s="1"/>
  <c r="N39" i="29" s="1"/>
  <c r="I12" i="27"/>
  <c r="L12" i="27" s="1"/>
  <c r="N14" i="27"/>
  <c r="M15" i="27"/>
  <c r="F17" i="27"/>
  <c r="O17" i="27"/>
  <c r="P17" i="27" s="1"/>
  <c r="Q11" i="29" l="1"/>
  <c r="R11" i="29"/>
  <c r="S11" i="29"/>
  <c r="P8" i="29"/>
  <c r="P3" i="29"/>
  <c r="P6" i="29"/>
  <c r="P13" i="29"/>
  <c r="P4" i="29"/>
  <c r="P7" i="29"/>
  <c r="P5" i="29"/>
  <c r="P10" i="29"/>
  <c r="P9" i="29"/>
  <c r="P12" i="29"/>
  <c r="M16" i="27"/>
  <c r="N15" i="27"/>
  <c r="Q17" i="27"/>
  <c r="F39" i="31"/>
  <c r="E39" i="31" s="1"/>
  <c r="N39" i="31" s="1"/>
  <c r="R14" i="31"/>
  <c r="S14" i="31"/>
  <c r="Q14" i="31"/>
  <c r="P15" i="31"/>
  <c r="O16" i="31"/>
  <c r="Q15" i="31"/>
  <c r="O16" i="29"/>
  <c r="P15" i="29"/>
  <c r="Q15" i="29"/>
  <c r="R14" i="29"/>
  <c r="S14" i="29"/>
  <c r="F40" i="29"/>
  <c r="E40" i="29" s="1"/>
  <c r="N40" i="29" s="1"/>
  <c r="Q14" i="29"/>
  <c r="I13" i="27"/>
  <c r="L13" i="27" s="1"/>
  <c r="S17" i="27"/>
  <c r="R17" i="27"/>
  <c r="F18" i="27"/>
  <c r="N18" i="27"/>
  <c r="O18" i="27"/>
  <c r="Q18" i="27" s="1"/>
  <c r="R6" i="29" l="1"/>
  <c r="S6" i="29"/>
  <c r="Q6" i="29"/>
  <c r="R12" i="29"/>
  <c r="S12" i="29"/>
  <c r="Q12" i="29"/>
  <c r="S9" i="29"/>
  <c r="Q9" i="29"/>
  <c r="R9" i="29"/>
  <c r="S10" i="29"/>
  <c r="R10" i="29"/>
  <c r="Q10" i="29"/>
  <c r="S5" i="29"/>
  <c r="R5" i="29"/>
  <c r="Q5" i="29"/>
  <c r="Q4" i="29"/>
  <c r="R4" i="29"/>
  <c r="S13" i="29"/>
  <c r="Q13" i="29"/>
  <c r="R13" i="29"/>
  <c r="R3" i="29"/>
  <c r="Q3" i="29"/>
  <c r="S8" i="29"/>
  <c r="Q8" i="29"/>
  <c r="R8" i="29"/>
  <c r="R7" i="29"/>
  <c r="S7" i="29"/>
  <c r="Q7" i="29"/>
  <c r="N16" i="27"/>
  <c r="M17" i="27"/>
  <c r="O17" i="31"/>
  <c r="Q16" i="31"/>
  <c r="P16" i="31"/>
  <c r="S15" i="31"/>
  <c r="R15" i="31"/>
  <c r="F40" i="31"/>
  <c r="E40" i="31" s="1"/>
  <c r="N40" i="31" s="1"/>
  <c r="F41" i="29"/>
  <c r="E41" i="29" s="1"/>
  <c r="N41" i="29" s="1"/>
  <c r="S15" i="29"/>
  <c r="R15" i="29"/>
  <c r="P16" i="29"/>
  <c r="Q16" i="29" s="1"/>
  <c r="O17" i="29"/>
  <c r="I14" i="27"/>
  <c r="L14" i="27" s="1"/>
  <c r="P18" i="27"/>
  <c r="F19" i="27"/>
  <c r="N19" i="27"/>
  <c r="O19" i="27"/>
  <c r="P19" i="27" s="1"/>
  <c r="N17" i="27" l="1"/>
  <c r="M18" i="27"/>
  <c r="M19" i="27" s="1"/>
  <c r="F41" i="31"/>
  <c r="E41" i="31" s="1"/>
  <c r="N41" i="31" s="1"/>
  <c r="S16" i="31"/>
  <c r="R16" i="31"/>
  <c r="O18" i="31"/>
  <c r="P17" i="31"/>
  <c r="Q17" i="31"/>
  <c r="Q17" i="29"/>
  <c r="P17" i="29"/>
  <c r="O18" i="29"/>
  <c r="R16" i="29"/>
  <c r="S16" i="29"/>
  <c r="F42" i="29"/>
  <c r="E42" i="29" s="1"/>
  <c r="N42" i="29" s="1"/>
  <c r="I15" i="27"/>
  <c r="L15" i="27" s="1"/>
  <c r="S19" i="27"/>
  <c r="R19" i="27"/>
  <c r="R18" i="27"/>
  <c r="S18" i="27"/>
  <c r="Q19" i="27"/>
  <c r="P11" i="27"/>
  <c r="P8" i="27"/>
  <c r="F20" i="27"/>
  <c r="M20" i="27"/>
  <c r="N20" i="27"/>
  <c r="O20" i="27"/>
  <c r="P20" i="27" s="1"/>
  <c r="P16" i="27" l="1"/>
  <c r="P15" i="27"/>
  <c r="S20" i="27"/>
  <c r="R20" i="27"/>
  <c r="Q20" i="27"/>
  <c r="R17" i="31"/>
  <c r="S17" i="31"/>
  <c r="Q18" i="31"/>
  <c r="O19" i="31"/>
  <c r="P18" i="31"/>
  <c r="F42" i="31"/>
  <c r="E42" i="31" s="1"/>
  <c r="N42" i="31" s="1"/>
  <c r="F43" i="29"/>
  <c r="E43" i="29" s="1"/>
  <c r="N43" i="29" s="1"/>
  <c r="Q18" i="29"/>
  <c r="P18" i="29"/>
  <c r="O19" i="29"/>
  <c r="R17" i="29"/>
  <c r="S17" i="29"/>
  <c r="I16" i="27"/>
  <c r="L16" i="27" s="1"/>
  <c r="P4" i="27"/>
  <c r="P3" i="27"/>
  <c r="P5" i="27"/>
  <c r="P9" i="27"/>
  <c r="P7" i="27"/>
  <c r="P6" i="27"/>
  <c r="P13" i="27"/>
  <c r="P10" i="27"/>
  <c r="S8" i="27"/>
  <c r="Q8" i="27"/>
  <c r="R8" i="27"/>
  <c r="P14" i="27"/>
  <c r="R11" i="27"/>
  <c r="S11" i="27"/>
  <c r="Q11" i="27"/>
  <c r="P12" i="27"/>
  <c r="AA21" i="27"/>
  <c r="Q15" i="27" l="1"/>
  <c r="R15" i="27"/>
  <c r="S15" i="27"/>
  <c r="R16" i="27"/>
  <c r="Q16" i="27"/>
  <c r="F43" i="31"/>
  <c r="E43" i="31" s="1"/>
  <c r="N43" i="31" s="1"/>
  <c r="S18" i="31"/>
  <c r="R18" i="31"/>
  <c r="O20" i="31"/>
  <c r="P19" i="31"/>
  <c r="Q19" i="31"/>
  <c r="P19" i="29"/>
  <c r="Q19" i="29"/>
  <c r="O20" i="29"/>
  <c r="R18" i="29"/>
  <c r="S18" i="29"/>
  <c r="F44" i="29"/>
  <c r="E44" i="29" s="1"/>
  <c r="N44" i="29" s="1"/>
  <c r="I17" i="27"/>
  <c r="L17" i="27" s="1"/>
  <c r="S14" i="27" s="1"/>
  <c r="R7" i="27"/>
  <c r="S7" i="27"/>
  <c r="Q7" i="27"/>
  <c r="R14" i="27"/>
  <c r="Q14" i="27"/>
  <c r="R9" i="27"/>
  <c r="S9" i="27"/>
  <c r="Q9" i="27"/>
  <c r="Q6" i="27"/>
  <c r="R6" i="27"/>
  <c r="S6" i="27"/>
  <c r="R3" i="27"/>
  <c r="Q3" i="27"/>
  <c r="R4" i="27"/>
  <c r="Q4" i="27"/>
  <c r="R13" i="27"/>
  <c r="S13" i="27"/>
  <c r="Q13" i="27"/>
  <c r="R5" i="27"/>
  <c r="S5" i="27"/>
  <c r="Q5" i="27"/>
  <c r="R12" i="27"/>
  <c r="S12" i="27"/>
  <c r="Q12" i="27"/>
  <c r="S10" i="27"/>
  <c r="R10" i="27"/>
  <c r="Q10" i="27"/>
  <c r="AA22" i="27"/>
  <c r="Z22" i="27"/>
  <c r="S16" i="27" l="1"/>
  <c r="S19" i="31"/>
  <c r="R19" i="31"/>
  <c r="P20" i="31"/>
  <c r="Q20" i="31"/>
  <c r="F44" i="31"/>
  <c r="E44" i="31" s="1"/>
  <c r="N44" i="31" s="1"/>
  <c r="Q20" i="29"/>
  <c r="P20" i="29"/>
  <c r="F45" i="29"/>
  <c r="E45" i="29" s="1"/>
  <c r="N45" i="29" s="1"/>
  <c r="S19" i="29"/>
  <c r="R19" i="29"/>
  <c r="I18" i="27"/>
  <c r="L18" i="27" s="1"/>
  <c r="Z23" i="27"/>
  <c r="AA23" i="27"/>
  <c r="F45" i="31" l="1"/>
  <c r="E45" i="31" s="1"/>
  <c r="N45" i="31" s="1"/>
  <c r="S20" i="31"/>
  <c r="R20" i="31"/>
  <c r="F46" i="29"/>
  <c r="E46" i="29" s="1"/>
  <c r="N46" i="29" s="1"/>
  <c r="S20" i="29"/>
  <c r="R20" i="29"/>
  <c r="I19" i="27"/>
  <c r="L19" i="27" s="1"/>
  <c r="Z24" i="27"/>
  <c r="AA24" i="27"/>
  <c r="F46" i="31" l="1"/>
  <c r="E46" i="31" s="1"/>
  <c r="N46" i="31" s="1"/>
  <c r="F47" i="29"/>
  <c r="E47" i="29" s="1"/>
  <c r="N47" i="29" s="1"/>
  <c r="I20" i="27"/>
  <c r="L20" i="27" s="1"/>
  <c r="M27" i="27"/>
  <c r="Z27" i="27"/>
  <c r="AA27" i="27"/>
  <c r="F47" i="31" l="1"/>
  <c r="E47" i="31" s="1"/>
  <c r="N47" i="31" s="1"/>
  <c r="F48" i="29"/>
  <c r="E48" i="29" s="1"/>
  <c r="N48" i="29" s="1"/>
  <c r="I23" i="27"/>
  <c r="M28" i="27"/>
  <c r="M29" i="27" s="1"/>
  <c r="M30" i="27" s="1"/>
  <c r="M31" i="27" s="1"/>
  <c r="AA31" i="27"/>
  <c r="L23" i="27" l="1"/>
  <c r="C4" i="33" s="1"/>
  <c r="B4" i="33" s="1"/>
  <c r="C19" i="33" s="1"/>
  <c r="F48" i="31"/>
  <c r="E48" i="31" s="1"/>
  <c r="N48" i="31" s="1"/>
  <c r="F49" i="29"/>
  <c r="E49" i="29" s="1"/>
  <c r="N49" i="29" s="1"/>
  <c r="AF31" i="27"/>
  <c r="AG31" i="27" s="1"/>
  <c r="F26" i="27" s="1"/>
  <c r="E26" i="27" s="1"/>
  <c r="N26" i="27" s="1"/>
  <c r="G41" i="33" l="1"/>
  <c r="C41" i="33"/>
  <c r="G19" i="33"/>
  <c r="D18" i="33"/>
  <c r="F49" i="31"/>
  <c r="E49" i="31" s="1"/>
  <c r="N49" i="31" s="1"/>
  <c r="F50" i="29"/>
  <c r="E50" i="29" s="1"/>
  <c r="N50" i="29" s="1"/>
  <c r="AI31" i="27"/>
  <c r="AH31" i="27"/>
  <c r="AK31" i="27" s="1"/>
  <c r="M32" i="27"/>
  <c r="AA32" i="27"/>
  <c r="Z32" i="27"/>
  <c r="D40" i="33" l="1"/>
  <c r="H40" i="33"/>
  <c r="G14" i="33" a="1"/>
  <c r="H18" i="33" s="1"/>
  <c r="F50" i="31"/>
  <c r="E50" i="31" s="1"/>
  <c r="N50" i="31" s="1"/>
  <c r="F51" i="29"/>
  <c r="E51" i="29" s="1"/>
  <c r="N51" i="29" s="1"/>
  <c r="AF32" i="27"/>
  <c r="AG32" i="27" s="1"/>
  <c r="M33" i="27"/>
  <c r="AA33" i="27"/>
  <c r="Z33" i="27"/>
  <c r="H15" i="33" l="1"/>
  <c r="G14" i="33"/>
  <c r="G16" i="33"/>
  <c r="H14" i="33"/>
  <c r="G15" i="33"/>
  <c r="G18" i="33"/>
  <c r="G17" i="33"/>
  <c r="H16" i="33"/>
  <c r="H17" i="33"/>
  <c r="F51" i="31"/>
  <c r="E51" i="31" s="1"/>
  <c r="N51" i="31" s="1"/>
  <c r="F52" i="29"/>
  <c r="E52" i="29" s="1"/>
  <c r="N52" i="29" s="1"/>
  <c r="AI32" i="27"/>
  <c r="AH32" i="27"/>
  <c r="AK32" i="27" s="1"/>
  <c r="F27" i="27"/>
  <c r="E27" i="27" s="1"/>
  <c r="AF33" i="27"/>
  <c r="M34" i="27"/>
  <c r="Z34" i="27"/>
  <c r="AA34" i="27"/>
  <c r="AG33" i="27" l="1"/>
  <c r="F28" i="27" s="1"/>
  <c r="E28" i="27" s="1"/>
  <c r="N28" i="27" s="1"/>
  <c r="F52" i="31"/>
  <c r="E52" i="31" s="1"/>
  <c r="N52" i="31" s="1"/>
  <c r="F53" i="29"/>
  <c r="E53" i="29" s="1"/>
  <c r="N53" i="29" s="1"/>
  <c r="N27" i="27"/>
  <c r="AF34" i="27"/>
  <c r="AG34" i="27" s="1"/>
  <c r="M35" i="27"/>
  <c r="AA35" i="27"/>
  <c r="Z35" i="27"/>
  <c r="AI33" i="27" l="1"/>
  <c r="AH33" i="27"/>
  <c r="AK33" i="27" s="1"/>
  <c r="F53" i="31"/>
  <c r="E53" i="31" s="1"/>
  <c r="N53" i="31" s="1"/>
  <c r="F54" i="29"/>
  <c r="E54" i="29" s="1"/>
  <c r="N54" i="29" s="1"/>
  <c r="AI34" i="27"/>
  <c r="AH34" i="27"/>
  <c r="AK34" i="27" s="1"/>
  <c r="F29" i="27"/>
  <c r="E29" i="27" s="1"/>
  <c r="AF35" i="27"/>
  <c r="AG35" i="27" s="1"/>
  <c r="F30" i="27" s="1"/>
  <c r="E30" i="27" s="1"/>
  <c r="N30" i="27" s="1"/>
  <c r="M36" i="27"/>
  <c r="AA36" i="27"/>
  <c r="Z36" i="27"/>
  <c r="F54" i="31" l="1"/>
  <c r="E54" i="31" s="1"/>
  <c r="N54" i="31" s="1"/>
  <c r="F55" i="29"/>
  <c r="E55" i="29" s="1"/>
  <c r="AQ29" i="29"/>
  <c r="AH30" i="29" s="1"/>
  <c r="AI35" i="27"/>
  <c r="AH35" i="27"/>
  <c r="AK35" i="27" s="1"/>
  <c r="N29" i="27"/>
  <c r="AF36" i="27"/>
  <c r="M37" i="27"/>
  <c r="AA37" i="27"/>
  <c r="Z37" i="27"/>
  <c r="AG36" i="27" l="1"/>
  <c r="AH36" i="27" s="1"/>
  <c r="AK36" i="27" s="1"/>
  <c r="F55" i="31"/>
  <c r="E55" i="31" s="1"/>
  <c r="AQ29" i="31"/>
  <c r="AH30" i="31" s="1"/>
  <c r="AI72" i="29"/>
  <c r="AH72" i="29"/>
  <c r="AK72" i="29" s="1"/>
  <c r="AL30" i="29" s="1"/>
  <c r="N55" i="29"/>
  <c r="S25" i="29" a="1"/>
  <c r="S25" i="29" s="1"/>
  <c r="AF37" i="27"/>
  <c r="AG37" i="27" s="1"/>
  <c r="F32" i="27" s="1"/>
  <c r="E32" i="27" s="1"/>
  <c r="N32" i="27" s="1"/>
  <c r="M38" i="27"/>
  <c r="AA38" i="27"/>
  <c r="Z38" i="27"/>
  <c r="O26" i="29" l="1"/>
  <c r="O27" i="29" s="1"/>
  <c r="AI36" i="27"/>
  <c r="F31" i="27"/>
  <c r="E31" i="27" s="1"/>
  <c r="N31" i="27" s="1"/>
  <c r="AI72" i="31"/>
  <c r="AH72" i="31"/>
  <c r="AK72" i="31" s="1"/>
  <c r="AL30" i="31" s="1"/>
  <c r="N55" i="31"/>
  <c r="S25" i="31" a="1"/>
  <c r="S25" i="31" s="1"/>
  <c r="P26" i="29"/>
  <c r="AL31" i="29"/>
  <c r="AH37" i="27"/>
  <c r="AK37" i="27" s="1"/>
  <c r="AI37" i="27"/>
  <c r="AF38" i="27"/>
  <c r="AG38" i="27" s="1"/>
  <c r="F33" i="27" s="1"/>
  <c r="E33" i="27" s="1"/>
  <c r="N33" i="27" s="1"/>
  <c r="M39" i="27"/>
  <c r="AA39" i="27"/>
  <c r="Z39" i="27"/>
  <c r="O26" i="31" l="1"/>
  <c r="O27" i="31" s="1"/>
  <c r="AL31" i="31"/>
  <c r="R26" i="29"/>
  <c r="AL32" i="29"/>
  <c r="AM31" i="29"/>
  <c r="O28" i="29"/>
  <c r="P27" i="29"/>
  <c r="AI38" i="27"/>
  <c r="AH38" i="27"/>
  <c r="AK38" i="27" s="1"/>
  <c r="AF39" i="27"/>
  <c r="AG39" i="27" s="1"/>
  <c r="F34" i="27" s="1"/>
  <c r="E34" i="27" s="1"/>
  <c r="M40" i="27"/>
  <c r="AA40" i="27"/>
  <c r="Z40" i="27"/>
  <c r="P26" i="31" l="1"/>
  <c r="R26" i="31" s="1"/>
  <c r="AL32" i="31"/>
  <c r="AM31" i="31"/>
  <c r="O28" i="31"/>
  <c r="P27" i="31"/>
  <c r="AN31" i="29"/>
  <c r="AO31" i="29" s="1" a="1"/>
  <c r="AM32" i="29"/>
  <c r="AL33" i="29"/>
  <c r="R27" i="29"/>
  <c r="O29" i="29"/>
  <c r="P28" i="29"/>
  <c r="AH39" i="27"/>
  <c r="AK39" i="27" s="1"/>
  <c r="AI39" i="27"/>
  <c r="N34" i="27"/>
  <c r="AF40" i="27"/>
  <c r="AG40" i="27" s="1"/>
  <c r="F35" i="27" s="1"/>
  <c r="E35" i="27" s="1"/>
  <c r="N35" i="27" s="1"/>
  <c r="M41" i="27"/>
  <c r="M42" i="27" s="1"/>
  <c r="AA41" i="27"/>
  <c r="Z41" i="27"/>
  <c r="AA42" i="27"/>
  <c r="Z42" i="27"/>
  <c r="R27" i="31" l="1"/>
  <c r="O29" i="31"/>
  <c r="P28" i="31"/>
  <c r="AN31" i="31"/>
  <c r="AO31" i="31" s="1" a="1"/>
  <c r="AM32" i="31"/>
  <c r="AL33" i="31"/>
  <c r="AO31" i="29"/>
  <c r="AP31" i="29"/>
  <c r="R28" i="29"/>
  <c r="AN32" i="29"/>
  <c r="AO32" i="29" s="1" a="1"/>
  <c r="P29" i="29"/>
  <c r="O30" i="29"/>
  <c r="AM33" i="29"/>
  <c r="AL34" i="29"/>
  <c r="AF41" i="27"/>
  <c r="AH40" i="27"/>
  <c r="AK40" i="27" s="1"/>
  <c r="AI40" i="27"/>
  <c r="AF42" i="27"/>
  <c r="AG42" i="27" s="1"/>
  <c r="F37" i="27" s="1"/>
  <c r="E37" i="27" s="1"/>
  <c r="N37" i="27" s="1"/>
  <c r="M43" i="27"/>
  <c r="Z43" i="27"/>
  <c r="AA43" i="27"/>
  <c r="AG41" i="27" l="1"/>
  <c r="F36" i="27" s="1"/>
  <c r="E36" i="27" s="1"/>
  <c r="N36" i="27" s="1"/>
  <c r="AP31" i="31"/>
  <c r="AO31" i="31"/>
  <c r="R28" i="31"/>
  <c r="O30" i="31"/>
  <c r="P29" i="31"/>
  <c r="AL34" i="31"/>
  <c r="AM33" i="31"/>
  <c r="AN32" i="31"/>
  <c r="AO32" i="31" s="1" a="1"/>
  <c r="I50" i="29"/>
  <c r="L50" i="29" s="1"/>
  <c r="I42" i="29"/>
  <c r="L42" i="29" s="1"/>
  <c r="I34" i="29"/>
  <c r="L34" i="29" s="1"/>
  <c r="I26" i="29"/>
  <c r="L26" i="29" s="1"/>
  <c r="S26" i="29" s="1"/>
  <c r="I49" i="29"/>
  <c r="L49" i="29" s="1"/>
  <c r="I40" i="29"/>
  <c r="L40" i="29" s="1"/>
  <c r="I31" i="29"/>
  <c r="L31" i="29" s="1"/>
  <c r="I48" i="29"/>
  <c r="L48" i="29" s="1"/>
  <c r="I39" i="29"/>
  <c r="L39" i="29" s="1"/>
  <c r="I30" i="29"/>
  <c r="L30" i="29" s="1"/>
  <c r="I47" i="29"/>
  <c r="L47" i="29" s="1"/>
  <c r="I38" i="29"/>
  <c r="L38" i="29" s="1"/>
  <c r="I29" i="29"/>
  <c r="L29" i="29" s="1"/>
  <c r="S29" i="29" s="1"/>
  <c r="I55" i="29"/>
  <c r="L55" i="29" s="1"/>
  <c r="I43" i="29"/>
  <c r="L43" i="29" s="1"/>
  <c r="I27" i="29"/>
  <c r="L27" i="29" s="1"/>
  <c r="S27" i="29" s="1"/>
  <c r="I54" i="29"/>
  <c r="L54" i="29" s="1"/>
  <c r="I41" i="29"/>
  <c r="L41" i="29" s="1"/>
  <c r="I52" i="29"/>
  <c r="L52" i="29" s="1"/>
  <c r="I35" i="29"/>
  <c r="L35" i="29" s="1"/>
  <c r="I53" i="29"/>
  <c r="L53" i="29" s="1"/>
  <c r="I37" i="29"/>
  <c r="L37" i="29" s="1"/>
  <c r="I36" i="29"/>
  <c r="L36" i="29" s="1"/>
  <c r="I51" i="29"/>
  <c r="L51" i="29" s="1"/>
  <c r="I46" i="29"/>
  <c r="L46" i="29" s="1"/>
  <c r="I44" i="29"/>
  <c r="L44" i="29" s="1"/>
  <c r="I33" i="29"/>
  <c r="L33" i="29" s="1"/>
  <c r="I45" i="29"/>
  <c r="L45" i="29" s="1"/>
  <c r="I32" i="29"/>
  <c r="L32" i="29" s="1"/>
  <c r="I28" i="29"/>
  <c r="L28" i="29" s="1"/>
  <c r="S28" i="29" s="1"/>
  <c r="AP32" i="29"/>
  <c r="AO32" i="29"/>
  <c r="P30" i="29"/>
  <c r="O31" i="29"/>
  <c r="AL35" i="29"/>
  <c r="AM34" i="29"/>
  <c r="R29" i="29"/>
  <c r="AN33" i="29"/>
  <c r="AO33" i="29" s="1" a="1"/>
  <c r="AI42" i="27"/>
  <c r="AH42" i="27"/>
  <c r="AK42" i="27" s="1"/>
  <c r="AF43" i="27"/>
  <c r="AG43" i="27" s="1"/>
  <c r="F38" i="27" s="1"/>
  <c r="E38" i="27" s="1"/>
  <c r="N38" i="27" s="1"/>
  <c r="M44" i="27"/>
  <c r="Z44" i="27"/>
  <c r="AA44" i="27"/>
  <c r="AI41" i="27" l="1"/>
  <c r="AH41" i="27"/>
  <c r="AK41" i="27" s="1"/>
  <c r="R29" i="31"/>
  <c r="P30" i="31"/>
  <c r="O31" i="31"/>
  <c r="AN33" i="31"/>
  <c r="AO33" i="31" s="1" a="1"/>
  <c r="AL35" i="31"/>
  <c r="AM34" i="31"/>
  <c r="AO32" i="31"/>
  <c r="AP32" i="31"/>
  <c r="AN34" i="29"/>
  <c r="AO34" i="29" s="1" a="1"/>
  <c r="AM35" i="29"/>
  <c r="AL36" i="29"/>
  <c r="P31" i="29"/>
  <c r="O32" i="29"/>
  <c r="AP33" i="29"/>
  <c r="AO33" i="29"/>
  <c r="R30" i="29"/>
  <c r="S30" i="29"/>
  <c r="AI43" i="27"/>
  <c r="AH43" i="27"/>
  <c r="AK43" i="27" s="1"/>
  <c r="AF44" i="27"/>
  <c r="C45" i="27"/>
  <c r="M45" i="27"/>
  <c r="Z45" i="27"/>
  <c r="AA45" i="27"/>
  <c r="AG44" i="27" l="1"/>
  <c r="F39" i="27" s="1"/>
  <c r="E39" i="27" s="1"/>
  <c r="N39" i="27" s="1"/>
  <c r="AN34" i="31"/>
  <c r="AO34" i="31" s="1" a="1"/>
  <c r="AL36" i="31"/>
  <c r="AM35" i="31"/>
  <c r="AO33" i="31"/>
  <c r="AP33" i="31"/>
  <c r="O32" i="31"/>
  <c r="P31" i="31"/>
  <c r="R30" i="31"/>
  <c r="AM36" i="29"/>
  <c r="AL37" i="29"/>
  <c r="AN35" i="29"/>
  <c r="AO35" i="29" s="1" a="1"/>
  <c r="R31" i="29"/>
  <c r="S31" i="29"/>
  <c r="O33" i="29"/>
  <c r="P32" i="29"/>
  <c r="AP34" i="29"/>
  <c r="AO34" i="29"/>
  <c r="AF45" i="27"/>
  <c r="AG45" i="27" s="1"/>
  <c r="F40" i="27" s="1"/>
  <c r="E40" i="27" s="1"/>
  <c r="N40" i="27" s="1"/>
  <c r="M46" i="27"/>
  <c r="Z46" i="27"/>
  <c r="AA46" i="27"/>
  <c r="AI44" i="27" l="1"/>
  <c r="AH44" i="27"/>
  <c r="AK44" i="27" s="1"/>
  <c r="P32" i="31"/>
  <c r="O33" i="31"/>
  <c r="AN35" i="31"/>
  <c r="AO35" i="31" s="1" a="1"/>
  <c r="AM36" i="31"/>
  <c r="AL37" i="31"/>
  <c r="R31" i="31"/>
  <c r="AO34" i="31"/>
  <c r="AP34" i="31"/>
  <c r="O34" i="29"/>
  <c r="P33" i="29"/>
  <c r="AP35" i="29"/>
  <c r="AO35" i="29"/>
  <c r="S32" i="29"/>
  <c r="R32" i="29"/>
  <c r="AM37" i="29"/>
  <c r="AL38" i="29"/>
  <c r="AN36" i="29"/>
  <c r="AO36" i="29" s="1" a="1"/>
  <c r="AH45" i="27"/>
  <c r="AK45" i="27" s="1"/>
  <c r="AI45" i="27"/>
  <c r="AF46" i="27"/>
  <c r="M47" i="27"/>
  <c r="AA47" i="27"/>
  <c r="Z47" i="27"/>
  <c r="AG46" i="27" l="1"/>
  <c r="F41" i="27" s="1"/>
  <c r="E41" i="27" s="1"/>
  <c r="N41" i="27" s="1"/>
  <c r="AL38" i="31"/>
  <c r="AM37" i="31"/>
  <c r="AN36" i="31"/>
  <c r="AO36" i="31" s="1" a="1"/>
  <c r="AO35" i="31"/>
  <c r="AP35" i="31"/>
  <c r="O34" i="31"/>
  <c r="P33" i="31"/>
  <c r="R32" i="31"/>
  <c r="AN37" i="29"/>
  <c r="AO37" i="29" s="1" a="1"/>
  <c r="S33" i="29"/>
  <c r="R33" i="29"/>
  <c r="AL39" i="29"/>
  <c r="AM38" i="29"/>
  <c r="AO36" i="29"/>
  <c r="AP36" i="29"/>
  <c r="P34" i="29"/>
  <c r="O35" i="29"/>
  <c r="AF47" i="27"/>
  <c r="AG47" i="27" s="1"/>
  <c r="F42" i="27" s="1"/>
  <c r="E42" i="27" s="1"/>
  <c r="N42" i="27" s="1"/>
  <c r="B48" i="27"/>
  <c r="M48" i="27"/>
  <c r="Z48" i="27"/>
  <c r="AA48" i="27"/>
  <c r="AI46" i="27" l="1"/>
  <c r="AH46" i="27"/>
  <c r="AK46" i="27" s="1"/>
  <c r="O35" i="31"/>
  <c r="P34" i="31"/>
  <c r="AP36" i="31"/>
  <c r="AO36" i="31"/>
  <c r="AN37" i="31"/>
  <c r="AO37" i="31" s="1" a="1"/>
  <c r="R33" i="31"/>
  <c r="AL39" i="31"/>
  <c r="AM38" i="31"/>
  <c r="AN38" i="29"/>
  <c r="AO38" i="29" s="1" a="1"/>
  <c r="AL40" i="29"/>
  <c r="AM39" i="29"/>
  <c r="O36" i="29"/>
  <c r="P35" i="29"/>
  <c r="R34" i="29"/>
  <c r="S34" i="29"/>
  <c r="AP37" i="29"/>
  <c r="AO37" i="29"/>
  <c r="AI47" i="27"/>
  <c r="AH47" i="27"/>
  <c r="AK47" i="27" s="1"/>
  <c r="AF48" i="27"/>
  <c r="AG48" i="27" s="1"/>
  <c r="F43" i="27" s="1"/>
  <c r="E43" i="27" s="1"/>
  <c r="N43" i="27" s="1"/>
  <c r="B49" i="27"/>
  <c r="M49" i="27"/>
  <c r="M50" i="27" s="1"/>
  <c r="B50" i="27"/>
  <c r="AA50" i="27"/>
  <c r="Z49" i="27"/>
  <c r="Z50" i="27"/>
  <c r="AA49" i="27"/>
  <c r="AO37" i="31" l="1"/>
  <c r="AP37" i="31"/>
  <c r="R34" i="31"/>
  <c r="AN38" i="31"/>
  <c r="AO38" i="31" s="1" a="1"/>
  <c r="AL40" i="31"/>
  <c r="AM39" i="31"/>
  <c r="P35" i="31"/>
  <c r="O36" i="31"/>
  <c r="S35" i="29"/>
  <c r="R35" i="29"/>
  <c r="AM40" i="29"/>
  <c r="AL41" i="29"/>
  <c r="AP38" i="29"/>
  <c r="AO38" i="29"/>
  <c r="O37" i="29"/>
  <c r="P36" i="29"/>
  <c r="AN39" i="29"/>
  <c r="AO39" i="29" s="1" a="1"/>
  <c r="AF49" i="27"/>
  <c r="AI48" i="27"/>
  <c r="AH48" i="27"/>
  <c r="AK48" i="27" s="1"/>
  <c r="AF50" i="27"/>
  <c r="AG50" i="27" s="1"/>
  <c r="F45" i="27" s="1"/>
  <c r="E45" i="27" s="1"/>
  <c r="N45" i="27" s="1"/>
  <c r="B51" i="27"/>
  <c r="M51" i="27"/>
  <c r="AA51" i="27"/>
  <c r="Z51" i="27"/>
  <c r="AG49" i="27" l="1"/>
  <c r="F44" i="27" s="1"/>
  <c r="E44" i="27" s="1"/>
  <c r="N44" i="27" s="1"/>
  <c r="AP38" i="31"/>
  <c r="AO38" i="31"/>
  <c r="AM40" i="31"/>
  <c r="AL41" i="31"/>
  <c r="O37" i="31"/>
  <c r="P36" i="31"/>
  <c r="AN39" i="31"/>
  <c r="AO39" i="31" s="1" a="1"/>
  <c r="R35" i="31"/>
  <c r="AL42" i="29"/>
  <c r="AM41" i="29"/>
  <c r="AN40" i="29"/>
  <c r="AO40" i="29" s="1" a="1"/>
  <c r="AP39" i="29"/>
  <c r="AO39" i="29"/>
  <c r="S36" i="29"/>
  <c r="R36" i="29"/>
  <c r="O38" i="29"/>
  <c r="P37" i="29"/>
  <c r="AH50" i="27"/>
  <c r="AK50" i="27" s="1"/>
  <c r="AI50" i="27"/>
  <c r="AF51" i="27"/>
  <c r="B52" i="27"/>
  <c r="M52" i="27"/>
  <c r="AA52" i="27"/>
  <c r="Z52" i="27"/>
  <c r="AI49" i="27" l="1"/>
  <c r="AG51" i="27"/>
  <c r="F46" i="27" s="1"/>
  <c r="E46" i="27" s="1"/>
  <c r="N46" i="27" s="1"/>
  <c r="AH49" i="27"/>
  <c r="AK49" i="27" s="1"/>
  <c r="AP39" i="31"/>
  <c r="AO39" i="31"/>
  <c r="AL42" i="31"/>
  <c r="AM41" i="31"/>
  <c r="AN40" i="31"/>
  <c r="AO40" i="31" s="1" a="1"/>
  <c r="O38" i="31"/>
  <c r="P37" i="31"/>
  <c r="R36" i="31"/>
  <c r="AO40" i="29"/>
  <c r="AP40" i="29"/>
  <c r="R37" i="29"/>
  <c r="S37" i="29"/>
  <c r="AN41" i="29"/>
  <c r="AO41" i="29" s="1" a="1"/>
  <c r="P38" i="29"/>
  <c r="O39" i="29"/>
  <c r="AM42" i="29"/>
  <c r="AL43" i="29"/>
  <c r="AF52" i="27"/>
  <c r="AG52" i="27" s="1"/>
  <c r="F47" i="27" s="1"/>
  <c r="E47" i="27" s="1"/>
  <c r="N47" i="27" s="1"/>
  <c r="B53" i="27"/>
  <c r="M53" i="27"/>
  <c r="AA53" i="27"/>
  <c r="Z53" i="27"/>
  <c r="AI51" i="27" l="1"/>
  <c r="AH51" i="27"/>
  <c r="AK51" i="27" s="1"/>
  <c r="R37" i="31"/>
  <c r="AM42" i="31"/>
  <c r="AL43" i="31"/>
  <c r="AO40" i="31"/>
  <c r="AP40" i="31"/>
  <c r="P38" i="31"/>
  <c r="O39" i="31"/>
  <c r="AN41" i="31"/>
  <c r="AO41" i="31" s="1" a="1"/>
  <c r="O40" i="29"/>
  <c r="P39" i="29"/>
  <c r="AP41" i="29"/>
  <c r="AO41" i="29"/>
  <c r="AM43" i="29"/>
  <c r="AL44" i="29"/>
  <c r="R38" i="29"/>
  <c r="S38" i="29"/>
  <c r="AN42" i="29"/>
  <c r="AO42" i="29" s="1" a="1"/>
  <c r="AH52" i="27"/>
  <c r="AK52" i="27" s="1"/>
  <c r="AI52" i="27"/>
  <c r="AF53" i="27"/>
  <c r="C54" i="27"/>
  <c r="M54" i="27"/>
  <c r="M55" i="27" s="1"/>
  <c r="C55" i="27"/>
  <c r="Z55" i="27"/>
  <c r="AA54" i="27"/>
  <c r="Z54" i="27"/>
  <c r="AA55" i="27"/>
  <c r="AG53" i="27" l="1"/>
  <c r="F48" i="27" s="1"/>
  <c r="E48" i="27" s="1"/>
  <c r="N48" i="27" s="1"/>
  <c r="O40" i="31"/>
  <c r="P39" i="31"/>
  <c r="AL44" i="31"/>
  <c r="AM43" i="31"/>
  <c r="AN42" i="31"/>
  <c r="AO42" i="31" s="1" a="1"/>
  <c r="R38" i="31"/>
  <c r="AP41" i="31"/>
  <c r="AO41" i="31"/>
  <c r="AL45" i="29"/>
  <c r="AM44" i="29"/>
  <c r="AN43" i="29"/>
  <c r="AO43" i="29" s="1" a="1"/>
  <c r="R39" i="29"/>
  <c r="S39" i="29"/>
  <c r="AO42" i="29"/>
  <c r="AP42" i="29"/>
  <c r="O41" i="29"/>
  <c r="P40" i="29"/>
  <c r="AF54" i="27"/>
  <c r="AF55" i="27"/>
  <c r="B56" i="27"/>
  <c r="M56" i="27"/>
  <c r="Z56" i="27"/>
  <c r="AA56" i="27"/>
  <c r="AI53" i="27" l="1"/>
  <c r="AG55" i="27"/>
  <c r="F50" i="27" s="1"/>
  <c r="E50" i="27" s="1"/>
  <c r="N50" i="27" s="1"/>
  <c r="AG54" i="27"/>
  <c r="F49" i="27" s="1"/>
  <c r="E49" i="27" s="1"/>
  <c r="N49" i="27" s="1"/>
  <c r="AH53" i="27"/>
  <c r="AK53" i="27" s="1"/>
  <c r="AO42" i="31"/>
  <c r="AP42" i="31"/>
  <c r="AL45" i="31"/>
  <c r="AM44" i="31"/>
  <c r="R39" i="31"/>
  <c r="AN43" i="31"/>
  <c r="AO43" i="31" s="1" a="1"/>
  <c r="O41" i="31"/>
  <c r="P40" i="31"/>
  <c r="AO43" i="29"/>
  <c r="AP43" i="29"/>
  <c r="S40" i="29"/>
  <c r="R40" i="29"/>
  <c r="AN44" i="29"/>
  <c r="AO44" i="29" a="1"/>
  <c r="O42" i="29"/>
  <c r="P41" i="29"/>
  <c r="AL46" i="29"/>
  <c r="AM45" i="29"/>
  <c r="AI54" i="27"/>
  <c r="AF56" i="27"/>
  <c r="B57" i="27"/>
  <c r="C57" i="27"/>
  <c r="M57" i="27"/>
  <c r="Z57" i="27"/>
  <c r="AR31" i="29" a="1"/>
  <c r="AA57" i="27"/>
  <c r="AI55" i="27" l="1"/>
  <c r="AR38" i="29"/>
  <c r="AR33" i="29"/>
  <c r="AR61" i="29"/>
  <c r="I56" i="29" s="1"/>
  <c r="L56" i="29" s="1"/>
  <c r="AR57" i="29"/>
  <c r="AR39" i="29"/>
  <c r="AR37" i="29"/>
  <c r="AR69" i="29"/>
  <c r="I64" i="29" s="1"/>
  <c r="L64" i="29" s="1"/>
  <c r="AR47" i="29"/>
  <c r="AR70" i="29"/>
  <c r="I65" i="29" s="1"/>
  <c r="L65" i="29" s="1"/>
  <c r="AR64" i="29"/>
  <c r="I59" i="29" s="1"/>
  <c r="L59" i="29" s="1"/>
  <c r="AR63" i="29"/>
  <c r="I58" i="29" s="1"/>
  <c r="L58" i="29" s="1"/>
  <c r="AR40" i="29"/>
  <c r="AR42" i="29"/>
  <c r="AR55" i="29"/>
  <c r="AR58" i="29"/>
  <c r="AR62" i="29"/>
  <c r="I57" i="29" s="1"/>
  <c r="L57" i="29" s="1"/>
  <c r="AR53" i="29"/>
  <c r="AR56" i="29"/>
  <c r="AR51" i="29"/>
  <c r="AR54" i="29"/>
  <c r="AR71" i="29"/>
  <c r="I66" i="29" s="1"/>
  <c r="L66" i="29" s="1"/>
  <c r="AR65" i="29"/>
  <c r="I60" i="29" s="1"/>
  <c r="L60" i="29" s="1"/>
  <c r="AR41" i="29"/>
  <c r="AR66" i="29"/>
  <c r="I61" i="29" s="1"/>
  <c r="L61" i="29" s="1"/>
  <c r="AR45" i="29"/>
  <c r="AR72" i="29"/>
  <c r="I67" i="29" s="1"/>
  <c r="L67" i="29" s="1"/>
  <c r="AR43" i="29"/>
  <c r="AR32" i="29"/>
  <c r="AR67" i="29"/>
  <c r="I62" i="29" s="1"/>
  <c r="L62" i="29" s="1"/>
  <c r="AR34" i="29"/>
  <c r="AR60" i="29"/>
  <c r="AR35" i="29"/>
  <c r="AR48" i="29"/>
  <c r="AR68" i="29"/>
  <c r="I63" i="29" s="1"/>
  <c r="L63" i="29" s="1"/>
  <c r="AR44" i="29"/>
  <c r="AR46" i="29"/>
  <c r="AR36" i="29"/>
  <c r="AR50" i="29"/>
  <c r="AR52" i="29"/>
  <c r="AR49" i="29"/>
  <c r="AR31" i="29"/>
  <c r="AR59" i="29"/>
  <c r="AH54" i="27"/>
  <c r="AK54" i="27" s="1"/>
  <c r="AG56" i="27"/>
  <c r="F51" i="27" s="1"/>
  <c r="E51" i="27" s="1"/>
  <c r="N51" i="27" s="1"/>
  <c r="AH55" i="27"/>
  <c r="AK55" i="27" s="1"/>
  <c r="AL46" i="31"/>
  <c r="AM45" i="31"/>
  <c r="R40" i="31"/>
  <c r="AP43" i="31"/>
  <c r="AO43" i="31"/>
  <c r="AN44" i="31"/>
  <c r="AO44" i="31" s="1" a="1"/>
  <c r="O42" i="31"/>
  <c r="P41" i="31"/>
  <c r="O43" i="29"/>
  <c r="P42" i="29"/>
  <c r="S41" i="29"/>
  <c r="R41" i="29"/>
  <c r="AO45" i="29" a="1"/>
  <c r="AN45" i="29"/>
  <c r="AP44" i="29"/>
  <c r="AO44" i="29"/>
  <c r="AM46" i="29"/>
  <c r="AL47" i="29"/>
  <c r="AF57" i="27"/>
  <c r="B58" i="27"/>
  <c r="C58" i="27"/>
  <c r="M58" i="27"/>
  <c r="AA58" i="27"/>
  <c r="Z58" i="27"/>
  <c r="AI56" i="27" l="1"/>
  <c r="AG57" i="27"/>
  <c r="F52" i="27" s="1"/>
  <c r="E52" i="27" s="1"/>
  <c r="N52" i="27" s="1"/>
  <c r="AH56" i="27"/>
  <c r="AK56" i="27" s="1"/>
  <c r="R41" i="31"/>
  <c r="AO45" i="31" a="1"/>
  <c r="AN45" i="31"/>
  <c r="AP44" i="31"/>
  <c r="AO44" i="31"/>
  <c r="O43" i="31"/>
  <c r="P42" i="31"/>
  <c r="AM46" i="31"/>
  <c r="AL47" i="31"/>
  <c r="S42" i="29"/>
  <c r="R42" i="29"/>
  <c r="AO45" i="29"/>
  <c r="AP45" i="29"/>
  <c r="AL48" i="29"/>
  <c r="AM47" i="29"/>
  <c r="AO46" i="29" a="1"/>
  <c r="AN46" i="29"/>
  <c r="O44" i="29"/>
  <c r="P43" i="29"/>
  <c r="AF58" i="27"/>
  <c r="B59" i="27"/>
  <c r="C59" i="27"/>
  <c r="M59" i="27"/>
  <c r="AA59" i="27"/>
  <c r="Z59" i="27"/>
  <c r="AR31" i="31" a="1"/>
  <c r="AI57" i="27" l="1"/>
  <c r="AR51" i="31"/>
  <c r="AR34" i="31"/>
  <c r="AR61" i="31"/>
  <c r="I56" i="31" s="1"/>
  <c r="L56" i="31" s="1"/>
  <c r="AR71" i="31"/>
  <c r="I66" i="31" s="1"/>
  <c r="L66" i="31" s="1"/>
  <c r="AR46" i="31"/>
  <c r="I41" i="31" s="1"/>
  <c r="L41" i="31" s="1"/>
  <c r="S41" i="31" s="1"/>
  <c r="AR42" i="31"/>
  <c r="I37" i="31" s="1"/>
  <c r="L37" i="31" s="1"/>
  <c r="S37" i="31" s="1"/>
  <c r="AR56" i="31"/>
  <c r="I51" i="31" s="1"/>
  <c r="L51" i="31" s="1"/>
  <c r="AR49" i="31"/>
  <c r="I44" i="31" s="1"/>
  <c r="L44" i="31" s="1"/>
  <c r="AR57" i="31"/>
  <c r="AR69" i="31"/>
  <c r="I64" i="31" s="1"/>
  <c r="L64" i="31" s="1"/>
  <c r="AR68" i="31"/>
  <c r="I63" i="31" s="1"/>
  <c r="L63" i="31" s="1"/>
  <c r="AR36" i="31"/>
  <c r="AR58" i="31"/>
  <c r="AR33" i="31"/>
  <c r="I28" i="31" s="1"/>
  <c r="L28" i="31" s="1"/>
  <c r="AR37" i="31"/>
  <c r="I32" i="31" s="1"/>
  <c r="L32" i="31" s="1"/>
  <c r="AR48" i="31"/>
  <c r="I43" i="31" s="1"/>
  <c r="L43" i="31" s="1"/>
  <c r="AR39" i="31"/>
  <c r="AR52" i="31"/>
  <c r="I47" i="31" s="1"/>
  <c r="L47" i="31" s="1"/>
  <c r="AR63" i="31"/>
  <c r="I58" i="31" s="1"/>
  <c r="L58" i="31" s="1"/>
  <c r="AR72" i="31"/>
  <c r="I67" i="31" s="1"/>
  <c r="L67" i="31" s="1"/>
  <c r="AR53" i="31"/>
  <c r="AR55" i="31"/>
  <c r="I50" i="31" s="1"/>
  <c r="L50" i="31" s="1"/>
  <c r="AR31" i="31"/>
  <c r="I26" i="31" s="1"/>
  <c r="L26" i="31" s="1"/>
  <c r="S26" i="31" s="1"/>
  <c r="AR44" i="31"/>
  <c r="I39" i="31" s="1"/>
  <c r="L39" i="31" s="1"/>
  <c r="S39" i="31" s="1"/>
  <c r="AR41" i="31"/>
  <c r="AR62" i="31"/>
  <c r="I57" i="31" s="1"/>
  <c r="L57" i="31" s="1"/>
  <c r="AR67" i="31"/>
  <c r="I62" i="31" s="1"/>
  <c r="L62" i="31" s="1"/>
  <c r="AR40" i="31"/>
  <c r="AR38" i="31"/>
  <c r="AR64" i="31"/>
  <c r="I59" i="31" s="1"/>
  <c r="L59" i="31" s="1"/>
  <c r="AR43" i="31"/>
  <c r="I38" i="31" s="1"/>
  <c r="L38" i="31" s="1"/>
  <c r="S38" i="31" s="1"/>
  <c r="AR59" i="31"/>
  <c r="I54" i="31" s="1"/>
  <c r="L54" i="31" s="1"/>
  <c r="AR32" i="31"/>
  <c r="AR45" i="31"/>
  <c r="AR66" i="31"/>
  <c r="I61" i="31" s="1"/>
  <c r="L61" i="31" s="1"/>
  <c r="AR47" i="31"/>
  <c r="AR35" i="31"/>
  <c r="I30" i="31" s="1"/>
  <c r="L30" i="31" s="1"/>
  <c r="AR54" i="31"/>
  <c r="AR50" i="31"/>
  <c r="I45" i="31" s="1"/>
  <c r="L45" i="31" s="1"/>
  <c r="AR70" i="31"/>
  <c r="I65" i="31" s="1"/>
  <c r="L65" i="31" s="1"/>
  <c r="AR60" i="31"/>
  <c r="AR65" i="31"/>
  <c r="I60" i="31" s="1"/>
  <c r="L60" i="31" s="1"/>
  <c r="AG58" i="27"/>
  <c r="F53" i="27" s="1"/>
  <c r="E53" i="27" s="1"/>
  <c r="N53" i="27" s="1"/>
  <c r="AH57" i="27"/>
  <c r="AK57" i="27" s="1"/>
  <c r="I33" i="31"/>
  <c r="L33" i="31" s="1"/>
  <c r="I31" i="31"/>
  <c r="L31" i="31" s="1"/>
  <c r="S31" i="31" s="1"/>
  <c r="I36" i="31"/>
  <c r="L36" i="31" s="1"/>
  <c r="S36" i="31" s="1"/>
  <c r="I40" i="31"/>
  <c r="L40" i="31" s="1"/>
  <c r="S40" i="31" s="1"/>
  <c r="I52" i="31"/>
  <c r="L52" i="31" s="1"/>
  <c r="I35" i="31"/>
  <c r="L35" i="31" s="1"/>
  <c r="I29" i="31"/>
  <c r="L29" i="31" s="1"/>
  <c r="I46" i="31"/>
  <c r="L46" i="31" s="1"/>
  <c r="I27" i="31"/>
  <c r="L27" i="31" s="1"/>
  <c r="I53" i="31"/>
  <c r="L53" i="31" s="1"/>
  <c r="I48" i="31"/>
  <c r="L48" i="31" s="1"/>
  <c r="I34" i="31"/>
  <c r="L34" i="31" s="1"/>
  <c r="S34" i="31" s="1"/>
  <c r="I55" i="31"/>
  <c r="L55" i="31" s="1"/>
  <c r="I42" i="31"/>
  <c r="L42" i="31" s="1"/>
  <c r="S42" i="31" s="1"/>
  <c r="I49" i="31"/>
  <c r="L49" i="31" s="1"/>
  <c r="AP45" i="31"/>
  <c r="AO45" i="31"/>
  <c r="R42" i="31"/>
  <c r="AL48" i="31"/>
  <c r="AM47" i="31"/>
  <c r="P43" i="31"/>
  <c r="O44" i="31"/>
  <c r="AO46" i="31" a="1"/>
  <c r="AN46" i="31"/>
  <c r="AL49" i="29"/>
  <c r="AM48" i="29"/>
  <c r="S43" i="29"/>
  <c r="R43" i="29"/>
  <c r="AO46" i="29"/>
  <c r="AP46" i="29"/>
  <c r="AO47" i="29" a="1"/>
  <c r="AN47" i="29"/>
  <c r="O45" i="29"/>
  <c r="P44" i="29"/>
  <c r="AI58" i="27"/>
  <c r="AF59" i="27"/>
  <c r="AG59" i="27" s="1"/>
  <c r="F54" i="27" s="1"/>
  <c r="E54" i="27" s="1"/>
  <c r="N54" i="27" s="1"/>
  <c r="B60" i="27"/>
  <c r="C60" i="27"/>
  <c r="M60" i="27"/>
  <c r="B61" i="27"/>
  <c r="C61" i="27"/>
  <c r="M61" i="27"/>
  <c r="AA61" i="27"/>
  <c r="Z60" i="27"/>
  <c r="Z61" i="27"/>
  <c r="AA60" i="27"/>
  <c r="S29" i="31" l="1"/>
  <c r="S27" i="31"/>
  <c r="S28" i="31"/>
  <c r="S30" i="31"/>
  <c r="S33" i="31"/>
  <c r="S32" i="31"/>
  <c r="S35" i="31"/>
  <c r="AH58" i="27"/>
  <c r="AK58" i="27" s="1"/>
  <c r="AL49" i="31"/>
  <c r="AM48" i="31"/>
  <c r="R43" i="31"/>
  <c r="S43" i="31"/>
  <c r="AO47" i="31" a="1"/>
  <c r="AN47" i="31"/>
  <c r="O45" i="31"/>
  <c r="P44" i="31"/>
  <c r="AP46" i="31"/>
  <c r="AO46" i="31"/>
  <c r="AO47" i="29"/>
  <c r="AP47" i="29"/>
  <c r="S44" i="29"/>
  <c r="R44" i="29"/>
  <c r="AO48" i="29" a="1"/>
  <c r="AN48" i="29"/>
  <c r="P45" i="29"/>
  <c r="O46" i="29"/>
  <c r="AL50" i="29"/>
  <c r="AM49" i="29"/>
  <c r="AF60" i="27"/>
  <c r="AG60" i="27" s="1"/>
  <c r="F55" i="27" s="1"/>
  <c r="E55" i="27" s="1"/>
  <c r="N55" i="27" s="1"/>
  <c r="AH59" i="27"/>
  <c r="AK59" i="27" s="1"/>
  <c r="AI59" i="27"/>
  <c r="AF61" i="27"/>
  <c r="B62" i="27"/>
  <c r="C62" i="27"/>
  <c r="M62" i="27"/>
  <c r="Z62" i="27"/>
  <c r="AA62" i="27"/>
  <c r="AG61" i="27" l="1"/>
  <c r="F56" i="27" s="1"/>
  <c r="E56" i="27" s="1"/>
  <c r="N56" i="27" s="1"/>
  <c r="I56" i="27"/>
  <c r="L56" i="27" s="1"/>
  <c r="AP47" i="31"/>
  <c r="AO47" i="31"/>
  <c r="AO48" i="31" a="1"/>
  <c r="AN48" i="31"/>
  <c r="S44" i="31"/>
  <c r="R44" i="31"/>
  <c r="O46" i="31"/>
  <c r="P45" i="31"/>
  <c r="AL50" i="31"/>
  <c r="AM49" i="31"/>
  <c r="P46" i="29"/>
  <c r="O47" i="29"/>
  <c r="AO48" i="29"/>
  <c r="AP48" i="29"/>
  <c r="AN49" i="29"/>
  <c r="AO49" i="29" a="1"/>
  <c r="R45" i="29"/>
  <c r="S45" i="29"/>
  <c r="AL51" i="29"/>
  <c r="AM50" i="29"/>
  <c r="AH60" i="27"/>
  <c r="AK60" i="27" s="1"/>
  <c r="AI60" i="27"/>
  <c r="AF62" i="27"/>
  <c r="B63" i="27"/>
  <c r="C63" i="27"/>
  <c r="M63" i="27"/>
  <c r="B64" i="27"/>
  <c r="C64" i="27"/>
  <c r="M64" i="27"/>
  <c r="M65" i="27" s="1"/>
  <c r="M66" i="27" s="1"/>
  <c r="B65" i="27"/>
  <c r="C65" i="27"/>
  <c r="B66" i="27"/>
  <c r="C66" i="27"/>
  <c r="AA63" i="27"/>
  <c r="Z65" i="27"/>
  <c r="AA65" i="27"/>
  <c r="Z66" i="27"/>
  <c r="AA66" i="27"/>
  <c r="Z64" i="27"/>
  <c r="Z63" i="27"/>
  <c r="AA64" i="27"/>
  <c r="AI61" i="27" l="1"/>
  <c r="AG62" i="27"/>
  <c r="F57" i="27" s="1"/>
  <c r="E57" i="27" s="1"/>
  <c r="N57" i="27" s="1"/>
  <c r="I57" i="27"/>
  <c r="L57" i="27" s="1"/>
  <c r="AH61" i="27"/>
  <c r="AK61" i="27" s="1"/>
  <c r="AO48" i="31"/>
  <c r="AP48" i="31"/>
  <c r="O47" i="31"/>
  <c r="P46" i="31"/>
  <c r="AN49" i="31"/>
  <c r="AO49" i="31" a="1"/>
  <c r="S45" i="31"/>
  <c r="R45" i="31"/>
  <c r="AL51" i="31"/>
  <c r="AM50" i="31"/>
  <c r="AP49" i="29"/>
  <c r="AO49" i="29"/>
  <c r="AN50" i="29"/>
  <c r="AO50" i="29" a="1"/>
  <c r="O48" i="29"/>
  <c r="P47" i="29"/>
  <c r="AL52" i="29"/>
  <c r="AM51" i="29"/>
  <c r="S46" i="29"/>
  <c r="R46" i="29"/>
  <c r="AF65" i="27"/>
  <c r="AF63" i="27"/>
  <c r="AF64" i="27"/>
  <c r="AF66" i="27"/>
  <c r="B67" i="27"/>
  <c r="C67" i="27"/>
  <c r="M67" i="27"/>
  <c r="AA67" i="27"/>
  <c r="Z67" i="27"/>
  <c r="AH62" i="27" l="1"/>
  <c r="AK62" i="27" s="1"/>
  <c r="AI62" i="27"/>
  <c r="AG65" i="27"/>
  <c r="F60" i="27" s="1"/>
  <c r="E60" i="27" s="1"/>
  <c r="N60" i="27" s="1"/>
  <c r="I60" i="27"/>
  <c r="L60" i="27" s="1"/>
  <c r="AG64" i="27"/>
  <c r="F59" i="27" s="1"/>
  <c r="E59" i="27" s="1"/>
  <c r="N59" i="27" s="1"/>
  <c r="I59" i="27"/>
  <c r="L59" i="27" s="1"/>
  <c r="AG66" i="27"/>
  <c r="F61" i="27" s="1"/>
  <c r="E61" i="27" s="1"/>
  <c r="N61" i="27" s="1"/>
  <c r="I61" i="27"/>
  <c r="L61" i="27" s="1"/>
  <c r="AG63" i="27"/>
  <c r="F58" i="27" s="1"/>
  <c r="E58" i="27" s="1"/>
  <c r="N58" i="27" s="1"/>
  <c r="I58" i="27"/>
  <c r="L58" i="27" s="1"/>
  <c r="O48" i="31"/>
  <c r="P47" i="31"/>
  <c r="S46" i="31"/>
  <c r="R46" i="31"/>
  <c r="AO50" i="31" a="1"/>
  <c r="AN50" i="31"/>
  <c r="AP49" i="31"/>
  <c r="AO49" i="31"/>
  <c r="AM51" i="31"/>
  <c r="AL52" i="31"/>
  <c r="AO51" i="29" a="1"/>
  <c r="AN51" i="29"/>
  <c r="AP50" i="29"/>
  <c r="AO50" i="29"/>
  <c r="AM52" i="29"/>
  <c r="AL53" i="29"/>
  <c r="R47" i="29"/>
  <c r="S47" i="29"/>
  <c r="O49" i="29"/>
  <c r="P48" i="29"/>
  <c r="AI65" i="27"/>
  <c r="AH64" i="27"/>
  <c r="AK64" i="27" s="1"/>
  <c r="AF67" i="27"/>
  <c r="B68" i="27"/>
  <c r="C68" i="27"/>
  <c r="Z68" i="27"/>
  <c r="AA68" i="27"/>
  <c r="AI64" i="27" l="1"/>
  <c r="AH66" i="27"/>
  <c r="AK66" i="27" s="1"/>
  <c r="AG67" i="27"/>
  <c r="F62" i="27" s="1"/>
  <c r="E62" i="27" s="1"/>
  <c r="N62" i="27" s="1"/>
  <c r="I62" i="27"/>
  <c r="L62" i="27" s="1"/>
  <c r="AI66" i="27"/>
  <c r="AH63" i="27"/>
  <c r="AK63" i="27" s="1"/>
  <c r="AI63" i="27"/>
  <c r="AH65" i="27"/>
  <c r="AK65" i="27" s="1"/>
  <c r="AP50" i="31"/>
  <c r="AO50" i="31"/>
  <c r="R47" i="31"/>
  <c r="S47" i="31"/>
  <c r="AL53" i="31"/>
  <c r="AM52" i="31"/>
  <c r="AO51" i="31" a="1"/>
  <c r="AN51" i="31"/>
  <c r="P48" i="31"/>
  <c r="O49" i="31"/>
  <c r="AL54" i="29"/>
  <c r="AM53" i="29"/>
  <c r="AN52" i="29"/>
  <c r="AO52" i="29" a="1"/>
  <c r="S48" i="29"/>
  <c r="R48" i="29"/>
  <c r="O50" i="29"/>
  <c r="P49" i="29"/>
  <c r="AP51" i="29"/>
  <c r="AO51" i="29"/>
  <c r="AF68" i="27"/>
  <c r="B69" i="27"/>
  <c r="C69" i="27"/>
  <c r="Z69" i="27"/>
  <c r="AA69" i="27"/>
  <c r="AI67" i="27" l="1"/>
  <c r="AG68" i="27"/>
  <c r="F63" i="27" s="1"/>
  <c r="E63" i="27" s="1"/>
  <c r="I63" i="27"/>
  <c r="L63" i="27" s="1"/>
  <c r="AH67" i="27"/>
  <c r="AK67" i="27" s="1"/>
  <c r="AL54" i="31"/>
  <c r="AM53" i="31"/>
  <c r="AO51" i="31"/>
  <c r="AP51" i="31"/>
  <c r="AO52" i="31" a="1"/>
  <c r="AN52" i="31"/>
  <c r="O50" i="31"/>
  <c r="P49" i="31"/>
  <c r="S48" i="31"/>
  <c r="R48" i="31"/>
  <c r="S49" i="29"/>
  <c r="R49" i="29"/>
  <c r="P50" i="29"/>
  <c r="O51" i="29"/>
  <c r="AO52" i="29"/>
  <c r="AP52" i="29"/>
  <c r="AN53" i="29"/>
  <c r="AO53" i="29" a="1"/>
  <c r="AL55" i="29"/>
  <c r="AM54" i="29"/>
  <c r="AF69" i="27"/>
  <c r="AA70" i="27"/>
  <c r="Z70" i="27"/>
  <c r="AH68" i="27" l="1"/>
  <c r="AK68" i="27" s="1"/>
  <c r="AI68" i="27"/>
  <c r="AG69" i="27"/>
  <c r="F64" i="27" s="1"/>
  <c r="E64" i="27" s="1"/>
  <c r="N64" i="27" s="1"/>
  <c r="I64" i="27"/>
  <c r="L64" i="27" s="1"/>
  <c r="N63" i="27"/>
  <c r="AO52" i="31"/>
  <c r="AP52" i="31"/>
  <c r="O51" i="31"/>
  <c r="P50" i="31"/>
  <c r="AN53" i="31"/>
  <c r="AO53" i="31" a="1"/>
  <c r="S49" i="31"/>
  <c r="R49" i="31"/>
  <c r="AL55" i="31"/>
  <c r="AM54" i="31"/>
  <c r="O52" i="29"/>
  <c r="P51" i="29"/>
  <c r="S50" i="29"/>
  <c r="R50" i="29"/>
  <c r="AO54" i="29" a="1"/>
  <c r="AN54" i="29"/>
  <c r="AP53" i="29"/>
  <c r="AO53" i="29"/>
  <c r="AM55" i="29"/>
  <c r="AL56" i="29"/>
  <c r="AF70" i="27"/>
  <c r="AA71" i="27"/>
  <c r="Z71" i="27"/>
  <c r="AI69" i="27" l="1"/>
  <c r="AH69" i="27"/>
  <c r="AK69" i="27" s="1"/>
  <c r="AG70" i="27"/>
  <c r="F65" i="27" s="1"/>
  <c r="E65" i="27" s="1"/>
  <c r="I65" i="27"/>
  <c r="L65" i="27" s="1"/>
  <c r="AP53" i="31"/>
  <c r="AO53" i="31"/>
  <c r="O52" i="31"/>
  <c r="P51" i="31"/>
  <c r="S50" i="31"/>
  <c r="R50" i="31"/>
  <c r="AO54" i="31" a="1"/>
  <c r="AN54" i="31"/>
  <c r="AM55" i="31"/>
  <c r="AL56" i="31"/>
  <c r="R51" i="29"/>
  <c r="S51" i="29"/>
  <c r="AO54" i="29"/>
  <c r="AP54" i="29"/>
  <c r="AL57" i="29"/>
  <c r="AM56" i="29"/>
  <c r="AO55" i="29" a="1"/>
  <c r="AN55" i="29"/>
  <c r="O53" i="29"/>
  <c r="P52" i="29"/>
  <c r="AF71" i="27"/>
  <c r="Z72" i="27"/>
  <c r="AA72" i="27"/>
  <c r="AI70" i="27" l="1"/>
  <c r="AH70" i="27"/>
  <c r="AK70" i="27" s="1"/>
  <c r="AG71" i="27"/>
  <c r="F66" i="27" s="1"/>
  <c r="E66" i="27" s="1"/>
  <c r="N66" i="27" s="1"/>
  <c r="I66" i="27"/>
  <c r="L66" i="27" s="1"/>
  <c r="N65" i="27"/>
  <c r="AO54" i="31"/>
  <c r="AP54" i="31"/>
  <c r="O53" i="31"/>
  <c r="P52" i="31"/>
  <c r="AM56" i="31"/>
  <c r="AL57" i="31"/>
  <c r="R51" i="31"/>
  <c r="S51" i="31"/>
  <c r="AN55" i="31"/>
  <c r="AO55" i="31" a="1"/>
  <c r="AM57" i="29"/>
  <c r="AL58" i="29"/>
  <c r="S52" i="29"/>
  <c r="R52" i="29"/>
  <c r="AP55" i="29"/>
  <c r="AO55" i="29"/>
  <c r="AN56" i="29"/>
  <c r="AO56" i="29" a="1"/>
  <c r="O54" i="29"/>
  <c r="P53" i="29"/>
  <c r="AF72" i="27"/>
  <c r="C9" i="11"/>
  <c r="AH71" i="27" l="1"/>
  <c r="AK71" i="27" s="1"/>
  <c r="AI71" i="27"/>
  <c r="AG72" i="27"/>
  <c r="F67" i="27" s="1"/>
  <c r="E67" i="27" s="1"/>
  <c r="S25" i="27" s="1" a="1"/>
  <c r="I67" i="27"/>
  <c r="L67" i="27" s="1"/>
  <c r="AN56" i="31"/>
  <c r="AO56" i="31" a="1"/>
  <c r="P53" i="31"/>
  <c r="O54" i="31"/>
  <c r="AM57" i="31"/>
  <c r="AL58" i="31"/>
  <c r="AO55" i="31"/>
  <c r="AP55" i="31"/>
  <c r="S52" i="31"/>
  <c r="R52" i="31"/>
  <c r="AO56" i="29"/>
  <c r="AP56" i="29"/>
  <c r="AM58" i="29"/>
  <c r="AL59" i="29"/>
  <c r="R53" i="29"/>
  <c r="S53" i="29"/>
  <c r="P54" i="29"/>
  <c r="O55" i="29"/>
  <c r="AO57" i="29" a="1"/>
  <c r="AN57" i="29"/>
  <c r="D6" i="8"/>
  <c r="N67" i="27" l="1"/>
  <c r="S25" i="27"/>
  <c r="O26" i="27" s="1"/>
  <c r="AG29" i="27"/>
  <c r="AH30" i="27" s="1"/>
  <c r="AO57" i="31" a="1"/>
  <c r="AN57" i="31"/>
  <c r="P54" i="31"/>
  <c r="O55" i="31"/>
  <c r="S53" i="31"/>
  <c r="R53" i="31"/>
  <c r="AL59" i="31"/>
  <c r="AM58" i="31"/>
  <c r="AO56" i="31"/>
  <c r="AP56" i="31"/>
  <c r="O56" i="29"/>
  <c r="P55" i="29"/>
  <c r="AN58" i="29"/>
  <c r="AO58" i="29" a="1"/>
  <c r="S54" i="29"/>
  <c r="R54" i="29"/>
  <c r="AL60" i="29"/>
  <c r="AM59" i="29"/>
  <c r="AO57" i="29"/>
  <c r="AP57" i="29"/>
  <c r="D5" i="8"/>
  <c r="U9" i="11"/>
  <c r="L9" i="11"/>
  <c r="U9" i="10"/>
  <c r="L9" i="10"/>
  <c r="C9" i="10"/>
  <c r="D9" i="8"/>
  <c r="D8" i="8"/>
  <c r="C5" i="34"/>
  <c r="U5" i="34"/>
  <c r="U5" i="10"/>
  <c r="C5" i="10"/>
  <c r="L5" i="34"/>
  <c r="U5" i="11"/>
  <c r="L5" i="11"/>
  <c r="C5" i="11"/>
  <c r="C3" i="35" l="1"/>
  <c r="C3" i="36"/>
  <c r="C3" i="31"/>
  <c r="C3" i="32"/>
  <c r="AI72" i="27"/>
  <c r="AH72" i="27"/>
  <c r="AK72" i="27" s="1"/>
  <c r="AL30" i="27" s="1"/>
  <c r="O27" i="27"/>
  <c r="P26" i="27"/>
  <c r="R26" i="27" s="1"/>
  <c r="R54" i="31"/>
  <c r="S54" i="31"/>
  <c r="AO58" i="31" a="1"/>
  <c r="AN58" i="31"/>
  <c r="AL60" i="31"/>
  <c r="AM59" i="31"/>
  <c r="O56" i="31"/>
  <c r="P55" i="31"/>
  <c r="AO57" i="31"/>
  <c r="AP57" i="31"/>
  <c r="AO59" i="29" a="1"/>
  <c r="AN59" i="29"/>
  <c r="AP58" i="29"/>
  <c r="AO58" i="29"/>
  <c r="AM60" i="29"/>
  <c r="AL61" i="29"/>
  <c r="R55" i="29"/>
  <c r="S55" i="29"/>
  <c r="C3" i="27"/>
  <c r="C3" i="29"/>
  <c r="P56" i="29"/>
  <c r="O57" i="29"/>
  <c r="L6" i="34"/>
  <c r="AI4" i="27"/>
  <c r="U6" i="34"/>
  <c r="C6" i="11"/>
  <c r="L5" i="10"/>
  <c r="U6" i="10"/>
  <c r="C6" i="10"/>
  <c r="C6" i="34"/>
  <c r="U6" i="11"/>
  <c r="L6" i="11"/>
  <c r="AI4" i="35"/>
  <c r="AI4" i="31"/>
  <c r="AI4" i="29"/>
  <c r="U3" i="32" a="1"/>
  <c r="U3" i="35" a="1"/>
  <c r="N9" i="33" a="1"/>
  <c r="U3" i="36" a="1"/>
  <c r="C7" i="34" l="1"/>
  <c r="U7" i="34"/>
  <c r="L7" i="34"/>
  <c r="U77" i="36"/>
  <c r="U73" i="36"/>
  <c r="U69" i="36"/>
  <c r="U65" i="36"/>
  <c r="U61" i="36"/>
  <c r="U57" i="36"/>
  <c r="U53" i="36"/>
  <c r="U49" i="36"/>
  <c r="U45" i="36"/>
  <c r="U41" i="36"/>
  <c r="U37" i="36"/>
  <c r="U33" i="36"/>
  <c r="U29" i="36"/>
  <c r="U25" i="36"/>
  <c r="U21" i="36"/>
  <c r="U17" i="36"/>
  <c r="U13" i="36"/>
  <c r="U9" i="36"/>
  <c r="U5" i="36"/>
  <c r="V76" i="36"/>
  <c r="V68" i="36"/>
  <c r="V60" i="36"/>
  <c r="V48" i="36"/>
  <c r="V36" i="36"/>
  <c r="V32" i="36"/>
  <c r="V28" i="36"/>
  <c r="V24" i="36"/>
  <c r="V20" i="36"/>
  <c r="V12" i="36"/>
  <c r="V8" i="36"/>
  <c r="V4" i="36"/>
  <c r="V72" i="36"/>
  <c r="V64" i="36"/>
  <c r="V56" i="36"/>
  <c r="V52" i="36"/>
  <c r="V44" i="36"/>
  <c r="V40" i="36"/>
  <c r="V16" i="36"/>
  <c r="U75" i="36"/>
  <c r="U70" i="36"/>
  <c r="U64" i="36"/>
  <c r="U59" i="36"/>
  <c r="U54" i="36"/>
  <c r="U48" i="36"/>
  <c r="U43" i="36"/>
  <c r="U38" i="36"/>
  <c r="U32" i="36"/>
  <c r="U27" i="36"/>
  <c r="U22" i="36"/>
  <c r="U16" i="36"/>
  <c r="U11" i="36"/>
  <c r="U6" i="36"/>
  <c r="U74" i="36"/>
  <c r="U52" i="36"/>
  <c r="U36" i="36"/>
  <c r="U26" i="36"/>
  <c r="U15" i="36"/>
  <c r="U4" i="36"/>
  <c r="V73" i="36"/>
  <c r="V57" i="36"/>
  <c r="V46" i="36"/>
  <c r="V35" i="36"/>
  <c r="V19" i="36"/>
  <c r="V14" i="36"/>
  <c r="V3" i="36"/>
  <c r="V79" i="36"/>
  <c r="V74" i="36"/>
  <c r="V69" i="36"/>
  <c r="V63" i="36"/>
  <c r="V58" i="36"/>
  <c r="V53" i="36"/>
  <c r="V47" i="36"/>
  <c r="V42" i="36"/>
  <c r="V37" i="36"/>
  <c r="V31" i="36"/>
  <c r="V26" i="36"/>
  <c r="V21" i="36"/>
  <c r="V15" i="36"/>
  <c r="V10" i="36"/>
  <c r="V5" i="36"/>
  <c r="U79" i="36"/>
  <c r="U68" i="36"/>
  <c r="U63" i="36"/>
  <c r="U58" i="36"/>
  <c r="U47" i="36"/>
  <c r="U42" i="36"/>
  <c r="U31" i="36"/>
  <c r="U20" i="36"/>
  <c r="U10" i="36"/>
  <c r="V78" i="36"/>
  <c r="V67" i="36"/>
  <c r="V62" i="36"/>
  <c r="V51" i="36"/>
  <c r="V41" i="36"/>
  <c r="V30" i="36"/>
  <c r="V25" i="36"/>
  <c r="V9" i="36"/>
  <c r="V70" i="36"/>
  <c r="V59" i="36"/>
  <c r="V49" i="36"/>
  <c r="V38" i="36"/>
  <c r="V27" i="36"/>
  <c r="V17" i="36"/>
  <c r="V6" i="36"/>
  <c r="V77" i="36"/>
  <c r="V66" i="36"/>
  <c r="V55" i="36"/>
  <c r="V45" i="36"/>
  <c r="V34" i="36"/>
  <c r="V23" i="36"/>
  <c r="V13" i="36"/>
  <c r="U55" i="36"/>
  <c r="U34" i="36"/>
  <c r="U12" i="36"/>
  <c r="V75" i="36"/>
  <c r="V65" i="36"/>
  <c r="V43" i="36"/>
  <c r="V33" i="36"/>
  <c r="V11" i="36"/>
  <c r="U72" i="36"/>
  <c r="U62" i="36"/>
  <c r="U51" i="36"/>
  <c r="U40" i="36"/>
  <c r="U30" i="36"/>
  <c r="U19" i="36"/>
  <c r="U8" i="36"/>
  <c r="V61" i="36"/>
  <c r="V18" i="36"/>
  <c r="U28" i="36"/>
  <c r="U78" i="36"/>
  <c r="U67" i="36"/>
  <c r="U56" i="36"/>
  <c r="U46" i="36"/>
  <c r="U35" i="36"/>
  <c r="U24" i="36"/>
  <c r="U14" i="36"/>
  <c r="U3" i="36"/>
  <c r="U76" i="36"/>
  <c r="U66" i="36"/>
  <c r="U44" i="36"/>
  <c r="U23" i="36"/>
  <c r="V54" i="36"/>
  <c r="V22" i="36"/>
  <c r="U39" i="36"/>
  <c r="U7" i="36"/>
  <c r="V71" i="36"/>
  <c r="V50" i="36"/>
  <c r="V39" i="36"/>
  <c r="V29" i="36"/>
  <c r="V7" i="36"/>
  <c r="U71" i="36"/>
  <c r="U60" i="36"/>
  <c r="U50" i="36"/>
  <c r="U18" i="36"/>
  <c r="V52" i="35"/>
  <c r="V20" i="35"/>
  <c r="U63" i="35"/>
  <c r="V26" i="35"/>
  <c r="U67" i="35"/>
  <c r="V30" i="35"/>
  <c r="V77" i="35"/>
  <c r="V27" i="35"/>
  <c r="U51" i="35"/>
  <c r="V74" i="35"/>
  <c r="U56" i="35"/>
  <c r="U48" i="35"/>
  <c r="U60" i="35"/>
  <c r="U74" i="35"/>
  <c r="U19" i="35"/>
  <c r="U18" i="35"/>
  <c r="V59" i="35"/>
  <c r="U78" i="35"/>
  <c r="U5" i="35"/>
  <c r="U30" i="35"/>
  <c r="U73" i="35"/>
  <c r="V22" i="35"/>
  <c r="V36" i="35"/>
  <c r="U8" i="35"/>
  <c r="V51" i="35"/>
  <c r="V19" i="35"/>
  <c r="U24" i="35"/>
  <c r="U66" i="35"/>
  <c r="U34" i="35"/>
  <c r="V32" i="35"/>
  <c r="U40" i="35"/>
  <c r="U44" i="35"/>
  <c r="U46" i="35"/>
  <c r="V69" i="35"/>
  <c r="U25" i="35"/>
  <c r="V11" i="35"/>
  <c r="U43" i="35"/>
  <c r="U10" i="35"/>
  <c r="V31" i="35"/>
  <c r="V15" i="35"/>
  <c r="V48" i="35"/>
  <c r="V16" i="35"/>
  <c r="V58" i="35"/>
  <c r="U22" i="35"/>
  <c r="V62" i="35"/>
  <c r="U26" i="35"/>
  <c r="U70" i="35"/>
  <c r="U21" i="35"/>
  <c r="V45" i="35"/>
  <c r="U62" i="35"/>
  <c r="U32" i="35"/>
  <c r="V42" i="35"/>
  <c r="V47" i="35"/>
  <c r="U68" i="35"/>
  <c r="V13" i="35"/>
  <c r="V5" i="35"/>
  <c r="V34" i="35"/>
  <c r="U52" i="35"/>
  <c r="V46" i="35"/>
  <c r="V25" i="35"/>
  <c r="V55" i="35"/>
  <c r="V41" i="35"/>
  <c r="V4" i="35"/>
  <c r="U49" i="35"/>
  <c r="U75" i="35"/>
  <c r="V73" i="35"/>
  <c r="U50" i="35"/>
  <c r="U71" i="35"/>
  <c r="V64" i="35"/>
  <c r="U77" i="35"/>
  <c r="V3" i="35"/>
  <c r="V7" i="35"/>
  <c r="U20" i="35"/>
  <c r="V66" i="35"/>
  <c r="V50" i="35"/>
  <c r="V54" i="35"/>
  <c r="U65" i="35"/>
  <c r="U47" i="35"/>
  <c r="V28" i="35"/>
  <c r="U72" i="35"/>
  <c r="V35" i="35"/>
  <c r="V39" i="35"/>
  <c r="U3" i="35"/>
  <c r="V14" i="35"/>
  <c r="U61" i="35"/>
  <c r="U38" i="35"/>
  <c r="V37" i="35"/>
  <c r="U42" i="35"/>
  <c r="V78" i="35"/>
  <c r="V76" i="35"/>
  <c r="V44" i="35"/>
  <c r="V12" i="35"/>
  <c r="U54" i="35"/>
  <c r="V17" i="35"/>
  <c r="U58" i="35"/>
  <c r="V21" i="35"/>
  <c r="U64" i="35"/>
  <c r="U15" i="35"/>
  <c r="V38" i="35"/>
  <c r="V43" i="35"/>
  <c r="U14" i="35"/>
  <c r="U37" i="35"/>
  <c r="U36" i="35"/>
  <c r="V61" i="35"/>
  <c r="V18" i="35"/>
  <c r="V65" i="35"/>
  <c r="V10" i="35"/>
  <c r="U28" i="35"/>
  <c r="V70" i="35"/>
  <c r="U33" i="35"/>
  <c r="U11" i="35"/>
  <c r="U4" i="35"/>
  <c r="V68" i="35"/>
  <c r="U45" i="35"/>
  <c r="U12" i="35"/>
  <c r="U27" i="35"/>
  <c r="U69" i="35"/>
  <c r="U16" i="35"/>
  <c r="U53" i="35"/>
  <c r="V72" i="35"/>
  <c r="V40" i="35"/>
  <c r="V8" i="35"/>
  <c r="V49" i="35"/>
  <c r="U13" i="35"/>
  <c r="V53" i="35"/>
  <c r="U17" i="35"/>
  <c r="V57" i="35"/>
  <c r="V9" i="35"/>
  <c r="V79" i="35"/>
  <c r="U59" i="35"/>
  <c r="V60" i="35"/>
  <c r="U76" i="35"/>
  <c r="U39" i="35"/>
  <c r="V63" i="35"/>
  <c r="V6" i="35"/>
  <c r="U6" i="35"/>
  <c r="U41" i="35"/>
  <c r="U23" i="35"/>
  <c r="V56" i="35"/>
  <c r="V24" i="35"/>
  <c r="V67" i="35"/>
  <c r="U31" i="35"/>
  <c r="V71" i="35"/>
  <c r="U35" i="35"/>
  <c r="V75" i="35"/>
  <c r="V33" i="35"/>
  <c r="U57" i="35"/>
  <c r="U9" i="35"/>
  <c r="V23" i="35"/>
  <c r="U55" i="35"/>
  <c r="U79" i="35"/>
  <c r="U7" i="35"/>
  <c r="V29" i="35"/>
  <c r="U29" i="35"/>
  <c r="N27" i="33"/>
  <c r="N10" i="33"/>
  <c r="N21" i="33"/>
  <c r="N16" i="33"/>
  <c r="N22" i="33"/>
  <c r="N28" i="33"/>
  <c r="N29" i="33"/>
  <c r="N12" i="33"/>
  <c r="N18" i="33"/>
  <c r="N9" i="33"/>
  <c r="O12" i="33" s="1"/>
  <c r="N11" i="33"/>
  <c r="N17" i="33"/>
  <c r="N23" i="33"/>
  <c r="N24" i="33"/>
  <c r="N30" i="33"/>
  <c r="N13" i="33"/>
  <c r="N19" i="33"/>
  <c r="N25" i="33"/>
  <c r="N31" i="33"/>
  <c r="N14" i="33"/>
  <c r="N20" i="33"/>
  <c r="N26" i="33"/>
  <c r="N15" i="33"/>
  <c r="U7" i="11"/>
  <c r="U7" i="10"/>
  <c r="C7" i="11"/>
  <c r="C7" i="10"/>
  <c r="L7" i="11"/>
  <c r="U78" i="32"/>
  <c r="U74" i="32"/>
  <c r="U70" i="32"/>
  <c r="U66" i="32"/>
  <c r="U62" i="32"/>
  <c r="U58" i="32"/>
  <c r="U54" i="32"/>
  <c r="U50" i="32"/>
  <c r="U46" i="32"/>
  <c r="U42" i="32"/>
  <c r="U38" i="32"/>
  <c r="U34" i="32"/>
  <c r="U30" i="32"/>
  <c r="U26" i="32"/>
  <c r="U22" i="32"/>
  <c r="U18" i="32"/>
  <c r="U14" i="32"/>
  <c r="U10" i="32"/>
  <c r="U6" i="32"/>
  <c r="U77" i="32"/>
  <c r="V72" i="32"/>
  <c r="U68" i="32"/>
  <c r="V63" i="32"/>
  <c r="U59" i="32"/>
  <c r="V54" i="32"/>
  <c r="V49" i="32"/>
  <c r="U45" i="32"/>
  <c r="V40" i="32"/>
  <c r="U36" i="32"/>
  <c r="V31" i="32"/>
  <c r="U27" i="32"/>
  <c r="V22" i="32"/>
  <c r="V17" i="32"/>
  <c r="U13" i="32"/>
  <c r="V8" i="32"/>
  <c r="U4" i="32"/>
  <c r="V76" i="32"/>
  <c r="U72" i="32"/>
  <c r="V67" i="32"/>
  <c r="U63" i="32"/>
  <c r="V58" i="32"/>
  <c r="V53" i="32"/>
  <c r="U49" i="32"/>
  <c r="V44" i="32"/>
  <c r="U40" i="32"/>
  <c r="U31" i="32"/>
  <c r="V26" i="32"/>
  <c r="V21" i="32"/>
  <c r="U17" i="32"/>
  <c r="V12" i="32"/>
  <c r="U8" i="32"/>
  <c r="U76" i="32"/>
  <c r="U44" i="32"/>
  <c r="U21" i="32"/>
  <c r="U3" i="32"/>
  <c r="V35" i="32"/>
  <c r="V3" i="32"/>
  <c r="V48" i="32"/>
  <c r="U35" i="32"/>
  <c r="V25" i="32"/>
  <c r="U12" i="32"/>
  <c r="V7" i="32"/>
  <c r="V71" i="32"/>
  <c r="U67" i="32"/>
  <c r="V62" i="32"/>
  <c r="V57" i="32"/>
  <c r="U53" i="32"/>
  <c r="V39" i="32"/>
  <c r="V30" i="32"/>
  <c r="V16" i="32"/>
  <c r="V75" i="32"/>
  <c r="U71" i="32"/>
  <c r="V66" i="32"/>
  <c r="V61" i="32"/>
  <c r="U57" i="32"/>
  <c r="V52" i="32"/>
  <c r="U48" i="32"/>
  <c r="V43" i="32"/>
  <c r="U39" i="32"/>
  <c r="V34" i="32"/>
  <c r="V29" i="32"/>
  <c r="U25" i="32"/>
  <c r="V20" i="32"/>
  <c r="U16" i="32"/>
  <c r="V11" i="32"/>
  <c r="U7" i="32"/>
  <c r="V78" i="32"/>
  <c r="U69" i="32"/>
  <c r="U60" i="32"/>
  <c r="U51" i="32"/>
  <c r="V41" i="32"/>
  <c r="V32" i="32"/>
  <c r="V23" i="32"/>
  <c r="V14" i="32"/>
  <c r="U5" i="32"/>
  <c r="V65" i="32"/>
  <c r="V38" i="32"/>
  <c r="U20" i="32"/>
  <c r="V73" i="32"/>
  <c r="V64" i="32"/>
  <c r="V55" i="32"/>
  <c r="V46" i="32"/>
  <c r="U28" i="32"/>
  <c r="U19" i="32"/>
  <c r="V18" i="32"/>
  <c r="V79" i="32"/>
  <c r="U43" i="32"/>
  <c r="V24" i="32"/>
  <c r="V77" i="32"/>
  <c r="V68" i="32"/>
  <c r="V59" i="32"/>
  <c r="V50" i="32"/>
  <c r="U41" i="32"/>
  <c r="U32" i="32"/>
  <c r="U23" i="32"/>
  <c r="V13" i="32"/>
  <c r="V4" i="32"/>
  <c r="U75" i="32"/>
  <c r="V56" i="32"/>
  <c r="V47" i="32"/>
  <c r="U29" i="32"/>
  <c r="U11" i="32"/>
  <c r="U61" i="32"/>
  <c r="V6" i="32"/>
  <c r="U79" i="32"/>
  <c r="V69" i="32"/>
  <c r="V60" i="32"/>
  <c r="V51" i="32"/>
  <c r="U33" i="32"/>
  <c r="U15" i="32"/>
  <c r="U37" i="32"/>
  <c r="V9" i="32"/>
  <c r="U73" i="32"/>
  <c r="U64" i="32"/>
  <c r="U55" i="32"/>
  <c r="V45" i="32"/>
  <c r="V27" i="32"/>
  <c r="U9" i="32"/>
  <c r="U24" i="32"/>
  <c r="V74" i="32"/>
  <c r="U65" i="32"/>
  <c r="U56" i="32"/>
  <c r="U47" i="32"/>
  <c r="V37" i="32"/>
  <c r="V28" i="32"/>
  <c r="V19" i="32"/>
  <c r="V10" i="32"/>
  <c r="V36" i="32"/>
  <c r="V70" i="32"/>
  <c r="U52" i="32"/>
  <c r="V33" i="32"/>
  <c r="V15" i="32"/>
  <c r="V42" i="32"/>
  <c r="V5" i="32"/>
  <c r="P27" i="27"/>
  <c r="R27" i="27" s="1"/>
  <c r="O28" i="27"/>
  <c r="AL31" i="27"/>
  <c r="AL61" i="31"/>
  <c r="AM60" i="31"/>
  <c r="R55" i="31"/>
  <c r="S55" i="31"/>
  <c r="AO59" i="31" a="1"/>
  <c r="AN59" i="31"/>
  <c r="AO58" i="31"/>
  <c r="AP58" i="31"/>
  <c r="O57" i="31"/>
  <c r="P56" i="31"/>
  <c r="AL62" i="29"/>
  <c r="AM61" i="29"/>
  <c r="AN61" i="29" s="1"/>
  <c r="AO60" i="29" a="1"/>
  <c r="AN60" i="29"/>
  <c r="P57" i="29"/>
  <c r="O58" i="29"/>
  <c r="S56" i="29"/>
  <c r="R56" i="29"/>
  <c r="AP59" i="29"/>
  <c r="AO59" i="29"/>
  <c r="G49" i="33"/>
  <c r="C49" i="33"/>
  <c r="D4" i="34" a="1"/>
  <c r="AI5" i="27"/>
  <c r="AI5" i="29"/>
  <c r="AI5" i="31"/>
  <c r="L6" i="10"/>
  <c r="V4" i="34" a="1"/>
  <c r="M4" i="34" a="1"/>
  <c r="AI4" i="36"/>
  <c r="AI5" i="35"/>
  <c r="AI4" i="32"/>
  <c r="D4" i="11" a="1"/>
  <c r="D4" i="10" a="1"/>
  <c r="M4" i="11" a="1"/>
  <c r="V4" i="11" a="1"/>
  <c r="V4" i="10" a="1"/>
  <c r="M45" i="34" l="1"/>
  <c r="M20" i="34"/>
  <c r="M68" i="34"/>
  <c r="M43" i="34"/>
  <c r="M7" i="34"/>
  <c r="M87" i="34"/>
  <c r="M63" i="34"/>
  <c r="M71" i="34"/>
  <c r="M19" i="34"/>
  <c r="M40" i="34"/>
  <c r="M22" i="34"/>
  <c r="M37" i="34"/>
  <c r="M12" i="34"/>
  <c r="M52" i="34"/>
  <c r="M89" i="34"/>
  <c r="M88" i="34"/>
  <c r="M62" i="34"/>
  <c r="M73" i="34"/>
  <c r="M46" i="34"/>
  <c r="M80" i="34"/>
  <c r="M9" i="34"/>
  <c r="M65" i="34"/>
  <c r="M53" i="34"/>
  <c r="M36" i="34"/>
  <c r="Q36" i="34" s="1"/>
  <c r="M76" i="34"/>
  <c r="M59" i="34"/>
  <c r="M17" i="34"/>
  <c r="M6" i="34"/>
  <c r="M11" i="34"/>
  <c r="M14" i="34"/>
  <c r="M54" i="34"/>
  <c r="M70" i="34"/>
  <c r="M30" i="34"/>
  <c r="M93" i="34"/>
  <c r="M29" i="34"/>
  <c r="M83" i="34"/>
  <c r="M44" i="34"/>
  <c r="M78" i="34"/>
  <c r="M74" i="34"/>
  <c r="M25" i="34"/>
  <c r="M48" i="34"/>
  <c r="M23" i="34"/>
  <c r="M42" i="34"/>
  <c r="M66" i="34"/>
  <c r="M90" i="34"/>
  <c r="M61" i="34"/>
  <c r="M60" i="34"/>
  <c r="M84" i="34"/>
  <c r="M75" i="34"/>
  <c r="M27" i="34"/>
  <c r="M16" i="34"/>
  <c r="M33" i="34"/>
  <c r="M47" i="34"/>
  <c r="M81" i="34"/>
  <c r="M10" i="34"/>
  <c r="M56" i="34"/>
  <c r="M85" i="34"/>
  <c r="M21" i="34"/>
  <c r="M67" i="34"/>
  <c r="M28" i="34"/>
  <c r="M64" i="34"/>
  <c r="M49" i="34"/>
  <c r="M58" i="34"/>
  <c r="M15" i="34"/>
  <c r="M35" i="34"/>
  <c r="M18" i="34"/>
  <c r="M32" i="34"/>
  <c r="M55" i="34"/>
  <c r="M77" i="34"/>
  <c r="M13" i="34"/>
  <c r="M51" i="34"/>
  <c r="M4" i="34"/>
  <c r="M50" i="34"/>
  <c r="M38" i="34"/>
  <c r="M34" i="34"/>
  <c r="Q34" i="34" s="1"/>
  <c r="M86" i="34"/>
  <c r="M24" i="34"/>
  <c r="M79" i="34"/>
  <c r="M8" i="34"/>
  <c r="M69" i="34"/>
  <c r="Q69" i="34" s="1"/>
  <c r="M5" i="34"/>
  <c r="M92" i="34"/>
  <c r="M91" i="34"/>
  <c r="M39" i="34"/>
  <c r="M26" i="34"/>
  <c r="M57" i="34"/>
  <c r="M72" i="34"/>
  <c r="M82" i="34"/>
  <c r="M41" i="34"/>
  <c r="M31" i="34"/>
  <c r="V71" i="34"/>
  <c r="V7" i="34"/>
  <c r="V86" i="34"/>
  <c r="V14" i="34"/>
  <c r="V84" i="34"/>
  <c r="V72" i="34"/>
  <c r="V52" i="34"/>
  <c r="V66" i="34"/>
  <c r="V41" i="34"/>
  <c r="V24" i="34"/>
  <c r="V40" i="34"/>
  <c r="V63" i="34"/>
  <c r="V22" i="34"/>
  <c r="V78" i="34"/>
  <c r="V6" i="34"/>
  <c r="V73" i="34"/>
  <c r="V58" i="34"/>
  <c r="V16" i="34"/>
  <c r="V27" i="34"/>
  <c r="V92" i="34"/>
  <c r="V88" i="34"/>
  <c r="V10" i="34"/>
  <c r="V79" i="34"/>
  <c r="V15" i="34"/>
  <c r="V5" i="34"/>
  <c r="V30" i="34"/>
  <c r="V13" i="34"/>
  <c r="V83" i="34"/>
  <c r="V17" i="34"/>
  <c r="V42" i="34"/>
  <c r="V80" i="34"/>
  <c r="V51" i="34"/>
  <c r="V75" i="34"/>
  <c r="V26" i="34"/>
  <c r="V55" i="34"/>
  <c r="V85" i="34"/>
  <c r="V70" i="34"/>
  <c r="V93" i="34"/>
  <c r="V59" i="34"/>
  <c r="V44" i="34"/>
  <c r="V82" i="34"/>
  <c r="V68" i="34"/>
  <c r="V91" i="34"/>
  <c r="V50" i="34"/>
  <c r="V74" i="34"/>
  <c r="Z74" i="34" s="1"/>
  <c r="V87" i="34"/>
  <c r="V23" i="34"/>
  <c r="V21" i="34"/>
  <c r="V38" i="34"/>
  <c r="V29" i="34"/>
  <c r="V9" i="34"/>
  <c r="V43" i="34"/>
  <c r="Z43" i="34" s="1"/>
  <c r="V67" i="34"/>
  <c r="V28" i="34"/>
  <c r="V89" i="34"/>
  <c r="V11" i="34"/>
  <c r="V64" i="34"/>
  <c r="V47" i="34"/>
  <c r="V69" i="34"/>
  <c r="V62" i="34"/>
  <c r="V77" i="34"/>
  <c r="V48" i="34"/>
  <c r="V33" i="34"/>
  <c r="V57" i="34"/>
  <c r="V18" i="34"/>
  <c r="V90" i="34"/>
  <c r="V12" i="34"/>
  <c r="V36" i="34"/>
  <c r="V39" i="34"/>
  <c r="V53" i="34"/>
  <c r="V54" i="34"/>
  <c r="V61" i="34"/>
  <c r="V34" i="34"/>
  <c r="V19" i="34"/>
  <c r="V32" i="34"/>
  <c r="V81" i="34"/>
  <c r="V60" i="34"/>
  <c r="V76" i="34"/>
  <c r="V65" i="34"/>
  <c r="V31" i="34"/>
  <c r="V37" i="34"/>
  <c r="V46" i="34"/>
  <c r="V45" i="34"/>
  <c r="V20" i="34"/>
  <c r="V8" i="34"/>
  <c r="V4" i="34"/>
  <c r="V56" i="34"/>
  <c r="V25" i="34"/>
  <c r="V49" i="34"/>
  <c r="V35" i="34"/>
  <c r="L7" i="10"/>
  <c r="D91" i="34"/>
  <c r="D27" i="34"/>
  <c r="D10" i="34"/>
  <c r="D69" i="34"/>
  <c r="D78" i="34"/>
  <c r="D23" i="34"/>
  <c r="D55" i="34"/>
  <c r="D21" i="34"/>
  <c r="D84" i="34"/>
  <c r="D20" i="34"/>
  <c r="D62" i="34"/>
  <c r="D61" i="34"/>
  <c r="D83" i="34"/>
  <c r="D19" i="34"/>
  <c r="D82" i="34"/>
  <c r="D57" i="34"/>
  <c r="D68" i="34"/>
  <c r="D22" i="34"/>
  <c r="D33" i="34"/>
  <c r="D77" i="34"/>
  <c r="D60" i="34"/>
  <c r="D72" i="34"/>
  <c r="D38" i="34"/>
  <c r="H38" i="34" s="1"/>
  <c r="D6" i="34"/>
  <c r="D35" i="34"/>
  <c r="D18" i="34"/>
  <c r="D79" i="34"/>
  <c r="D88" i="34"/>
  <c r="D4" i="34"/>
  <c r="D65" i="34"/>
  <c r="D41" i="34"/>
  <c r="H41" i="34" s="1"/>
  <c r="D85" i="34"/>
  <c r="D49" i="34"/>
  <c r="D93" i="34"/>
  <c r="D92" i="34"/>
  <c r="D75" i="34"/>
  <c r="D11" i="34"/>
  <c r="D66" i="34"/>
  <c r="D47" i="34"/>
  <c r="D56" i="34"/>
  <c r="D63" i="34"/>
  <c r="D86" i="34"/>
  <c r="D45" i="34"/>
  <c r="D29" i="34"/>
  <c r="D48" i="34"/>
  <c r="D7" i="34"/>
  <c r="D43" i="34"/>
  <c r="D34" i="34"/>
  <c r="D89" i="34"/>
  <c r="D5" i="34"/>
  <c r="D14" i="34"/>
  <c r="D87" i="34"/>
  <c r="D73" i="34"/>
  <c r="D32" i="34"/>
  <c r="D80" i="34"/>
  <c r="D16" i="34"/>
  <c r="D8" i="34"/>
  <c r="D67" i="34"/>
  <c r="D90" i="34"/>
  <c r="D58" i="34"/>
  <c r="D37" i="34"/>
  <c r="D46" i="34"/>
  <c r="H46" i="34" s="1"/>
  <c r="D53" i="34"/>
  <c r="D64" i="34"/>
  <c r="D13" i="34"/>
  <c r="D81" i="34"/>
  <c r="D17" i="34"/>
  <c r="D30" i="34"/>
  <c r="D59" i="34"/>
  <c r="D74" i="34"/>
  <c r="D42" i="34"/>
  <c r="D25" i="34"/>
  <c r="D36" i="34"/>
  <c r="D31" i="34"/>
  <c r="D44" i="34"/>
  <c r="D76" i="34"/>
  <c r="D52" i="34"/>
  <c r="D71" i="34"/>
  <c r="D70" i="34"/>
  <c r="D51" i="34"/>
  <c r="D50" i="34"/>
  <c r="D26" i="34"/>
  <c r="D15" i="34"/>
  <c r="D24" i="34"/>
  <c r="D9" i="34"/>
  <c r="D12" i="34"/>
  <c r="D54" i="34"/>
  <c r="D28" i="34"/>
  <c r="D40" i="34"/>
  <c r="D39" i="34"/>
  <c r="Q31" i="34"/>
  <c r="Q41" i="34"/>
  <c r="Q26" i="34"/>
  <c r="Q92" i="34"/>
  <c r="Q5" i="34"/>
  <c r="H40" i="34"/>
  <c r="H9" i="34"/>
  <c r="H24" i="34"/>
  <c r="H51" i="34"/>
  <c r="Z35" i="34"/>
  <c r="Z56" i="34"/>
  <c r="Z45" i="34"/>
  <c r="Z46" i="34"/>
  <c r="Z37" i="34"/>
  <c r="Z31" i="34"/>
  <c r="Q38" i="34"/>
  <c r="Q50" i="34"/>
  <c r="H71" i="34"/>
  <c r="H52" i="34"/>
  <c r="H76" i="34"/>
  <c r="H59" i="34"/>
  <c r="Z65" i="34"/>
  <c r="Z61" i="34"/>
  <c r="Z54" i="34"/>
  <c r="Z39" i="34"/>
  <c r="Q18" i="34"/>
  <c r="Q28" i="34"/>
  <c r="Q85" i="34"/>
  <c r="H37" i="34"/>
  <c r="H58" i="34"/>
  <c r="Z90" i="34"/>
  <c r="Z18" i="34"/>
  <c r="Z33" i="34"/>
  <c r="Q35" i="34"/>
  <c r="H30" i="34"/>
  <c r="Z57" i="34"/>
  <c r="Q73" i="34"/>
  <c r="Q12" i="34"/>
  <c r="H60" i="34"/>
  <c r="H77" i="34"/>
  <c r="H22" i="34"/>
  <c r="H57" i="34"/>
  <c r="Z27" i="34"/>
  <c r="Z16" i="34"/>
  <c r="Z58" i="34"/>
  <c r="Z73" i="34"/>
  <c r="Z6" i="34"/>
  <c r="Q21" i="34"/>
  <c r="Q66" i="34"/>
  <c r="Q48" i="34"/>
  <c r="Q83" i="34"/>
  <c r="H11" i="34"/>
  <c r="Z59" i="34"/>
  <c r="Q89" i="34"/>
  <c r="Q22" i="34"/>
  <c r="Q40" i="34"/>
  <c r="Q19" i="34"/>
  <c r="Q68" i="34"/>
  <c r="Q20" i="34"/>
  <c r="Q45" i="34"/>
  <c r="H61" i="34"/>
  <c r="H23" i="34"/>
  <c r="H78" i="34"/>
  <c r="H69" i="34"/>
  <c r="Z40" i="34"/>
  <c r="Z66" i="34"/>
  <c r="Z52" i="34"/>
  <c r="Z86" i="34"/>
  <c r="Z7" i="34"/>
  <c r="Q64" i="34"/>
  <c r="Q29" i="34"/>
  <c r="Z91" i="34"/>
  <c r="Z44" i="34"/>
  <c r="Z85" i="34"/>
  <c r="Q62" i="34"/>
  <c r="Q30" i="34"/>
  <c r="Q6" i="34"/>
  <c r="Q17" i="34"/>
  <c r="Q59" i="34"/>
  <c r="Q76" i="34"/>
  <c r="H65" i="34"/>
  <c r="H4" i="34"/>
  <c r="H88" i="34"/>
  <c r="Z26" i="34"/>
  <c r="Z51" i="34"/>
  <c r="Z80" i="34"/>
  <c r="Z30" i="34"/>
  <c r="Z5" i="34"/>
  <c r="Z15" i="34"/>
  <c r="Z79" i="34"/>
  <c r="Q23" i="34"/>
  <c r="Q93" i="34"/>
  <c r="H29" i="34"/>
  <c r="H63" i="34"/>
  <c r="H75" i="34"/>
  <c r="Q10" i="34"/>
  <c r="Q47" i="34"/>
  <c r="Q27" i="34"/>
  <c r="Q75" i="34"/>
  <c r="H32" i="34"/>
  <c r="H87" i="34"/>
  <c r="H14" i="34"/>
  <c r="Z11" i="34"/>
  <c r="Z89" i="34"/>
  <c r="Z21" i="34"/>
  <c r="Z23" i="34"/>
  <c r="D21" i="10"/>
  <c r="H21" i="10" s="1"/>
  <c r="D27" i="10"/>
  <c r="H27" i="10" s="1"/>
  <c r="D6" i="10"/>
  <c r="H6" i="10" s="1"/>
  <c r="D35" i="10"/>
  <c r="H35" i="10" s="1"/>
  <c r="D82" i="10"/>
  <c r="H82" i="10" s="1"/>
  <c r="D20" i="10"/>
  <c r="H20" i="10" s="1"/>
  <c r="D91" i="10"/>
  <c r="H91" i="10" s="1"/>
  <c r="D22" i="10"/>
  <c r="H22" i="10" s="1"/>
  <c r="D49" i="10"/>
  <c r="H49" i="10" s="1"/>
  <c r="D64" i="10"/>
  <c r="H64" i="10" s="1"/>
  <c r="D79" i="10"/>
  <c r="H79" i="10" s="1"/>
  <c r="D83" i="10"/>
  <c r="H83" i="10" s="1"/>
  <c r="D63" i="10"/>
  <c r="H63" i="10" s="1"/>
  <c r="D73" i="10"/>
  <c r="H73" i="10" s="1"/>
  <c r="D88" i="10"/>
  <c r="H88" i="10" s="1"/>
  <c r="D34" i="10"/>
  <c r="H34" i="10" s="1"/>
  <c r="D42" i="10"/>
  <c r="H42" i="10" s="1"/>
  <c r="D32" i="10"/>
  <c r="H32" i="10" s="1"/>
  <c r="D86" i="10"/>
  <c r="H86" i="10" s="1"/>
  <c r="D78" i="10"/>
  <c r="H78" i="10" s="1"/>
  <c r="D69" i="10"/>
  <c r="H69" i="10" s="1"/>
  <c r="D52" i="10"/>
  <c r="H52" i="10" s="1"/>
  <c r="D55" i="10"/>
  <c r="H55" i="10" s="1"/>
  <c r="D48" i="10"/>
  <c r="H48" i="10" s="1"/>
  <c r="D14" i="10"/>
  <c r="H14" i="10" s="1"/>
  <c r="D16" i="10"/>
  <c r="H16" i="10" s="1"/>
  <c r="D53" i="10"/>
  <c r="H53" i="10" s="1"/>
  <c r="D80" i="10"/>
  <c r="H80" i="10" s="1"/>
  <c r="D50" i="10"/>
  <c r="H50" i="10" s="1"/>
  <c r="D74" i="10"/>
  <c r="H74" i="10" s="1"/>
  <c r="D45" i="10"/>
  <c r="H45" i="10" s="1"/>
  <c r="D46" i="10"/>
  <c r="H46" i="10" s="1"/>
  <c r="D13" i="10"/>
  <c r="H13" i="10" s="1"/>
  <c r="D93" i="10"/>
  <c r="H93" i="10" s="1"/>
  <c r="D19" i="10"/>
  <c r="H19" i="10" s="1"/>
  <c r="D30" i="10"/>
  <c r="H30" i="10" s="1"/>
  <c r="D43" i="10"/>
  <c r="H43" i="10" s="1"/>
  <c r="D26" i="10"/>
  <c r="H26" i="10" s="1"/>
  <c r="D7" i="10"/>
  <c r="H7" i="10" s="1"/>
  <c r="D44" i="10"/>
  <c r="H44" i="10" s="1"/>
  <c r="D85" i="10"/>
  <c r="H85" i="10" s="1"/>
  <c r="D54" i="10"/>
  <c r="H54" i="10" s="1"/>
  <c r="D36" i="10"/>
  <c r="H36" i="10" s="1"/>
  <c r="D60" i="10"/>
  <c r="H60" i="10" s="1"/>
  <c r="D29" i="10"/>
  <c r="H29" i="10" s="1"/>
  <c r="D31" i="10"/>
  <c r="H31" i="10" s="1"/>
  <c r="D89" i="10"/>
  <c r="H89" i="10" s="1"/>
  <c r="D76" i="10"/>
  <c r="H76" i="10" s="1"/>
  <c r="D23" i="10"/>
  <c r="H23" i="10" s="1"/>
  <c r="D81" i="10"/>
  <c r="H81" i="10" s="1"/>
  <c r="D77" i="10"/>
  <c r="H77" i="10" s="1"/>
  <c r="D10" i="10"/>
  <c r="H10" i="10" s="1"/>
  <c r="D72" i="10"/>
  <c r="H72" i="10" s="1"/>
  <c r="D47" i="10"/>
  <c r="H47" i="10" s="1"/>
  <c r="D41" i="10"/>
  <c r="H41" i="10" s="1"/>
  <c r="D75" i="10"/>
  <c r="H75" i="10" s="1"/>
  <c r="D92" i="10"/>
  <c r="H92" i="10" s="1"/>
  <c r="D8" i="10"/>
  <c r="H8" i="10" s="1"/>
  <c r="D11" i="10"/>
  <c r="H11" i="10" s="1"/>
  <c r="D67" i="10"/>
  <c r="H67" i="10" s="1"/>
  <c r="D4" i="10"/>
  <c r="H4" i="10" s="1"/>
  <c r="D56" i="10"/>
  <c r="H56" i="10" s="1"/>
  <c r="D61" i="10"/>
  <c r="H61" i="10" s="1"/>
  <c r="D37" i="10"/>
  <c r="H37" i="10" s="1"/>
  <c r="D28" i="10"/>
  <c r="H28" i="10" s="1"/>
  <c r="D39" i="10"/>
  <c r="H39" i="10" s="1"/>
  <c r="D51" i="10"/>
  <c r="H51" i="10" s="1"/>
  <c r="D65" i="10"/>
  <c r="H65" i="10" s="1"/>
  <c r="D38" i="10"/>
  <c r="H38" i="10" s="1"/>
  <c r="D59" i="10"/>
  <c r="H59" i="10" s="1"/>
  <c r="D40" i="10"/>
  <c r="H40" i="10" s="1"/>
  <c r="D15" i="10"/>
  <c r="H15" i="10" s="1"/>
  <c r="D68" i="10"/>
  <c r="H68" i="10" s="1"/>
  <c r="D71" i="10"/>
  <c r="H71" i="10" s="1"/>
  <c r="D62" i="10"/>
  <c r="H62" i="10" s="1"/>
  <c r="D57" i="10"/>
  <c r="H57" i="10" s="1"/>
  <c r="D24" i="10"/>
  <c r="H24" i="10" s="1"/>
  <c r="D84" i="10"/>
  <c r="H84" i="10" s="1"/>
  <c r="D33" i="10"/>
  <c r="H33" i="10" s="1"/>
  <c r="D12" i="10"/>
  <c r="H12" i="10" s="1"/>
  <c r="D17" i="10"/>
  <c r="H17" i="10" s="1"/>
  <c r="D70" i="10"/>
  <c r="H70" i="10" s="1"/>
  <c r="D66" i="10"/>
  <c r="H66" i="10" s="1"/>
  <c r="D5" i="10"/>
  <c r="H5" i="10" s="1"/>
  <c r="D87" i="10"/>
  <c r="H87" i="10" s="1"/>
  <c r="D90" i="10"/>
  <c r="H90" i="10" s="1"/>
  <c r="D25" i="10"/>
  <c r="H25" i="10" s="1"/>
  <c r="D18" i="10"/>
  <c r="H18" i="10" s="1"/>
  <c r="D58" i="10"/>
  <c r="H58" i="10" s="1"/>
  <c r="D9" i="10"/>
  <c r="H9" i="10" s="1"/>
  <c r="M12" i="11"/>
  <c r="Q12" i="11" s="1"/>
  <c r="M63" i="11"/>
  <c r="Q63" i="11" s="1"/>
  <c r="M86" i="11"/>
  <c r="Q86" i="11" s="1"/>
  <c r="M93" i="11"/>
  <c r="Q93" i="11" s="1"/>
  <c r="M42" i="11"/>
  <c r="Q42" i="11" s="1"/>
  <c r="M30" i="11"/>
  <c r="Q30" i="11" s="1"/>
  <c r="M74" i="11"/>
  <c r="Q74" i="11" s="1"/>
  <c r="M68" i="11"/>
  <c r="Q68" i="11" s="1"/>
  <c r="M89" i="11"/>
  <c r="Q89" i="11" s="1"/>
  <c r="M84" i="11"/>
  <c r="Q84" i="11" s="1"/>
  <c r="M23" i="11"/>
  <c r="Q23" i="11" s="1"/>
  <c r="M47" i="11"/>
  <c r="Q47" i="11" s="1"/>
  <c r="M22" i="11"/>
  <c r="Q22" i="11" s="1"/>
  <c r="M62" i="11"/>
  <c r="Q62" i="11" s="1"/>
  <c r="M24" i="11"/>
  <c r="Q24" i="11" s="1"/>
  <c r="M50" i="11"/>
  <c r="Q50" i="11" s="1"/>
  <c r="M51" i="11"/>
  <c r="Q51" i="11" s="1"/>
  <c r="M48" i="11"/>
  <c r="Q48" i="11" s="1"/>
  <c r="M76" i="11"/>
  <c r="Q76" i="11" s="1"/>
  <c r="M53" i="11"/>
  <c r="Q53" i="11" s="1"/>
  <c r="M81" i="11"/>
  <c r="Q81" i="11" s="1"/>
  <c r="M56" i="11"/>
  <c r="Q56" i="11" s="1"/>
  <c r="M55" i="11"/>
  <c r="Q55" i="11" s="1"/>
  <c r="M36" i="11"/>
  <c r="Q36" i="11" s="1"/>
  <c r="M28" i="11"/>
  <c r="Q28" i="11" s="1"/>
  <c r="M71" i="11"/>
  <c r="Q71" i="11" s="1"/>
  <c r="M79" i="11"/>
  <c r="Q79" i="11" s="1"/>
  <c r="M27" i="11"/>
  <c r="Q27" i="11" s="1"/>
  <c r="M14" i="11"/>
  <c r="Q14" i="11" s="1"/>
  <c r="M88" i="11"/>
  <c r="Q88" i="11" s="1"/>
  <c r="M33" i="11"/>
  <c r="Q33" i="11" s="1"/>
  <c r="M17" i="11"/>
  <c r="Q17" i="11" s="1"/>
  <c r="M32" i="11"/>
  <c r="Q32" i="11" s="1"/>
  <c r="M91" i="11"/>
  <c r="Q91" i="11" s="1"/>
  <c r="M67" i="11"/>
  <c r="Q67" i="11" s="1"/>
  <c r="M41" i="11"/>
  <c r="Q41" i="11" s="1"/>
  <c r="M25" i="11"/>
  <c r="Q25" i="11" s="1"/>
  <c r="M60" i="11"/>
  <c r="Q60" i="11" s="1"/>
  <c r="M4" i="11"/>
  <c r="Q4" i="11" s="1"/>
  <c r="M83" i="11"/>
  <c r="Q83" i="11" s="1"/>
  <c r="M20" i="11"/>
  <c r="M31" i="11"/>
  <c r="Q31" i="11" s="1"/>
  <c r="M19" i="11"/>
  <c r="Q19" i="11" s="1"/>
  <c r="M77" i="11"/>
  <c r="Q77" i="11" s="1"/>
  <c r="M57" i="11"/>
  <c r="Q57" i="11" s="1"/>
  <c r="M69" i="11"/>
  <c r="Q69" i="11" s="1"/>
  <c r="M72" i="11"/>
  <c r="M52" i="11"/>
  <c r="Q52" i="11" s="1"/>
  <c r="M80" i="11"/>
  <c r="Q80" i="11" s="1"/>
  <c r="M37" i="11"/>
  <c r="Q37" i="11" s="1"/>
  <c r="M34" i="11"/>
  <c r="Q34" i="11" s="1"/>
  <c r="M9" i="11"/>
  <c r="Q9" i="11" s="1"/>
  <c r="M13" i="11"/>
  <c r="Q13" i="11" s="1"/>
  <c r="M59" i="11"/>
  <c r="Q59" i="11" s="1"/>
  <c r="M38" i="11"/>
  <c r="Q38" i="11" s="1"/>
  <c r="M44" i="11"/>
  <c r="Q44" i="11" s="1"/>
  <c r="M87" i="11"/>
  <c r="Q87" i="11" s="1"/>
  <c r="M40" i="11"/>
  <c r="Q40" i="11" s="1"/>
  <c r="M45" i="11"/>
  <c r="Q45" i="11" s="1"/>
  <c r="M18" i="11"/>
  <c r="Q18" i="11" s="1"/>
  <c r="M75" i="11"/>
  <c r="Q75" i="11" s="1"/>
  <c r="M46" i="11"/>
  <c r="Q46" i="11" s="1"/>
  <c r="M15" i="11"/>
  <c r="Q15" i="11" s="1"/>
  <c r="M61" i="11"/>
  <c r="Q61" i="11" s="1"/>
  <c r="M66" i="11"/>
  <c r="Q66" i="11" s="1"/>
  <c r="M85" i="11"/>
  <c r="Q85" i="11" s="1"/>
  <c r="M16" i="11"/>
  <c r="Q16" i="11" s="1"/>
  <c r="M39" i="11"/>
  <c r="Q39" i="11" s="1"/>
  <c r="M54" i="11"/>
  <c r="Q54" i="11" s="1"/>
  <c r="M5" i="11"/>
  <c r="Q5" i="11" s="1"/>
  <c r="M26" i="11"/>
  <c r="Q26" i="11" s="1"/>
  <c r="M82" i="11"/>
  <c r="Q82" i="11" s="1"/>
  <c r="M70" i="11"/>
  <c r="Q70" i="11" s="1"/>
  <c r="M10" i="11"/>
  <c r="Q10" i="11" s="1"/>
  <c r="M6" i="11"/>
  <c r="Q6" i="11" s="1"/>
  <c r="M21" i="11"/>
  <c r="Q21" i="11" s="1"/>
  <c r="M8" i="11"/>
  <c r="Q8" i="11" s="1"/>
  <c r="M11" i="11"/>
  <c r="Q11" i="11" s="1"/>
  <c r="M7" i="11"/>
  <c r="Q7" i="11" s="1"/>
  <c r="M43" i="11"/>
  <c r="Q43" i="11" s="1"/>
  <c r="M92" i="11"/>
  <c r="Q92" i="11" s="1"/>
  <c r="M58" i="11"/>
  <c r="Q58" i="11" s="1"/>
  <c r="M65" i="11"/>
  <c r="Q65" i="11" s="1"/>
  <c r="M29" i="11"/>
  <c r="Q29" i="11" s="1"/>
  <c r="M35" i="11"/>
  <c r="Q35" i="11" s="1"/>
  <c r="M49" i="11"/>
  <c r="Q49" i="11" s="1"/>
  <c r="M78" i="11"/>
  <c r="Q78" i="11" s="1"/>
  <c r="M73" i="11"/>
  <c r="Q73" i="11" s="1"/>
  <c r="M64" i="11"/>
  <c r="Q64" i="11" s="1"/>
  <c r="M90" i="11"/>
  <c r="Q90" i="11" s="1"/>
  <c r="V86" i="10"/>
  <c r="Z86" i="10" s="1"/>
  <c r="V38" i="10"/>
  <c r="Z38" i="10" s="1"/>
  <c r="V32" i="10"/>
  <c r="Z32" i="10" s="1"/>
  <c r="V93" i="10"/>
  <c r="Z93" i="10" s="1"/>
  <c r="V91" i="10"/>
  <c r="Z91" i="10" s="1"/>
  <c r="V45" i="10"/>
  <c r="Z45" i="10" s="1"/>
  <c r="V68" i="10"/>
  <c r="Z68" i="10" s="1"/>
  <c r="V80" i="10"/>
  <c r="Z80" i="10" s="1"/>
  <c r="V46" i="10"/>
  <c r="Z46" i="10" s="1"/>
  <c r="V30" i="10"/>
  <c r="Z30" i="10" s="1"/>
  <c r="V23" i="10"/>
  <c r="Z23" i="10" s="1"/>
  <c r="V72" i="10"/>
  <c r="Z72" i="10" s="1"/>
  <c r="V24" i="10"/>
  <c r="Z24" i="10" s="1"/>
  <c r="V36" i="10"/>
  <c r="Z36" i="10" s="1"/>
  <c r="V27" i="10"/>
  <c r="Z27" i="10" s="1"/>
  <c r="V78" i="10"/>
  <c r="Z78" i="10" s="1"/>
  <c r="V79" i="10"/>
  <c r="Z79" i="10" s="1"/>
  <c r="V5" i="10"/>
  <c r="Z5" i="10" s="1"/>
  <c r="V57" i="10"/>
  <c r="Z57" i="10" s="1"/>
  <c r="V60" i="10"/>
  <c r="Z60" i="10" s="1"/>
  <c r="V39" i="10"/>
  <c r="Z39" i="10" s="1"/>
  <c r="V8" i="10"/>
  <c r="Z8" i="10" s="1"/>
  <c r="V37" i="10"/>
  <c r="Z37" i="10" s="1"/>
  <c r="V54" i="10"/>
  <c r="Z54" i="10" s="1"/>
  <c r="V64" i="10"/>
  <c r="Z64" i="10" s="1"/>
  <c r="V28" i="10"/>
  <c r="Z28" i="10" s="1"/>
  <c r="V12" i="10"/>
  <c r="Z12" i="10" s="1"/>
  <c r="V83" i="10"/>
  <c r="Z83" i="10" s="1"/>
  <c r="V6" i="10"/>
  <c r="Z6" i="10" s="1"/>
  <c r="V76" i="10"/>
  <c r="Z76" i="10" s="1"/>
  <c r="V13" i="10"/>
  <c r="Z13" i="10" s="1"/>
  <c r="V70" i="10"/>
  <c r="Z70" i="10" s="1"/>
  <c r="V61" i="10"/>
  <c r="Z61" i="10" s="1"/>
  <c r="V41" i="10"/>
  <c r="Z41" i="10" s="1"/>
  <c r="V92" i="10"/>
  <c r="Z92" i="10" s="1"/>
  <c r="V89" i="10"/>
  <c r="Z89" i="10" s="1"/>
  <c r="V87" i="10"/>
  <c r="Z87" i="10" s="1"/>
  <c r="V58" i="10"/>
  <c r="Z58" i="10" s="1"/>
  <c r="V63" i="10"/>
  <c r="Z63" i="10" s="1"/>
  <c r="V4" i="10"/>
  <c r="Z4" i="10" s="1"/>
  <c r="V34" i="10"/>
  <c r="Z34" i="10" s="1"/>
  <c r="V20" i="10"/>
  <c r="Z20" i="10" s="1"/>
  <c r="V65" i="10"/>
  <c r="Z65" i="10" s="1"/>
  <c r="V43" i="10"/>
  <c r="Z43" i="10" s="1"/>
  <c r="V31" i="10"/>
  <c r="Z31" i="10" s="1"/>
  <c r="V22" i="10"/>
  <c r="Z22" i="10" s="1"/>
  <c r="V82" i="10"/>
  <c r="Z82" i="10" s="1"/>
  <c r="V33" i="10"/>
  <c r="Z33" i="10" s="1"/>
  <c r="V49" i="10"/>
  <c r="Z49" i="10" s="1"/>
  <c r="V53" i="10"/>
  <c r="Z53" i="10" s="1"/>
  <c r="V67" i="10"/>
  <c r="Z67" i="10" s="1"/>
  <c r="V75" i="10"/>
  <c r="Z75" i="10" s="1"/>
  <c r="V42" i="10"/>
  <c r="Z42" i="10" s="1"/>
  <c r="V9" i="10"/>
  <c r="Z9" i="10" s="1"/>
  <c r="V52" i="10"/>
  <c r="Z52" i="10" s="1"/>
  <c r="V19" i="10"/>
  <c r="Z19" i="10" s="1"/>
  <c r="V50" i="10"/>
  <c r="Z50" i="10" s="1"/>
  <c r="V17" i="10"/>
  <c r="Z17" i="10" s="1"/>
  <c r="V25" i="10"/>
  <c r="Z25" i="10" s="1"/>
  <c r="V7" i="10"/>
  <c r="Z7" i="10" s="1"/>
  <c r="V73" i="10"/>
  <c r="Z73" i="10" s="1"/>
  <c r="V44" i="10"/>
  <c r="Z44" i="10" s="1"/>
  <c r="V71" i="10"/>
  <c r="Z71" i="10" s="1"/>
  <c r="V10" i="10"/>
  <c r="Z10" i="10" s="1"/>
  <c r="V47" i="10"/>
  <c r="Z47" i="10" s="1"/>
  <c r="V62" i="10"/>
  <c r="Z62" i="10" s="1"/>
  <c r="V48" i="10"/>
  <c r="Z48" i="10" s="1"/>
  <c r="V11" i="10"/>
  <c r="Z11" i="10" s="1"/>
  <c r="V90" i="10"/>
  <c r="Z90" i="10" s="1"/>
  <c r="V56" i="10"/>
  <c r="Z56" i="10" s="1"/>
  <c r="V88" i="10"/>
  <c r="Z88" i="10" s="1"/>
  <c r="V84" i="10"/>
  <c r="Z84" i="10" s="1"/>
  <c r="V16" i="10"/>
  <c r="Z16" i="10" s="1"/>
  <c r="V40" i="10"/>
  <c r="Z40" i="10" s="1"/>
  <c r="V18" i="10"/>
  <c r="Z18" i="10" s="1"/>
  <c r="V35" i="10"/>
  <c r="Z35" i="10" s="1"/>
  <c r="V29" i="10"/>
  <c r="Z29" i="10" s="1"/>
  <c r="V51" i="10"/>
  <c r="Z51" i="10" s="1"/>
  <c r="V55" i="10"/>
  <c r="Z55" i="10" s="1"/>
  <c r="V77" i="10"/>
  <c r="Z77" i="10" s="1"/>
  <c r="V26" i="10"/>
  <c r="Z26" i="10" s="1"/>
  <c r="V74" i="10"/>
  <c r="Z74" i="10" s="1"/>
  <c r="V81" i="10"/>
  <c r="Z81" i="10" s="1"/>
  <c r="V15" i="10"/>
  <c r="Z15" i="10" s="1"/>
  <c r="V21" i="10"/>
  <c r="Z21" i="10" s="1"/>
  <c r="V59" i="10"/>
  <c r="Z59" i="10" s="1"/>
  <c r="V69" i="10"/>
  <c r="Z69" i="10" s="1"/>
  <c r="V14" i="10"/>
  <c r="Z14" i="10" s="1"/>
  <c r="V85" i="10"/>
  <c r="Z85" i="10" s="1"/>
  <c r="V66" i="10"/>
  <c r="Z66" i="10" s="1"/>
  <c r="D10" i="11"/>
  <c r="H10" i="11" s="1"/>
  <c r="D79" i="11"/>
  <c r="H79" i="11" s="1"/>
  <c r="D70" i="11"/>
  <c r="H70" i="11" s="1"/>
  <c r="D23" i="11"/>
  <c r="H23" i="11" s="1"/>
  <c r="D9" i="11"/>
  <c r="H9" i="11" s="1"/>
  <c r="D25" i="11"/>
  <c r="H25" i="11" s="1"/>
  <c r="D51" i="11"/>
  <c r="H51" i="11" s="1"/>
  <c r="D76" i="11"/>
  <c r="H76" i="11" s="1"/>
  <c r="D58" i="11"/>
  <c r="H58" i="11" s="1"/>
  <c r="D26" i="11"/>
  <c r="H26" i="11" s="1"/>
  <c r="D40" i="11"/>
  <c r="H40" i="11" s="1"/>
  <c r="D45" i="11"/>
  <c r="H45" i="11" s="1"/>
  <c r="D28" i="11"/>
  <c r="H28" i="11" s="1"/>
  <c r="D15" i="11"/>
  <c r="H15" i="11" s="1"/>
  <c r="D18" i="11"/>
  <c r="H18" i="11" s="1"/>
  <c r="D57" i="11"/>
  <c r="H57" i="11" s="1"/>
  <c r="D87" i="11"/>
  <c r="H87" i="11" s="1"/>
  <c r="D60" i="11"/>
  <c r="H60" i="11" s="1"/>
  <c r="D85" i="11"/>
  <c r="H85" i="11" s="1"/>
  <c r="D34" i="11"/>
  <c r="H34" i="11" s="1"/>
  <c r="D31" i="11"/>
  <c r="H31" i="11" s="1"/>
  <c r="D78" i="11"/>
  <c r="H78" i="11" s="1"/>
  <c r="D37" i="11"/>
  <c r="H37" i="11" s="1"/>
  <c r="D16" i="11"/>
  <c r="H16" i="11" s="1"/>
  <c r="D92" i="11"/>
  <c r="H92" i="11" s="1"/>
  <c r="D13" i="11"/>
  <c r="H13" i="11" s="1"/>
  <c r="D49" i="11"/>
  <c r="H49" i="11" s="1"/>
  <c r="D83" i="11"/>
  <c r="H83" i="11" s="1"/>
  <c r="D72" i="11"/>
  <c r="H72" i="11" s="1"/>
  <c r="D93" i="11"/>
  <c r="H93" i="11" s="1"/>
  <c r="D19" i="11"/>
  <c r="H19" i="11" s="1"/>
  <c r="D6" i="11"/>
  <c r="H6" i="11" s="1"/>
  <c r="D11" i="11"/>
  <c r="H11" i="11" s="1"/>
  <c r="D7" i="11"/>
  <c r="H7" i="11" s="1"/>
  <c r="D71" i="11"/>
  <c r="H71" i="11" s="1"/>
  <c r="D91" i="11"/>
  <c r="H91" i="11" s="1"/>
  <c r="D42" i="11"/>
  <c r="H42" i="11" s="1"/>
  <c r="D20" i="11"/>
  <c r="H20" i="11" s="1"/>
  <c r="D81" i="11"/>
  <c r="H81" i="11" s="1"/>
  <c r="D43" i="11"/>
  <c r="H43" i="11" s="1"/>
  <c r="D90" i="11"/>
  <c r="H90" i="11" s="1"/>
  <c r="D89" i="11"/>
  <c r="H89" i="11" s="1"/>
  <c r="D36" i="11"/>
  <c r="H36" i="11" s="1"/>
  <c r="D50" i="11"/>
  <c r="H50" i="11" s="1"/>
  <c r="D80" i="11"/>
  <c r="H80" i="11" s="1"/>
  <c r="D21" i="11"/>
  <c r="D75" i="11"/>
  <c r="H75" i="11" s="1"/>
  <c r="D55" i="11"/>
  <c r="H55" i="11" s="1"/>
  <c r="D63" i="11"/>
  <c r="H63" i="11" s="1"/>
  <c r="D64" i="11"/>
  <c r="H64" i="11" s="1"/>
  <c r="D82" i="11"/>
  <c r="H82" i="11" s="1"/>
  <c r="D22" i="11"/>
  <c r="H22" i="11" s="1"/>
  <c r="D88" i="11"/>
  <c r="H88" i="11" s="1"/>
  <c r="D39" i="11"/>
  <c r="H39" i="11" s="1"/>
  <c r="D56" i="11"/>
  <c r="H56" i="11" s="1"/>
  <c r="D84" i="11"/>
  <c r="H84" i="11" s="1"/>
  <c r="D48" i="11"/>
  <c r="H48" i="11" s="1"/>
  <c r="D47" i="11"/>
  <c r="H47" i="11" s="1"/>
  <c r="D35" i="11"/>
  <c r="H35" i="11" s="1"/>
  <c r="D32" i="11"/>
  <c r="H32" i="11" s="1"/>
  <c r="D65" i="11"/>
  <c r="H65" i="11" s="1"/>
  <c r="D77" i="11"/>
  <c r="H77" i="11" s="1"/>
  <c r="D86" i="11"/>
  <c r="H86" i="11" s="1"/>
  <c r="D69" i="11"/>
  <c r="H69" i="11" s="1"/>
  <c r="D73" i="11"/>
  <c r="H73" i="11" s="1"/>
  <c r="D17" i="11"/>
  <c r="H17" i="11" s="1"/>
  <c r="D30" i="11"/>
  <c r="H30" i="11" s="1"/>
  <c r="D74" i="11"/>
  <c r="H74" i="11" s="1"/>
  <c r="D66" i="11"/>
  <c r="H66" i="11" s="1"/>
  <c r="D5" i="11"/>
  <c r="H5" i="11" s="1"/>
  <c r="D61" i="11"/>
  <c r="H61" i="11" s="1"/>
  <c r="D46" i="11"/>
  <c r="H46" i="11" s="1"/>
  <c r="D41" i="11"/>
  <c r="H41" i="11" s="1"/>
  <c r="D68" i="11"/>
  <c r="H68" i="11" s="1"/>
  <c r="D62" i="11"/>
  <c r="H62" i="11" s="1"/>
  <c r="D8" i="11"/>
  <c r="H8" i="11" s="1"/>
  <c r="D12" i="11"/>
  <c r="H12" i="11" s="1"/>
  <c r="D4" i="11"/>
  <c r="H4" i="11" s="1"/>
  <c r="D44" i="11"/>
  <c r="H44" i="11" s="1"/>
  <c r="D52" i="11"/>
  <c r="H52" i="11" s="1"/>
  <c r="D59" i="11"/>
  <c r="H59" i="11" s="1"/>
  <c r="D29" i="11"/>
  <c r="H29" i="11" s="1"/>
  <c r="D33" i="11"/>
  <c r="H33" i="11" s="1"/>
  <c r="D67" i="11"/>
  <c r="H67" i="11" s="1"/>
  <c r="D38" i="11"/>
  <c r="H38" i="11" s="1"/>
  <c r="D24" i="11"/>
  <c r="H24" i="11" s="1"/>
  <c r="D27" i="11"/>
  <c r="H27" i="11" s="1"/>
  <c r="D53" i="11"/>
  <c r="H53" i="11" s="1"/>
  <c r="D14" i="11"/>
  <c r="H14" i="11" s="1"/>
  <c r="D54" i="11"/>
  <c r="H54" i="11" s="1"/>
  <c r="V20" i="11"/>
  <c r="Z20" i="11" s="1"/>
  <c r="V79" i="11"/>
  <c r="Z79" i="11" s="1"/>
  <c r="V71" i="11"/>
  <c r="Z71" i="11" s="1"/>
  <c r="V85" i="11"/>
  <c r="Z85" i="11" s="1"/>
  <c r="V78" i="11"/>
  <c r="Z78" i="11" s="1"/>
  <c r="V8" i="11"/>
  <c r="Z8" i="11" s="1"/>
  <c r="V5" i="11"/>
  <c r="Z5" i="11" s="1"/>
  <c r="V4" i="11"/>
  <c r="Z4" i="11" s="1"/>
  <c r="V54" i="11"/>
  <c r="Z54" i="11" s="1"/>
  <c r="V61" i="11"/>
  <c r="Z61" i="11" s="1"/>
  <c r="V17" i="11"/>
  <c r="Z17" i="11" s="1"/>
  <c r="V76" i="11"/>
  <c r="Z76" i="11" s="1"/>
  <c r="V15" i="11"/>
  <c r="Z15" i="11" s="1"/>
  <c r="V62" i="11"/>
  <c r="Z62" i="11" s="1"/>
  <c r="V59" i="11"/>
  <c r="Z59" i="11" s="1"/>
  <c r="V64" i="11"/>
  <c r="Z64" i="11" s="1"/>
  <c r="V27" i="11"/>
  <c r="Z27" i="11" s="1"/>
  <c r="V6" i="11"/>
  <c r="Z6" i="11" s="1"/>
  <c r="V21" i="11"/>
  <c r="Z21" i="11" s="1"/>
  <c r="V13" i="11"/>
  <c r="Z13" i="11" s="1"/>
  <c r="V45" i="11"/>
  <c r="Z45" i="11" s="1"/>
  <c r="V60" i="11"/>
  <c r="Z60" i="11" s="1"/>
  <c r="V57" i="11"/>
  <c r="Z57" i="11" s="1"/>
  <c r="V30" i="11"/>
  <c r="Z30" i="11" s="1"/>
  <c r="V39" i="11"/>
  <c r="Z39" i="11" s="1"/>
  <c r="V65" i="11"/>
  <c r="Z65" i="11" s="1"/>
  <c r="V43" i="11"/>
  <c r="Z43" i="11" s="1"/>
  <c r="V83" i="11"/>
  <c r="Z83" i="11" s="1"/>
  <c r="V66" i="11"/>
  <c r="Z66" i="11" s="1"/>
  <c r="V56" i="11"/>
  <c r="Z56" i="11" s="1"/>
  <c r="V24" i="11"/>
  <c r="Z24" i="11" s="1"/>
  <c r="V68" i="11"/>
  <c r="Z68" i="11" s="1"/>
  <c r="V63" i="11"/>
  <c r="Z63" i="11" s="1"/>
  <c r="V52" i="11"/>
  <c r="Z52" i="11" s="1"/>
  <c r="V82" i="11"/>
  <c r="Z82" i="11" s="1"/>
  <c r="V31" i="11"/>
  <c r="Z31" i="11" s="1"/>
  <c r="V87" i="11"/>
  <c r="Z87" i="11" s="1"/>
  <c r="V23" i="11"/>
  <c r="Z23" i="11" s="1"/>
  <c r="V19" i="11"/>
  <c r="Z19" i="11" s="1"/>
  <c r="V11" i="11"/>
  <c r="Z11" i="11" s="1"/>
  <c r="V16" i="11"/>
  <c r="Z16" i="11" s="1"/>
  <c r="V34" i="11"/>
  <c r="Z34" i="11" s="1"/>
  <c r="V38" i="11"/>
  <c r="Z38" i="11" s="1"/>
  <c r="V25" i="11"/>
  <c r="Z25" i="11" s="1"/>
  <c r="V90" i="11"/>
  <c r="Z90" i="11" s="1"/>
  <c r="V70" i="11"/>
  <c r="Z70" i="11" s="1"/>
  <c r="V41" i="11"/>
  <c r="Z41" i="11" s="1"/>
  <c r="V29" i="11"/>
  <c r="Z29" i="11" s="1"/>
  <c r="V58" i="11"/>
  <c r="Z58" i="11" s="1"/>
  <c r="V73" i="11"/>
  <c r="Z73" i="11" s="1"/>
  <c r="V33" i="11"/>
  <c r="Z33" i="11" s="1"/>
  <c r="V32" i="11"/>
  <c r="Z32" i="11" s="1"/>
  <c r="V26" i="11"/>
  <c r="Z26" i="11" s="1"/>
  <c r="V42" i="11"/>
  <c r="Z42" i="11" s="1"/>
  <c r="V88" i="11"/>
  <c r="Z88" i="11" s="1"/>
  <c r="V12" i="11"/>
  <c r="Z12" i="11" s="1"/>
  <c r="V7" i="11"/>
  <c r="Z7" i="11" s="1"/>
  <c r="V89" i="11"/>
  <c r="Z89" i="11" s="1"/>
  <c r="V92" i="11"/>
  <c r="Z92" i="11" s="1"/>
  <c r="V81" i="11"/>
  <c r="Z81" i="11" s="1"/>
  <c r="V80" i="11"/>
  <c r="Z80" i="11" s="1"/>
  <c r="V72" i="11"/>
  <c r="Z72" i="11" s="1"/>
  <c r="V9" i="11"/>
  <c r="Z9" i="11" s="1"/>
  <c r="V35" i="11"/>
  <c r="Z35" i="11" s="1"/>
  <c r="V10" i="11"/>
  <c r="Z10" i="11" s="1"/>
  <c r="V67" i="11"/>
  <c r="Z67" i="11" s="1"/>
  <c r="V77" i="11"/>
  <c r="Z77" i="11" s="1"/>
  <c r="V55" i="11"/>
  <c r="Z55" i="11" s="1"/>
  <c r="V86" i="11"/>
  <c r="Z86" i="11" s="1"/>
  <c r="V46" i="11"/>
  <c r="Z46" i="11" s="1"/>
  <c r="V18" i="11"/>
  <c r="Z18" i="11" s="1"/>
  <c r="V14" i="11"/>
  <c r="Z14" i="11" s="1"/>
  <c r="V84" i="11"/>
  <c r="Z84" i="11" s="1"/>
  <c r="V50" i="11"/>
  <c r="Z50" i="11" s="1"/>
  <c r="V40" i="11"/>
  <c r="Z40" i="11" s="1"/>
  <c r="V37" i="11"/>
  <c r="Z37" i="11" s="1"/>
  <c r="V44" i="11"/>
  <c r="Z44" i="11" s="1"/>
  <c r="V48" i="11"/>
  <c r="Z48" i="11" s="1"/>
  <c r="V51" i="11"/>
  <c r="Z51" i="11" s="1"/>
  <c r="V91" i="11"/>
  <c r="Z91" i="11" s="1"/>
  <c r="V93" i="11"/>
  <c r="Z93" i="11" s="1"/>
  <c r="V28" i="11"/>
  <c r="Z28" i="11" s="1"/>
  <c r="V74" i="11"/>
  <c r="Z74" i="11" s="1"/>
  <c r="V53" i="11"/>
  <c r="Z53" i="11" s="1"/>
  <c r="V36" i="11"/>
  <c r="Z36" i="11" s="1"/>
  <c r="V47" i="11"/>
  <c r="Z47" i="11" s="1"/>
  <c r="V75" i="11"/>
  <c r="Z75" i="11" s="1"/>
  <c r="V22" i="11"/>
  <c r="Z22" i="11" s="1"/>
  <c r="V69" i="11"/>
  <c r="Z69" i="11" s="1"/>
  <c r="V49" i="11"/>
  <c r="Z49" i="11" s="1"/>
  <c r="AM31" i="27"/>
  <c r="AN31" i="27" s="1"/>
  <c r="AO31" i="27" s="1" a="1"/>
  <c r="AO31" i="27" s="1"/>
  <c r="AL32" i="27"/>
  <c r="P28" i="27"/>
  <c r="R28" i="27" s="1"/>
  <c r="O29" i="27"/>
  <c r="S56" i="31"/>
  <c r="R56" i="31"/>
  <c r="AO60" i="31" a="1"/>
  <c r="AN60" i="31"/>
  <c r="AP59" i="31"/>
  <c r="AO59" i="31"/>
  <c r="P57" i="31"/>
  <c r="O58" i="31"/>
  <c r="AM61" i="31"/>
  <c r="AN61" i="31" s="1"/>
  <c r="AL62" i="31"/>
  <c r="P58" i="29"/>
  <c r="O59" i="29"/>
  <c r="S57" i="29"/>
  <c r="R57" i="29"/>
  <c r="AP60" i="29"/>
  <c r="AO60" i="29"/>
  <c r="AM62" i="29"/>
  <c r="AN62" i="29" s="1"/>
  <c r="AL63" i="29"/>
  <c r="Q72" i="11"/>
  <c r="N45" i="34"/>
  <c r="N19" i="34"/>
  <c r="N62" i="34"/>
  <c r="N76" i="34"/>
  <c r="N30" i="34"/>
  <c r="N48" i="34"/>
  <c r="N75" i="34"/>
  <c r="N85" i="34"/>
  <c r="N35" i="34"/>
  <c r="N50" i="34"/>
  <c r="N5" i="34"/>
  <c r="N41" i="34"/>
  <c r="W52" i="34"/>
  <c r="W6" i="34"/>
  <c r="W79" i="34"/>
  <c r="W80" i="34"/>
  <c r="W59" i="34"/>
  <c r="W23" i="34"/>
  <c r="W89" i="34"/>
  <c r="W33" i="34"/>
  <c r="W54" i="34"/>
  <c r="W65" i="34"/>
  <c r="W56" i="34"/>
  <c r="E69" i="34"/>
  <c r="E61" i="34"/>
  <c r="E77" i="34"/>
  <c r="E88" i="34"/>
  <c r="E75" i="34"/>
  <c r="E29" i="34"/>
  <c r="E87" i="34"/>
  <c r="E58" i="34"/>
  <c r="E30" i="34"/>
  <c r="E76" i="34"/>
  <c r="E24" i="34"/>
  <c r="N20" i="34"/>
  <c r="N40" i="34"/>
  <c r="N73" i="34"/>
  <c r="N59" i="34"/>
  <c r="N93" i="34"/>
  <c r="N23" i="34"/>
  <c r="N27" i="34"/>
  <c r="N21" i="34"/>
  <c r="N18" i="34"/>
  <c r="N38" i="34"/>
  <c r="N92" i="34"/>
  <c r="N31" i="34"/>
  <c r="W66" i="34"/>
  <c r="W73" i="34"/>
  <c r="W15" i="34"/>
  <c r="W51" i="34"/>
  <c r="W44" i="34"/>
  <c r="W21" i="34"/>
  <c r="W11" i="34"/>
  <c r="W57" i="34"/>
  <c r="W61" i="34"/>
  <c r="W31" i="34"/>
  <c r="W25" i="34"/>
  <c r="E78" i="34"/>
  <c r="E83" i="34"/>
  <c r="E60" i="34"/>
  <c r="E4" i="34"/>
  <c r="E11" i="34"/>
  <c r="E48" i="34"/>
  <c r="E73" i="34"/>
  <c r="E37" i="34"/>
  <c r="E59" i="34"/>
  <c r="E52" i="34"/>
  <c r="E9" i="34"/>
  <c r="AI6" i="27"/>
  <c r="N22" i="34"/>
  <c r="N46" i="34"/>
  <c r="N17" i="34"/>
  <c r="N29" i="34"/>
  <c r="N42" i="34"/>
  <c r="N16" i="34"/>
  <c r="N67" i="34"/>
  <c r="N32" i="34"/>
  <c r="N34" i="34"/>
  <c r="N91" i="34"/>
  <c r="W71" i="34"/>
  <c r="W41" i="34"/>
  <c r="W58" i="34"/>
  <c r="W5" i="34"/>
  <c r="W75" i="34"/>
  <c r="W82" i="34"/>
  <c r="W38" i="34"/>
  <c r="W64" i="34"/>
  <c r="W18" i="34"/>
  <c r="W34" i="34"/>
  <c r="W37" i="34"/>
  <c r="W49" i="34"/>
  <c r="E23" i="34"/>
  <c r="E19" i="34"/>
  <c r="E72" i="34"/>
  <c r="E65" i="34"/>
  <c r="E66" i="34"/>
  <c r="E7" i="34"/>
  <c r="E32" i="34"/>
  <c r="E46" i="34"/>
  <c r="E74" i="34"/>
  <c r="E71" i="34"/>
  <c r="E12" i="34"/>
  <c r="N43" i="34"/>
  <c r="N80" i="34"/>
  <c r="N6" i="34"/>
  <c r="N83" i="34"/>
  <c r="N66" i="34"/>
  <c r="N33" i="34"/>
  <c r="N28" i="34"/>
  <c r="N55" i="34"/>
  <c r="N86" i="34"/>
  <c r="N39" i="34"/>
  <c r="W7" i="34"/>
  <c r="W24" i="34"/>
  <c r="W16" i="34"/>
  <c r="W30" i="34"/>
  <c r="W26" i="34"/>
  <c r="W68" i="34"/>
  <c r="W29" i="34"/>
  <c r="W47" i="34"/>
  <c r="W90" i="34"/>
  <c r="W19" i="34"/>
  <c r="W46" i="34"/>
  <c r="W35" i="34"/>
  <c r="E55" i="34"/>
  <c r="E82" i="34"/>
  <c r="E38" i="34"/>
  <c r="E41" i="34"/>
  <c r="E47" i="34"/>
  <c r="E43" i="34"/>
  <c r="E80" i="34"/>
  <c r="E53" i="34"/>
  <c r="E42" i="34"/>
  <c r="E70" i="34"/>
  <c r="E54" i="34"/>
  <c r="N68" i="34"/>
  <c r="AI5" i="32"/>
  <c r="N37" i="34"/>
  <c r="N7" i="34"/>
  <c r="N12" i="34"/>
  <c r="N9" i="34"/>
  <c r="N11" i="34"/>
  <c r="N44" i="34"/>
  <c r="N90" i="34"/>
  <c r="N47" i="34"/>
  <c r="N64" i="34"/>
  <c r="N77" i="34"/>
  <c r="N24" i="34"/>
  <c r="N26" i="34"/>
  <c r="W86" i="34"/>
  <c r="W40" i="34"/>
  <c r="W27" i="34"/>
  <c r="W13" i="34"/>
  <c r="W55" i="34"/>
  <c r="W91" i="34"/>
  <c r="W9" i="34"/>
  <c r="W69" i="34"/>
  <c r="W12" i="34"/>
  <c r="W32" i="34"/>
  <c r="W45" i="34"/>
  <c r="M4" i="10" a="1"/>
  <c r="E21" i="34"/>
  <c r="E57" i="34"/>
  <c r="E6" i="34"/>
  <c r="E85" i="34"/>
  <c r="E56" i="34"/>
  <c r="E34" i="34"/>
  <c r="E16" i="34"/>
  <c r="E64" i="34"/>
  <c r="E25" i="34"/>
  <c r="E51" i="34"/>
  <c r="E28" i="34"/>
  <c r="N63" i="34"/>
  <c r="N87" i="34"/>
  <c r="N14" i="34"/>
  <c r="N78" i="34"/>
  <c r="N61" i="34"/>
  <c r="N81" i="34"/>
  <c r="N49" i="34"/>
  <c r="N13" i="34"/>
  <c r="N79" i="34"/>
  <c r="N57" i="34"/>
  <c r="W14" i="34"/>
  <c r="W63" i="34"/>
  <c r="W92" i="34"/>
  <c r="W83" i="34"/>
  <c r="W85" i="34"/>
  <c r="W50" i="34"/>
  <c r="W43" i="34"/>
  <c r="W62" i="34"/>
  <c r="W36" i="34"/>
  <c r="W81" i="34"/>
  <c r="W20" i="34"/>
  <c r="E91" i="34"/>
  <c r="E84" i="34"/>
  <c r="E68" i="34"/>
  <c r="E35" i="34"/>
  <c r="E49" i="34"/>
  <c r="E63" i="34"/>
  <c r="E89" i="34"/>
  <c r="E8" i="34"/>
  <c r="E13" i="34"/>
  <c r="E36" i="34"/>
  <c r="E50" i="34"/>
  <c r="E40" i="34"/>
  <c r="AI6" i="35"/>
  <c r="N53" i="34"/>
  <c r="N74" i="34"/>
  <c r="N60" i="34"/>
  <c r="N51" i="34"/>
  <c r="N72" i="34"/>
  <c r="W88" i="34"/>
  <c r="W74" i="34"/>
  <c r="W8" i="34"/>
  <c r="E22" i="34"/>
  <c r="E5" i="34"/>
  <c r="E26" i="34"/>
  <c r="AI6" i="31"/>
  <c r="AI12" i="31" s="1"/>
  <c r="N36" i="34"/>
  <c r="N25" i="34"/>
  <c r="N56" i="34"/>
  <c r="N15" i="34"/>
  <c r="N69" i="34"/>
  <c r="W72" i="34"/>
  <c r="W10" i="34"/>
  <c r="W87" i="34"/>
  <c r="W28" i="34"/>
  <c r="W53" i="34"/>
  <c r="E10" i="34"/>
  <c r="E79" i="34"/>
  <c r="E92" i="34"/>
  <c r="E90" i="34"/>
  <c r="E15" i="34"/>
  <c r="AI5" i="36"/>
  <c r="N65" i="34"/>
  <c r="N54" i="34"/>
  <c r="N10" i="34"/>
  <c r="N8" i="34"/>
  <c r="W22" i="34"/>
  <c r="W70" i="34"/>
  <c r="W39" i="34"/>
  <c r="E20" i="34"/>
  <c r="E93" i="34"/>
  <c r="E67" i="34"/>
  <c r="E31" i="34"/>
  <c r="N71" i="34"/>
  <c r="N84" i="34"/>
  <c r="N4" i="34"/>
  <c r="N82" i="34"/>
  <c r="W78" i="34"/>
  <c r="W93" i="34"/>
  <c r="W48" i="34"/>
  <c r="W76" i="34"/>
  <c r="E62" i="34"/>
  <c r="E33" i="34"/>
  <c r="E45" i="34"/>
  <c r="E17" i="34"/>
  <c r="E44" i="34"/>
  <c r="N52" i="34"/>
  <c r="N89" i="34"/>
  <c r="N58" i="34"/>
  <c r="W84" i="34"/>
  <c r="W17" i="34"/>
  <c r="W67" i="34"/>
  <c r="W77" i="34"/>
  <c r="W60" i="34"/>
  <c r="E27" i="34"/>
  <c r="E18" i="34"/>
  <c r="E86" i="34"/>
  <c r="E81" i="34"/>
  <c r="E39" i="34"/>
  <c r="N88" i="34"/>
  <c r="W42" i="34"/>
  <c r="W4" i="34"/>
  <c r="E14" i="34"/>
  <c r="AI6" i="29"/>
  <c r="AI7" i="29" s="1" a="1"/>
  <c r="N70" i="34"/>
  <c r="N20" i="11"/>
  <c r="O10" i="33"/>
  <c r="E21" i="11"/>
  <c r="C27" i="33"/>
  <c r="G27" i="33"/>
  <c r="AI12" i="35"/>
  <c r="AI7" i="35" a="1"/>
  <c r="R70" i="34" l="1"/>
  <c r="I14" i="34"/>
  <c r="AA4" i="34"/>
  <c r="AA42" i="34"/>
  <c r="R88" i="34"/>
  <c r="I39" i="34"/>
  <c r="I81" i="34"/>
  <c r="I86" i="34"/>
  <c r="I18" i="34"/>
  <c r="I27" i="34"/>
  <c r="AA60" i="34"/>
  <c r="AA77" i="34"/>
  <c r="AA67" i="34"/>
  <c r="AA17" i="34"/>
  <c r="AA84" i="34"/>
  <c r="R58" i="34"/>
  <c r="R89" i="34"/>
  <c r="R52" i="34"/>
  <c r="I44" i="34"/>
  <c r="I17" i="34"/>
  <c r="I45" i="34"/>
  <c r="I33" i="34"/>
  <c r="I62" i="34"/>
  <c r="AA76" i="34"/>
  <c r="AA48" i="34"/>
  <c r="AA93" i="34"/>
  <c r="AA78" i="34"/>
  <c r="R82" i="34"/>
  <c r="R4" i="34"/>
  <c r="R84" i="34"/>
  <c r="R71" i="34"/>
  <c r="I31" i="34"/>
  <c r="I67" i="34"/>
  <c r="I93" i="34"/>
  <c r="I20" i="34"/>
  <c r="AA39" i="34"/>
  <c r="AA70" i="34"/>
  <c r="AA22" i="34"/>
  <c r="R8" i="34"/>
  <c r="R10" i="34"/>
  <c r="R54" i="34"/>
  <c r="R65" i="34"/>
  <c r="I15" i="34"/>
  <c r="I90" i="34"/>
  <c r="I92" i="34"/>
  <c r="I79" i="34"/>
  <c r="I10" i="34"/>
  <c r="AA53" i="34"/>
  <c r="AA28" i="34"/>
  <c r="AA87" i="34"/>
  <c r="AA10" i="34"/>
  <c r="AA72" i="34"/>
  <c r="R69" i="34"/>
  <c r="R15" i="34"/>
  <c r="R56" i="34"/>
  <c r="R25" i="34"/>
  <c r="R36" i="34"/>
  <c r="I26" i="34"/>
  <c r="I5" i="34"/>
  <c r="I22" i="34"/>
  <c r="AA8" i="34"/>
  <c r="AA74" i="34"/>
  <c r="AA88" i="34"/>
  <c r="R72" i="34"/>
  <c r="R51" i="34"/>
  <c r="R60" i="34"/>
  <c r="R74" i="34"/>
  <c r="R53" i="34"/>
  <c r="I40" i="34"/>
  <c r="I50" i="34"/>
  <c r="I36" i="34"/>
  <c r="I13" i="34"/>
  <c r="I8" i="34"/>
  <c r="I89" i="34"/>
  <c r="I63" i="34"/>
  <c r="I49" i="34"/>
  <c r="I35" i="34"/>
  <c r="I68" i="34"/>
  <c r="I84" i="34"/>
  <c r="I91" i="34"/>
  <c r="AA20" i="34"/>
  <c r="AA81" i="34"/>
  <c r="AA36" i="34"/>
  <c r="AA62" i="34"/>
  <c r="AA43" i="34"/>
  <c r="AA50" i="34"/>
  <c r="AA85" i="34"/>
  <c r="AA83" i="34"/>
  <c r="AA92" i="34"/>
  <c r="AA63" i="34"/>
  <c r="AA14" i="34"/>
  <c r="R57" i="34"/>
  <c r="R79" i="34"/>
  <c r="R13" i="34"/>
  <c r="R49" i="34"/>
  <c r="R81" i="34"/>
  <c r="R61" i="34"/>
  <c r="R78" i="34"/>
  <c r="R14" i="34"/>
  <c r="R87" i="34"/>
  <c r="R63" i="34"/>
  <c r="I28" i="34"/>
  <c r="I51" i="34"/>
  <c r="I25" i="34"/>
  <c r="I64" i="34"/>
  <c r="I16" i="34"/>
  <c r="I34" i="34"/>
  <c r="I56" i="34"/>
  <c r="I85" i="34"/>
  <c r="I6" i="34"/>
  <c r="I57" i="34"/>
  <c r="I21" i="34"/>
  <c r="M89" i="10"/>
  <c r="Q89" i="10" s="1"/>
  <c r="M49" i="10"/>
  <c r="Q49" i="10" s="1"/>
  <c r="M35" i="10"/>
  <c r="Q35" i="10" s="1"/>
  <c r="M34" i="10"/>
  <c r="Q34" i="10" s="1"/>
  <c r="M14" i="10"/>
  <c r="Q14" i="10" s="1"/>
  <c r="M72" i="10"/>
  <c r="Q72" i="10" s="1"/>
  <c r="M22" i="10"/>
  <c r="Q22" i="10" s="1"/>
  <c r="M17" i="10"/>
  <c r="Q17" i="10" s="1"/>
  <c r="M51" i="10"/>
  <c r="Q51" i="10" s="1"/>
  <c r="M43" i="10"/>
  <c r="Q43" i="10" s="1"/>
  <c r="M29" i="10"/>
  <c r="Q29" i="10" s="1"/>
  <c r="M48" i="10"/>
  <c r="Q48" i="10" s="1"/>
  <c r="M24" i="10"/>
  <c r="Q24" i="10" s="1"/>
  <c r="M65" i="10"/>
  <c r="Q65" i="10" s="1"/>
  <c r="M30" i="10"/>
  <c r="Q30" i="10" s="1"/>
  <c r="M9" i="10"/>
  <c r="Q9" i="10" s="1"/>
  <c r="M31" i="10"/>
  <c r="Q31" i="10" s="1"/>
  <c r="M8" i="10"/>
  <c r="Q8" i="10" s="1"/>
  <c r="M86" i="10"/>
  <c r="Q86" i="10" s="1"/>
  <c r="M61" i="10"/>
  <c r="Q61" i="10" s="1"/>
  <c r="M53" i="10"/>
  <c r="Q53" i="10" s="1"/>
  <c r="M56" i="10"/>
  <c r="Q56" i="10" s="1"/>
  <c r="M11" i="10"/>
  <c r="Q11" i="10" s="1"/>
  <c r="M25" i="10"/>
  <c r="Q25" i="10" s="1"/>
  <c r="M27" i="10"/>
  <c r="Q27" i="10" s="1"/>
  <c r="M83" i="10"/>
  <c r="Q83" i="10" s="1"/>
  <c r="M38" i="10"/>
  <c r="Q38" i="10" s="1"/>
  <c r="M50" i="10"/>
  <c r="Q50" i="10" s="1"/>
  <c r="M12" i="10"/>
  <c r="Q12" i="10" s="1"/>
  <c r="M36" i="10"/>
  <c r="Q36" i="10" s="1"/>
  <c r="M92" i="10"/>
  <c r="Q92" i="10" s="1"/>
  <c r="M91" i="10"/>
  <c r="Q91" i="10" s="1"/>
  <c r="M47" i="10"/>
  <c r="Q47" i="10" s="1"/>
  <c r="M75" i="10"/>
  <c r="Q75" i="10" s="1"/>
  <c r="M90" i="10"/>
  <c r="Q90" i="10" s="1"/>
  <c r="M21" i="10"/>
  <c r="Q21" i="10" s="1"/>
  <c r="M67" i="10"/>
  <c r="Q67" i="10" s="1"/>
  <c r="M4" i="10"/>
  <c r="Q4" i="10" s="1"/>
  <c r="M71" i="10"/>
  <c r="Q71" i="10" s="1"/>
  <c r="M57" i="10"/>
  <c r="Q57" i="10" s="1"/>
  <c r="M68" i="10"/>
  <c r="Q68" i="10" s="1"/>
  <c r="M69" i="10"/>
  <c r="Q69" i="10" s="1"/>
  <c r="M76" i="10"/>
  <c r="Q76" i="10" s="1"/>
  <c r="M41" i="10"/>
  <c r="Q41" i="10" s="1"/>
  <c r="M37" i="10"/>
  <c r="Q37" i="10" s="1"/>
  <c r="M66" i="10"/>
  <c r="Q66" i="10" s="1"/>
  <c r="M28" i="10"/>
  <c r="Q28" i="10" s="1"/>
  <c r="M19" i="10"/>
  <c r="Q19" i="10" s="1"/>
  <c r="M44" i="10"/>
  <c r="Q44" i="10" s="1"/>
  <c r="M59" i="10"/>
  <c r="Q59" i="10" s="1"/>
  <c r="M16" i="10"/>
  <c r="Q16" i="10" s="1"/>
  <c r="M42" i="10"/>
  <c r="Q42" i="10" s="1"/>
  <c r="M26" i="10"/>
  <c r="Q26" i="10" s="1"/>
  <c r="M77" i="10"/>
  <c r="Q77" i="10" s="1"/>
  <c r="M15" i="10"/>
  <c r="Q15" i="10" s="1"/>
  <c r="M39" i="10"/>
  <c r="Q39" i="10" s="1"/>
  <c r="M87" i="10"/>
  <c r="Q87" i="10" s="1"/>
  <c r="M54" i="10"/>
  <c r="Q54" i="10" s="1"/>
  <c r="M13" i="10"/>
  <c r="Q13" i="10" s="1"/>
  <c r="M18" i="10"/>
  <c r="Q18" i="10" s="1"/>
  <c r="M84" i="10"/>
  <c r="Q84" i="10" s="1"/>
  <c r="M74" i="10"/>
  <c r="Q74" i="10" s="1"/>
  <c r="M85" i="10"/>
  <c r="Q85" i="10" s="1"/>
  <c r="M45" i="10"/>
  <c r="Q45" i="10" s="1"/>
  <c r="M20" i="10"/>
  <c r="Q20" i="10" s="1"/>
  <c r="M46" i="10"/>
  <c r="Q46" i="10" s="1"/>
  <c r="M81" i="10"/>
  <c r="Q81" i="10" s="1"/>
  <c r="M64" i="10"/>
  <c r="Q64" i="10" s="1"/>
  <c r="M32" i="10"/>
  <c r="Q32" i="10" s="1"/>
  <c r="M55" i="10"/>
  <c r="Q55" i="10" s="1"/>
  <c r="M52" i="10"/>
  <c r="Q52" i="10" s="1"/>
  <c r="M7" i="10"/>
  <c r="Q7" i="10" s="1"/>
  <c r="M58" i="10"/>
  <c r="Q58" i="10" s="1"/>
  <c r="M88" i="10"/>
  <c r="Q88" i="10" s="1"/>
  <c r="M60" i="10"/>
  <c r="Q60" i="10" s="1"/>
  <c r="M78" i="10"/>
  <c r="Q78" i="10" s="1"/>
  <c r="M62" i="10"/>
  <c r="Q62" i="10" s="1"/>
  <c r="M10" i="10"/>
  <c r="Q10" i="10" s="1"/>
  <c r="M23" i="10"/>
  <c r="Q23" i="10" s="1"/>
  <c r="M79" i="10"/>
  <c r="Q79" i="10" s="1"/>
  <c r="M63" i="10"/>
  <c r="Q63" i="10" s="1"/>
  <c r="M82" i="10"/>
  <c r="Q82" i="10" s="1"/>
  <c r="M6" i="10"/>
  <c r="Q6" i="10" s="1"/>
  <c r="M40" i="10"/>
  <c r="Q40" i="10" s="1"/>
  <c r="M73" i="10"/>
  <c r="Q73" i="10" s="1"/>
  <c r="M93" i="10"/>
  <c r="Q93" i="10" s="1"/>
  <c r="M5" i="10"/>
  <c r="Q5" i="10" s="1"/>
  <c r="M80" i="10"/>
  <c r="Q80" i="10" s="1"/>
  <c r="M33" i="10"/>
  <c r="Q33" i="10" s="1"/>
  <c r="M70" i="10"/>
  <c r="Q70" i="10" s="1"/>
  <c r="AA45" i="34"/>
  <c r="AA32" i="34"/>
  <c r="AA12" i="34"/>
  <c r="AA69" i="34"/>
  <c r="AA9" i="34"/>
  <c r="AA91" i="34"/>
  <c r="AA55" i="34"/>
  <c r="AA13" i="34"/>
  <c r="AA27" i="34"/>
  <c r="AA40" i="34"/>
  <c r="AA86" i="34"/>
  <c r="R26" i="34"/>
  <c r="R24" i="34"/>
  <c r="R77" i="34"/>
  <c r="R64" i="34"/>
  <c r="R47" i="34"/>
  <c r="R90" i="34"/>
  <c r="R44" i="34"/>
  <c r="R11" i="34"/>
  <c r="R9" i="34"/>
  <c r="R12" i="34"/>
  <c r="R7" i="34"/>
  <c r="R37" i="34"/>
  <c r="R68" i="34"/>
  <c r="I54" i="34"/>
  <c r="I70" i="34"/>
  <c r="I42" i="34"/>
  <c r="I53" i="34"/>
  <c r="I80" i="34"/>
  <c r="I43" i="34"/>
  <c r="I47" i="34"/>
  <c r="I41" i="34"/>
  <c r="I38" i="34"/>
  <c r="I82" i="34"/>
  <c r="I55" i="34"/>
  <c r="AA35" i="34"/>
  <c r="AA46" i="34"/>
  <c r="AA19" i="34"/>
  <c r="AA90" i="34"/>
  <c r="AA47" i="34"/>
  <c r="AA29" i="34"/>
  <c r="AA68" i="34"/>
  <c r="AA26" i="34"/>
  <c r="AA30" i="34"/>
  <c r="AA16" i="34"/>
  <c r="AA24" i="34"/>
  <c r="AA7" i="34"/>
  <c r="R39" i="34"/>
  <c r="R86" i="34"/>
  <c r="R55" i="34"/>
  <c r="R28" i="34"/>
  <c r="R33" i="34"/>
  <c r="R66" i="34"/>
  <c r="R83" i="34"/>
  <c r="R6" i="34"/>
  <c r="R80" i="34"/>
  <c r="R43" i="34"/>
  <c r="I12" i="34"/>
  <c r="I71" i="34"/>
  <c r="I74" i="34"/>
  <c r="I46" i="34"/>
  <c r="I32" i="34"/>
  <c r="I7" i="34"/>
  <c r="I66" i="34"/>
  <c r="I65" i="34"/>
  <c r="I72" i="34"/>
  <c r="I19" i="34"/>
  <c r="I23" i="34"/>
  <c r="AA49" i="34"/>
  <c r="AA37" i="34"/>
  <c r="AA34" i="34"/>
  <c r="AA18" i="34"/>
  <c r="AA64" i="34"/>
  <c r="AA38" i="34"/>
  <c r="AA82" i="34"/>
  <c r="AA75" i="34"/>
  <c r="AA5" i="34"/>
  <c r="AA58" i="34"/>
  <c r="AA41" i="34"/>
  <c r="AA71" i="34"/>
  <c r="R91" i="34"/>
  <c r="R34" i="34"/>
  <c r="R32" i="34"/>
  <c r="R67" i="34"/>
  <c r="R16" i="34"/>
  <c r="R42" i="34"/>
  <c r="R29" i="34"/>
  <c r="R17" i="34"/>
  <c r="R46" i="34"/>
  <c r="R22" i="34"/>
  <c r="I9" i="34"/>
  <c r="I52" i="34"/>
  <c r="I59" i="34"/>
  <c r="I37" i="34"/>
  <c r="I73" i="34"/>
  <c r="I48" i="34"/>
  <c r="I11" i="34"/>
  <c r="I4" i="34"/>
  <c r="I60" i="34"/>
  <c r="I83" i="34"/>
  <c r="I78" i="34"/>
  <c r="AA25" i="34"/>
  <c r="AA31" i="34"/>
  <c r="AA61" i="34"/>
  <c r="AA57" i="34"/>
  <c r="AA11" i="34"/>
  <c r="AA21" i="34"/>
  <c r="AA44" i="34"/>
  <c r="AA51" i="34"/>
  <c r="AA15" i="34"/>
  <c r="AA73" i="34"/>
  <c r="AA66" i="34"/>
  <c r="R31" i="34"/>
  <c r="R92" i="34"/>
  <c r="R38" i="34"/>
  <c r="R18" i="34"/>
  <c r="R21" i="34"/>
  <c r="R27" i="34"/>
  <c r="R23" i="34"/>
  <c r="R93" i="34"/>
  <c r="R59" i="34"/>
  <c r="R73" i="34"/>
  <c r="R40" i="34"/>
  <c r="R20" i="34"/>
  <c r="I24" i="34"/>
  <c r="I76" i="34"/>
  <c r="I30" i="34"/>
  <c r="I58" i="34"/>
  <c r="I87" i="34"/>
  <c r="I29" i="34"/>
  <c r="I75" i="34"/>
  <c r="I88" i="34"/>
  <c r="I77" i="34"/>
  <c r="I61" i="34"/>
  <c r="I69" i="34"/>
  <c r="AA56" i="34"/>
  <c r="AA65" i="34"/>
  <c r="AA54" i="34"/>
  <c r="AA33" i="34"/>
  <c r="AA89" i="34"/>
  <c r="AA23" i="34"/>
  <c r="AA59" i="34"/>
  <c r="AA80" i="34"/>
  <c r="AA79" i="34"/>
  <c r="AA6" i="34"/>
  <c r="AA52" i="34"/>
  <c r="R41" i="34"/>
  <c r="R5" i="34"/>
  <c r="R50" i="34"/>
  <c r="R35" i="34"/>
  <c r="R85" i="34"/>
  <c r="R75" i="34"/>
  <c r="R48" i="34"/>
  <c r="R30" i="34"/>
  <c r="R76" i="34"/>
  <c r="R62" i="34"/>
  <c r="R19" i="34"/>
  <c r="R45" i="34"/>
  <c r="Q70" i="34"/>
  <c r="Z4" i="34"/>
  <c r="Z42" i="34"/>
  <c r="H39" i="34"/>
  <c r="H81" i="34"/>
  <c r="H86" i="34"/>
  <c r="H18" i="34"/>
  <c r="Z77" i="34"/>
  <c r="Z17" i="34"/>
  <c r="Z84" i="34"/>
  <c r="Q58" i="34"/>
  <c r="Q52" i="34"/>
  <c r="H44" i="34"/>
  <c r="H17" i="34"/>
  <c r="H45" i="34"/>
  <c r="H33" i="34"/>
  <c r="H62" i="34"/>
  <c r="Z48" i="34"/>
  <c r="Z93" i="34"/>
  <c r="Z78" i="34"/>
  <c r="Q82" i="34"/>
  <c r="Q4" i="34"/>
  <c r="Q84" i="34"/>
  <c r="Q71" i="34"/>
  <c r="H31" i="34"/>
  <c r="H67" i="34"/>
  <c r="H93" i="34"/>
  <c r="H20" i="34"/>
  <c r="Z70" i="34"/>
  <c r="Z22" i="34"/>
  <c r="Q8" i="34"/>
  <c r="L14" i="34" s="1"/>
  <c r="Q54" i="34"/>
  <c r="Q65" i="34"/>
  <c r="H15" i="34"/>
  <c r="H90" i="34"/>
  <c r="H92" i="34"/>
  <c r="H79" i="34"/>
  <c r="H10" i="34"/>
  <c r="Z53" i="34"/>
  <c r="Z87" i="34"/>
  <c r="Z10" i="34"/>
  <c r="Z72" i="34"/>
  <c r="Q15" i="34"/>
  <c r="Q56" i="34"/>
  <c r="H26" i="34"/>
  <c r="H5" i="34"/>
  <c r="C14" i="34" s="1"/>
  <c r="Z8" i="34"/>
  <c r="U14" i="34" s="1"/>
  <c r="Z88" i="34"/>
  <c r="Q72" i="34"/>
  <c r="Q60" i="34"/>
  <c r="Q74" i="34"/>
  <c r="Q53" i="34"/>
  <c r="H36" i="34"/>
  <c r="H13" i="34"/>
  <c r="H89" i="34"/>
  <c r="H49" i="34"/>
  <c r="H84" i="34"/>
  <c r="Z20" i="34"/>
  <c r="Z81" i="34"/>
  <c r="Z62" i="34"/>
  <c r="Z83" i="34"/>
  <c r="Z92" i="34"/>
  <c r="Z63" i="34"/>
  <c r="Z14" i="34"/>
  <c r="Q57" i="34"/>
  <c r="Q79" i="34"/>
  <c r="Q13" i="34"/>
  <c r="Q49" i="34"/>
  <c r="Q61" i="34"/>
  <c r="Q78" i="34"/>
  <c r="Q14" i="34"/>
  <c r="Q87" i="34"/>
  <c r="H8" i="34"/>
  <c r="Z50" i="34"/>
  <c r="Q51" i="34"/>
  <c r="Z67" i="34"/>
  <c r="Q88" i="34"/>
  <c r="Z60" i="34"/>
  <c r="Z28" i="34"/>
  <c r="Q25" i="34"/>
  <c r="H91" i="34"/>
  <c r="Z76" i="34"/>
  <c r="H50" i="34"/>
  <c r="H35" i="34"/>
  <c r="Z36" i="34"/>
  <c r="H27" i="34"/>
  <c r="Q81" i="34"/>
  <c r="H68" i="34"/>
  <c r="Q63" i="34"/>
  <c r="H25" i="34"/>
  <c r="H16" i="34"/>
  <c r="H21" i="34"/>
  <c r="Z32" i="34"/>
  <c r="Z12" i="34"/>
  <c r="Z13" i="34"/>
  <c r="Q24" i="34"/>
  <c r="Q77" i="34"/>
  <c r="Q44" i="34"/>
  <c r="Q9" i="34"/>
  <c r="Q7" i="34"/>
  <c r="Q90" i="34"/>
  <c r="H64" i="34"/>
  <c r="H70" i="34"/>
  <c r="H42" i="34"/>
  <c r="H53" i="34"/>
  <c r="H80" i="34"/>
  <c r="H43" i="34"/>
  <c r="H47" i="34"/>
  <c r="H55" i="34"/>
  <c r="Z47" i="34"/>
  <c r="Z29" i="34"/>
  <c r="Z68" i="34"/>
  <c r="Z24" i="34"/>
  <c r="Q39" i="34"/>
  <c r="Q33" i="34"/>
  <c r="Q80" i="34"/>
  <c r="Q43" i="34"/>
  <c r="H34" i="34"/>
  <c r="Z55" i="34"/>
  <c r="Q11" i="34"/>
  <c r="H56" i="34"/>
  <c r="H12" i="34"/>
  <c r="H74" i="34"/>
  <c r="H66" i="34"/>
  <c r="H72" i="34"/>
  <c r="Z34" i="34"/>
  <c r="Z64" i="34"/>
  <c r="Z38" i="34"/>
  <c r="Z41" i="34"/>
  <c r="Z71" i="34"/>
  <c r="Q91" i="34"/>
  <c r="Q32" i="34"/>
  <c r="Q16" i="34"/>
  <c r="Q46" i="34"/>
  <c r="Z82" i="34"/>
  <c r="H85" i="34"/>
  <c r="Q42" i="34"/>
  <c r="H19" i="34"/>
  <c r="H6" i="34"/>
  <c r="Z19" i="34"/>
  <c r="H54" i="34"/>
  <c r="Z9" i="34"/>
  <c r="Q67" i="34"/>
  <c r="Z75" i="34"/>
  <c r="Z69" i="34"/>
  <c r="H7" i="34"/>
  <c r="H82" i="34"/>
  <c r="Q37" i="34"/>
  <c r="Q55" i="34"/>
  <c r="Q86" i="34"/>
  <c r="Z49" i="34"/>
  <c r="H28" i="34"/>
  <c r="H73" i="34"/>
  <c r="H48" i="34"/>
  <c r="H83" i="34"/>
  <c r="Z25" i="34"/>
  <c r="AI8" i="35"/>
  <c r="AI9" i="35"/>
  <c r="AI7" i="35"/>
  <c r="B8" i="33"/>
  <c r="D8" i="33"/>
  <c r="I21" i="11"/>
  <c r="R20" i="11"/>
  <c r="H21" i="11"/>
  <c r="C14" i="11" s="1"/>
  <c r="Q20" i="11"/>
  <c r="L14" i="11" s="1"/>
  <c r="AP31" i="27"/>
  <c r="O30" i="27"/>
  <c r="P29" i="27"/>
  <c r="R29" i="27" s="1"/>
  <c r="AM32" i="27"/>
  <c r="AN32" i="27" s="1"/>
  <c r="AO32" i="27" s="1" a="1"/>
  <c r="AO32" i="27" s="1"/>
  <c r="AL33" i="27"/>
  <c r="R57" i="31"/>
  <c r="S57" i="31"/>
  <c r="AP60" i="31"/>
  <c r="AO60" i="31"/>
  <c r="AL63" i="31"/>
  <c r="AM62" i="31"/>
  <c r="AN62" i="31" s="1"/>
  <c r="P58" i="31"/>
  <c r="O59" i="31"/>
  <c r="AI9" i="29"/>
  <c r="AI8" i="29"/>
  <c r="AI7" i="29"/>
  <c r="O60" i="29"/>
  <c r="P59" i="29"/>
  <c r="R58" i="29"/>
  <c r="S58" i="29"/>
  <c r="AL64" i="29"/>
  <c r="AM63" i="29"/>
  <c r="L14" i="10"/>
  <c r="C14" i="10"/>
  <c r="U14" i="11"/>
  <c r="U14" i="10"/>
  <c r="AI6" i="32"/>
  <c r="AI7" i="32" s="1" a="1"/>
  <c r="AI6" i="36"/>
  <c r="AI12" i="29"/>
  <c r="AI7" i="31" a="1"/>
  <c r="AI12" i="32"/>
  <c r="AI12" i="27"/>
  <c r="C15" i="34"/>
  <c r="N73" i="11"/>
  <c r="N52" i="11"/>
  <c r="W48" i="11"/>
  <c r="W63" i="10"/>
  <c r="W84" i="10"/>
  <c r="N74" i="11"/>
  <c r="N17" i="11"/>
  <c r="E61" i="10"/>
  <c r="N64" i="11"/>
  <c r="W50" i="10"/>
  <c r="E79" i="11"/>
  <c r="N67" i="11"/>
  <c r="W6" i="10"/>
  <c r="E70" i="11"/>
  <c r="E73" i="10"/>
  <c r="N44" i="11"/>
  <c r="N74" i="10"/>
  <c r="W80" i="11"/>
  <c r="E20" i="10"/>
  <c r="E19" i="11"/>
  <c r="W83" i="10"/>
  <c r="W19" i="11"/>
  <c r="E9" i="11"/>
  <c r="N5" i="10"/>
  <c r="E12" i="11"/>
  <c r="E74" i="10"/>
  <c r="W45" i="11"/>
  <c r="E23" i="11"/>
  <c r="N73" i="10"/>
  <c r="W89" i="10"/>
  <c r="W10" i="11"/>
  <c r="E6" i="10"/>
  <c r="W47" i="10"/>
  <c r="W55" i="10"/>
  <c r="E21" i="10"/>
  <c r="E76" i="11"/>
  <c r="N80" i="10"/>
  <c r="N69" i="10"/>
  <c r="E8" i="10"/>
  <c r="E30" i="11"/>
  <c r="W33" i="10"/>
  <c r="N30" i="11"/>
  <c r="E35" i="10"/>
  <c r="E41" i="11"/>
  <c r="N61" i="11"/>
  <c r="E31" i="11"/>
  <c r="W91" i="11"/>
  <c r="W46" i="10"/>
  <c r="W74" i="10"/>
  <c r="N33" i="11"/>
  <c r="N41" i="11"/>
  <c r="E44" i="10"/>
  <c r="W36" i="10"/>
  <c r="E18" i="10"/>
  <c r="N40" i="11"/>
  <c r="W43" i="10"/>
  <c r="W5" i="11"/>
  <c r="W21" i="11"/>
  <c r="E53" i="10"/>
  <c r="E53" i="11"/>
  <c r="N65" i="10"/>
  <c r="N56" i="10"/>
  <c r="W61" i="10"/>
  <c r="N44" i="10"/>
  <c r="E46" i="11"/>
  <c r="N5" i="11"/>
  <c r="E67" i="11"/>
  <c r="W39" i="11"/>
  <c r="W81" i="10"/>
  <c r="N6" i="10"/>
  <c r="N70" i="11"/>
  <c r="N4" i="11"/>
  <c r="W62" i="10"/>
  <c r="E28" i="10"/>
  <c r="N32" i="10"/>
  <c r="U15" i="34"/>
  <c r="E38" i="10"/>
  <c r="E39" i="11"/>
  <c r="N39" i="11"/>
  <c r="N26" i="10"/>
  <c r="E88" i="10"/>
  <c r="N56" i="11"/>
  <c r="W69" i="11"/>
  <c r="N31" i="11"/>
  <c r="N33" i="10"/>
  <c r="N12" i="11"/>
  <c r="W18" i="11"/>
  <c r="W40" i="11"/>
  <c r="E91" i="11"/>
  <c r="N91" i="10"/>
  <c r="W88" i="10"/>
  <c r="N40" i="10"/>
  <c r="N13" i="10"/>
  <c r="N84" i="10"/>
  <c r="W52" i="10"/>
  <c r="E32" i="10"/>
  <c r="W23" i="10"/>
  <c r="W85" i="10"/>
  <c r="E4" i="10"/>
  <c r="N79" i="11"/>
  <c r="N90" i="10"/>
  <c r="W12" i="11"/>
  <c r="N86" i="10"/>
  <c r="E66" i="11"/>
  <c r="E54" i="10"/>
  <c r="E34" i="10"/>
  <c r="W17" i="11"/>
  <c r="N19" i="11"/>
  <c r="E16" i="10"/>
  <c r="W7" i="11"/>
  <c r="E27" i="10"/>
  <c r="N18" i="10"/>
  <c r="N15" i="11"/>
  <c r="W25" i="10"/>
  <c r="N89" i="10"/>
  <c r="E72" i="10"/>
  <c r="W25" i="11"/>
  <c r="W30" i="10"/>
  <c r="W64" i="11"/>
  <c r="N93" i="10"/>
  <c r="N88" i="10"/>
  <c r="E47" i="11"/>
  <c r="E63" i="11"/>
  <c r="E55" i="10"/>
  <c r="N52" i="10"/>
  <c r="N22" i="10"/>
  <c r="E41" i="10"/>
  <c r="E33" i="11"/>
  <c r="N37" i="10"/>
  <c r="N89" i="11"/>
  <c r="E11" i="10"/>
  <c r="E25" i="10"/>
  <c r="W64" i="10"/>
  <c r="N13" i="11"/>
  <c r="N23" i="11"/>
  <c r="W21" i="10"/>
  <c r="W62" i="11"/>
  <c r="E47" i="10"/>
  <c r="E16" i="11"/>
  <c r="W90" i="11"/>
  <c r="N29" i="11"/>
  <c r="N45" i="10"/>
  <c r="E52" i="11"/>
  <c r="W29" i="11"/>
  <c r="E64" i="10"/>
  <c r="E73" i="11"/>
  <c r="N76" i="10"/>
  <c r="N11" i="11"/>
  <c r="E24" i="11"/>
  <c r="E80" i="10"/>
  <c r="W7" i="10"/>
  <c r="W45" i="10"/>
  <c r="E34" i="11"/>
  <c r="N22" i="11"/>
  <c r="E29" i="10"/>
  <c r="E59" i="10"/>
  <c r="E74" i="11"/>
  <c r="E36" i="10"/>
  <c r="E9" i="10"/>
  <c r="E22" i="11"/>
  <c r="W37" i="11"/>
  <c r="E27" i="11"/>
  <c r="W53" i="11"/>
  <c r="N62" i="11"/>
  <c r="N84" i="11"/>
  <c r="W35" i="10"/>
  <c r="E13" i="10"/>
  <c r="E5" i="10"/>
  <c r="W75" i="11"/>
  <c r="W33" i="11"/>
  <c r="W42" i="10"/>
  <c r="W71" i="10"/>
  <c r="E37" i="11"/>
  <c r="N7" i="11"/>
  <c r="N63" i="11"/>
  <c r="E68" i="11"/>
  <c r="N38" i="11"/>
  <c r="W81" i="11"/>
  <c r="N65" i="11"/>
  <c r="N78" i="11"/>
  <c r="W77" i="10"/>
  <c r="E56" i="11"/>
  <c r="N59" i="10"/>
  <c r="W92" i="11"/>
  <c r="W86" i="11"/>
  <c r="N10" i="11"/>
  <c r="W82" i="10"/>
  <c r="E40" i="11"/>
  <c r="W18" i="10"/>
  <c r="W11" i="10"/>
  <c r="W51" i="10"/>
  <c r="W23" i="11"/>
  <c r="W49" i="10"/>
  <c r="N93" i="11"/>
  <c r="E15" i="11"/>
  <c r="N57" i="11"/>
  <c r="E62" i="10"/>
  <c r="W9" i="11"/>
  <c r="W8" i="10"/>
  <c r="E35" i="11"/>
  <c r="N14" i="10"/>
  <c r="N27" i="11"/>
  <c r="N34" i="11"/>
  <c r="W47" i="11"/>
  <c r="E86" i="10"/>
  <c r="N60" i="11"/>
  <c r="W44" i="11"/>
  <c r="E7" i="10"/>
  <c r="N28" i="11"/>
  <c r="N92" i="10"/>
  <c r="W83" i="11"/>
  <c r="E54" i="11"/>
  <c r="N85" i="11"/>
  <c r="W55" i="11"/>
  <c r="E42" i="10"/>
  <c r="E28" i="11"/>
  <c r="E26" i="10"/>
  <c r="W70" i="11"/>
  <c r="W57" i="11"/>
  <c r="N37" i="11"/>
  <c r="W70" i="10"/>
  <c r="N32" i="11"/>
  <c r="W39" i="10"/>
  <c r="E61" i="11"/>
  <c r="N53" i="11"/>
  <c r="W35" i="11"/>
  <c r="N82" i="10"/>
  <c r="W38" i="10"/>
  <c r="E82" i="11"/>
  <c r="W56" i="10"/>
  <c r="N25" i="10"/>
  <c r="W16" i="11"/>
  <c r="N20" i="10"/>
  <c r="N21" i="10"/>
  <c r="E51" i="10"/>
  <c r="N46" i="10"/>
  <c r="W67" i="10"/>
  <c r="W89" i="11"/>
  <c r="E51" i="11"/>
  <c r="N54" i="10"/>
  <c r="N45" i="11"/>
  <c r="E86" i="11"/>
  <c r="N75" i="10"/>
  <c r="W92" i="10"/>
  <c r="E14" i="11"/>
  <c r="N11" i="10"/>
  <c r="W60" i="11"/>
  <c r="E59" i="11"/>
  <c r="E83" i="10"/>
  <c r="E26" i="11"/>
  <c r="E88" i="11"/>
  <c r="W26" i="10"/>
  <c r="N17" i="10"/>
  <c r="N79" i="10"/>
  <c r="E13" i="11"/>
  <c r="N71" i="11"/>
  <c r="W30" i="11"/>
  <c r="N83" i="10"/>
  <c r="E20" i="11"/>
  <c r="W27" i="10"/>
  <c r="E48" i="11"/>
  <c r="W17" i="10"/>
  <c r="N42" i="11"/>
  <c r="E25" i="11"/>
  <c r="N61" i="10"/>
  <c r="N87" i="10"/>
  <c r="E14" i="10"/>
  <c r="E78" i="10"/>
  <c r="N63" i="10"/>
  <c r="W11" i="11"/>
  <c r="N34" i="10"/>
  <c r="W75" i="10"/>
  <c r="E69" i="11"/>
  <c r="N50" i="10"/>
  <c r="E45" i="11"/>
  <c r="E83" i="11"/>
  <c r="E81" i="10"/>
  <c r="N4" i="10"/>
  <c r="W37" i="10"/>
  <c r="E57" i="10"/>
  <c r="N7" i="10"/>
  <c r="E43" i="11"/>
  <c r="N30" i="10"/>
  <c r="W85" i="11"/>
  <c r="E10" i="10"/>
  <c r="E23" i="10"/>
  <c r="N81" i="10"/>
  <c r="W48" i="10"/>
  <c r="E30" i="10"/>
  <c r="E57" i="11"/>
  <c r="E90" i="10"/>
  <c r="E69" i="10"/>
  <c r="W78" i="10"/>
  <c r="W77" i="11"/>
  <c r="W65" i="10"/>
  <c r="N48" i="11"/>
  <c r="E50" i="11"/>
  <c r="W32" i="10"/>
  <c r="W76" i="10"/>
  <c r="N59" i="11"/>
  <c r="N48" i="10"/>
  <c r="E85" i="11"/>
  <c r="W28" i="11"/>
  <c r="W32" i="11"/>
  <c r="E5" i="11"/>
  <c r="N46" i="11"/>
  <c r="W31" i="11"/>
  <c r="W12" i="10"/>
  <c r="E58" i="11"/>
  <c r="N67" i="10"/>
  <c r="E50" i="10"/>
  <c r="E48" i="10"/>
  <c r="N28" i="10"/>
  <c r="E38" i="11"/>
  <c r="W36" i="11"/>
  <c r="W66" i="11"/>
  <c r="W74" i="11"/>
  <c r="N58" i="11"/>
  <c r="E40" i="10"/>
  <c r="W68" i="10"/>
  <c r="E68" i="10"/>
  <c r="E36" i="11"/>
  <c r="E93" i="11"/>
  <c r="E44" i="11"/>
  <c r="E43" i="10"/>
  <c r="E8" i="11"/>
  <c r="W65" i="11"/>
  <c r="W15" i="11"/>
  <c r="N38" i="10"/>
  <c r="E37" i="10"/>
  <c r="N42" i="10"/>
  <c r="N71" i="10"/>
  <c r="E24" i="10"/>
  <c r="E79" i="10"/>
  <c r="N55" i="11"/>
  <c r="N58" i="10"/>
  <c r="N80" i="11"/>
  <c r="E80" i="11"/>
  <c r="N24" i="11"/>
  <c r="W67" i="11"/>
  <c r="N55" i="10"/>
  <c r="E17" i="10"/>
  <c r="E15" i="10"/>
  <c r="N27" i="10"/>
  <c r="E4" i="11"/>
  <c r="E56" i="10"/>
  <c r="N62" i="10"/>
  <c r="N66" i="10"/>
  <c r="N83" i="11"/>
  <c r="W44" i="10"/>
  <c r="N85" i="10"/>
  <c r="N47" i="11"/>
  <c r="W87" i="10"/>
  <c r="E52" i="10"/>
  <c r="E75" i="10"/>
  <c r="W20" i="11"/>
  <c r="E71" i="10"/>
  <c r="N88" i="11"/>
  <c r="N9" i="10"/>
  <c r="N39" i="10"/>
  <c r="N54" i="11"/>
  <c r="W87" i="11"/>
  <c r="E76" i="10"/>
  <c r="E81" i="11"/>
  <c r="N21" i="11"/>
  <c r="W82" i="11"/>
  <c r="W50" i="11"/>
  <c r="W26" i="11"/>
  <c r="W71" i="11"/>
  <c r="N15" i="10"/>
  <c r="E18" i="11"/>
  <c r="E67" i="10"/>
  <c r="W78" i="11"/>
  <c r="W59" i="10"/>
  <c r="W49" i="11"/>
  <c r="N68" i="11"/>
  <c r="W41" i="10"/>
  <c r="N66" i="11"/>
  <c r="N92" i="11"/>
  <c r="E82" i="10"/>
  <c r="N49" i="10"/>
  <c r="N72" i="10"/>
  <c r="N43" i="10"/>
  <c r="W16" i="10"/>
  <c r="E87" i="10"/>
  <c r="W4" i="10"/>
  <c r="E85" i="10"/>
  <c r="E65" i="10"/>
  <c r="N8" i="10"/>
  <c r="W72" i="10"/>
  <c r="N72" i="11"/>
  <c r="E63" i="10"/>
  <c r="L15" i="34"/>
  <c r="E31" i="10"/>
  <c r="N76" i="11"/>
  <c r="N36" i="10"/>
  <c r="E70" i="10"/>
  <c r="W46" i="11"/>
  <c r="W22" i="10"/>
  <c r="W73" i="10"/>
  <c r="W90" i="10"/>
  <c r="W14" i="10"/>
  <c r="W42" i="11"/>
  <c r="E10" i="11"/>
  <c r="E84" i="11"/>
  <c r="N87" i="11"/>
  <c r="N53" i="10"/>
  <c r="N26" i="11"/>
  <c r="N81" i="11"/>
  <c r="E78" i="11"/>
  <c r="W88" i="11"/>
  <c r="E11" i="11"/>
  <c r="E92" i="10"/>
  <c r="N23" i="10"/>
  <c r="W93" i="11"/>
  <c r="W20" i="10"/>
  <c r="W6" i="11"/>
  <c r="W14" i="11"/>
  <c r="N35" i="11"/>
  <c r="N77" i="11"/>
  <c r="E60" i="10"/>
  <c r="E49" i="10"/>
  <c r="W54" i="11"/>
  <c r="N64" i="10"/>
  <c r="N82" i="11"/>
  <c r="E49" i="11"/>
  <c r="W13" i="11"/>
  <c r="N9" i="11"/>
  <c r="W93" i="10"/>
  <c r="N19" i="10"/>
  <c r="E77" i="11"/>
  <c r="N41" i="10"/>
  <c r="N69" i="11"/>
  <c r="N77" i="10"/>
  <c r="W66" i="10"/>
  <c r="W29" i="10"/>
  <c r="E64" i="11"/>
  <c r="E46" i="10"/>
  <c r="N14" i="11"/>
  <c r="E45" i="10"/>
  <c r="E89" i="11"/>
  <c r="N86" i="11"/>
  <c r="W5" i="10"/>
  <c r="W80" i="10"/>
  <c r="W73" i="11"/>
  <c r="N10" i="10"/>
  <c r="E29" i="11"/>
  <c r="W58" i="10"/>
  <c r="N75" i="11"/>
  <c r="N50" i="11"/>
  <c r="E60" i="11"/>
  <c r="W40" i="10"/>
  <c r="E42" i="11"/>
  <c r="N47" i="10"/>
  <c r="W19" i="10"/>
  <c r="W79" i="11"/>
  <c r="W34" i="10"/>
  <c r="E89" i="10"/>
  <c r="E87" i="11"/>
  <c r="W43" i="11"/>
  <c r="W86" i="10"/>
  <c r="W27" i="11"/>
  <c r="E33" i="10"/>
  <c r="N6" i="11"/>
  <c r="N25" i="11"/>
  <c r="W59" i="11"/>
  <c r="W69" i="10"/>
  <c r="W58" i="11"/>
  <c r="W41" i="11"/>
  <c r="N70" i="10"/>
  <c r="E12" i="10"/>
  <c r="E55" i="11"/>
  <c r="W22" i="11"/>
  <c r="N51" i="11"/>
  <c r="N16" i="11"/>
  <c r="W31" i="10"/>
  <c r="W10" i="10"/>
  <c r="E6" i="11"/>
  <c r="N60" i="10"/>
  <c r="N36" i="11"/>
  <c r="W56" i="11"/>
  <c r="N43" i="11"/>
  <c r="W60" i="10"/>
  <c r="N31" i="10"/>
  <c r="W4" i="11"/>
  <c r="W54" i="10"/>
  <c r="W52" i="11"/>
  <c r="N91" i="11"/>
  <c r="E32" i="11"/>
  <c r="E39" i="10"/>
  <c r="E92" i="11"/>
  <c r="E91" i="10"/>
  <c r="E65" i="11"/>
  <c r="W91" i="10"/>
  <c r="W57" i="10"/>
  <c r="W28" i="10"/>
  <c r="E58" i="10"/>
  <c r="W84" i="11"/>
  <c r="N51" i="10"/>
  <c r="W13" i="10"/>
  <c r="E72" i="11"/>
  <c r="W79" i="10"/>
  <c r="N24" i="10"/>
  <c r="E22" i="10"/>
  <c r="E75" i="11"/>
  <c r="N49" i="11"/>
  <c r="W9" i="10"/>
  <c r="N12" i="10"/>
  <c r="E77" i="10"/>
  <c r="E19" i="10"/>
  <c r="N29" i="10"/>
  <c r="N18" i="11"/>
  <c r="E62" i="11"/>
  <c r="E66" i="10"/>
  <c r="W38" i="11"/>
  <c r="E17" i="11"/>
  <c r="W24" i="10"/>
  <c r="N35" i="10"/>
  <c r="W15" i="10"/>
  <c r="N78" i="10"/>
  <c r="W76" i="11"/>
  <c r="W72" i="11"/>
  <c r="E93" i="10"/>
  <c r="N57" i="10"/>
  <c r="W8" i="11"/>
  <c r="W68" i="11"/>
  <c r="E84" i="10"/>
  <c r="W63" i="11"/>
  <c r="E90" i="11"/>
  <c r="W24" i="11"/>
  <c r="N16" i="10"/>
  <c r="N68" i="10"/>
  <c r="W53" i="10"/>
  <c r="E7" i="11"/>
  <c r="N90" i="11"/>
  <c r="W51" i="11"/>
  <c r="W34" i="11"/>
  <c r="E71" i="11"/>
  <c r="N8" i="11"/>
  <c r="W61" i="11"/>
  <c r="AI7" i="36" a="1"/>
  <c r="AI12" i="36"/>
  <c r="AI9" i="36" l="1"/>
  <c r="AI8" i="36"/>
  <c r="AI7" i="36"/>
  <c r="AI7" i="31"/>
  <c r="AI8" i="31"/>
  <c r="AI9" i="31"/>
  <c r="C8" i="33"/>
  <c r="AI7" i="32"/>
  <c r="AI8" i="32"/>
  <c r="AI9" i="32"/>
  <c r="AP32" i="27"/>
  <c r="P30" i="27"/>
  <c r="R30" i="27" s="1"/>
  <c r="O31" i="27"/>
  <c r="AM33" i="27"/>
  <c r="AN33" i="27" s="1"/>
  <c r="AO33" i="27" s="1" a="1"/>
  <c r="AO33" i="27" s="1"/>
  <c r="AL34" i="27"/>
  <c r="AM63" i="31"/>
  <c r="AL64" i="31"/>
  <c r="O60" i="31"/>
  <c r="P59" i="31"/>
  <c r="R58" i="31"/>
  <c r="S58" i="31"/>
  <c r="R59" i="29"/>
  <c r="S59" i="29"/>
  <c r="O61" i="29"/>
  <c r="P60" i="29"/>
  <c r="AO63" i="29" a="1"/>
  <c r="AN63" i="29"/>
  <c r="AM64" i="29"/>
  <c r="AL65" i="29"/>
  <c r="R4" i="10"/>
  <c r="AA4" i="11"/>
  <c r="I4" i="11"/>
  <c r="AA4" i="10"/>
  <c r="R4" i="11"/>
  <c r="AA62" i="10"/>
  <c r="AA19" i="11"/>
  <c r="AA25" i="10"/>
  <c r="AA51" i="10"/>
  <c r="R50" i="11"/>
  <c r="I26" i="11"/>
  <c r="AA27" i="11"/>
  <c r="AA16" i="11"/>
  <c r="AA14" i="11"/>
  <c r="I23" i="11"/>
  <c r="AA54" i="10"/>
  <c r="AA8" i="10"/>
  <c r="I29" i="11"/>
  <c r="AA13" i="10"/>
  <c r="AA7" i="11"/>
  <c r="R24" i="11"/>
  <c r="AA38" i="10"/>
  <c r="I24" i="11"/>
  <c r="I13" i="11"/>
  <c r="R7" i="11"/>
  <c r="AA60" i="10"/>
  <c r="R14" i="11"/>
  <c r="AA57" i="10"/>
  <c r="AA45" i="11"/>
  <c r="I19" i="11"/>
  <c r="AA8" i="11"/>
  <c r="AA33" i="10"/>
  <c r="I33" i="11"/>
  <c r="I12" i="11"/>
  <c r="R32" i="11"/>
  <c r="R12" i="11"/>
  <c r="AA11" i="11"/>
  <c r="R58" i="11"/>
  <c r="I32" i="11"/>
  <c r="I37" i="11"/>
  <c r="R45" i="11"/>
  <c r="AA36" i="10"/>
  <c r="AA17" i="10"/>
  <c r="I34" i="11"/>
  <c r="R51" i="11"/>
  <c r="I10" i="11"/>
  <c r="R21" i="11"/>
  <c r="AA61" i="10"/>
  <c r="R43" i="11"/>
  <c r="I8" i="11"/>
  <c r="AA65" i="10"/>
  <c r="I7" i="11"/>
  <c r="I40" i="11"/>
  <c r="AA15" i="10"/>
  <c r="R37" i="11"/>
  <c r="R6" i="11"/>
  <c r="AA5" i="10"/>
  <c r="AA29" i="11"/>
  <c r="AA42" i="11"/>
  <c r="R59" i="11"/>
  <c r="I30" i="11"/>
  <c r="R23" i="11"/>
  <c r="R36" i="11"/>
  <c r="AA28" i="11"/>
  <c r="AA41" i="10"/>
  <c r="I18" i="11"/>
  <c r="AA17" i="11"/>
  <c r="AA34" i="10"/>
  <c r="AA35" i="11"/>
  <c r="I27" i="11"/>
  <c r="R46" i="11"/>
  <c r="R44" i="11"/>
  <c r="AA24" i="11"/>
  <c r="AA58" i="11"/>
  <c r="R33" i="11"/>
  <c r="AA63" i="10"/>
  <c r="R54" i="11"/>
  <c r="AA47" i="11"/>
  <c r="AA7" i="10"/>
  <c r="AA66" i="10"/>
  <c r="R22" i="11"/>
  <c r="AA40" i="11"/>
  <c r="I25" i="11"/>
  <c r="I39" i="11"/>
  <c r="R5" i="11"/>
  <c r="AA56" i="10"/>
  <c r="AA28" i="10"/>
  <c r="AA46" i="11"/>
  <c r="I5" i="11"/>
  <c r="I6" i="11"/>
  <c r="I9" i="11"/>
  <c r="AA55" i="11"/>
  <c r="R41" i="11"/>
  <c r="I17" i="11"/>
  <c r="AA21" i="11"/>
  <c r="R55" i="11"/>
  <c r="I14" i="11"/>
  <c r="I11" i="11"/>
  <c r="AA64" i="10"/>
  <c r="AA67" i="10"/>
  <c r="R11" i="11"/>
  <c r="AA31" i="10"/>
  <c r="AA52" i="10"/>
  <c r="AA45" i="10"/>
  <c r="AA59" i="10"/>
  <c r="R17" i="11"/>
  <c r="AA48" i="10"/>
  <c r="AA26" i="11"/>
  <c r="AA5" i="11"/>
  <c r="AA15" i="11"/>
  <c r="AA14" i="10"/>
  <c r="AA32" i="10"/>
  <c r="AA47" i="10"/>
  <c r="AA6" i="10"/>
  <c r="I41" i="11"/>
  <c r="AA55" i="10"/>
  <c r="I28" i="11"/>
  <c r="I42" i="11"/>
  <c r="AA31" i="11"/>
  <c r="AA20" i="10"/>
  <c r="AA9" i="11"/>
  <c r="AA59" i="11"/>
  <c r="AA42" i="10"/>
  <c r="R31" i="11"/>
  <c r="R47" i="11"/>
  <c r="AA10" i="11"/>
  <c r="AA49" i="10"/>
  <c r="R65" i="10"/>
  <c r="R32" i="10"/>
  <c r="R22" i="10"/>
  <c r="AA21" i="10"/>
  <c r="AA20" i="11"/>
  <c r="AA30" i="11"/>
  <c r="AA26" i="10"/>
  <c r="AA41" i="11"/>
  <c r="R39" i="11"/>
  <c r="AA11" i="10"/>
  <c r="R56" i="11"/>
  <c r="R47" i="10"/>
  <c r="R30" i="11"/>
  <c r="R67" i="10"/>
  <c r="R20" i="10"/>
  <c r="R38" i="11"/>
  <c r="AA12" i="11"/>
  <c r="R52" i="11"/>
  <c r="R26" i="11"/>
  <c r="AA33" i="11"/>
  <c r="AA22" i="10"/>
  <c r="AA58" i="10"/>
  <c r="AA29" i="10"/>
  <c r="AA43" i="11"/>
  <c r="AA56" i="11"/>
  <c r="R48" i="11"/>
  <c r="I16" i="11"/>
  <c r="AA19" i="10"/>
  <c r="AA25" i="11"/>
  <c r="I36" i="11"/>
  <c r="AA46" i="10"/>
  <c r="AA57" i="11"/>
  <c r="AA39" i="10"/>
  <c r="R16" i="10"/>
  <c r="R31" i="10"/>
  <c r="AA24" i="10"/>
  <c r="R29" i="10"/>
  <c r="R8" i="11"/>
  <c r="AA44" i="10"/>
  <c r="R13" i="11"/>
  <c r="AA51" i="11"/>
  <c r="I38" i="11"/>
  <c r="R19" i="10"/>
  <c r="R25" i="11"/>
  <c r="R66" i="10"/>
  <c r="R19" i="11"/>
  <c r="AA18" i="11"/>
  <c r="R13" i="10"/>
  <c r="AA68" i="10"/>
  <c r="R57" i="10"/>
  <c r="R18" i="11"/>
  <c r="AA37" i="11"/>
  <c r="AA54" i="11"/>
  <c r="R55" i="10"/>
  <c r="AA36" i="11"/>
  <c r="R28" i="10"/>
  <c r="AA49" i="11"/>
  <c r="R48" i="10"/>
  <c r="R56" i="10"/>
  <c r="AA39" i="11"/>
  <c r="AA16" i="10"/>
  <c r="I22" i="11"/>
  <c r="AA34" i="11"/>
  <c r="R30" i="10"/>
  <c r="AA53" i="11"/>
  <c r="AA48" i="11"/>
  <c r="I35" i="11"/>
  <c r="R37" i="10"/>
  <c r="R29" i="11"/>
  <c r="R18" i="10"/>
  <c r="I20" i="11"/>
  <c r="AA35" i="10"/>
  <c r="R10" i="11"/>
  <c r="R42" i="10"/>
  <c r="R16" i="11"/>
  <c r="AA50" i="10"/>
  <c r="AA43" i="10"/>
  <c r="AA32" i="11"/>
  <c r="AA40" i="10"/>
  <c r="R51" i="10"/>
  <c r="AA13" i="11"/>
  <c r="AA27" i="10"/>
  <c r="AA53" i="10"/>
  <c r="R49" i="11"/>
  <c r="R15" i="10"/>
  <c r="R49" i="10"/>
  <c r="R28" i="11"/>
  <c r="AA12" i="10"/>
  <c r="R35" i="11"/>
  <c r="AA6" i="11"/>
  <c r="AA23" i="10"/>
  <c r="R40" i="11"/>
  <c r="AA23" i="11"/>
  <c r="R34" i="11"/>
  <c r="AA38" i="11"/>
  <c r="R35" i="10"/>
  <c r="R42" i="11"/>
  <c r="R52" i="10"/>
  <c r="AA9" i="10"/>
  <c r="AA30" i="10"/>
  <c r="R50" i="10"/>
  <c r="AA50" i="11"/>
  <c r="I15" i="11"/>
  <c r="R57" i="11"/>
  <c r="AA44" i="11"/>
  <c r="AA22" i="11"/>
  <c r="R43" i="10"/>
  <c r="R63" i="10"/>
  <c r="AA18" i="10"/>
  <c r="AA10" i="10"/>
  <c r="R10" i="10"/>
  <c r="R61" i="10"/>
  <c r="R40" i="10"/>
  <c r="R36" i="10"/>
  <c r="R27" i="11"/>
  <c r="R44" i="10"/>
  <c r="R15" i="11"/>
  <c r="I31" i="11"/>
  <c r="AA52" i="11"/>
  <c r="R53" i="11"/>
  <c r="AA37" i="10"/>
  <c r="R9" i="11"/>
  <c r="R25" i="10"/>
  <c r="R27" i="10"/>
  <c r="I54" i="10"/>
  <c r="R5" i="10"/>
  <c r="R26" i="10"/>
  <c r="I52" i="10"/>
  <c r="R12" i="10"/>
  <c r="I33" i="10"/>
  <c r="I13" i="10"/>
  <c r="R23" i="10"/>
  <c r="I60" i="10"/>
  <c r="I51" i="10"/>
  <c r="R17" i="10"/>
  <c r="I22" i="10"/>
  <c r="R46" i="10"/>
  <c r="R38" i="10"/>
  <c r="R53" i="10"/>
  <c r="I37" i="10"/>
  <c r="I12" i="10"/>
  <c r="I17" i="10"/>
  <c r="R45" i="10"/>
  <c r="I35" i="10"/>
  <c r="R6" i="10"/>
  <c r="I26" i="10"/>
  <c r="R7" i="10"/>
  <c r="I5" i="10"/>
  <c r="I19" i="10"/>
  <c r="R41" i="10"/>
  <c r="R34" i="10"/>
  <c r="I4" i="10"/>
  <c r="R64" i="10"/>
  <c r="I66" i="10"/>
  <c r="I58" i="10"/>
  <c r="I7" i="10"/>
  <c r="R11" i="10"/>
  <c r="R39" i="10"/>
  <c r="I27" i="10"/>
  <c r="R62" i="10"/>
  <c r="I16" i="10"/>
  <c r="R59" i="10"/>
  <c r="I63" i="10"/>
  <c r="I11" i="10"/>
  <c r="R68" i="10"/>
  <c r="I32" i="10"/>
  <c r="R9" i="10"/>
  <c r="I6" i="10"/>
  <c r="R33" i="10"/>
  <c r="R58" i="10"/>
  <c r="I20" i="10"/>
  <c r="R21" i="10"/>
  <c r="I23" i="10"/>
  <c r="R24" i="10"/>
  <c r="R8" i="10"/>
  <c r="I45" i="10"/>
  <c r="I25" i="10"/>
  <c r="I34" i="10"/>
  <c r="I49" i="10"/>
  <c r="I31" i="10"/>
  <c r="I47" i="10"/>
  <c r="R14" i="10"/>
  <c r="I59" i="10"/>
  <c r="I9" i="10"/>
  <c r="R54" i="10"/>
  <c r="I42" i="10"/>
  <c r="I18" i="10"/>
  <c r="I29" i="10"/>
  <c r="I43" i="10"/>
  <c r="I50" i="10"/>
  <c r="R60" i="10"/>
  <c r="I46" i="10"/>
  <c r="I41" i="10"/>
  <c r="I64" i="10"/>
  <c r="I65" i="10"/>
  <c r="I62" i="10"/>
  <c r="I30" i="10"/>
  <c r="I53" i="10"/>
  <c r="I61" i="10"/>
  <c r="I28" i="10"/>
  <c r="I40" i="10"/>
  <c r="I38" i="10"/>
  <c r="I57" i="10"/>
  <c r="I8" i="10"/>
  <c r="I48" i="10"/>
  <c r="I24" i="10"/>
  <c r="I44" i="10"/>
  <c r="I39" i="10"/>
  <c r="I21" i="10"/>
  <c r="I15" i="10"/>
  <c r="I10" i="10"/>
  <c r="I36" i="10"/>
  <c r="I56" i="10"/>
  <c r="I14" i="10"/>
  <c r="I55" i="10"/>
  <c r="AA85" i="11"/>
  <c r="I68" i="11"/>
  <c r="I70" i="10"/>
  <c r="AA71" i="10"/>
  <c r="I67" i="10"/>
  <c r="AA92" i="10"/>
  <c r="I44" i="11"/>
  <c r="I69" i="10"/>
  <c r="I59" i="11"/>
  <c r="R81" i="11"/>
  <c r="AA63" i="11"/>
  <c r="R60" i="11"/>
  <c r="R66" i="11"/>
  <c r="R75" i="11"/>
  <c r="AA61" i="11"/>
  <c r="AA86" i="11"/>
  <c r="I46" i="11"/>
  <c r="AA70" i="10"/>
  <c r="I62" i="11"/>
  <c r="I65" i="11"/>
  <c r="I63" i="11"/>
  <c r="R81" i="10"/>
  <c r="AA90" i="11"/>
  <c r="R62" i="11"/>
  <c r="I84" i="11"/>
  <c r="I77" i="10"/>
  <c r="AA89" i="11"/>
  <c r="AA81" i="10"/>
  <c r="I84" i="10"/>
  <c r="R82" i="10"/>
  <c r="I86" i="11"/>
  <c r="I76" i="11"/>
  <c r="I81" i="11"/>
  <c r="AA93" i="11"/>
  <c r="I87" i="11"/>
  <c r="AA65" i="11"/>
  <c r="I74" i="11"/>
  <c r="AA88" i="10"/>
  <c r="I90" i="11"/>
  <c r="I57" i="11"/>
  <c r="I88" i="10"/>
  <c r="AA76" i="10"/>
  <c r="R93" i="10"/>
  <c r="R71" i="10"/>
  <c r="I76" i="10"/>
  <c r="I66" i="11"/>
  <c r="I80" i="10"/>
  <c r="R83" i="10"/>
  <c r="AA90" i="10"/>
  <c r="R87" i="10"/>
  <c r="AA85" i="10"/>
  <c r="I71" i="11"/>
  <c r="R88" i="11"/>
  <c r="I89" i="10"/>
  <c r="R80" i="11"/>
  <c r="R92" i="11"/>
  <c r="AA80" i="11"/>
  <c r="I70" i="11"/>
  <c r="R78" i="11"/>
  <c r="I75" i="11"/>
  <c r="R85" i="10"/>
  <c r="AA87" i="10"/>
  <c r="R79" i="10"/>
  <c r="AA91" i="10"/>
  <c r="R76" i="10"/>
  <c r="I77" i="11"/>
  <c r="AA79" i="11"/>
  <c r="R76" i="11"/>
  <c r="R65" i="11"/>
  <c r="I81" i="10"/>
  <c r="I49" i="11"/>
  <c r="R79" i="11"/>
  <c r="I91" i="11"/>
  <c r="R83" i="11"/>
  <c r="R63" i="11"/>
  <c r="R84" i="11"/>
  <c r="AA64" i="11"/>
  <c r="R70" i="10"/>
  <c r="I67" i="11"/>
  <c r="R71" i="11"/>
  <c r="I78" i="10"/>
  <c r="AA81" i="11"/>
  <c r="I51" i="11"/>
  <c r="R74" i="11"/>
  <c r="R68" i="11"/>
  <c r="R90" i="11"/>
  <c r="R88" i="10"/>
  <c r="R93" i="11"/>
  <c r="AA76" i="11"/>
  <c r="I61" i="11"/>
  <c r="R85" i="11"/>
  <c r="AA71" i="11"/>
  <c r="AA78" i="11"/>
  <c r="R61" i="11"/>
  <c r="AA83" i="11"/>
  <c r="I83" i="10"/>
  <c r="AA73" i="10"/>
  <c r="R64" i="11"/>
  <c r="R70" i="11"/>
  <c r="I52" i="11"/>
  <c r="I75" i="10"/>
  <c r="R84" i="10"/>
  <c r="I53" i="11"/>
  <c r="I56" i="11"/>
  <c r="R89" i="10"/>
  <c r="R74" i="10"/>
  <c r="I50" i="11"/>
  <c r="AA80" i="10"/>
  <c r="I93" i="11"/>
  <c r="AA79" i="10"/>
  <c r="R72" i="11"/>
  <c r="I47" i="11"/>
  <c r="I87" i="10"/>
  <c r="I90" i="10"/>
  <c r="I92" i="10"/>
  <c r="R73" i="11"/>
  <c r="R78" i="10"/>
  <c r="R89" i="11"/>
  <c r="I60" i="11"/>
  <c r="R90" i="10"/>
  <c r="R91" i="11"/>
  <c r="AA86" i="10"/>
  <c r="R77" i="10"/>
  <c r="AA91" i="11"/>
  <c r="I82" i="10"/>
  <c r="I71" i="10"/>
  <c r="I68" i="10"/>
  <c r="AA75" i="10"/>
  <c r="AA73" i="11"/>
  <c r="AA78" i="10"/>
  <c r="R87" i="11"/>
  <c r="AA72" i="11"/>
  <c r="R75" i="10"/>
  <c r="I83" i="11"/>
  <c r="AA77" i="10"/>
  <c r="I48" i="11"/>
  <c r="I88" i="11"/>
  <c r="I69" i="11"/>
  <c r="I93" i="10"/>
  <c r="R67" i="11"/>
  <c r="R91" i="10"/>
  <c r="I55" i="11"/>
  <c r="I58" i="11"/>
  <c r="AA74" i="10"/>
  <c r="R69" i="11"/>
  <c r="R86" i="10"/>
  <c r="R72" i="10"/>
  <c r="AA72" i="10"/>
  <c r="I79" i="11"/>
  <c r="R69" i="10"/>
  <c r="AA92" i="11"/>
  <c r="AA82" i="11"/>
  <c r="R82" i="11"/>
  <c r="R92" i="10"/>
  <c r="R77" i="11"/>
  <c r="I72" i="11"/>
  <c r="I78" i="11"/>
  <c r="I45" i="11"/>
  <c r="I72" i="10"/>
  <c r="R73" i="10"/>
  <c r="AA84" i="11"/>
  <c r="AA66" i="11"/>
  <c r="AA88" i="11"/>
  <c r="I74" i="10"/>
  <c r="AA93" i="10"/>
  <c r="I79" i="10"/>
  <c r="I89" i="11"/>
  <c r="R80" i="10"/>
  <c r="I73" i="10"/>
  <c r="AA62" i="11"/>
  <c r="I80" i="11"/>
  <c r="AA82" i="10"/>
  <c r="AA69" i="10"/>
  <c r="AA83" i="10"/>
  <c r="AA87" i="11"/>
  <c r="AA75" i="11"/>
  <c r="AA69" i="11"/>
  <c r="I85" i="10"/>
  <c r="I82" i="11"/>
  <c r="AA74" i="11"/>
  <c r="I73" i="11"/>
  <c r="AA67" i="11"/>
  <c r="AA70" i="11"/>
  <c r="I54" i="11"/>
  <c r="I91" i="10"/>
  <c r="I64" i="11"/>
  <c r="R86" i="11"/>
  <c r="I43" i="11"/>
  <c r="AA84" i="10"/>
  <c r="I92" i="11"/>
  <c r="AA89" i="10"/>
  <c r="AA68" i="11"/>
  <c r="AA60" i="11"/>
  <c r="AA77" i="11"/>
  <c r="I86" i="10"/>
  <c r="I85" i="11"/>
  <c r="AI13" i="31"/>
  <c r="L15" i="10"/>
  <c r="AI13" i="29"/>
  <c r="C15" i="10"/>
  <c r="U15" i="11"/>
  <c r="C15" i="11"/>
  <c r="AI13" i="35"/>
  <c r="L15" i="11"/>
  <c r="U15" i="10"/>
  <c r="AP33" i="27" l="1"/>
  <c r="AM34" i="27"/>
  <c r="AN34" i="27" s="1"/>
  <c r="AO34" i="27" s="1" a="1"/>
  <c r="AP34" i="27" s="1"/>
  <c r="AL35" i="27"/>
  <c r="P31" i="27"/>
  <c r="R31" i="27" s="1"/>
  <c r="O32" i="27"/>
  <c r="S59" i="31"/>
  <c r="R59" i="31"/>
  <c r="O61" i="31"/>
  <c r="P60" i="31"/>
  <c r="AL65" i="31"/>
  <c r="AM64" i="31"/>
  <c r="AN63" i="31"/>
  <c r="AO63" i="31" a="1"/>
  <c r="AP63" i="29"/>
  <c r="AO63" i="29"/>
  <c r="R60" i="29"/>
  <c r="S60" i="29"/>
  <c r="AM65" i="29"/>
  <c r="AL66" i="29"/>
  <c r="P61" i="29"/>
  <c r="O62" i="29"/>
  <c r="AO64" i="29" a="1"/>
  <c r="AN64" i="29"/>
  <c r="AI16" i="35"/>
  <c r="AI16" i="31"/>
  <c r="AI15" i="35"/>
  <c r="AI14" i="31"/>
  <c r="AI15" i="31"/>
  <c r="AI15" i="29"/>
  <c r="AI14" i="29"/>
  <c r="AI16" i="29"/>
  <c r="AI13" i="36"/>
  <c r="AI14" i="35"/>
  <c r="AI13" i="32"/>
  <c r="AO34" i="27" l="1"/>
  <c r="P32" i="27"/>
  <c r="R32" i="27" s="1"/>
  <c r="O33" i="27"/>
  <c r="AL36" i="27"/>
  <c r="AM35" i="27"/>
  <c r="AN35" i="27" s="1"/>
  <c r="AO35" i="27" s="1" a="1"/>
  <c r="AP35" i="27" s="1"/>
  <c r="AL66" i="31"/>
  <c r="AM65" i="31"/>
  <c r="S60" i="31"/>
  <c r="R60" i="31"/>
  <c r="P61" i="31"/>
  <c r="O62" i="31"/>
  <c r="AP63" i="31"/>
  <c r="AO63" i="31"/>
  <c r="AO64" i="31" a="1"/>
  <c r="AN64" i="31"/>
  <c r="AM66" i="29"/>
  <c r="AL67" i="29"/>
  <c r="AO65" i="29" a="1"/>
  <c r="AN65" i="29"/>
  <c r="AP64" i="29"/>
  <c r="AO64" i="29"/>
  <c r="P62" i="29"/>
  <c r="O63" i="29"/>
  <c r="S61" i="29"/>
  <c r="R61" i="29"/>
  <c r="AI17" i="31"/>
  <c r="AI14" i="36"/>
  <c r="AI16" i="32"/>
  <c r="AI16" i="36"/>
  <c r="AI14" i="32"/>
  <c r="AI15" i="36"/>
  <c r="AI17" i="29"/>
  <c r="AI18" i="35"/>
  <c r="AI18" i="29"/>
  <c r="AI17" i="35"/>
  <c r="AI15" i="32"/>
  <c r="AI18" i="31"/>
  <c r="I3" i="35" l="1" a="1"/>
  <c r="I3" i="29" a="1"/>
  <c r="I3" i="31" a="1"/>
  <c r="AO35" i="27"/>
  <c r="AM36" i="27"/>
  <c r="AN36" i="27" s="1"/>
  <c r="AO36" i="27" s="1" a="1"/>
  <c r="AP36" i="27" s="1"/>
  <c r="AL37" i="27"/>
  <c r="P33" i="27"/>
  <c r="R33" i="27" s="1"/>
  <c r="O34" i="27"/>
  <c r="P62" i="31"/>
  <c r="O63" i="31"/>
  <c r="S61" i="31"/>
  <c r="R61" i="31"/>
  <c r="AO65" i="31" a="1"/>
  <c r="AN65" i="31"/>
  <c r="AP64" i="31"/>
  <c r="AO64" i="31"/>
  <c r="AM66" i="31"/>
  <c r="AL67" i="31"/>
  <c r="AP65" i="29"/>
  <c r="AO65" i="29"/>
  <c r="AL68" i="29"/>
  <c r="AM67" i="29"/>
  <c r="AO66" i="29" a="1"/>
  <c r="AN66" i="29"/>
  <c r="O64" i="29"/>
  <c r="P63" i="29"/>
  <c r="R62" i="29"/>
  <c r="S62" i="29"/>
  <c r="AI18" i="36"/>
  <c r="AI17" i="36"/>
  <c r="AI17" i="32"/>
  <c r="AI18" i="32"/>
  <c r="I3" i="36" l="1" a="1"/>
  <c r="I4" i="35"/>
  <c r="I3" i="35"/>
  <c r="I3" i="31"/>
  <c r="I4" i="31"/>
  <c r="I3" i="29"/>
  <c r="AI19" i="29" s="1"/>
  <c r="I4" i="29"/>
  <c r="L4" i="29" s="1"/>
  <c r="S4" i="29" s="1"/>
  <c r="AO36" i="27"/>
  <c r="I3" i="32" a="1"/>
  <c r="O35" i="27"/>
  <c r="P34" i="27"/>
  <c r="R34" i="27" s="1"/>
  <c r="AL38" i="27"/>
  <c r="AM37" i="27"/>
  <c r="AN37" i="27" s="1"/>
  <c r="AO37" i="27" s="1" a="1"/>
  <c r="AP37" i="27" s="1"/>
  <c r="AO66" i="31" a="1"/>
  <c r="AN66" i="31"/>
  <c r="O64" i="31"/>
  <c r="P63" i="31"/>
  <c r="AL68" i="31"/>
  <c r="AM67" i="31"/>
  <c r="AO65" i="31"/>
  <c r="AP65" i="31"/>
  <c r="R62" i="31"/>
  <c r="S62" i="31"/>
  <c r="S63" i="29"/>
  <c r="R63" i="29"/>
  <c r="AP66" i="29"/>
  <c r="AO66" i="29"/>
  <c r="AM68" i="29"/>
  <c r="AL69" i="29"/>
  <c r="P64" i="29"/>
  <c r="O65" i="29"/>
  <c r="AO67" i="29" a="1"/>
  <c r="AN67" i="29"/>
  <c r="I4" i="36" l="1"/>
  <c r="I3" i="36"/>
  <c r="L3" i="35"/>
  <c r="AI19" i="35"/>
  <c r="L4" i="35"/>
  <c r="AI20" i="35"/>
  <c r="AI20" i="29"/>
  <c r="AI20" i="31"/>
  <c r="L4" i="31"/>
  <c r="S4" i="31" s="1"/>
  <c r="L3" i="31"/>
  <c r="S3" i="31" s="1"/>
  <c r="AI19" i="31"/>
  <c r="L3" i="29"/>
  <c r="S3" i="29" s="1"/>
  <c r="I3" i="32"/>
  <c r="I4" i="32"/>
  <c r="AO37" i="27"/>
  <c r="AM38" i="27"/>
  <c r="AN38" i="27" s="1"/>
  <c r="AO38" i="27" s="1" a="1"/>
  <c r="AO38" i="27" s="1"/>
  <c r="AL39" i="27"/>
  <c r="P35" i="27"/>
  <c r="R35" i="27" s="1"/>
  <c r="O36" i="27"/>
  <c r="AN67" i="31"/>
  <c r="AO67" i="31" a="1"/>
  <c r="AM68" i="31"/>
  <c r="AL69" i="31"/>
  <c r="S63" i="31"/>
  <c r="R63" i="31"/>
  <c r="P64" i="31"/>
  <c r="O65" i="31"/>
  <c r="AP66" i="31"/>
  <c r="AO66" i="31"/>
  <c r="R64" i="29"/>
  <c r="S64" i="29"/>
  <c r="P65" i="29"/>
  <c r="O66" i="29"/>
  <c r="AL70" i="29"/>
  <c r="AM69" i="29"/>
  <c r="AP67" i="29"/>
  <c r="AO67" i="29"/>
  <c r="AO68" i="29" a="1"/>
  <c r="AN68" i="29"/>
  <c r="U3" i="29" a="1"/>
  <c r="L3" i="36" l="1"/>
  <c r="AI19" i="36"/>
  <c r="L4" i="36"/>
  <c r="AI20" i="36"/>
  <c r="V28" i="29"/>
  <c r="V59" i="29"/>
  <c r="U52" i="29"/>
  <c r="V55" i="29"/>
  <c r="V73" i="29"/>
  <c r="V47" i="29"/>
  <c r="U79" i="29"/>
  <c r="V14" i="29"/>
  <c r="V15" i="29"/>
  <c r="U58" i="29"/>
  <c r="V43" i="29"/>
  <c r="U77" i="29"/>
  <c r="U3" i="29"/>
  <c r="U67" i="29"/>
  <c r="U5" i="29"/>
  <c r="V31" i="29"/>
  <c r="V68" i="29"/>
  <c r="U20" i="29"/>
  <c r="V3" i="29"/>
  <c r="U33" i="29"/>
  <c r="U35" i="29"/>
  <c r="U40" i="29"/>
  <c r="V9" i="29"/>
  <c r="V60" i="29"/>
  <c r="U6" i="29"/>
  <c r="V51" i="29"/>
  <c r="U31" i="29"/>
  <c r="V69" i="29"/>
  <c r="V62" i="29"/>
  <c r="V57" i="29"/>
  <c r="U21" i="29"/>
  <c r="V50" i="29"/>
  <c r="V39" i="29"/>
  <c r="U32" i="29"/>
  <c r="V58" i="29"/>
  <c r="U26" i="29"/>
  <c r="U65" i="29"/>
  <c r="U11" i="29"/>
  <c r="U64" i="29"/>
  <c r="U36" i="29"/>
  <c r="U54" i="29"/>
  <c r="U66" i="29"/>
  <c r="U25" i="29"/>
  <c r="U16" i="29"/>
  <c r="V19" i="29"/>
  <c r="V63" i="29"/>
  <c r="U8" i="29"/>
  <c r="V11" i="29"/>
  <c r="V52" i="29"/>
  <c r="U29" i="29"/>
  <c r="U7" i="29"/>
  <c r="U22" i="29"/>
  <c r="V40" i="29"/>
  <c r="U62" i="29"/>
  <c r="U70" i="29"/>
  <c r="V76" i="29"/>
  <c r="U24" i="29"/>
  <c r="U59" i="29"/>
  <c r="U30" i="29"/>
  <c r="V46" i="29"/>
  <c r="V18" i="29"/>
  <c r="V74" i="29"/>
  <c r="U42" i="29"/>
  <c r="V66" i="29"/>
  <c r="U76" i="29"/>
  <c r="V41" i="29"/>
  <c r="U41" i="29"/>
  <c r="V77" i="29"/>
  <c r="V22" i="29"/>
  <c r="V30" i="29"/>
  <c r="U73" i="29"/>
  <c r="U75" i="29"/>
  <c r="V71" i="29"/>
  <c r="V7" i="29"/>
  <c r="V61" i="29"/>
  <c r="V45" i="29"/>
  <c r="V75" i="29"/>
  <c r="U50" i="29"/>
  <c r="V20" i="29"/>
  <c r="V54" i="29"/>
  <c r="V56" i="29"/>
  <c r="V33" i="29"/>
  <c r="U14" i="29"/>
  <c r="U68" i="29"/>
  <c r="V79" i="29"/>
  <c r="V24" i="29"/>
  <c r="U39" i="29"/>
  <c r="V34" i="29"/>
  <c r="U78" i="29"/>
  <c r="U43" i="29"/>
  <c r="U56" i="29"/>
  <c r="U45" i="29"/>
  <c r="V5" i="29"/>
  <c r="V16" i="29"/>
  <c r="V38" i="29"/>
  <c r="U57" i="29"/>
  <c r="U38" i="29"/>
  <c r="U63" i="29"/>
  <c r="U10" i="29"/>
  <c r="V35" i="29"/>
  <c r="V25" i="29"/>
  <c r="V13" i="29"/>
  <c r="U46" i="29"/>
  <c r="U72" i="29"/>
  <c r="V48" i="29"/>
  <c r="U37" i="29"/>
  <c r="V72" i="29"/>
  <c r="U44" i="29"/>
  <c r="V10" i="29"/>
  <c r="V32" i="29"/>
  <c r="U15" i="29"/>
  <c r="V21" i="29"/>
  <c r="U13" i="29"/>
  <c r="V49" i="29"/>
  <c r="U55" i="29"/>
  <c r="U27" i="29"/>
  <c r="V6" i="29"/>
  <c r="U51" i="29"/>
  <c r="V17" i="29"/>
  <c r="U4" i="29"/>
  <c r="V26" i="29"/>
  <c r="U47" i="29"/>
  <c r="U61" i="29"/>
  <c r="V70" i="29"/>
  <c r="U28" i="29"/>
  <c r="V67" i="29"/>
  <c r="U34" i="29"/>
  <c r="U53" i="29"/>
  <c r="V64" i="29"/>
  <c r="V44" i="29"/>
  <c r="U48" i="29"/>
  <c r="U18" i="29"/>
  <c r="V37" i="29"/>
  <c r="U60" i="29"/>
  <c r="V65" i="29"/>
  <c r="U12" i="29"/>
  <c r="V27" i="29"/>
  <c r="V12" i="29"/>
  <c r="U17" i="29"/>
  <c r="V29" i="29"/>
  <c r="U69" i="29"/>
  <c r="V4" i="29"/>
  <c r="V78" i="29"/>
  <c r="U49" i="29"/>
  <c r="V53" i="29"/>
  <c r="U9" i="29"/>
  <c r="V42" i="29"/>
  <c r="U71" i="29"/>
  <c r="V8" i="29"/>
  <c r="U74" i="29"/>
  <c r="V23" i="29"/>
  <c r="U23" i="29"/>
  <c r="V36" i="29"/>
  <c r="U19" i="29"/>
  <c r="L4" i="32"/>
  <c r="AI20" i="32"/>
  <c r="L3" i="32"/>
  <c r="AI19" i="32"/>
  <c r="AP38" i="27"/>
  <c r="P36" i="27"/>
  <c r="R36" i="27" s="1"/>
  <c r="O37" i="27"/>
  <c r="AM39" i="27"/>
  <c r="AN39" i="27" s="1"/>
  <c r="AO39" i="27" s="1" a="1"/>
  <c r="AO39" i="27" s="1"/>
  <c r="AL40" i="27"/>
  <c r="P65" i="31"/>
  <c r="O66" i="31"/>
  <c r="S64" i="31"/>
  <c r="R64" i="31"/>
  <c r="AL70" i="31"/>
  <c r="AM69" i="31"/>
  <c r="AO68" i="31" a="1"/>
  <c r="AN68" i="31"/>
  <c r="AP67" i="31"/>
  <c r="AO67" i="31"/>
  <c r="AP68" i="29"/>
  <c r="AO68" i="29"/>
  <c r="AO69" i="29" a="1"/>
  <c r="AN69" i="29"/>
  <c r="AM70" i="29"/>
  <c r="AL71" i="29"/>
  <c r="P66" i="29"/>
  <c r="O67" i="29"/>
  <c r="P67" i="29" s="1"/>
  <c r="S65" i="29"/>
  <c r="R65" i="29"/>
  <c r="AP39" i="27" l="1"/>
  <c r="AM40" i="27"/>
  <c r="AN40" i="27" s="1"/>
  <c r="AO40" i="27" s="1" a="1"/>
  <c r="AO40" i="27" s="1"/>
  <c r="AL41" i="27"/>
  <c r="P37" i="27"/>
  <c r="R37" i="27" s="1"/>
  <c r="O38" i="27"/>
  <c r="AP68" i="31"/>
  <c r="AO68" i="31"/>
  <c r="AM70" i="31"/>
  <c r="AL71" i="31"/>
  <c r="O67" i="31"/>
  <c r="P67" i="31" s="1"/>
  <c r="P66" i="31"/>
  <c r="AO69" i="31" a="1"/>
  <c r="AN69" i="31"/>
  <c r="R65" i="31"/>
  <c r="S65" i="31"/>
  <c r="AP69" i="29"/>
  <c r="AO69" i="29"/>
  <c r="R66" i="29"/>
  <c r="S66" i="29"/>
  <c r="AM71" i="29"/>
  <c r="AL72" i="29"/>
  <c r="AM72" i="29" s="1"/>
  <c r="AO70" i="29" a="1"/>
  <c r="AN70" i="29"/>
  <c r="S67" i="29"/>
  <c r="R67" i="29"/>
  <c r="P38" i="27" l="1"/>
  <c r="R38" i="27" s="1"/>
  <c r="O39" i="27"/>
  <c r="AP40" i="27"/>
  <c r="AM41" i="27"/>
  <c r="AN41" i="27" s="1"/>
  <c r="AO41" i="27" s="1" a="1"/>
  <c r="AO41" i="27" s="1"/>
  <c r="AL42" i="27"/>
  <c r="S67" i="31"/>
  <c r="R67" i="31"/>
  <c r="AN70" i="31"/>
  <c r="AO70" i="31" a="1"/>
  <c r="AP69" i="31"/>
  <c r="AO69" i="31"/>
  <c r="S66" i="31"/>
  <c r="R66" i="31"/>
  <c r="AL72" i="31"/>
  <c r="AM72" i="31" s="1"/>
  <c r="AM71" i="31"/>
  <c r="AP70" i="29"/>
  <c r="AO70" i="29"/>
  <c r="AO72" i="29" a="1"/>
  <c r="AN72" i="29"/>
  <c r="AO71" i="29" a="1"/>
  <c r="AN71" i="29"/>
  <c r="U3" i="31" a="1"/>
  <c r="AP41" i="27" l="1"/>
  <c r="AM42" i="27"/>
  <c r="AN42" i="27" s="1"/>
  <c r="AO42" i="27" s="1" a="1"/>
  <c r="AP42" i="27" s="1"/>
  <c r="AL43" i="27"/>
  <c r="P39" i="27"/>
  <c r="R39" i="27" s="1"/>
  <c r="O40" i="27"/>
  <c r="U79" i="31"/>
  <c r="V15" i="31"/>
  <c r="V14" i="31"/>
  <c r="V17" i="31"/>
  <c r="V61" i="31"/>
  <c r="U71" i="31"/>
  <c r="V74" i="31"/>
  <c r="V60" i="31"/>
  <c r="V21" i="31"/>
  <c r="U41" i="31"/>
  <c r="U32" i="31"/>
  <c r="V40" i="31"/>
  <c r="V65" i="31"/>
  <c r="V53" i="31"/>
  <c r="U17" i="31"/>
  <c r="U29" i="31"/>
  <c r="V42" i="31"/>
  <c r="U33" i="31"/>
  <c r="V31" i="31"/>
  <c r="U9" i="31"/>
  <c r="V11" i="31"/>
  <c r="V71" i="31"/>
  <c r="U35" i="31"/>
  <c r="V56" i="31"/>
  <c r="U50" i="31"/>
  <c r="U34" i="31"/>
  <c r="U22" i="31"/>
  <c r="V78" i="31"/>
  <c r="U75" i="31"/>
  <c r="V9" i="31"/>
  <c r="V77" i="31"/>
  <c r="U13" i="31"/>
  <c r="V46" i="31"/>
  <c r="U3" i="31"/>
  <c r="V5" i="31"/>
  <c r="V66" i="31"/>
  <c r="U78" i="31"/>
  <c r="V39" i="31"/>
  <c r="U27" i="31"/>
  <c r="V41" i="31"/>
  <c r="U60" i="31"/>
  <c r="U49" i="31"/>
  <c r="U73" i="31"/>
  <c r="U70" i="31"/>
  <c r="V36" i="31"/>
  <c r="U62" i="31"/>
  <c r="U40" i="31"/>
  <c r="V19" i="31"/>
  <c r="U26" i="31"/>
  <c r="U63" i="31"/>
  <c r="V48" i="31"/>
  <c r="U68" i="31"/>
  <c r="U21" i="31"/>
  <c r="U16" i="31"/>
  <c r="U47" i="31"/>
  <c r="U38" i="31"/>
  <c r="V23" i="31"/>
  <c r="U72" i="31"/>
  <c r="V43" i="31"/>
  <c r="U39" i="31"/>
  <c r="U74" i="31"/>
  <c r="V45" i="31"/>
  <c r="U46" i="31"/>
  <c r="U30" i="31"/>
  <c r="U6" i="31"/>
  <c r="U4" i="31"/>
  <c r="V16" i="31"/>
  <c r="U8" i="31"/>
  <c r="V50" i="31"/>
  <c r="U37" i="31"/>
  <c r="U19" i="31"/>
  <c r="V24" i="31"/>
  <c r="U28" i="31"/>
  <c r="U14" i="31"/>
  <c r="V34" i="31"/>
  <c r="V49" i="31"/>
  <c r="U66" i="31"/>
  <c r="V12" i="31"/>
  <c r="U61" i="31"/>
  <c r="V63" i="31"/>
  <c r="V26" i="31"/>
  <c r="U65" i="31"/>
  <c r="U48" i="31"/>
  <c r="V29" i="31"/>
  <c r="U57" i="31"/>
  <c r="V3" i="31"/>
  <c r="U18" i="31"/>
  <c r="V64" i="31"/>
  <c r="U54" i="31"/>
  <c r="V27" i="31"/>
  <c r="V47" i="31"/>
  <c r="V73" i="31"/>
  <c r="V55" i="31"/>
  <c r="U55" i="31"/>
  <c r="V70" i="31"/>
  <c r="V52" i="31"/>
  <c r="U15" i="31"/>
  <c r="V25" i="31"/>
  <c r="U20" i="31"/>
  <c r="V30" i="31"/>
  <c r="U56" i="31"/>
  <c r="U7" i="31"/>
  <c r="U12" i="31"/>
  <c r="V13" i="31"/>
  <c r="U69" i="31"/>
  <c r="V28" i="31"/>
  <c r="U59" i="31"/>
  <c r="U58" i="31"/>
  <c r="V6" i="31"/>
  <c r="V33" i="31"/>
  <c r="U53" i="31"/>
  <c r="V51" i="31"/>
  <c r="V44" i="31"/>
  <c r="V37" i="31"/>
  <c r="U24" i="31"/>
  <c r="V58" i="31"/>
  <c r="V57" i="31"/>
  <c r="V79" i="31"/>
  <c r="V22" i="31"/>
  <c r="V68" i="31"/>
  <c r="U23" i="31"/>
  <c r="V10" i="31"/>
  <c r="V76" i="31"/>
  <c r="V7" i="31"/>
  <c r="U43" i="31"/>
  <c r="V32" i="31"/>
  <c r="V69" i="31"/>
  <c r="V67" i="31"/>
  <c r="V20" i="31"/>
  <c r="U45" i="31"/>
  <c r="U64" i="31"/>
  <c r="U31" i="31"/>
  <c r="U67" i="31"/>
  <c r="V72" i="31"/>
  <c r="V38" i="31"/>
  <c r="U51" i="31"/>
  <c r="U42" i="31"/>
  <c r="V54" i="31"/>
  <c r="U25" i="31"/>
  <c r="U11" i="31"/>
  <c r="V75" i="31"/>
  <c r="V8" i="31"/>
  <c r="V59" i="31"/>
  <c r="U36" i="31"/>
  <c r="V18" i="31"/>
  <c r="V4" i="31"/>
  <c r="U5" i="31"/>
  <c r="U52" i="31"/>
  <c r="V62" i="31"/>
  <c r="U77" i="31"/>
  <c r="V35" i="31"/>
  <c r="U44" i="31"/>
  <c r="U76" i="31"/>
  <c r="U10" i="31"/>
  <c r="AO71" i="31" a="1"/>
  <c r="AN71" i="31"/>
  <c r="AP70" i="31"/>
  <c r="AO70" i="31"/>
  <c r="AO72" i="31" a="1"/>
  <c r="AN72" i="31"/>
  <c r="AP72" i="29"/>
  <c r="AO72" i="29"/>
  <c r="AP71" i="29"/>
  <c r="AO71" i="29"/>
  <c r="AO42" i="27" l="1"/>
  <c r="P40" i="27"/>
  <c r="R40" i="27" s="1"/>
  <c r="O41" i="27"/>
  <c r="AM43" i="27"/>
  <c r="AN43" i="27" s="1"/>
  <c r="AO43" i="27" s="1" a="1"/>
  <c r="AP43" i="27" s="1"/>
  <c r="AL44" i="27"/>
  <c r="AP72" i="31"/>
  <c r="AO72" i="31"/>
  <c r="AP71" i="31"/>
  <c r="AO71" i="31"/>
  <c r="AM44" i="27" l="1"/>
  <c r="AN44" i="27" s="1"/>
  <c r="AO44" i="27" s="1" a="1"/>
  <c r="AO44" i="27" s="1"/>
  <c r="AL45" i="27"/>
  <c r="AO43" i="27"/>
  <c r="P41" i="27"/>
  <c r="R41" i="27" s="1"/>
  <c r="O42" i="27"/>
  <c r="AR31" i="27" a="1"/>
  <c r="AP44" i="27" l="1"/>
  <c r="AR31" i="27"/>
  <c r="AR47" i="27"/>
  <c r="AR38" i="27"/>
  <c r="AR52" i="27"/>
  <c r="AR50" i="27"/>
  <c r="AR36" i="27"/>
  <c r="AR56" i="27"/>
  <c r="AR33" i="27"/>
  <c r="AR63" i="27"/>
  <c r="AR61" i="27"/>
  <c r="AR45" i="27"/>
  <c r="AR39" i="27"/>
  <c r="AR55" i="27"/>
  <c r="AR37" i="27"/>
  <c r="AR34" i="27"/>
  <c r="AR42" i="27"/>
  <c r="AR57" i="27"/>
  <c r="AR48" i="27"/>
  <c r="AR58" i="27"/>
  <c r="AR51" i="27"/>
  <c r="AR49" i="27"/>
  <c r="AR54" i="27"/>
  <c r="AR53" i="27"/>
  <c r="AR43" i="27"/>
  <c r="AR40" i="27"/>
  <c r="AR64" i="27"/>
  <c r="AR41" i="27"/>
  <c r="AR46" i="27"/>
  <c r="AR60" i="27"/>
  <c r="AR35" i="27"/>
  <c r="AR59" i="27"/>
  <c r="AR32" i="27"/>
  <c r="AR62" i="27"/>
  <c r="AR44" i="27"/>
  <c r="P42" i="27"/>
  <c r="R42" i="27" s="1"/>
  <c r="O43" i="27"/>
  <c r="AM45" i="27"/>
  <c r="AL46" i="27"/>
  <c r="I32" i="27"/>
  <c r="L32" i="27" s="1"/>
  <c r="S32" i="27" s="1"/>
  <c r="I40" i="27"/>
  <c r="L40" i="27" s="1"/>
  <c r="S40" i="27" s="1"/>
  <c r="I48" i="27"/>
  <c r="L48" i="27" s="1"/>
  <c r="I33" i="27"/>
  <c r="L33" i="27" s="1"/>
  <c r="I41" i="27"/>
  <c r="L41" i="27" s="1"/>
  <c r="S41" i="27" s="1"/>
  <c r="I49" i="27"/>
  <c r="L49" i="27" s="1"/>
  <c r="I28" i="27"/>
  <c r="L28" i="27" s="1"/>
  <c r="I44" i="27"/>
  <c r="L44" i="27" s="1"/>
  <c r="I37" i="27"/>
  <c r="L37" i="27" s="1"/>
  <c r="S37" i="27" s="1"/>
  <c r="I53" i="27"/>
  <c r="L53" i="27" s="1"/>
  <c r="I38" i="27"/>
  <c r="L38" i="27" s="1"/>
  <c r="S38" i="27" s="1"/>
  <c r="I46" i="27"/>
  <c r="L46" i="27" s="1"/>
  <c r="I54" i="27"/>
  <c r="L54" i="27" s="1"/>
  <c r="I31" i="27"/>
  <c r="L31" i="27" s="1"/>
  <c r="S31" i="27" s="1"/>
  <c r="I39" i="27"/>
  <c r="L39" i="27" s="1"/>
  <c r="S39" i="27" s="1"/>
  <c r="I47" i="27"/>
  <c r="L47" i="27" s="1"/>
  <c r="I55" i="27"/>
  <c r="L55" i="27" s="1"/>
  <c r="I26" i="27"/>
  <c r="L26" i="27" s="1"/>
  <c r="I34" i="27"/>
  <c r="L34" i="27" s="1"/>
  <c r="I42" i="27"/>
  <c r="L42" i="27" s="1"/>
  <c r="I50" i="27"/>
  <c r="L50" i="27" s="1"/>
  <c r="I36" i="27"/>
  <c r="L36" i="27" s="1"/>
  <c r="I29" i="27"/>
  <c r="L29" i="27" s="1"/>
  <c r="S29" i="27" s="1"/>
  <c r="I45" i="27"/>
  <c r="L45" i="27" s="1"/>
  <c r="I30" i="27"/>
  <c r="L30" i="27" s="1"/>
  <c r="S30" i="27" s="1"/>
  <c r="I27" i="27"/>
  <c r="L27" i="27" s="1"/>
  <c r="S27" i="27" s="1"/>
  <c r="I35" i="27"/>
  <c r="L35" i="27" s="1"/>
  <c r="I43" i="27"/>
  <c r="L43" i="27" s="1"/>
  <c r="I51" i="27"/>
  <c r="L51" i="27" s="1"/>
  <c r="I52" i="27"/>
  <c r="L52" i="27" s="1"/>
  <c r="S26" i="27" l="1"/>
  <c r="S28" i="27"/>
  <c r="S33" i="27"/>
  <c r="S34" i="27"/>
  <c r="S36" i="27"/>
  <c r="S35" i="27"/>
  <c r="S42" i="27"/>
  <c r="AO45" i="27" a="1"/>
  <c r="AN45" i="27"/>
  <c r="P43" i="27"/>
  <c r="R43" i="27" s="1"/>
  <c r="O44" i="27"/>
  <c r="AM46" i="27"/>
  <c r="AL47" i="27"/>
  <c r="P44" i="27" l="1"/>
  <c r="O45" i="27"/>
  <c r="AO45" i="27"/>
  <c r="AP45" i="27"/>
  <c r="AO46" i="27" a="1"/>
  <c r="AN46" i="27"/>
  <c r="AL48" i="27"/>
  <c r="AM47" i="27"/>
  <c r="S43" i="27"/>
  <c r="AO46" i="27" l="1"/>
  <c r="AP46" i="27"/>
  <c r="AN47" i="27"/>
  <c r="AO47" i="27" a="1"/>
  <c r="P45" i="27"/>
  <c r="O46" i="27"/>
  <c r="AM48" i="27"/>
  <c r="AL49" i="27"/>
  <c r="R44" i="27"/>
  <c r="S44" i="27"/>
  <c r="AM49" i="27" l="1"/>
  <c r="AL50" i="27"/>
  <c r="P46" i="27"/>
  <c r="O47" i="27"/>
  <c r="AN48" i="27"/>
  <c r="AO48" i="27" a="1"/>
  <c r="R45" i="27"/>
  <c r="S45" i="27"/>
  <c r="AO47" i="27"/>
  <c r="AP47" i="27"/>
  <c r="R46" i="27" l="1"/>
  <c r="S46" i="27"/>
  <c r="AO48" i="27"/>
  <c r="AP48" i="27"/>
  <c r="P47" i="27"/>
  <c r="O48" i="27"/>
  <c r="AL51" i="27"/>
  <c r="AM50" i="27"/>
  <c r="AN49" i="27"/>
  <c r="AO49" i="27" a="1"/>
  <c r="O49" i="27" l="1"/>
  <c r="P48" i="27"/>
  <c r="AN50" i="27"/>
  <c r="AO50" i="27" a="1"/>
  <c r="AO49" i="27"/>
  <c r="AP49" i="27"/>
  <c r="AM51" i="27"/>
  <c r="AL52" i="27"/>
  <c r="R47" i="27"/>
  <c r="S47" i="27"/>
  <c r="AO50" i="27" l="1"/>
  <c r="AP50" i="27"/>
  <c r="AO51" i="27" a="1"/>
  <c r="AN51" i="27"/>
  <c r="R48" i="27"/>
  <c r="S48" i="27"/>
  <c r="AM52" i="27"/>
  <c r="AL53" i="27"/>
  <c r="P49" i="27"/>
  <c r="O50" i="27"/>
  <c r="AN52" i="27" l="1"/>
  <c r="AO52" i="27" a="1"/>
  <c r="AP51" i="27"/>
  <c r="AO51" i="27"/>
  <c r="O51" i="27"/>
  <c r="P50" i="27"/>
  <c r="AL54" i="27"/>
  <c r="AM53" i="27"/>
  <c r="R49" i="27"/>
  <c r="S49" i="27"/>
  <c r="AM54" i="27" l="1"/>
  <c r="AL55" i="27"/>
  <c r="O52" i="27"/>
  <c r="P51" i="27"/>
  <c r="AO53" i="27" a="1"/>
  <c r="AN53" i="27"/>
  <c r="AO52" i="27"/>
  <c r="AP52" i="27"/>
  <c r="S50" i="27"/>
  <c r="R50" i="27"/>
  <c r="AO53" i="27" l="1"/>
  <c r="AP53" i="27"/>
  <c r="P52" i="27"/>
  <c r="O53" i="27"/>
  <c r="AM55" i="27"/>
  <c r="AL56" i="27"/>
  <c r="S51" i="27"/>
  <c r="R51" i="27"/>
  <c r="AN54" i="27"/>
  <c r="AO54" i="27" a="1"/>
  <c r="AO55" i="27" l="1" a="1"/>
  <c r="AN55" i="27"/>
  <c r="R52" i="27"/>
  <c r="S52" i="27"/>
  <c r="AP54" i="27"/>
  <c r="AO54" i="27"/>
  <c r="AM56" i="27"/>
  <c r="AL57" i="27"/>
  <c r="P53" i="27"/>
  <c r="O54" i="27"/>
  <c r="AO56" i="27" l="1" a="1"/>
  <c r="AN56" i="27"/>
  <c r="AM57" i="27"/>
  <c r="AL58" i="27"/>
  <c r="O55" i="27"/>
  <c r="P54" i="27"/>
  <c r="S53" i="27"/>
  <c r="R53" i="27"/>
  <c r="AO55" i="27"/>
  <c r="AP55" i="27"/>
  <c r="R54" i="27" l="1"/>
  <c r="S54" i="27"/>
  <c r="AN57" i="27"/>
  <c r="AO57" i="27" a="1"/>
  <c r="AM58" i="27"/>
  <c r="AL59" i="27"/>
  <c r="P55" i="27"/>
  <c r="O56" i="27"/>
  <c r="AO56" i="27"/>
  <c r="AP56" i="27"/>
  <c r="P56" i="27" l="1"/>
  <c r="O57" i="27"/>
  <c r="AM59" i="27"/>
  <c r="AL60" i="27"/>
  <c r="R55" i="27"/>
  <c r="S55" i="27"/>
  <c r="AN58" i="27"/>
  <c r="AO58" i="27" a="1"/>
  <c r="AO57" i="27"/>
  <c r="AP57" i="27"/>
  <c r="AP58" i="27" l="1"/>
  <c r="AO58" i="27"/>
  <c r="AN59" i="27"/>
  <c r="AO59" i="27" a="1"/>
  <c r="P57" i="27"/>
  <c r="O58" i="27"/>
  <c r="AM60" i="27"/>
  <c r="AL61" i="27"/>
  <c r="R56" i="27"/>
  <c r="S56" i="27"/>
  <c r="AL62" i="27" l="1"/>
  <c r="AM61" i="27"/>
  <c r="AN61" i="27" s="1"/>
  <c r="P58" i="27"/>
  <c r="O59" i="27"/>
  <c r="R57" i="27"/>
  <c r="S57" i="27"/>
  <c r="AN60" i="27"/>
  <c r="AO60" i="27" a="1"/>
  <c r="AP59" i="27"/>
  <c r="AO59" i="27"/>
  <c r="R58" i="27" l="1"/>
  <c r="S58" i="27"/>
  <c r="AO60" i="27"/>
  <c r="AP60" i="27"/>
  <c r="P59" i="27"/>
  <c r="O60" i="27"/>
  <c r="AL63" i="27"/>
  <c r="AM62" i="27"/>
  <c r="AN62" i="27" s="1"/>
  <c r="AM63" i="27" l="1"/>
  <c r="AL64" i="27"/>
  <c r="P60" i="27"/>
  <c r="O61" i="27"/>
  <c r="S59" i="27"/>
  <c r="R59" i="27"/>
  <c r="S60" i="27" l="1"/>
  <c r="R60" i="27"/>
  <c r="AM64" i="27"/>
  <c r="AL65" i="27"/>
  <c r="P61" i="27"/>
  <c r="O62" i="27"/>
  <c r="AN63" i="27"/>
  <c r="AO63" i="27" a="1"/>
  <c r="AM65" i="27" l="1"/>
  <c r="AL66" i="27"/>
  <c r="AO64" i="27" a="1"/>
  <c r="AN64" i="27"/>
  <c r="P62" i="27"/>
  <c r="O63" i="27"/>
  <c r="AP63" i="27"/>
  <c r="AO63" i="27"/>
  <c r="R61" i="27"/>
  <c r="S61" i="27"/>
  <c r="AP64" i="27" l="1"/>
  <c r="AO64" i="27"/>
  <c r="R62" i="27"/>
  <c r="S62" i="27"/>
  <c r="AL67" i="27"/>
  <c r="AM66" i="27"/>
  <c r="P63" i="27"/>
  <c r="O64" i="27"/>
  <c r="AN65" i="27"/>
  <c r="AO65" i="27" a="1"/>
  <c r="R63" i="27" l="1"/>
  <c r="S63" i="27"/>
  <c r="AN66" i="27"/>
  <c r="AO66" i="27" a="1"/>
  <c r="P64" i="27"/>
  <c r="O65" i="27"/>
  <c r="AM67" i="27"/>
  <c r="AL68" i="27"/>
  <c r="AP65" i="27"/>
  <c r="AO65" i="27"/>
  <c r="AL69" i="27" l="1"/>
  <c r="AM68" i="27"/>
  <c r="P65" i="27"/>
  <c r="O66" i="27"/>
  <c r="AP66" i="27"/>
  <c r="AO66" i="27"/>
  <c r="AO67" i="27" a="1"/>
  <c r="AN67" i="27"/>
  <c r="S64" i="27"/>
  <c r="R64" i="27"/>
  <c r="R65" i="27" l="1"/>
  <c r="S65" i="27"/>
  <c r="P66" i="27"/>
  <c r="O67" i="27"/>
  <c r="P67" i="27" s="1"/>
  <c r="AO68" i="27" a="1"/>
  <c r="AN68" i="27"/>
  <c r="AO67" i="27"/>
  <c r="AP67" i="27"/>
  <c r="AM69" i="27"/>
  <c r="AL70" i="27"/>
  <c r="S67" i="27" l="1"/>
  <c r="R67" i="27"/>
  <c r="AL71" i="27"/>
  <c r="AM70" i="27"/>
  <c r="AP68" i="27"/>
  <c r="AO68" i="27"/>
  <c r="S66" i="27"/>
  <c r="R66" i="27"/>
  <c r="AN69" i="27"/>
  <c r="AO69" i="27" a="1"/>
  <c r="AN70" i="27" l="1"/>
  <c r="AO70" i="27" a="1"/>
  <c r="AL72" i="27"/>
  <c r="AM72" i="27" s="1"/>
  <c r="AM71" i="27"/>
  <c r="AP69" i="27"/>
  <c r="AO69" i="27"/>
  <c r="AO72" i="27" l="1" a="1"/>
  <c r="AN72" i="27"/>
  <c r="AO70" i="27"/>
  <c r="AP70" i="27"/>
  <c r="AN71" i="27"/>
  <c r="AO71" i="27" a="1"/>
  <c r="AP71" i="27" l="1"/>
  <c r="AO71" i="27"/>
  <c r="AO72" i="27"/>
  <c r="AP72" i="27"/>
  <c r="AI7" i="27" a="1"/>
  <c r="AI8" i="27" l="1"/>
  <c r="AI7" i="27"/>
  <c r="AI9" i="27"/>
  <c r="I3" i="27" l="1" a="1"/>
  <c r="AI13" i="27"/>
  <c r="AI15" i="27" l="1"/>
  <c r="AI14" i="27"/>
  <c r="AI16" i="27"/>
  <c r="AI17" i="27" l="1"/>
  <c r="AI18" i="27"/>
  <c r="I4" i="27" l="1"/>
  <c r="L4" i="27" s="1"/>
  <c r="S4" i="27" s="1"/>
  <c r="I3" i="27"/>
  <c r="L3" i="27" s="1"/>
  <c r="S3" i="27" s="1"/>
  <c r="AI19" i="27"/>
  <c r="U3" i="27" a="1"/>
  <c r="AI20" i="27" l="1"/>
  <c r="U74" i="27"/>
  <c r="V22" i="27"/>
  <c r="U34" i="27"/>
  <c r="U22" i="27"/>
  <c r="V19" i="27"/>
  <c r="V38" i="27"/>
  <c r="V79" i="27"/>
  <c r="U32" i="27"/>
  <c r="U65" i="27"/>
  <c r="U44" i="27"/>
  <c r="U69" i="27"/>
  <c r="V32" i="27"/>
  <c r="V16" i="27"/>
  <c r="U63" i="27"/>
  <c r="V5" i="27"/>
  <c r="V20" i="27"/>
  <c r="V65" i="27"/>
  <c r="V52" i="27"/>
  <c r="U14" i="27"/>
  <c r="U33" i="27"/>
  <c r="V67" i="27"/>
  <c r="U62" i="27"/>
  <c r="U78" i="27"/>
  <c r="U56" i="27"/>
  <c r="U66" i="27"/>
  <c r="V61" i="27"/>
  <c r="U72" i="27"/>
  <c r="V49" i="27"/>
  <c r="U24" i="27"/>
  <c r="V30" i="27"/>
  <c r="U49" i="27"/>
  <c r="U75" i="27"/>
  <c r="V57" i="27"/>
  <c r="U79" i="27"/>
  <c r="V3" i="27"/>
  <c r="U11" i="27"/>
  <c r="V21" i="27"/>
  <c r="U59" i="27"/>
  <c r="V58" i="27"/>
  <c r="V17" i="27"/>
  <c r="V39" i="27"/>
  <c r="U71" i="27"/>
  <c r="V10" i="27"/>
  <c r="V27" i="27"/>
  <c r="V40" i="27"/>
  <c r="V8" i="27"/>
  <c r="V48" i="27"/>
  <c r="V75" i="27"/>
  <c r="U21" i="27"/>
  <c r="V70" i="27"/>
  <c r="U27" i="27"/>
  <c r="U45" i="27"/>
  <c r="U3" i="27"/>
  <c r="V34" i="27"/>
  <c r="V42" i="27"/>
  <c r="V13" i="27"/>
  <c r="V78" i="27"/>
  <c r="U26" i="27"/>
  <c r="U37" i="27"/>
  <c r="U67" i="27"/>
  <c r="V15" i="27"/>
  <c r="U19" i="27"/>
  <c r="V28" i="27"/>
  <c r="U54" i="27"/>
  <c r="V18" i="27"/>
  <c r="U35" i="27"/>
  <c r="U60" i="27"/>
  <c r="U77" i="27"/>
  <c r="V44" i="27"/>
  <c r="U38" i="27"/>
  <c r="U42" i="27"/>
  <c r="V51" i="27"/>
  <c r="U12" i="27"/>
  <c r="U70" i="27"/>
  <c r="V64" i="27"/>
  <c r="V62" i="27"/>
  <c r="U23" i="27"/>
  <c r="V14" i="27"/>
  <c r="V7" i="27"/>
  <c r="V68" i="27"/>
  <c r="V47" i="27"/>
  <c r="U61" i="27"/>
  <c r="U5" i="27"/>
  <c r="V73" i="27"/>
  <c r="U13" i="27"/>
  <c r="V12" i="27"/>
  <c r="V35" i="27"/>
  <c r="V72" i="27"/>
  <c r="V37" i="27"/>
  <c r="V4" i="27"/>
  <c r="U46" i="27"/>
  <c r="V26" i="27"/>
  <c r="U76" i="27"/>
  <c r="U43" i="27"/>
  <c r="U41" i="27"/>
  <c r="U52" i="27"/>
  <c r="U36" i="27"/>
  <c r="V9" i="27"/>
  <c r="U58" i="27"/>
  <c r="U40" i="27"/>
  <c r="U8" i="27"/>
  <c r="V63" i="27"/>
  <c r="U9" i="27"/>
  <c r="U6" i="27"/>
  <c r="U48" i="27"/>
  <c r="U7" i="27"/>
  <c r="U53" i="27"/>
  <c r="U25" i="27"/>
  <c r="V36" i="27"/>
  <c r="U20" i="27"/>
  <c r="V43" i="27"/>
  <c r="U57" i="27"/>
  <c r="V60" i="27"/>
  <c r="V33" i="27"/>
  <c r="V74" i="27"/>
  <c r="U29" i="27"/>
  <c r="V29" i="27"/>
  <c r="U73" i="27"/>
  <c r="V55" i="27"/>
  <c r="U17" i="27"/>
  <c r="V71" i="27"/>
  <c r="V76" i="27"/>
  <c r="U39" i="27"/>
  <c r="V54" i="27"/>
  <c r="V66" i="27"/>
  <c r="U50" i="27"/>
  <c r="U55" i="27"/>
  <c r="U64" i="27"/>
  <c r="V50" i="27"/>
  <c r="V53" i="27"/>
  <c r="V6" i="27"/>
  <c r="U4" i="27"/>
  <c r="V69" i="27"/>
  <c r="U30" i="27"/>
  <c r="U51" i="27"/>
  <c r="V45" i="27"/>
  <c r="U28" i="27"/>
  <c r="V31" i="27"/>
  <c r="U15" i="27"/>
  <c r="V46" i="27"/>
  <c r="U16" i="27"/>
  <c r="U18" i="27"/>
  <c r="U68" i="27"/>
  <c r="V23" i="27"/>
  <c r="V11" i="27"/>
  <c r="V77" i="27"/>
  <c r="U31" i="27"/>
  <c r="U47" i="27"/>
  <c r="V24" i="27"/>
  <c r="V56" i="27"/>
  <c r="V41" i="27"/>
  <c r="U10" i="27"/>
  <c r="V25" i="27"/>
  <c r="V59" i="27"/>
</calcChain>
</file>

<file path=xl/sharedStrings.xml><?xml version="1.0" encoding="utf-8"?>
<sst xmlns="http://schemas.openxmlformats.org/spreadsheetml/2006/main" count="1419" uniqueCount="249">
  <si>
    <t>Triggers</t>
  </si>
  <si>
    <t>Manual Trigger</t>
  </si>
  <si>
    <t>EvaluationDate</t>
  </si>
  <si>
    <t>Objects Trigger</t>
  </si>
  <si>
    <t>Currency</t>
  </si>
  <si>
    <t>LiborName</t>
  </si>
  <si>
    <t>InterpType</t>
  </si>
  <si>
    <t>InterpOn</t>
  </si>
  <si>
    <t>Comp</t>
  </si>
  <si>
    <t>DayCount</t>
  </si>
  <si>
    <t>QL Curve Name</t>
  </si>
  <si>
    <t>kruger</t>
  </si>
  <si>
    <t>rt</t>
  </si>
  <si>
    <t>cont</t>
  </si>
  <si>
    <t>Dates</t>
  </si>
  <si>
    <t>Discounts</t>
  </si>
  <si>
    <t>QL Curve Handle</t>
  </si>
  <si>
    <t>Count</t>
  </si>
  <si>
    <t>ShmPush</t>
  </si>
  <si>
    <t>adjusted</t>
  </si>
  <si>
    <t>standard</t>
  </si>
  <si>
    <t>dvFutEndDate</t>
  </si>
  <si>
    <t>Zero Rates</t>
  </si>
  <si>
    <t>off</t>
  </si>
  <si>
    <t>on</t>
  </si>
  <si>
    <t>dvOutputType</t>
  </si>
  <si>
    <t>dvMatCons</t>
  </si>
  <si>
    <t>dates</t>
  </si>
  <si>
    <t>stub</t>
  </si>
  <si>
    <t>months</t>
  </si>
  <si>
    <t>end</t>
  </si>
  <si>
    <t>years</t>
  </si>
  <si>
    <t>start</t>
  </si>
  <si>
    <t>dvSwapMatType</t>
  </si>
  <si>
    <t>dvFutCons</t>
  </si>
  <si>
    <t>ModFollowing</t>
  </si>
  <si>
    <t>simple</t>
  </si>
  <si>
    <t>Forward</t>
  </si>
  <si>
    <t>annual</t>
  </si>
  <si>
    <t>Backward</t>
  </si>
  <si>
    <t>NoAdjust</t>
  </si>
  <si>
    <t>dvCompounding</t>
  </si>
  <si>
    <t>dvFraFutAdjust</t>
  </si>
  <si>
    <t>d</t>
  </si>
  <si>
    <t>One/One</t>
  </si>
  <si>
    <t>30/360</t>
  </si>
  <si>
    <t>r</t>
  </si>
  <si>
    <t>Act/Act</t>
  </si>
  <si>
    <t>dvInterpOn</t>
  </si>
  <si>
    <t>365/365</t>
  </si>
  <si>
    <t>Act/365</t>
  </si>
  <si>
    <t>spline</t>
  </si>
  <si>
    <t>Act/360</t>
  </si>
  <si>
    <t>const</t>
  </si>
  <si>
    <t>30E+360</t>
  </si>
  <si>
    <t>360/360</t>
  </si>
  <si>
    <t>quadra</t>
  </si>
  <si>
    <t>30E/360</t>
  </si>
  <si>
    <t>linear</t>
  </si>
  <si>
    <t>Act/Act AFB</t>
  </si>
  <si>
    <t>dvBool</t>
  </si>
  <si>
    <t>dvInterpType</t>
  </si>
  <si>
    <t>dvDayCount</t>
  </si>
  <si>
    <t>Suffix</t>
  </si>
  <si>
    <t>CustomValue</t>
  </si>
  <si>
    <t>CustomField</t>
  </si>
  <si>
    <t>Prefix</t>
  </si>
  <si>
    <t>IDN</t>
  </si>
  <si>
    <t>Source</t>
  </si>
  <si>
    <t>Interp DayCount</t>
  </si>
  <si>
    <t>ASK</t>
  </si>
  <si>
    <t>BID</t>
  </si>
  <si>
    <t>Swaps</t>
  </si>
  <si>
    <t>Used</t>
  </si>
  <si>
    <t>Spread</t>
  </si>
  <si>
    <t>Override</t>
  </si>
  <si>
    <t>Real Time</t>
  </si>
  <si>
    <t>Enabled</t>
  </si>
  <si>
    <t>Maty Consistency</t>
  </si>
  <si>
    <t>Block Order</t>
  </si>
  <si>
    <t>Optional Parameters</t>
  </si>
  <si>
    <t>m</t>
  </si>
  <si>
    <t>Deposits</t>
  </si>
  <si>
    <t>Output Type</t>
  </si>
  <si>
    <t>Compounding</t>
  </si>
  <si>
    <t>S</t>
  </si>
  <si>
    <t>w</t>
  </si>
  <si>
    <t>Interp On</t>
  </si>
  <si>
    <t>Interp Type</t>
  </si>
  <si>
    <t>SN</t>
  </si>
  <si>
    <t>sn</t>
  </si>
  <si>
    <t>Curve Name</t>
  </si>
  <si>
    <t>TN</t>
  </si>
  <si>
    <t>tn</t>
  </si>
  <si>
    <t>ON</t>
  </si>
  <si>
    <t>Today</t>
  </si>
  <si>
    <t>Maty</t>
  </si>
  <si>
    <t>Parameters</t>
  </si>
  <si>
    <t>Domestic Currency</t>
  </si>
  <si>
    <t>Foreign Currency</t>
  </si>
  <si>
    <t>EUR</t>
  </si>
  <si>
    <t>Trigger</t>
  </si>
  <si>
    <t>DTSIMI1</t>
  </si>
  <si>
    <t>W</t>
  </si>
  <si>
    <t>M</t>
  </si>
  <si>
    <t>=</t>
  </si>
  <si>
    <t>FX</t>
  </si>
  <si>
    <t>Domestic Disc Curve</t>
  </si>
  <si>
    <t>Domestic Fwd Curve</t>
  </si>
  <si>
    <t>Foreign Fwd Curve</t>
  </si>
  <si>
    <t>Depo Value Days</t>
  </si>
  <si>
    <t>Domestic Notional</t>
  </si>
  <si>
    <t>Foreign Notional</t>
  </si>
  <si>
    <t>MtM Currency</t>
  </si>
  <si>
    <t>CCS Maturity Type</t>
  </si>
  <si>
    <t>CCS Domestic Freq</t>
  </si>
  <si>
    <t>CCS Domestic Daycnt</t>
  </si>
  <si>
    <t>CCS Domestic Multiplier</t>
  </si>
  <si>
    <t>CCS Domestic 1st rate</t>
  </si>
  <si>
    <t>CCS Foreign Freq</t>
  </si>
  <si>
    <t>CCS Foreign Daycnt</t>
  </si>
  <si>
    <t>CCS Foreign Multiplier</t>
  </si>
  <si>
    <t>CCS Foreign 1st rate</t>
  </si>
  <si>
    <t>CCS Spread Currency</t>
  </si>
  <si>
    <t>Mid</t>
  </si>
  <si>
    <t>InterpY</t>
  </si>
  <si>
    <t>InterpX</t>
  </si>
  <si>
    <t>Interp CCS Quotes</t>
  </si>
  <si>
    <t>t+1</t>
  </si>
  <si>
    <t>t+2</t>
  </si>
  <si>
    <t>t+2+1w</t>
  </si>
  <si>
    <t>[0,1W] Zero rate spread</t>
  </si>
  <si>
    <t>Factor</t>
  </si>
  <si>
    <t>QL Object Class</t>
  </si>
  <si>
    <t>DateChooser</t>
  </si>
  <si>
    <t>EURSTD</t>
  </si>
  <si>
    <t>EUR3M</t>
  </si>
  <si>
    <t>EURON</t>
  </si>
  <si>
    <t>CCSDom1stRateFixed</t>
  </si>
  <si>
    <t>CCSFor1stRateFixed</t>
  </si>
  <si>
    <t>RTData Trigger</t>
  </si>
  <si>
    <t>QuantLib</t>
  </si>
  <si>
    <t>InUse</t>
  </si>
  <si>
    <t>EURON_</t>
  </si>
  <si>
    <t>EUR3M_</t>
  </si>
  <si>
    <t>Discount</t>
  </si>
  <si>
    <t>ManualEvalDate</t>
  </si>
  <si>
    <t>QLEvaluationDate</t>
  </si>
  <si>
    <t>semiannual</t>
  </si>
  <si>
    <t>quarterly</t>
  </si>
  <si>
    <t>monthly</t>
  </si>
  <si>
    <t>dvPayFreqType</t>
  </si>
  <si>
    <t>D=CKCC</t>
  </si>
  <si>
    <t>GBP</t>
  </si>
  <si>
    <t>ON/TN DEPO SPREADS TO MATCH MX DISCOUNTS</t>
  </si>
  <si>
    <t>USDON</t>
  </si>
  <si>
    <t>USD3M</t>
  </si>
  <si>
    <t>USDSTD</t>
  </si>
  <si>
    <t>USD</t>
  </si>
  <si>
    <t>USDBASIS.EURON</t>
  </si>
  <si>
    <t>USD3M_</t>
  </si>
  <si>
    <t>Disc@t+1, USDON</t>
  </si>
  <si>
    <t>Disc@t+2, USDON</t>
  </si>
  <si>
    <t>Disc@t+2+1w, USDON</t>
  </si>
  <si>
    <t>USD Yrf Code</t>
  </si>
  <si>
    <t>Disc@t+1, MX-USDBasis</t>
  </si>
  <si>
    <t>Disc@t+2, MX-USDBasis</t>
  </si>
  <si>
    <t>Disc@t+2+1w, MX-USDBasis</t>
  </si>
  <si>
    <t>MX-USDBasis simple rate t,t+1</t>
  </si>
  <si>
    <t>MX-USDBasis simple rate t+1,t+2</t>
  </si>
  <si>
    <t>spread BASIS-USDON "on" (%)</t>
  </si>
  <si>
    <t>spread BASIS-USDON "tn" (%)</t>
  </si>
  <si>
    <t>MX ccs curve built as spread curve over</t>
  </si>
  <si>
    <t>USDON_</t>
  </si>
  <si>
    <t>EURSTD_</t>
  </si>
  <si>
    <t>USDBASIS.EURSTD</t>
  </si>
  <si>
    <t>USDSTD_</t>
  </si>
  <si>
    <t>1Y</t>
  </si>
  <si>
    <t>=ICAP</t>
  </si>
  <si>
    <t>2Y</t>
  </si>
  <si>
    <t>3Y</t>
  </si>
  <si>
    <t>4Y</t>
  </si>
  <si>
    <t>5Y</t>
  </si>
  <si>
    <t>7Y</t>
  </si>
  <si>
    <t>10Y</t>
  </si>
  <si>
    <t>15Y</t>
  </si>
  <si>
    <t>3M</t>
  </si>
  <si>
    <t>6M</t>
  </si>
  <si>
    <t>9M</t>
  </si>
  <si>
    <t>20Y</t>
  </si>
  <si>
    <t>30Y</t>
  </si>
  <si>
    <t>EUUSEOFF</t>
  </si>
  <si>
    <t>MONTHS</t>
  </si>
  <si>
    <t>CCSWAP1 NPV (EUR)</t>
  </si>
  <si>
    <t>TOT (EUR)</t>
  </si>
  <si>
    <t>CCSWAP2 NPV (EUR)</t>
  </si>
  <si>
    <t>Receive</t>
  </si>
  <si>
    <t>Pay</t>
  </si>
  <si>
    <t>startDate</t>
  </si>
  <si>
    <t>matDate</t>
  </si>
  <si>
    <t>matMonth</t>
  </si>
  <si>
    <t>payment frequency</t>
  </si>
  <si>
    <t>dayCount</t>
  </si>
  <si>
    <t>adjustDates</t>
  </si>
  <si>
    <t>modFollow</t>
  </si>
  <si>
    <t>notional</t>
  </si>
  <si>
    <t>spotFXDom2For</t>
  </si>
  <si>
    <t>discountCurveName</t>
  </si>
  <si>
    <t>forwardingCurveName</t>
  </si>
  <si>
    <t>marked2MarketCurr</t>
  </si>
  <si>
    <t>rateMult</t>
  </si>
  <si>
    <t>rateMargin (%)</t>
  </si>
  <si>
    <t>is1stCpnFixed</t>
  </si>
  <si>
    <t>firstCpnRate (%)</t>
  </si>
  <si>
    <t>USD/EUR</t>
  </si>
  <si>
    <t>CCSUSDEUR</t>
  </si>
  <si>
    <t>CCSUSDEURSTD</t>
  </si>
  <si>
    <t>M=</t>
  </si>
  <si>
    <t>W=</t>
  </si>
  <si>
    <t>Linear Yrf 1W Depo</t>
  </si>
  <si>
    <t>Zero Rate Yrf Code</t>
  </si>
  <si>
    <t>IsBootstrapSheet</t>
  </si>
  <si>
    <t>SEK</t>
  </si>
  <si>
    <t>SEKON</t>
  </si>
  <si>
    <t>SEK3M</t>
  </si>
  <si>
    <t>SEKSTD</t>
  </si>
  <si>
    <t>SEKBASIS.EURON</t>
  </si>
  <si>
    <t>SEKBASIS.EURSTD</t>
  </si>
  <si>
    <t>SEKBASIS.EURSTD(USD)</t>
  </si>
  <si>
    <t>SEKBASIS.EURON(USD)</t>
  </si>
  <si>
    <t>SEK3M_</t>
  </si>
  <si>
    <t>SEKON_</t>
  </si>
  <si>
    <t>SEKSTD_</t>
  </si>
  <si>
    <t>SEKCBS</t>
  </si>
  <si>
    <t>Disc@t+1, SEKON</t>
  </si>
  <si>
    <t>Disc@t+2, SEKON</t>
  </si>
  <si>
    <t>Disc@t+2+1w, SEKON</t>
  </si>
  <si>
    <t>SEK Yrf Code</t>
  </si>
  <si>
    <t>Disc@t+1, MX-SEKBasis</t>
  </si>
  <si>
    <t>Disc@t+2, MX-SEKBasis</t>
  </si>
  <si>
    <t>Disc@t+2+1w, MX-SEKBasis</t>
  </si>
  <si>
    <t>MX-SEKBasis simple rate t,t+1</t>
  </si>
  <si>
    <t>MX-SEKBasis simple rate t+1,t+2</t>
  </si>
  <si>
    <t>spread BASIS-SEKON "on" (%)</t>
  </si>
  <si>
    <t>spread BASIS-SEKON "tn" (%)</t>
  </si>
  <si>
    <t>EURSEK</t>
  </si>
  <si>
    <t>SEKECB</t>
  </si>
  <si>
    <t>EUR/SEK</t>
  </si>
  <si>
    <t>USD/SEK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</si>
</sst>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8" formatCode="&quot;$&quot;#,##0.00_);[Red]\(&quot;$&quot;#,##0.00\)"/>
    <numFmt numFmtId="42" formatCode="_(&quot;$&quot;* #,##0_);_(&quot;$&quot;* \(#,##0\);_(&quot;$&quot;* &quot;-&quot;_);_(@_)"/>
    <numFmt numFmtId="164" formatCode="_-* #,##0_-;\-* #,##0_-;_-* &quot;-&quot;_-;_-@_-"/>
    <numFmt numFmtId="165" formatCode="_-* #,##0.00_-;\-* #,##0.00_-;_-* &quot;-&quot;??_-;_-@_-"/>
    <numFmt numFmtId="166" formatCode="ddd\,\ dd\-mmm\-yyyy"/>
    <numFmt numFmtId="167" formatCode="ddd\,\ d\-mmm\-yyyy"/>
    <numFmt numFmtId="168" formatCode="d\ mmm\ yy"/>
    <numFmt numFmtId="169" formatCode="#,##0.00000000"/>
    <numFmt numFmtId="170" formatCode="_-[$€]\ * #,##0.00_-;\-[$€]\ * #,##0.00_-;_-[$€]\ * &quot;-&quot;??_-;_-@_-"/>
    <numFmt numFmtId="171" formatCode="0.0000"/>
    <numFmt numFmtId="172" formatCode="0.000000000"/>
    <numFmt numFmtId="173" formatCode="dd\ mmm\ yy"/>
    <numFmt numFmtId="174" formatCode="0.000%"/>
    <numFmt numFmtId="175" formatCode="mmm\ yy"/>
    <numFmt numFmtId="176" formatCode="0&quot;M&quot;"/>
    <numFmt numFmtId="177" formatCode="0&quot;W&quot;"/>
    <numFmt numFmtId="178" formatCode="#,##0.0;#,##0.0"/>
    <numFmt numFmtId="179" formatCode="ddd\,\ dd/mm/yyyy"/>
    <numFmt numFmtId="180" formatCode="#,##0.00_ ;\-#,##0.00\ "/>
  </numFmts>
  <fonts count="43" x14ac:knownFonts="1">
    <font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sz val="8"/>
      <color indexed="23"/>
      <name val="Arial"/>
      <family val="2"/>
    </font>
    <font>
      <b/>
      <i/>
      <sz val="8"/>
      <name val="Arial"/>
      <family val="2"/>
    </font>
    <font>
      <sz val="11"/>
      <color indexed="62"/>
      <name val="Calibri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16"/>
      <name val="MS Sans Serif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8"/>
      <color indexed="62"/>
      <name val="Cambria"/>
      <family val="2"/>
    </font>
    <font>
      <i/>
      <sz val="8"/>
      <color theme="0" tint="-0.14999847407452621"/>
      <name val="Arial"/>
      <family val="2"/>
    </font>
    <font>
      <sz val="8"/>
      <color rgb="FF000000"/>
      <name val="Arial"/>
      <family val="2"/>
    </font>
    <font>
      <b/>
      <i/>
      <sz val="8"/>
      <color theme="0" tint="-0.499984740745262"/>
      <name val="Arial"/>
      <family val="2"/>
    </font>
    <font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sz val="18"/>
      <color theme="1"/>
      <name val="Arial"/>
      <family val="2"/>
    </font>
    <font>
      <sz val="8"/>
      <color theme="0" tint="-0.34998626667073579"/>
      <name val="Arial"/>
      <family val="2"/>
    </font>
    <font>
      <sz val="9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gray0625"/>
    </fill>
    <fill>
      <patternFill patternType="gray0625">
        <bgColor theme="0" tint="-0.24994659260841701"/>
      </patternFill>
    </fill>
    <fill>
      <patternFill patternType="gray125">
        <bgColor rgb="FFFFCCFF"/>
      </patternFill>
    </fill>
    <fill>
      <patternFill patternType="gray125">
        <bgColor rgb="FFCCFFFF"/>
      </patternFill>
    </fill>
    <fill>
      <patternFill patternType="solid">
        <fgColor rgb="FFFF66FF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3">
    <xf numFmtId="0" fontId="0" fillId="0" borderId="0"/>
    <xf numFmtId="0" fontId="3" fillId="0" borderId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7" fillId="18" borderId="21" applyNumberFormat="0" applyAlignment="0" applyProtection="0"/>
    <xf numFmtId="0" fontId="8" fillId="0" borderId="22" applyNumberFormat="0" applyFill="0" applyAlignment="0" applyProtection="0"/>
    <xf numFmtId="0" fontId="9" fillId="19" borderId="23" applyNumberFormat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23" borderId="0" applyNumberFormat="0" applyBorder="0" applyAlignment="0" applyProtection="0"/>
    <xf numFmtId="170" fontId="10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2" fillId="24" borderId="0" applyNumberFormat="0" applyBorder="0" applyAlignment="0" applyProtection="0"/>
    <xf numFmtId="0" fontId="10" fillId="25" borderId="24" applyNumberFormat="0" applyFon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25" applyNumberFormat="0" applyFill="0" applyAlignment="0" applyProtection="0"/>
    <xf numFmtId="0" fontId="2" fillId="3" borderId="17" applyNumberFormat="0" applyFont="0" applyAlignment="0">
      <protection locked="0"/>
    </xf>
    <xf numFmtId="0" fontId="10" fillId="0" borderId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23" borderId="0" applyNumberFormat="0" applyBorder="0" applyAlignment="0" applyProtection="0"/>
    <xf numFmtId="0" fontId="28" fillId="5" borderId="0" applyNumberFormat="0" applyBorder="0" applyAlignment="0" applyProtection="0"/>
    <xf numFmtId="0" fontId="7" fillId="18" borderId="29" applyNumberFormat="0" applyAlignment="0" applyProtection="0"/>
    <xf numFmtId="0" fontId="7" fillId="18" borderId="29" applyNumberFormat="0" applyAlignment="0" applyProtection="0"/>
    <xf numFmtId="0" fontId="9" fillId="19" borderId="23" applyNumberFormat="0" applyAlignment="0" applyProtection="0"/>
    <xf numFmtId="0" fontId="14" fillId="0" borderId="0" applyNumberFormat="0" applyFill="0" applyBorder="0" applyAlignment="0" applyProtection="0"/>
    <xf numFmtId="0" fontId="29" fillId="6" borderId="0" applyNumberFormat="0" applyBorder="0" applyAlignment="0" applyProtection="0"/>
    <xf numFmtId="0" fontId="16" fillId="0" borderId="25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1" fillId="9" borderId="29" applyNumberFormat="0" applyAlignment="0" applyProtection="0"/>
    <xf numFmtId="0" fontId="8" fillId="0" borderId="22" applyNumberFormat="0" applyFill="0" applyAlignment="0" applyProtection="0"/>
    <xf numFmtId="40" fontId="22" fillId="0" borderId="0" applyFont="0" applyFill="0" applyBorder="0" applyAlignment="0" applyProtection="0"/>
    <xf numFmtId="0" fontId="12" fillId="24" borderId="0" applyNumberFormat="0" applyBorder="0" applyAlignment="0" applyProtection="0"/>
    <xf numFmtId="0" fontId="10" fillId="0" borderId="0"/>
    <xf numFmtId="0" fontId="22" fillId="0" borderId="0"/>
    <xf numFmtId="0" fontId="10" fillId="25" borderId="32" applyNumberFormat="0" applyFont="0" applyAlignment="0" applyProtection="0"/>
    <xf numFmtId="0" fontId="2" fillId="25" borderId="32" applyNumberFormat="0" applyFont="0" applyAlignment="0" applyProtection="0"/>
    <xf numFmtId="0" fontId="23" fillId="18" borderId="33" applyNumberFormat="0" applyAlignment="0" applyProtection="0"/>
    <xf numFmtId="9" fontId="10" fillId="0" borderId="0" applyFont="0" applyFill="0" applyBorder="0" applyAlignment="0" applyProtection="0"/>
    <xf numFmtId="178" fontId="24" fillId="38" borderId="0">
      <alignment horizontal="center" vertical="center"/>
    </xf>
    <xf numFmtId="0" fontId="15" fillId="0" borderId="0" applyNumberFormat="0" applyFill="0" applyBorder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0" borderId="34" applyNumberFormat="0" applyFill="0" applyAlignment="0" applyProtection="0"/>
    <xf numFmtId="0" fontId="27" fillId="0" borderId="34" applyNumberFormat="0" applyFill="0" applyAlignment="0" applyProtection="0"/>
    <xf numFmtId="0" fontId="28" fillId="5" borderId="0" applyNumberFormat="0" applyBorder="0" applyAlignment="0" applyProtection="0"/>
    <xf numFmtId="0" fontId="29" fillId="6" borderId="0" applyNumberFormat="0" applyBorder="0" applyAlignment="0" applyProtection="0"/>
    <xf numFmtId="42" fontId="11" fillId="0" borderId="0" applyFont="0" applyFill="0" applyBorder="0" applyAlignment="0" applyProtection="0"/>
    <xf numFmtId="8" fontId="2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0" fillId="0" borderId="0"/>
    <xf numFmtId="0" fontId="10" fillId="0" borderId="0"/>
    <xf numFmtId="0" fontId="2" fillId="0" borderId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21" fillId="9" borderId="37" applyNumberFormat="0" applyAlignment="0" applyProtection="0"/>
    <xf numFmtId="0" fontId="21" fillId="9" borderId="37" applyNumberForma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2" fillId="25" borderId="38" applyNumberFormat="0" applyFont="0" applyAlignment="0" applyProtection="0"/>
    <xf numFmtId="0" fontId="2" fillId="25" borderId="38" applyNumberFormat="0" applyFont="0" applyAlignment="0" applyProtection="0"/>
    <xf numFmtId="0" fontId="23" fillId="18" borderId="39" applyNumberFormat="0" applyAlignment="0" applyProtection="0"/>
    <xf numFmtId="0" fontId="23" fillId="18" borderId="39" applyNumberFormat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" fillId="3" borderId="35" applyNumberFormat="0" applyFont="0" applyAlignment="0">
      <protection locked="0"/>
    </xf>
    <xf numFmtId="0" fontId="2" fillId="3" borderId="35" applyNumberFormat="0" applyFont="0" applyAlignment="0">
      <protection locked="0"/>
    </xf>
    <xf numFmtId="0" fontId="2" fillId="0" borderId="0"/>
    <xf numFmtId="165" fontId="35" fillId="0" borderId="0" applyFont="0" applyFill="0" applyBorder="0" applyAlignment="0" applyProtection="0"/>
  </cellStyleXfs>
  <cellXfs count="354">
    <xf numFmtId="0" fontId="0" fillId="0" borderId="0" xfId="0"/>
    <xf numFmtId="0" fontId="2" fillId="2" borderId="4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166" fontId="2" fillId="3" borderId="8" xfId="0" applyNumberFormat="1" applyFont="1" applyFill="1" applyBorder="1" applyAlignment="1" applyProtection="1">
      <alignment horizontal="center"/>
      <protection locked="0"/>
    </xf>
    <xf numFmtId="0" fontId="2" fillId="2" borderId="9" xfId="0" applyFont="1" applyFill="1" applyBorder="1"/>
    <xf numFmtId="167" fontId="2" fillId="2" borderId="11" xfId="0" applyNumberFormat="1" applyFont="1" applyFill="1" applyBorder="1" applyAlignment="1" applyProtection="1">
      <alignment horizontal="center"/>
      <protection locked="0"/>
    </xf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168" fontId="0" fillId="0" borderId="20" xfId="0" applyNumberFormat="1" applyBorder="1"/>
    <xf numFmtId="169" fontId="0" fillId="0" borderId="20" xfId="0" applyNumberFormat="1" applyBorder="1"/>
    <xf numFmtId="168" fontId="0" fillId="0" borderId="19" xfId="0" applyNumberFormat="1" applyBorder="1"/>
    <xf numFmtId="169" fontId="0" fillId="0" borderId="19" xfId="0" applyNumberFormat="1" applyBorder="1"/>
    <xf numFmtId="21" fontId="0" fillId="0" borderId="19" xfId="0" applyNumberFormat="1" applyBorder="1" applyAlignment="1">
      <alignment horizontal="center"/>
    </xf>
    <xf numFmtId="0" fontId="3" fillId="0" borderId="0" xfId="1"/>
    <xf numFmtId="0" fontId="3" fillId="0" borderId="19" xfId="1" applyBorder="1" applyAlignment="1">
      <alignment horizontal="center"/>
    </xf>
    <xf numFmtId="0" fontId="3" fillId="0" borderId="18" xfId="1" applyBorder="1" applyAlignment="1">
      <alignment horizontal="center"/>
    </xf>
    <xf numFmtId="0" fontId="4" fillId="0" borderId="18" xfId="1" applyFont="1" applyBorder="1" applyAlignment="1">
      <alignment horizontal="center"/>
    </xf>
    <xf numFmtId="0" fontId="3" fillId="0" borderId="20" xfId="1" applyBorder="1" applyAlignment="1">
      <alignment horizontal="center"/>
    </xf>
    <xf numFmtId="0" fontId="3" fillId="0" borderId="0" xfId="1" applyBorder="1" applyAlignment="1">
      <alignment horizontal="center"/>
    </xf>
    <xf numFmtId="11" fontId="3" fillId="0" borderId="20" xfId="1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14" xfId="0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6" xfId="0" applyNumberFormat="1" applyBorder="1" applyAlignment="1">
      <alignment horizontal="center"/>
    </xf>
    <xf numFmtId="168" fontId="0" fillId="0" borderId="36" xfId="0" applyNumberFormat="1" applyBorder="1"/>
    <xf numFmtId="0" fontId="2" fillId="2" borderId="13" xfId="0" applyNumberFormat="1" applyFont="1" applyFill="1" applyBorder="1" applyAlignment="1" applyProtection="1">
      <alignment horizontal="center"/>
      <protection locked="0"/>
    </xf>
    <xf numFmtId="21" fontId="2" fillId="2" borderId="11" xfId="0" applyNumberFormat="1" applyFont="1" applyFill="1" applyBorder="1" applyAlignment="1" applyProtection="1">
      <alignment horizontal="center"/>
      <protection locked="0"/>
    </xf>
    <xf numFmtId="169" fontId="0" fillId="31" borderId="36" xfId="0" applyNumberFormat="1" applyFill="1" applyBorder="1"/>
    <xf numFmtId="169" fontId="0" fillId="31" borderId="20" xfId="0" applyNumberFormat="1" applyFill="1" applyBorder="1"/>
    <xf numFmtId="169" fontId="0" fillId="39" borderId="36" xfId="0" applyNumberFormat="1" applyFill="1" applyBorder="1"/>
    <xf numFmtId="169" fontId="0" fillId="39" borderId="20" xfId="0" applyNumberFormat="1" applyFill="1" applyBorder="1"/>
    <xf numFmtId="0" fontId="20" fillId="35" borderId="36" xfId="0" applyFont="1" applyFill="1" applyBorder="1" applyAlignment="1">
      <alignment horizontal="right"/>
    </xf>
    <xf numFmtId="0" fontId="20" fillId="35" borderId="20" xfId="0" applyFont="1" applyFill="1" applyBorder="1" applyAlignment="1">
      <alignment horizontal="right"/>
    </xf>
    <xf numFmtId="0" fontId="20" fillId="35" borderId="19" xfId="0" applyFont="1" applyFill="1" applyBorder="1" applyAlignment="1">
      <alignment horizontal="right"/>
    </xf>
    <xf numFmtId="0" fontId="20" fillId="35" borderId="35" xfId="0" applyFont="1" applyFill="1" applyBorder="1" applyAlignment="1">
      <alignment horizontal="center"/>
    </xf>
    <xf numFmtId="0" fontId="0" fillId="31" borderId="26" xfId="0" applyFill="1" applyBorder="1" applyAlignment="1">
      <alignment horizontal="center"/>
    </xf>
    <xf numFmtId="0" fontId="0" fillId="31" borderId="6" xfId="0" applyFill="1" applyBorder="1" applyAlignment="1">
      <alignment horizontal="center"/>
    </xf>
    <xf numFmtId="0" fontId="0" fillId="31" borderId="14" xfId="0" applyFill="1" applyBorder="1" applyAlignment="1">
      <alignment horizontal="center"/>
    </xf>
    <xf numFmtId="168" fontId="0" fillId="31" borderId="36" xfId="0" applyNumberFormat="1" applyFill="1" applyBorder="1"/>
    <xf numFmtId="168" fontId="0" fillId="31" borderId="20" xfId="0" applyNumberFormat="1" applyFill="1" applyBorder="1"/>
    <xf numFmtId="168" fontId="0" fillId="31" borderId="19" xfId="0" applyNumberFormat="1" applyFill="1" applyBorder="1"/>
    <xf numFmtId="169" fontId="0" fillId="31" borderId="19" xfId="0" applyNumberFormat="1" applyFill="1" applyBorder="1"/>
    <xf numFmtId="168" fontId="0" fillId="40" borderId="36" xfId="0" applyNumberFormat="1" applyFill="1" applyBorder="1"/>
    <xf numFmtId="169" fontId="0" fillId="40" borderId="36" xfId="0" applyNumberFormat="1" applyFill="1" applyBorder="1"/>
    <xf numFmtId="168" fontId="0" fillId="40" borderId="20" xfId="0" applyNumberFormat="1" applyFill="1" applyBorder="1"/>
    <xf numFmtId="169" fontId="0" fillId="40" borderId="20" xfId="0" applyNumberFormat="1" applyFill="1" applyBorder="1"/>
    <xf numFmtId="168" fontId="0" fillId="40" borderId="19" xfId="0" applyNumberFormat="1" applyFill="1" applyBorder="1"/>
    <xf numFmtId="169" fontId="0" fillId="40" borderId="19" xfId="0" applyNumberFormat="1" applyFill="1" applyBorder="1"/>
    <xf numFmtId="0" fontId="31" fillId="2" borderId="9" xfId="0" applyFont="1" applyFill="1" applyBorder="1"/>
    <xf numFmtId="0" fontId="1" fillId="35" borderId="7" xfId="0" applyFont="1" applyFill="1" applyBorder="1" applyAlignment="1">
      <alignment horizontal="right"/>
    </xf>
    <xf numFmtId="0" fontId="1" fillId="35" borderId="10" xfId="0" applyFont="1" applyFill="1" applyBorder="1" applyAlignment="1">
      <alignment horizontal="right"/>
    </xf>
    <xf numFmtId="0" fontId="1" fillId="35" borderId="12" xfId="0" applyFont="1" applyFill="1" applyBorder="1" applyAlignment="1">
      <alignment horizontal="right"/>
    </xf>
    <xf numFmtId="167" fontId="2" fillId="31" borderId="11" xfId="0" applyNumberFormat="1" applyFont="1" applyFill="1" applyBorder="1" applyAlignment="1" applyProtection="1">
      <alignment horizontal="center"/>
      <protection locked="0"/>
    </xf>
    <xf numFmtId="0" fontId="2" fillId="0" borderId="26" xfId="1" applyFont="1" applyBorder="1"/>
    <xf numFmtId="0" fontId="2" fillId="0" borderId="6" xfId="1" applyFont="1" applyBorder="1"/>
    <xf numFmtId="0" fontId="2" fillId="0" borderId="14" xfId="1" applyFont="1" applyBorder="1"/>
    <xf numFmtId="0" fontId="3" fillId="0" borderId="41" xfId="1" applyBorder="1"/>
    <xf numFmtId="0" fontId="3" fillId="0" borderId="20" xfId="1" applyBorder="1"/>
    <xf numFmtId="0" fontId="3" fillId="0" borderId="19" xfId="1" applyBorder="1"/>
    <xf numFmtId="14" fontId="0" fillId="0" borderId="0" xfId="0" applyNumberFormat="1"/>
    <xf numFmtId="171" fontId="0" fillId="0" borderId="0" xfId="0" applyNumberFormat="1"/>
    <xf numFmtId="0" fontId="2" fillId="0" borderId="0" xfId="121" applyProtection="1"/>
    <xf numFmtId="0" fontId="2" fillId="0" borderId="0" xfId="121"/>
    <xf numFmtId="0" fontId="2" fillId="0" borderId="0" xfId="121" applyBorder="1" applyProtection="1"/>
    <xf numFmtId="172" fontId="2" fillId="30" borderId="19" xfId="121" applyNumberFormat="1" applyFont="1" applyFill="1" applyBorder="1" applyProtection="1"/>
    <xf numFmtId="173" fontId="2" fillId="30" borderId="19" xfId="121" applyNumberFormat="1" applyFont="1" applyFill="1" applyBorder="1" applyAlignment="1" applyProtection="1">
      <alignment horizontal="center"/>
    </xf>
    <xf numFmtId="172" fontId="2" fillId="30" borderId="20" xfId="121" applyNumberFormat="1" applyFont="1" applyFill="1" applyBorder="1" applyProtection="1"/>
    <xf numFmtId="173" fontId="2" fillId="30" borderId="20" xfId="121" applyNumberFormat="1" applyFont="1" applyFill="1" applyBorder="1" applyAlignment="1" applyProtection="1">
      <alignment horizontal="center"/>
    </xf>
    <xf numFmtId="0" fontId="2" fillId="0" borderId="42" xfId="121" applyBorder="1" applyAlignment="1" applyProtection="1">
      <alignment horizontal="center"/>
    </xf>
    <xf numFmtId="0" fontId="2" fillId="0" borderId="15" xfId="121" applyBorder="1" applyAlignment="1" applyProtection="1">
      <alignment horizontal="center"/>
    </xf>
    <xf numFmtId="0" fontId="2" fillId="0" borderId="14" xfId="121" applyBorder="1" applyAlignment="1" applyProtection="1">
      <alignment horizontal="center"/>
    </xf>
    <xf numFmtId="0" fontId="2" fillId="0" borderId="16" xfId="121" applyBorder="1" applyAlignment="1" applyProtection="1">
      <alignment horizontal="center"/>
    </xf>
    <xf numFmtId="1" fontId="2" fillId="0" borderId="19" xfId="121" applyNumberFormat="1" applyBorder="1" applyAlignment="1" applyProtection="1">
      <alignment horizontal="center"/>
    </xf>
    <xf numFmtId="0" fontId="2" fillId="0" borderId="9" xfId="121" applyBorder="1" applyAlignment="1" applyProtection="1">
      <alignment horizontal="center"/>
    </xf>
    <xf numFmtId="0" fontId="2" fillId="0" borderId="0" xfId="121" applyBorder="1" applyAlignment="1" applyProtection="1">
      <alignment horizontal="center"/>
    </xf>
    <xf numFmtId="0" fontId="2" fillId="0" borderId="6" xfId="121" applyBorder="1" applyAlignment="1" applyProtection="1">
      <alignment horizontal="center"/>
    </xf>
    <xf numFmtId="1" fontId="2" fillId="0" borderId="20" xfId="121" applyNumberFormat="1" applyBorder="1" applyAlignment="1" applyProtection="1">
      <alignment horizontal="center"/>
    </xf>
    <xf numFmtId="0" fontId="2" fillId="39" borderId="19" xfId="121" applyFill="1" applyBorder="1" applyAlignment="1">
      <alignment horizontal="center"/>
    </xf>
    <xf numFmtId="0" fontId="2" fillId="39" borderId="19" xfId="121" applyFill="1" applyBorder="1"/>
    <xf numFmtId="171" fontId="2" fillId="39" borderId="20" xfId="121" applyNumberFormat="1" applyFill="1" applyBorder="1" applyAlignment="1">
      <alignment horizontal="center"/>
    </xf>
    <xf numFmtId="0" fontId="2" fillId="39" borderId="20" xfId="121" applyFill="1" applyBorder="1"/>
    <xf numFmtId="171" fontId="2" fillId="0" borderId="16" xfId="121" applyNumberFormat="1" applyFill="1" applyBorder="1" applyAlignment="1" applyProtection="1">
      <alignment horizontal="center"/>
    </xf>
    <xf numFmtId="0" fontId="2" fillId="0" borderId="14" xfId="121" applyFill="1" applyBorder="1" applyAlignment="1" applyProtection="1">
      <alignment horizontal="center"/>
    </xf>
    <xf numFmtId="171" fontId="2" fillId="0" borderId="19" xfId="121" applyNumberFormat="1" applyFill="1" applyBorder="1" applyAlignment="1" applyProtection="1">
      <alignment horizontal="center"/>
    </xf>
    <xf numFmtId="171" fontId="2" fillId="26" borderId="19" xfId="121" applyNumberFormat="1" applyFill="1" applyBorder="1" applyAlignment="1" applyProtection="1">
      <alignment horizontal="center"/>
    </xf>
    <xf numFmtId="171" fontId="2" fillId="27" borderId="19" xfId="121" applyNumberFormat="1" applyFill="1" applyBorder="1" applyAlignment="1" applyProtection="1">
      <alignment horizontal="center"/>
    </xf>
    <xf numFmtId="0" fontId="2" fillId="29" borderId="19" xfId="121" applyFill="1" applyBorder="1" applyProtection="1"/>
    <xf numFmtId="0" fontId="2" fillId="39" borderId="20" xfId="121" applyNumberFormat="1" applyFill="1" applyBorder="1" applyAlignment="1">
      <alignment horizontal="center"/>
    </xf>
    <xf numFmtId="171" fontId="2" fillId="0" borderId="9" xfId="121" applyNumberFormat="1" applyFill="1" applyBorder="1" applyAlignment="1" applyProtection="1">
      <alignment horizontal="center"/>
    </xf>
    <xf numFmtId="0" fontId="2" fillId="0" borderId="6" xfId="121" applyFill="1" applyBorder="1" applyAlignment="1" applyProtection="1">
      <alignment horizontal="center"/>
    </xf>
    <xf numFmtId="171" fontId="2" fillId="0" borderId="20" xfId="121" applyNumberFormat="1" applyFill="1" applyBorder="1" applyAlignment="1" applyProtection="1">
      <alignment horizontal="center"/>
    </xf>
    <xf numFmtId="171" fontId="2" fillId="26" borderId="20" xfId="121" applyNumberFormat="1" applyFill="1" applyBorder="1" applyAlignment="1" applyProtection="1">
      <alignment horizontal="center"/>
    </xf>
    <xf numFmtId="171" fontId="2" fillId="27" borderId="20" xfId="121" applyNumberFormat="1" applyFill="1" applyBorder="1" applyAlignment="1" applyProtection="1">
      <alignment horizontal="center"/>
    </xf>
    <xf numFmtId="0" fontId="2" fillId="29" borderId="20" xfId="121" applyFill="1" applyBorder="1" applyProtection="1"/>
    <xf numFmtId="0" fontId="2" fillId="39" borderId="20" xfId="121" applyFill="1" applyBorder="1" applyAlignment="1">
      <alignment horizontal="center"/>
    </xf>
    <xf numFmtId="0" fontId="2" fillId="39" borderId="41" xfId="121" applyNumberFormat="1" applyFill="1" applyBorder="1" applyAlignment="1">
      <alignment horizontal="center"/>
    </xf>
    <xf numFmtId="0" fontId="2" fillId="39" borderId="41" xfId="121" applyFill="1" applyBorder="1"/>
    <xf numFmtId="0" fontId="2" fillId="0" borderId="0" xfId="121" applyBorder="1"/>
    <xf numFmtId="0" fontId="2" fillId="0" borderId="20" xfId="121" applyFill="1" applyBorder="1" applyAlignment="1">
      <alignment horizontal="center"/>
    </xf>
    <xf numFmtId="0" fontId="2" fillId="0" borderId="20" xfId="121" applyFill="1" applyBorder="1"/>
    <xf numFmtId="0" fontId="2" fillId="39" borderId="20" xfId="121" applyFont="1" applyFill="1" applyBorder="1"/>
    <xf numFmtId="0" fontId="4" fillId="0" borderId="42" xfId="121" applyFont="1" applyFill="1" applyBorder="1" applyAlignment="1">
      <alignment horizontal="center"/>
    </xf>
    <xf numFmtId="0" fontId="2" fillId="0" borderId="42" xfId="121" applyBorder="1" applyAlignment="1">
      <alignment horizontal="center"/>
    </xf>
    <xf numFmtId="0" fontId="4" fillId="0" borderId="42" xfId="121" applyFont="1" applyBorder="1"/>
    <xf numFmtId="0" fontId="2" fillId="31" borderId="42" xfId="121" applyFont="1" applyFill="1" applyBorder="1" applyAlignment="1" applyProtection="1">
      <alignment horizontal="center"/>
    </xf>
    <xf numFmtId="0" fontId="2" fillId="27" borderId="19" xfId="121" applyFont="1" applyFill="1" applyBorder="1" applyProtection="1"/>
    <xf numFmtId="171" fontId="2" fillId="31" borderId="19" xfId="121" applyNumberFormat="1" applyFill="1" applyBorder="1" applyAlignment="1">
      <alignment horizontal="center"/>
    </xf>
    <xf numFmtId="0" fontId="2" fillId="32" borderId="19" xfId="121" applyFill="1" applyBorder="1" applyProtection="1"/>
    <xf numFmtId="0" fontId="2" fillId="31" borderId="20" xfId="121" applyFill="1" applyBorder="1" applyAlignment="1">
      <alignment horizontal="center"/>
    </xf>
    <xf numFmtId="0" fontId="2" fillId="32" borderId="20" xfId="121" applyFill="1" applyBorder="1" applyProtection="1"/>
    <xf numFmtId="171" fontId="2" fillId="31" borderId="20" xfId="121" applyNumberFormat="1" applyFont="1" applyFill="1" applyBorder="1" applyAlignment="1" applyProtection="1">
      <alignment horizontal="center"/>
    </xf>
    <xf numFmtId="0" fontId="2" fillId="32" borderId="20" xfId="121" applyFont="1" applyFill="1" applyBorder="1" applyProtection="1"/>
    <xf numFmtId="0" fontId="2" fillId="0" borderId="16" xfId="121" applyFont="1" applyBorder="1" applyProtection="1"/>
    <xf numFmtId="0" fontId="2" fillId="0" borderId="14" xfId="121" applyBorder="1" applyProtection="1"/>
    <xf numFmtId="0" fontId="2" fillId="31" borderId="20" xfId="121" applyFont="1" applyFill="1" applyBorder="1" applyAlignment="1" applyProtection="1">
      <alignment horizontal="center"/>
    </xf>
    <xf numFmtId="0" fontId="2" fillId="0" borderId="9" xfId="121" applyFont="1" applyBorder="1" applyProtection="1"/>
    <xf numFmtId="0" fontId="2" fillId="0" borderId="6" xfId="121" applyBorder="1" applyProtection="1"/>
    <xf numFmtId="0" fontId="2" fillId="0" borderId="0" xfId="121" applyFont="1" applyProtection="1"/>
    <xf numFmtId="0" fontId="2" fillId="0" borderId="5" xfId="121" applyFont="1" applyBorder="1" applyProtection="1"/>
    <xf numFmtId="0" fontId="2" fillId="0" borderId="26" xfId="121" applyBorder="1" applyProtection="1"/>
    <xf numFmtId="0" fontId="2" fillId="31" borderId="20" xfId="121" applyFill="1" applyBorder="1" applyAlignment="1" applyProtection="1">
      <alignment horizontal="center"/>
    </xf>
    <xf numFmtId="0" fontId="2" fillId="0" borderId="5" xfId="121" applyBorder="1" applyProtection="1"/>
    <xf numFmtId="0" fontId="2" fillId="0" borderId="5" xfId="121" applyBorder="1" applyAlignment="1" applyProtection="1">
      <alignment horizontal="center"/>
    </xf>
    <xf numFmtId="0" fontId="2" fillId="0" borderId="45" xfId="121" applyBorder="1" applyAlignment="1" applyProtection="1">
      <alignment horizontal="center"/>
    </xf>
    <xf numFmtId="0" fontId="2" fillId="0" borderId="26" xfId="121" applyBorder="1" applyAlignment="1" applyProtection="1">
      <alignment horizontal="center"/>
    </xf>
    <xf numFmtId="1" fontId="2" fillId="0" borderId="41" xfId="121" applyNumberFormat="1" applyBorder="1" applyAlignment="1" applyProtection="1">
      <alignment horizontal="center"/>
    </xf>
    <xf numFmtId="0" fontId="2" fillId="31" borderId="41" xfId="121" applyFill="1" applyBorder="1" applyAlignment="1" applyProtection="1">
      <alignment horizontal="center"/>
    </xf>
    <xf numFmtId="0" fontId="2" fillId="32" borderId="41" xfId="121" applyFont="1" applyFill="1" applyBorder="1" applyProtection="1"/>
    <xf numFmtId="0" fontId="17" fillId="0" borderId="42" xfId="121" applyFont="1" applyBorder="1" applyAlignment="1" applyProtection="1">
      <alignment horizontal="center"/>
    </xf>
    <xf numFmtId="0" fontId="1" fillId="0" borderId="5" xfId="121" applyFont="1" applyBorder="1" applyAlignment="1" applyProtection="1">
      <alignment horizontal="center"/>
    </xf>
    <xf numFmtId="0" fontId="1" fillId="0" borderId="26" xfId="121" applyFont="1" applyBorder="1" applyAlignment="1" applyProtection="1">
      <alignment horizontal="center"/>
    </xf>
    <xf numFmtId="0" fontId="2" fillId="31" borderId="19" xfId="121" applyFont="1" applyFill="1" applyBorder="1" applyAlignment="1" applyProtection="1">
      <alignment horizontal="center"/>
    </xf>
    <xf numFmtId="0" fontId="2" fillId="35" borderId="19" xfId="121" applyFont="1" applyFill="1" applyBorder="1" applyProtection="1"/>
    <xf numFmtId="0" fontId="2" fillId="0" borderId="0" xfId="121" applyAlignment="1" applyProtection="1">
      <alignment horizontal="center"/>
    </xf>
    <xf numFmtId="0" fontId="2" fillId="31" borderId="20" xfId="121" applyFont="1" applyFill="1" applyBorder="1" applyAlignment="1">
      <alignment horizontal="center"/>
    </xf>
    <xf numFmtId="0" fontId="2" fillId="35" borderId="20" xfId="121" applyFont="1" applyFill="1" applyBorder="1"/>
    <xf numFmtId="0" fontId="2" fillId="31" borderId="41" xfId="121" applyFill="1" applyBorder="1" applyAlignment="1">
      <alignment horizontal="center"/>
    </xf>
    <xf numFmtId="0" fontId="2" fillId="35" borderId="41" xfId="121" applyFont="1" applyFill="1" applyBorder="1"/>
    <xf numFmtId="0" fontId="2" fillId="0" borderId="0" xfId="121" applyFont="1" applyBorder="1" applyProtection="1"/>
    <xf numFmtId="0" fontId="2" fillId="0" borderId="44" xfId="121" applyBorder="1" applyAlignment="1" applyProtection="1">
      <alignment horizontal="center"/>
    </xf>
    <xf numFmtId="0" fontId="2" fillId="0" borderId="43" xfId="121" applyBorder="1" applyAlignment="1" applyProtection="1">
      <alignment horizontal="center"/>
    </xf>
    <xf numFmtId="0" fontId="2" fillId="0" borderId="43" xfId="121" applyFont="1" applyBorder="1" applyAlignment="1" applyProtection="1">
      <alignment horizontal="center"/>
    </xf>
    <xf numFmtId="0" fontId="2" fillId="34" borderId="19" xfId="121" applyFont="1" applyFill="1" applyBorder="1" applyProtection="1"/>
    <xf numFmtId="0" fontId="1" fillId="0" borderId="44" xfId="121" applyFont="1" applyBorder="1" applyAlignment="1" applyProtection="1">
      <alignment horizontal="center"/>
    </xf>
    <xf numFmtId="0" fontId="1" fillId="0" borderId="43" xfId="121" applyFont="1" applyBorder="1" applyAlignment="1" applyProtection="1">
      <alignment horizontal="center"/>
    </xf>
    <xf numFmtId="171" fontId="2" fillId="0" borderId="5" xfId="121" applyNumberFormat="1" applyFill="1" applyBorder="1" applyAlignment="1" applyProtection="1">
      <alignment horizontal="center"/>
    </xf>
    <xf numFmtId="0" fontId="2" fillId="0" borderId="26" xfId="121" applyFill="1" applyBorder="1" applyAlignment="1" applyProtection="1">
      <alignment horizontal="center"/>
    </xf>
    <xf numFmtId="171" fontId="2" fillId="0" borderId="41" xfId="121" applyNumberFormat="1" applyFill="1" applyBorder="1" applyAlignment="1" applyProtection="1">
      <alignment horizontal="center"/>
    </xf>
    <xf numFmtId="171" fontId="2" fillId="26" borderId="41" xfId="121" applyNumberFormat="1" applyFill="1" applyBorder="1" applyAlignment="1" applyProtection="1">
      <alignment horizontal="center"/>
    </xf>
    <xf numFmtId="171" fontId="2" fillId="27" borderId="41" xfId="121" applyNumberFormat="1" applyFill="1" applyBorder="1" applyAlignment="1" applyProtection="1">
      <alignment horizontal="center"/>
    </xf>
    <xf numFmtId="0" fontId="2" fillId="36" borderId="19" xfId="121" applyFont="1" applyFill="1" applyBorder="1" applyProtection="1"/>
    <xf numFmtId="174" fontId="18" fillId="33" borderId="42" xfId="121" applyNumberFormat="1" applyFont="1" applyFill="1" applyBorder="1" applyAlignment="1" applyProtection="1">
      <alignment horizontal="center"/>
    </xf>
    <xf numFmtId="0" fontId="2" fillId="31" borderId="41" xfId="121" applyFont="1" applyFill="1" applyBorder="1" applyAlignment="1" applyProtection="1">
      <alignment horizontal="center"/>
    </xf>
    <xf numFmtId="0" fontId="2" fillId="36" borderId="41" xfId="121" applyFont="1" applyFill="1" applyBorder="1" applyProtection="1"/>
    <xf numFmtId="0" fontId="2" fillId="0" borderId="16" xfId="121" applyFill="1" applyBorder="1" applyAlignment="1" applyProtection="1">
      <alignment horizontal="center"/>
    </xf>
    <xf numFmtId="171" fontId="2" fillId="0" borderId="42" xfId="121" applyNumberFormat="1" applyFill="1" applyBorder="1" applyAlignment="1" applyProtection="1">
      <alignment horizontal="center"/>
    </xf>
    <xf numFmtId="171" fontId="2" fillId="26" borderId="42" xfId="121" applyNumberFormat="1" applyFill="1" applyBorder="1" applyAlignment="1" applyProtection="1">
      <alignment horizontal="center"/>
    </xf>
    <xf numFmtId="171" fontId="2" fillId="27" borderId="42" xfId="121" applyNumberFormat="1" applyFill="1" applyBorder="1" applyAlignment="1" applyProtection="1">
      <alignment horizontal="center"/>
    </xf>
    <xf numFmtId="175" fontId="2" fillId="28" borderId="42" xfId="121" applyNumberFormat="1" applyFill="1" applyBorder="1" applyAlignment="1" applyProtection="1">
      <alignment horizontal="center"/>
    </xf>
    <xf numFmtId="0" fontId="2" fillId="29" borderId="42" xfId="121" applyFill="1" applyBorder="1" applyProtection="1"/>
    <xf numFmtId="171" fontId="19" fillId="26" borderId="19" xfId="121" applyNumberFormat="1" applyFont="1" applyFill="1" applyBorder="1" applyAlignment="1" applyProtection="1">
      <alignment horizontal="center"/>
    </xf>
    <xf numFmtId="176" fontId="2" fillId="28" borderId="19" xfId="121" applyNumberFormat="1" applyFill="1" applyBorder="1" applyAlignment="1" applyProtection="1">
      <alignment horizontal="center"/>
    </xf>
    <xf numFmtId="172" fontId="2" fillId="0" borderId="16" xfId="121" applyNumberFormat="1" applyBorder="1" applyProtection="1"/>
    <xf numFmtId="0" fontId="2" fillId="0" borderId="15" xfId="121" applyBorder="1" applyProtection="1"/>
    <xf numFmtId="176" fontId="2" fillId="28" borderId="20" xfId="121" applyNumberFormat="1" applyFill="1" applyBorder="1" applyAlignment="1" applyProtection="1">
      <alignment horizontal="center"/>
    </xf>
    <xf numFmtId="172" fontId="2" fillId="0" borderId="9" xfId="121" applyNumberFormat="1" applyBorder="1" applyProtection="1"/>
    <xf numFmtId="21" fontId="2" fillId="31" borderId="42" xfId="121" applyNumberFormat="1" applyFill="1" applyBorder="1" applyAlignment="1">
      <alignment horizontal="center"/>
    </xf>
    <xf numFmtId="0" fontId="2" fillId="37" borderId="42" xfId="121" applyFont="1" applyFill="1" applyBorder="1"/>
    <xf numFmtId="0" fontId="4" fillId="0" borderId="0" xfId="121" applyFont="1" applyBorder="1" applyAlignment="1" applyProtection="1">
      <alignment horizontal="center"/>
    </xf>
    <xf numFmtId="0" fontId="2" fillId="36" borderId="20" xfId="121" applyFont="1" applyFill="1" applyBorder="1" applyProtection="1"/>
    <xf numFmtId="0" fontId="2" fillId="0" borderId="14" xfId="121" applyFont="1" applyBorder="1" applyProtection="1"/>
    <xf numFmtId="172" fontId="2" fillId="0" borderId="5" xfId="121" applyNumberFormat="1" applyBorder="1" applyProtection="1"/>
    <xf numFmtId="0" fontId="2" fillId="0" borderId="45" xfId="121" applyBorder="1" applyProtection="1"/>
    <xf numFmtId="0" fontId="2" fillId="0" borderId="26" xfId="121" applyFont="1" applyBorder="1" applyProtection="1"/>
    <xf numFmtId="0" fontId="2" fillId="35" borderId="19" xfId="121" applyFont="1" applyFill="1" applyBorder="1"/>
    <xf numFmtId="0" fontId="2" fillId="0" borderId="26" xfId="121" applyFont="1" applyBorder="1" applyAlignment="1" applyProtection="1">
      <alignment horizontal="center"/>
    </xf>
    <xf numFmtId="177" fontId="2" fillId="28" borderId="19" xfId="121" applyNumberFormat="1" applyFill="1" applyBorder="1" applyAlignment="1" applyProtection="1">
      <alignment horizontal="center"/>
    </xf>
    <xf numFmtId="177" fontId="2" fillId="28" borderId="20" xfId="121" applyNumberFormat="1" applyFill="1" applyBorder="1" applyAlignment="1" applyProtection="1">
      <alignment horizontal="center"/>
    </xf>
    <xf numFmtId="179" fontId="2" fillId="0" borderId="16" xfId="121" applyNumberFormat="1" applyBorder="1" applyProtection="1"/>
    <xf numFmtId="177" fontId="2" fillId="28" borderId="41" xfId="121" applyNumberFormat="1" applyFill="1" applyBorder="1" applyAlignment="1" applyProtection="1">
      <alignment horizontal="center"/>
    </xf>
    <xf numFmtId="0" fontId="2" fillId="29" borderId="41" xfId="121" applyFill="1" applyBorder="1" applyProtection="1"/>
    <xf numFmtId="0" fontId="2" fillId="34" borderId="20" xfId="121" applyFont="1" applyFill="1" applyBorder="1" applyProtection="1"/>
    <xf numFmtId="179" fontId="2" fillId="0" borderId="9" xfId="121" applyNumberFormat="1" applyBorder="1" applyProtection="1"/>
    <xf numFmtId="1" fontId="2" fillId="28" borderId="19" xfId="121" applyNumberFormat="1" applyFill="1" applyBorder="1" applyAlignment="1" applyProtection="1">
      <alignment horizontal="center"/>
    </xf>
    <xf numFmtId="0" fontId="2" fillId="34" borderId="41" xfId="121" applyFont="1" applyFill="1" applyBorder="1" applyProtection="1"/>
    <xf numFmtId="179" fontId="2" fillId="0" borderId="5" xfId="121" applyNumberFormat="1" applyBorder="1" applyProtection="1"/>
    <xf numFmtId="0" fontId="2" fillId="31" borderId="20" xfId="121" applyFont="1" applyFill="1" applyBorder="1" applyAlignment="1" applyProtection="1">
      <alignment horizontal="center"/>
      <protection locked="0"/>
    </xf>
    <xf numFmtId="0" fontId="2" fillId="30" borderId="20" xfId="121" applyFont="1" applyFill="1" applyBorder="1" applyProtection="1"/>
    <xf numFmtId="0" fontId="1" fillId="0" borderId="0" xfId="121" applyFont="1" applyBorder="1" applyProtection="1"/>
    <xf numFmtId="0" fontId="1" fillId="0" borderId="6" xfId="121" applyFont="1" applyBorder="1" applyProtection="1"/>
    <xf numFmtId="172" fontId="2" fillId="30" borderId="41" xfId="121" applyNumberFormat="1" applyFont="1" applyFill="1" applyBorder="1" applyProtection="1"/>
    <xf numFmtId="173" fontId="2" fillId="30" borderId="41" xfId="121" applyNumberFormat="1" applyFont="1" applyFill="1" applyBorder="1" applyAlignment="1" applyProtection="1">
      <alignment horizontal="center"/>
    </xf>
    <xf numFmtId="168" fontId="2" fillId="31" borderId="41" xfId="121" applyNumberFormat="1" applyFont="1" applyFill="1" applyBorder="1" applyAlignment="1" applyProtection="1">
      <alignment horizontal="center"/>
    </xf>
    <xf numFmtId="14" fontId="2" fillId="30" borderId="41" xfId="121" applyNumberFormat="1" applyFont="1" applyFill="1" applyBorder="1" applyProtection="1"/>
    <xf numFmtId="0" fontId="1" fillId="0" borderId="5" xfId="121" applyFont="1" applyBorder="1" applyProtection="1"/>
    <xf numFmtId="0" fontId="1" fillId="0" borderId="45" xfId="121" applyFont="1" applyBorder="1" applyProtection="1"/>
    <xf numFmtId="0" fontId="1" fillId="0" borderId="26" xfId="121" applyFont="1" applyBorder="1" applyProtection="1"/>
    <xf numFmtId="0" fontId="18" fillId="33" borderId="42" xfId="121" applyNumberFormat="1" applyFont="1" applyFill="1" applyBorder="1" applyAlignment="1" applyProtection="1">
      <alignment horizontal="center"/>
    </xf>
    <xf numFmtId="173" fontId="2" fillId="0" borderId="0" xfId="121" applyNumberFormat="1" applyBorder="1" applyProtection="1"/>
    <xf numFmtId="171" fontId="4" fillId="41" borderId="41" xfId="121" applyNumberFormat="1" applyFont="1" applyFill="1" applyBorder="1" applyAlignment="1" applyProtection="1">
      <alignment horizontal="center"/>
    </xf>
    <xf numFmtId="171" fontId="4" fillId="41" borderId="19" xfId="121" applyNumberFormat="1" applyFont="1" applyFill="1" applyBorder="1" applyAlignment="1" applyProtection="1">
      <alignment horizontal="center"/>
    </xf>
    <xf numFmtId="0" fontId="2" fillId="29" borderId="41" xfId="121" applyFont="1" applyFill="1" applyBorder="1" applyProtection="1"/>
    <xf numFmtId="1" fontId="2" fillId="28" borderId="41" xfId="121" applyNumberFormat="1" applyFont="1" applyFill="1" applyBorder="1" applyAlignment="1" applyProtection="1">
      <alignment horizontal="center"/>
    </xf>
    <xf numFmtId="0" fontId="2" fillId="0" borderId="5" xfId="121" applyFont="1" applyBorder="1" applyAlignment="1" applyProtection="1">
      <alignment horizontal="center"/>
    </xf>
    <xf numFmtId="171" fontId="2" fillId="0" borderId="41" xfId="121" applyNumberFormat="1" applyFont="1" applyFill="1" applyBorder="1" applyAlignment="1" applyProtection="1">
      <alignment horizontal="center"/>
    </xf>
    <xf numFmtId="171" fontId="2" fillId="26" borderId="41" xfId="121" applyNumberFormat="1" applyFont="1" applyFill="1" applyBorder="1" applyAlignment="1" applyProtection="1">
      <alignment horizontal="center"/>
    </xf>
    <xf numFmtId="0" fontId="2" fillId="29" borderId="19" xfId="121" applyFont="1" applyFill="1" applyBorder="1" applyProtection="1"/>
    <xf numFmtId="1" fontId="2" fillId="28" borderId="19" xfId="121" applyNumberFormat="1" applyFont="1" applyFill="1" applyBorder="1" applyAlignment="1" applyProtection="1">
      <alignment horizontal="center"/>
    </xf>
    <xf numFmtId="0" fontId="2" fillId="0" borderId="14" xfId="121" applyFont="1" applyBorder="1" applyAlignment="1" applyProtection="1">
      <alignment horizontal="center"/>
    </xf>
    <xf numFmtId="0" fontId="2" fillId="0" borderId="16" xfId="121" applyFont="1" applyBorder="1" applyAlignment="1" applyProtection="1">
      <alignment horizontal="center"/>
    </xf>
    <xf numFmtId="171" fontId="2" fillId="0" borderId="19" xfId="121" applyNumberFormat="1" applyFont="1" applyFill="1" applyBorder="1" applyAlignment="1" applyProtection="1">
      <alignment horizontal="center"/>
    </xf>
    <xf numFmtId="171" fontId="2" fillId="26" borderId="19" xfId="121" applyNumberFormat="1" applyFont="1" applyFill="1" applyBorder="1" applyAlignment="1" applyProtection="1">
      <alignment horizontal="center"/>
    </xf>
    <xf numFmtId="0" fontId="1" fillId="0" borderId="42" xfId="121" applyFont="1" applyBorder="1" applyAlignment="1" applyProtection="1">
      <alignment horizontal="center"/>
    </xf>
    <xf numFmtId="0" fontId="2" fillId="0" borderId="16" xfId="121" quotePrefix="1" applyFont="1" applyBorder="1" applyProtection="1"/>
    <xf numFmtId="0" fontId="2" fillId="39" borderId="26" xfId="121" applyFill="1" applyBorder="1" applyAlignment="1" applyProtection="1">
      <alignment horizontal="center"/>
    </xf>
    <xf numFmtId="176" fontId="2" fillId="28" borderId="41" xfId="121" applyNumberFormat="1" applyFill="1" applyBorder="1" applyAlignment="1" applyProtection="1">
      <alignment horizontal="center"/>
    </xf>
    <xf numFmtId="0" fontId="2" fillId="42" borderId="0" xfId="121" applyFill="1" applyProtection="1"/>
    <xf numFmtId="0" fontId="2" fillId="42" borderId="0" xfId="121" applyFill="1" applyAlignment="1" applyProtection="1">
      <alignment horizontal="center"/>
    </xf>
    <xf numFmtId="0" fontId="0" fillId="42" borderId="0" xfId="0" applyFill="1"/>
    <xf numFmtId="0" fontId="17" fillId="42" borderId="42" xfId="121" applyFont="1" applyFill="1" applyBorder="1" applyAlignment="1" applyProtection="1">
      <alignment horizontal="center"/>
    </xf>
    <xf numFmtId="0" fontId="2" fillId="42" borderId="14" xfId="121" applyFill="1" applyBorder="1" applyAlignment="1" applyProtection="1">
      <alignment horizontal="center"/>
    </xf>
    <xf numFmtId="0" fontId="17" fillId="42" borderId="15" xfId="121" applyFont="1" applyFill="1" applyBorder="1" applyAlignment="1" applyProtection="1">
      <alignment horizontal="center"/>
    </xf>
    <xf numFmtId="0" fontId="0" fillId="42" borderId="42" xfId="0" applyFill="1" applyBorder="1" applyAlignment="1">
      <alignment horizontal="center"/>
    </xf>
    <xf numFmtId="0" fontId="0" fillId="42" borderId="0" xfId="0" applyFill="1" applyBorder="1" applyAlignment="1">
      <alignment horizontal="center"/>
    </xf>
    <xf numFmtId="0" fontId="2" fillId="42" borderId="26" xfId="121" applyFill="1" applyBorder="1" applyAlignment="1" applyProtection="1">
      <alignment horizontal="center"/>
    </xf>
    <xf numFmtId="0" fontId="2" fillId="42" borderId="45" xfId="121" applyFill="1" applyBorder="1" applyAlignment="1" applyProtection="1">
      <alignment horizontal="center"/>
    </xf>
    <xf numFmtId="0" fontId="2" fillId="42" borderId="0" xfId="121" applyFill="1" applyBorder="1" applyAlignment="1" applyProtection="1">
      <alignment horizontal="center"/>
    </xf>
    <xf numFmtId="0" fontId="2" fillId="42" borderId="5" xfId="121" applyFill="1" applyBorder="1" applyAlignment="1" applyProtection="1">
      <alignment horizontal="center"/>
    </xf>
    <xf numFmtId="0" fontId="0" fillId="42" borderId="43" xfId="0" applyFill="1" applyBorder="1" applyAlignment="1">
      <alignment horizontal="center"/>
    </xf>
    <xf numFmtId="0" fontId="0" fillId="42" borderId="26" xfId="0" applyFill="1" applyBorder="1" applyAlignment="1">
      <alignment horizontal="center"/>
    </xf>
    <xf numFmtId="0" fontId="0" fillId="42" borderId="5" xfId="0" applyFill="1" applyBorder="1" applyAlignment="1">
      <alignment horizontal="center"/>
    </xf>
    <xf numFmtId="0" fontId="2" fillId="42" borderId="5" xfId="121" applyFill="1" applyBorder="1" applyProtection="1"/>
    <xf numFmtId="0" fontId="2" fillId="42" borderId="6" xfId="121" applyFill="1" applyBorder="1" applyAlignment="1" applyProtection="1">
      <alignment horizontal="center"/>
    </xf>
    <xf numFmtId="0" fontId="2" fillId="42" borderId="9" xfId="121" applyFill="1" applyBorder="1" applyAlignment="1" applyProtection="1">
      <alignment horizontal="center"/>
    </xf>
    <xf numFmtId="0" fontId="0" fillId="42" borderId="6" xfId="0" applyFill="1" applyBorder="1" applyAlignment="1">
      <alignment horizontal="center"/>
    </xf>
    <xf numFmtId="0" fontId="0" fillId="42" borderId="9" xfId="0" applyFill="1" applyBorder="1" applyAlignment="1">
      <alignment horizontal="center"/>
    </xf>
    <xf numFmtId="0" fontId="2" fillId="42" borderId="9" xfId="121" applyFill="1" applyBorder="1" applyProtection="1"/>
    <xf numFmtId="0" fontId="0" fillId="42" borderId="14" xfId="0" applyFill="1" applyBorder="1" applyAlignment="1">
      <alignment horizontal="center"/>
    </xf>
    <xf numFmtId="0" fontId="0" fillId="42" borderId="6" xfId="0" applyFill="1" applyBorder="1"/>
    <xf numFmtId="0" fontId="0" fillId="42" borderId="9" xfId="0" applyFill="1" applyBorder="1"/>
    <xf numFmtId="0" fontId="2" fillId="42" borderId="16" xfId="121" applyFill="1" applyBorder="1" applyProtection="1"/>
    <xf numFmtId="0" fontId="2" fillId="43" borderId="6" xfId="121" applyFill="1" applyBorder="1" applyProtection="1"/>
    <xf numFmtId="0" fontId="2" fillId="43" borderId="9" xfId="121" applyFill="1" applyBorder="1" applyProtection="1"/>
    <xf numFmtId="0" fontId="2" fillId="42" borderId="15" xfId="121" applyFill="1" applyBorder="1" applyAlignment="1" applyProtection="1">
      <alignment horizontal="center"/>
    </xf>
    <xf numFmtId="0" fontId="2" fillId="42" borderId="42" xfId="121" applyFill="1" applyBorder="1" applyAlignment="1" applyProtection="1">
      <alignment horizontal="center"/>
    </xf>
    <xf numFmtId="0" fontId="0" fillId="42" borderId="15" xfId="0" applyFill="1" applyBorder="1" applyAlignment="1">
      <alignment horizontal="center"/>
    </xf>
    <xf numFmtId="0" fontId="0" fillId="42" borderId="16" xfId="0" applyFill="1" applyBorder="1" applyAlignment="1">
      <alignment horizontal="center"/>
    </xf>
    <xf numFmtId="0" fontId="2" fillId="43" borderId="14" xfId="121" applyFill="1" applyBorder="1" applyProtection="1"/>
    <xf numFmtId="0" fontId="2" fillId="43" borderId="16" xfId="121" applyFill="1" applyBorder="1" applyProtection="1"/>
    <xf numFmtId="0" fontId="0" fillId="43" borderId="26" xfId="0" applyFill="1" applyBorder="1"/>
    <xf numFmtId="0" fontId="2" fillId="43" borderId="5" xfId="121" applyFill="1" applyBorder="1" applyProtection="1"/>
    <xf numFmtId="0" fontId="0" fillId="43" borderId="6" xfId="0" applyFill="1" applyBorder="1"/>
    <xf numFmtId="0" fontId="33" fillId="44" borderId="42" xfId="121" applyFont="1" applyFill="1" applyBorder="1" applyAlignment="1">
      <alignment horizontal="center"/>
    </xf>
    <xf numFmtId="0" fontId="34" fillId="45" borderId="42" xfId="121" applyFont="1" applyFill="1" applyBorder="1"/>
    <xf numFmtId="0" fontId="0" fillId="46" borderId="46" xfId="0" applyFill="1" applyBorder="1"/>
    <xf numFmtId="0" fontId="37" fillId="39" borderId="41" xfId="0" applyFont="1" applyFill="1" applyBorder="1" applyAlignment="1">
      <alignment horizontal="center"/>
    </xf>
    <xf numFmtId="0" fontId="0" fillId="39" borderId="19" xfId="0" applyFill="1" applyBorder="1" applyAlignment="1">
      <alignment horizontal="center"/>
    </xf>
    <xf numFmtId="0" fontId="0" fillId="0" borderId="26" xfId="0" applyBorder="1"/>
    <xf numFmtId="0" fontId="0" fillId="0" borderId="5" xfId="0" applyBorder="1"/>
    <xf numFmtId="0" fontId="37" fillId="35" borderId="42" xfId="0" applyFont="1" applyFill="1" applyBorder="1" applyAlignment="1">
      <alignment horizontal="center"/>
    </xf>
    <xf numFmtId="0" fontId="0" fillId="0" borderId="16" xfId="0" applyBorder="1"/>
    <xf numFmtId="4" fontId="36" fillId="40" borderId="19" xfId="0" applyNumberFormat="1" applyFont="1" applyFill="1" applyBorder="1" applyAlignment="1">
      <alignment horizontal="center"/>
    </xf>
    <xf numFmtId="0" fontId="0" fillId="0" borderId="41" xfId="0" applyBorder="1"/>
    <xf numFmtId="0" fontId="0" fillId="0" borderId="20" xfId="0" applyBorder="1"/>
    <xf numFmtId="0" fontId="0" fillId="0" borderId="19" xfId="0" applyBorder="1"/>
    <xf numFmtId="0" fontId="38" fillId="35" borderId="47" xfId="0" applyFont="1" applyFill="1" applyBorder="1"/>
    <xf numFmtId="0" fontId="37" fillId="35" borderId="48" xfId="0" applyFont="1" applyFill="1" applyBorder="1" applyAlignment="1">
      <alignment horizontal="center"/>
    </xf>
    <xf numFmtId="0" fontId="37" fillId="35" borderId="49" xfId="0" applyFont="1" applyFill="1" applyBorder="1" applyAlignment="1">
      <alignment horizontal="center"/>
    </xf>
    <xf numFmtId="0" fontId="37" fillId="35" borderId="50" xfId="0" applyFont="1" applyFill="1" applyBorder="1" applyAlignment="1">
      <alignment horizontal="right"/>
    </xf>
    <xf numFmtId="0" fontId="0" fillId="0" borderId="42" xfId="0" applyBorder="1"/>
    <xf numFmtId="0" fontId="38" fillId="31" borderId="0" xfId="0" applyFont="1" applyFill="1" applyBorder="1" applyAlignment="1">
      <alignment horizontal="center"/>
    </xf>
    <xf numFmtId="0" fontId="38" fillId="31" borderId="52" xfId="0" applyFont="1" applyFill="1" applyBorder="1" applyAlignment="1">
      <alignment horizontal="center"/>
    </xf>
    <xf numFmtId="0" fontId="38" fillId="39" borderId="0" xfId="0" applyFont="1" applyFill="1" applyBorder="1" applyAlignment="1">
      <alignment horizontal="center"/>
    </xf>
    <xf numFmtId="0" fontId="38" fillId="39" borderId="52" xfId="0" applyFont="1" applyFill="1" applyBorder="1" applyAlignment="1">
      <alignment horizontal="center"/>
    </xf>
    <xf numFmtId="0" fontId="0" fillId="39" borderId="0" xfId="0" applyFont="1" applyFill="1" applyBorder="1" applyAlignment="1">
      <alignment horizontal="center"/>
    </xf>
    <xf numFmtId="0" fontId="0" fillId="39" borderId="52" xfId="0" applyFont="1" applyFill="1" applyBorder="1" applyAlignment="1">
      <alignment horizontal="center"/>
    </xf>
    <xf numFmtId="0" fontId="0" fillId="39" borderId="15" xfId="0" applyFont="1" applyFill="1" applyBorder="1" applyAlignment="1">
      <alignment horizontal="center"/>
    </xf>
    <xf numFmtId="0" fontId="0" fillId="39" borderId="53" xfId="0" applyFont="1" applyFill="1" applyBorder="1" applyAlignment="1">
      <alignment horizontal="center"/>
    </xf>
    <xf numFmtId="3" fontId="38" fillId="39" borderId="0" xfId="0" applyNumberFormat="1" applyFont="1" applyFill="1" applyBorder="1" applyAlignment="1">
      <alignment horizontal="center"/>
    </xf>
    <xf numFmtId="3" fontId="38" fillId="39" borderId="52" xfId="0" applyNumberFormat="1" applyFont="1" applyFill="1" applyBorder="1" applyAlignment="1">
      <alignment horizontal="center"/>
    </xf>
    <xf numFmtId="0" fontId="0" fillId="31" borderId="0" xfId="0" applyFont="1" applyFill="1" applyBorder="1" applyAlignment="1">
      <alignment horizontal="center"/>
    </xf>
    <xf numFmtId="0" fontId="0" fillId="31" borderId="52" xfId="0" applyFont="1" applyFill="1" applyBorder="1" applyAlignment="1">
      <alignment horizontal="center"/>
    </xf>
    <xf numFmtId="0" fontId="37" fillId="35" borderId="54" xfId="0" applyFont="1" applyFill="1" applyBorder="1" applyAlignment="1">
      <alignment horizontal="right"/>
    </xf>
    <xf numFmtId="0" fontId="0" fillId="31" borderId="15" xfId="0" applyFont="1" applyFill="1" applyBorder="1" applyAlignment="1">
      <alignment horizontal="center"/>
    </xf>
    <xf numFmtId="0" fontId="0" fillId="31" borderId="53" xfId="0" applyFont="1" applyFill="1" applyBorder="1" applyAlignment="1">
      <alignment horizontal="center"/>
    </xf>
    <xf numFmtId="3" fontId="38" fillId="31" borderId="0" xfId="0" applyNumberFormat="1" applyFont="1" applyFill="1" applyBorder="1" applyAlignment="1">
      <alignment horizontal="center"/>
    </xf>
    <xf numFmtId="3" fontId="38" fillId="31" borderId="52" xfId="0" applyNumberFormat="1" applyFont="1" applyFill="1" applyBorder="1" applyAlignment="1">
      <alignment horizontal="center"/>
    </xf>
    <xf numFmtId="2" fontId="38" fillId="39" borderId="55" xfId="0" applyNumberFormat="1" applyFont="1" applyFill="1" applyBorder="1" applyAlignment="1">
      <alignment horizontal="center"/>
    </xf>
    <xf numFmtId="2" fontId="38" fillId="39" borderId="56" xfId="0" applyNumberFormat="1" applyFont="1" applyFill="1" applyBorder="1" applyAlignment="1">
      <alignment horizontal="center"/>
    </xf>
    <xf numFmtId="0" fontId="37" fillId="35" borderId="57" xfId="0" applyFont="1" applyFill="1" applyBorder="1" applyAlignment="1">
      <alignment horizontal="right"/>
    </xf>
    <xf numFmtId="2" fontId="38" fillId="31" borderId="55" xfId="0" applyNumberFormat="1" applyFont="1" applyFill="1" applyBorder="1" applyAlignment="1">
      <alignment horizontal="center"/>
    </xf>
    <xf numFmtId="2" fontId="38" fillId="31" borderId="56" xfId="0" applyNumberFormat="1" applyFont="1" applyFill="1" applyBorder="1" applyAlignment="1">
      <alignment horizontal="center"/>
    </xf>
    <xf numFmtId="0" fontId="40" fillId="0" borderId="0" xfId="0" applyFont="1"/>
    <xf numFmtId="0" fontId="0" fillId="0" borderId="0" xfId="0" applyAlignment="1"/>
    <xf numFmtId="0" fontId="2" fillId="0" borderId="16" xfId="121" applyBorder="1" applyProtection="1"/>
    <xf numFmtId="0" fontId="41" fillId="0" borderId="63" xfId="0" applyFont="1" applyBorder="1"/>
    <xf numFmtId="0" fontId="41" fillId="0" borderId="63" xfId="121" applyFont="1" applyBorder="1"/>
    <xf numFmtId="0" fontId="36" fillId="35" borderId="64" xfId="0" applyFont="1" applyFill="1" applyBorder="1" applyAlignment="1">
      <alignment horizontal="center"/>
    </xf>
    <xf numFmtId="0" fontId="38" fillId="31" borderId="0" xfId="0" applyFont="1" applyFill="1" applyBorder="1" applyAlignment="1">
      <alignment horizontal="center"/>
    </xf>
    <xf numFmtId="0" fontId="38" fillId="31" borderId="52" xfId="0" applyFont="1" applyFill="1" applyBorder="1" applyAlignment="1">
      <alignment horizontal="center"/>
    </xf>
    <xf numFmtId="0" fontId="0" fillId="31" borderId="6" xfId="0" applyFill="1" applyBorder="1" applyAlignment="1">
      <alignment horizontal="center"/>
    </xf>
    <xf numFmtId="0" fontId="2" fillId="29" borderId="20" xfId="121" applyFont="1" applyFill="1" applyBorder="1" applyProtection="1"/>
    <xf numFmtId="0" fontId="1" fillId="42" borderId="26" xfId="121" applyFont="1" applyFill="1" applyBorder="1" applyAlignment="1" applyProtection="1">
      <alignment horizontal="center"/>
    </xf>
    <xf numFmtId="0" fontId="1" fillId="42" borderId="5" xfId="121" applyFont="1" applyFill="1" applyBorder="1" applyAlignment="1" applyProtection="1">
      <alignment horizontal="center"/>
    </xf>
    <xf numFmtId="0" fontId="2" fillId="42" borderId="26" xfId="121" applyFill="1" applyBorder="1" applyProtection="1"/>
    <xf numFmtId="0" fontId="2" fillId="42" borderId="5" xfId="121" applyFont="1" applyFill="1" applyBorder="1" applyProtection="1"/>
    <xf numFmtId="0" fontId="2" fillId="42" borderId="6" xfId="121" applyFill="1" applyBorder="1" applyProtection="1"/>
    <xf numFmtId="0" fontId="2" fillId="42" borderId="9" xfId="121" applyFont="1" applyFill="1" applyBorder="1" applyProtection="1"/>
    <xf numFmtId="0" fontId="2" fillId="42" borderId="16" xfId="121" applyFill="1" applyBorder="1" applyAlignment="1" applyProtection="1">
      <alignment horizontal="center"/>
    </xf>
    <xf numFmtId="0" fontId="2" fillId="42" borderId="14" xfId="121" applyFill="1" applyBorder="1" applyProtection="1"/>
    <xf numFmtId="0" fontId="2" fillId="42" borderId="16" xfId="121" applyFont="1" applyFill="1" applyBorder="1" applyProtection="1"/>
    <xf numFmtId="0" fontId="2" fillId="39" borderId="42" xfId="121" applyFill="1" applyBorder="1" applyAlignment="1" applyProtection="1">
      <alignment horizontal="center"/>
    </xf>
    <xf numFmtId="0" fontId="42" fillId="31" borderId="0" xfId="0" applyFont="1" applyFill="1" applyBorder="1" applyAlignment="1">
      <alignment horizontal="center"/>
    </xf>
    <xf numFmtId="0" fontId="42" fillId="31" borderId="52" xfId="0" applyFont="1" applyFill="1" applyBorder="1" applyAlignment="1">
      <alignment horizontal="center"/>
    </xf>
    <xf numFmtId="177" fontId="2" fillId="28" borderId="41" xfId="121" applyNumberFormat="1" applyFont="1" applyFill="1" applyBorder="1" applyAlignment="1" applyProtection="1">
      <alignment horizontal="center"/>
    </xf>
    <xf numFmtId="177" fontId="2" fillId="28" borderId="20" xfId="121" applyNumberFormat="1" applyFont="1" applyFill="1" applyBorder="1" applyAlignment="1" applyProtection="1">
      <alignment horizontal="center"/>
    </xf>
    <xf numFmtId="177" fontId="2" fillId="28" borderId="19" xfId="121" applyNumberFormat="1" applyFont="1" applyFill="1" applyBorder="1" applyAlignment="1" applyProtection="1">
      <alignment horizontal="center"/>
    </xf>
    <xf numFmtId="176" fontId="2" fillId="28" borderId="20" xfId="121" applyNumberFormat="1" applyFont="1" applyFill="1" applyBorder="1" applyAlignment="1" applyProtection="1">
      <alignment horizontal="center"/>
    </xf>
    <xf numFmtId="0" fontId="1" fillId="35" borderId="1" xfId="0" applyFont="1" applyFill="1" applyBorder="1" applyAlignment="1">
      <alignment horizontal="center"/>
    </xf>
    <xf numFmtId="0" fontId="1" fillId="35" borderId="2" xfId="0" applyFont="1" applyFill="1" applyBorder="1" applyAlignment="1">
      <alignment horizontal="center"/>
    </xf>
    <xf numFmtId="0" fontId="1" fillId="35" borderId="3" xfId="0" applyFont="1" applyFill="1" applyBorder="1" applyAlignment="1">
      <alignment horizontal="center"/>
    </xf>
    <xf numFmtId="174" fontId="1" fillId="35" borderId="27" xfId="1" applyNumberFormat="1" applyFont="1" applyFill="1" applyBorder="1" applyAlignment="1" applyProtection="1">
      <alignment horizontal="center"/>
    </xf>
    <xf numFmtId="174" fontId="1" fillId="35" borderId="28" xfId="1" applyNumberFormat="1" applyFont="1" applyFill="1" applyBorder="1" applyAlignment="1" applyProtection="1">
      <alignment horizontal="center"/>
    </xf>
    <xf numFmtId="174" fontId="18" fillId="33" borderId="43" xfId="121" applyNumberFormat="1" applyFont="1" applyFill="1" applyBorder="1" applyAlignment="1" applyProtection="1">
      <alignment horizontal="center"/>
    </xf>
    <xf numFmtId="174" fontId="18" fillId="33" borderId="44" xfId="121" applyNumberFormat="1" applyFont="1" applyFill="1" applyBorder="1" applyAlignment="1" applyProtection="1">
      <alignment horizontal="center"/>
    </xf>
    <xf numFmtId="0" fontId="0" fillId="31" borderId="6" xfId="0" applyFill="1" applyBorder="1" applyAlignment="1">
      <alignment horizontal="center"/>
    </xf>
    <xf numFmtId="0" fontId="0" fillId="31" borderId="52" xfId="0" applyFill="1" applyBorder="1" applyAlignment="1">
      <alignment horizontal="center"/>
    </xf>
    <xf numFmtId="0" fontId="0" fillId="39" borderId="6" xfId="0" applyFill="1" applyBorder="1" applyAlignment="1">
      <alignment horizontal="center"/>
    </xf>
    <xf numFmtId="0" fontId="0" fillId="39" borderId="52" xfId="0" applyFill="1" applyBorder="1" applyAlignment="1">
      <alignment horizontal="center"/>
    </xf>
    <xf numFmtId="0" fontId="39" fillId="35" borderId="58" xfId="0" applyFont="1" applyFill="1" applyBorder="1" applyAlignment="1">
      <alignment horizontal="center" vertical="center"/>
    </xf>
    <xf numFmtId="0" fontId="39" fillId="35" borderId="61" xfId="0" applyFont="1" applyFill="1" applyBorder="1" applyAlignment="1">
      <alignment horizontal="center" vertical="center"/>
    </xf>
    <xf numFmtId="180" fontId="39" fillId="40" borderId="59" xfId="122" applyNumberFormat="1" applyFont="1" applyFill="1" applyBorder="1" applyAlignment="1">
      <alignment horizontal="center" vertical="center"/>
    </xf>
    <xf numFmtId="180" fontId="39" fillId="40" borderId="60" xfId="122" applyNumberFormat="1" applyFont="1" applyFill="1" applyBorder="1" applyAlignment="1">
      <alignment horizontal="center" vertical="center"/>
    </xf>
    <xf numFmtId="180" fontId="39" fillId="40" borderId="62" xfId="122" applyNumberFormat="1" applyFont="1" applyFill="1" applyBorder="1" applyAlignment="1">
      <alignment horizontal="center" vertical="center"/>
    </xf>
    <xf numFmtId="180" fontId="39" fillId="40" borderId="56" xfId="122" applyNumberFormat="1" applyFont="1" applyFill="1" applyBorder="1" applyAlignment="1">
      <alignment horizontal="center" vertical="center"/>
    </xf>
    <xf numFmtId="14" fontId="38" fillId="31" borderId="26" xfId="0" applyNumberFormat="1" applyFont="1" applyFill="1" applyBorder="1" applyAlignment="1">
      <alignment horizontal="center"/>
    </xf>
    <xf numFmtId="14" fontId="38" fillId="31" borderId="51" xfId="0" applyNumberFormat="1" applyFont="1" applyFill="1" applyBorder="1" applyAlignment="1">
      <alignment horizontal="center"/>
    </xf>
    <xf numFmtId="14" fontId="38" fillId="39" borderId="26" xfId="0" applyNumberFormat="1" applyFont="1" applyFill="1" applyBorder="1" applyAlignment="1">
      <alignment horizontal="center"/>
    </xf>
    <xf numFmtId="14" fontId="38" fillId="39" borderId="51" xfId="0" applyNumberFormat="1" applyFont="1" applyFill="1" applyBorder="1" applyAlignment="1">
      <alignment horizontal="center"/>
    </xf>
    <xf numFmtId="14" fontId="38" fillId="31" borderId="6" xfId="0" applyNumberFormat="1" applyFont="1" applyFill="1" applyBorder="1" applyAlignment="1">
      <alignment horizontal="center"/>
    </xf>
    <xf numFmtId="14" fontId="38" fillId="31" borderId="52" xfId="0" applyNumberFormat="1" applyFont="1" applyFill="1" applyBorder="1" applyAlignment="1">
      <alignment horizontal="center"/>
    </xf>
    <xf numFmtId="14" fontId="38" fillId="39" borderId="6" xfId="0" applyNumberFormat="1" applyFont="1" applyFill="1" applyBorder="1" applyAlignment="1">
      <alignment horizontal="center"/>
    </xf>
    <xf numFmtId="14" fontId="38" fillId="39" borderId="52" xfId="0" applyNumberFormat="1" applyFont="1" applyFill="1" applyBorder="1" applyAlignment="1">
      <alignment horizontal="center"/>
    </xf>
    <xf numFmtId="0" fontId="38" fillId="31" borderId="0" xfId="0" applyFont="1" applyFill="1" applyBorder="1" applyAlignment="1">
      <alignment horizontal="center"/>
    </xf>
    <xf numFmtId="0" fontId="38" fillId="31" borderId="52" xfId="0" applyFont="1" applyFill="1" applyBorder="1" applyAlignment="1">
      <alignment horizontal="center"/>
    </xf>
    <xf numFmtId="1" fontId="38" fillId="39" borderId="0" xfId="0" applyNumberFormat="1" applyFont="1" applyFill="1" applyBorder="1" applyAlignment="1">
      <alignment horizontal="center"/>
    </xf>
    <xf numFmtId="1" fontId="38" fillId="39" borderId="52" xfId="0" applyNumberFormat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3" xfId="1" applyBorder="1" applyAlignment="1"/>
  </cellXfs>
  <cellStyles count="123">
    <cellStyle name="20% - Accent1 2" xfId="39"/>
    <cellStyle name="20% - Accent2 2" xfId="40"/>
    <cellStyle name="20% - Accent3 2" xfId="41"/>
    <cellStyle name="20% - Accent4 2" xfId="42"/>
    <cellStyle name="20% - Accent5 2" xfId="43"/>
    <cellStyle name="20% - Accent6 2" xfId="44"/>
    <cellStyle name="20% - Colore 1" xfId="2"/>
    <cellStyle name="20% - Colore 2" xfId="3"/>
    <cellStyle name="20% - Colore 3" xfId="4"/>
    <cellStyle name="20% - Colore 4" xfId="5"/>
    <cellStyle name="20% - Colore 5" xfId="6"/>
    <cellStyle name="20% - Colore 6" xfId="7"/>
    <cellStyle name="40% - Accent1 2" xfId="45"/>
    <cellStyle name="40% - Accent2 2" xfId="46"/>
    <cellStyle name="40% - Accent3 2" xfId="47"/>
    <cellStyle name="40% - Accent4 2" xfId="48"/>
    <cellStyle name="40% - Accent5 2" xfId="49"/>
    <cellStyle name="40% - Accent6 2" xfId="50"/>
    <cellStyle name="40% - Colore 1" xfId="8"/>
    <cellStyle name="40% - Colore 2" xfId="9"/>
    <cellStyle name="40% - Colore 3" xfId="10"/>
    <cellStyle name="40% - Colore 4" xfId="11"/>
    <cellStyle name="40% - Colore 5" xfId="12"/>
    <cellStyle name="40% - Colore 6" xfId="13"/>
    <cellStyle name="60% - Accent1 2" xfId="51"/>
    <cellStyle name="60% - Accent2 2" xfId="52"/>
    <cellStyle name="60% - Accent3 2" xfId="53"/>
    <cellStyle name="60% - Accent4 2" xfId="54"/>
    <cellStyle name="60% - Accent5 2" xfId="55"/>
    <cellStyle name="60% - Accent6 2" xfId="56"/>
    <cellStyle name="60% - Colore 1" xfId="14"/>
    <cellStyle name="60% - Colore 2" xfId="15"/>
    <cellStyle name="60% - Colore 3" xfId="16"/>
    <cellStyle name="60% - Colore 4" xfId="17"/>
    <cellStyle name="60% - Colore 5" xfId="18"/>
    <cellStyle name="60% - Colore 6" xfId="19"/>
    <cellStyle name="Accent1 2" xfId="57"/>
    <cellStyle name="Accent2 2" xfId="58"/>
    <cellStyle name="Accent3 2" xfId="59"/>
    <cellStyle name="Accent4 2" xfId="60"/>
    <cellStyle name="Accent5 2" xfId="61"/>
    <cellStyle name="Accent6 2" xfId="62"/>
    <cellStyle name="Bad 2" xfId="63"/>
    <cellStyle name="Calcolo" xfId="20"/>
    <cellStyle name="Calcolo 2" xfId="64"/>
    <cellStyle name="Calcolo 2 2" xfId="99"/>
    <cellStyle name="Calcolo 2 3" xfId="100"/>
    <cellStyle name="Calcolo 3" xfId="101"/>
    <cellStyle name="Calcolo 4" xfId="102"/>
    <cellStyle name="Calculation 2" xfId="65"/>
    <cellStyle name="Calculation 2 2" xfId="103"/>
    <cellStyle name="Calculation 2 3" xfId="104"/>
    <cellStyle name="Cella collegata" xfId="21"/>
    <cellStyle name="Cella da controllare" xfId="22"/>
    <cellStyle name="Check Cell 2" xfId="66"/>
    <cellStyle name="Colore 1" xfId="23"/>
    <cellStyle name="Colore 2" xfId="24"/>
    <cellStyle name="Colore 3" xfId="25"/>
    <cellStyle name="Colore 4" xfId="26"/>
    <cellStyle name="Colore 5" xfId="27"/>
    <cellStyle name="Colore 6" xfId="28"/>
    <cellStyle name="Comma" xfId="122" builtinId="3"/>
    <cellStyle name="Euro" xfId="29"/>
    <cellStyle name="Explanatory Text 2" xfId="67"/>
    <cellStyle name="Good 2" xfId="68"/>
    <cellStyle name="Heading 1 2" xfId="69"/>
    <cellStyle name="Heading 2 2" xfId="70"/>
    <cellStyle name="Heading 3 2" xfId="71"/>
    <cellStyle name="Heading 4 2" xfId="72"/>
    <cellStyle name="Input 2" xfId="73"/>
    <cellStyle name="Input 2 2" xfId="105"/>
    <cellStyle name="Input 2 3" xfId="106"/>
    <cellStyle name="Linked Cell 2" xfId="74"/>
    <cellStyle name="Migliaia (0)_Anagrafiche Mutui" xfId="30"/>
    <cellStyle name="Migliaia_BENCH2" xfId="75"/>
    <cellStyle name="Neutral 2" xfId="76"/>
    <cellStyle name="Neutrale" xfId="31"/>
    <cellStyle name="Normal" xfId="0" builtinId="0"/>
    <cellStyle name="Normal 2" xfId="1"/>
    <cellStyle name="Normal 2 2" xfId="77"/>
    <cellStyle name="Normal 2 3" xfId="121"/>
    <cellStyle name="Normal 3" xfId="38"/>
    <cellStyle name="Normal 4" xfId="96"/>
    <cellStyle name="Normal 5" xfId="98"/>
    <cellStyle name="Normal 9" xfId="97"/>
    <cellStyle name="Normale_BENCH2" xfId="78"/>
    <cellStyle name="Nota" xfId="32"/>
    <cellStyle name="Nota 2" xfId="79"/>
    <cellStyle name="Nota 2 2" xfId="107"/>
    <cellStyle name="Nota 2 3" xfId="108"/>
    <cellStyle name="Nota 3" xfId="109"/>
    <cellStyle name="Nota 4" xfId="110"/>
    <cellStyle name="Note 2" xfId="80"/>
    <cellStyle name="Note 2 2" xfId="111"/>
    <cellStyle name="Note 2 3" xfId="112"/>
    <cellStyle name="Output 2" xfId="81"/>
    <cellStyle name="Output 2 2" xfId="113"/>
    <cellStyle name="Output 2 3" xfId="114"/>
    <cellStyle name="Percent 2" xfId="82"/>
    <cellStyle name="result" xfId="83"/>
    <cellStyle name="Testo avviso" xfId="33"/>
    <cellStyle name="Testo descrittivo" xfId="34"/>
    <cellStyle name="Title 2" xfId="84"/>
    <cellStyle name="Titolo" xfId="35"/>
    <cellStyle name="Titolo 1" xfId="36"/>
    <cellStyle name="Titolo 2" xfId="85"/>
    <cellStyle name="Titolo 3" xfId="86"/>
    <cellStyle name="Titolo 4" xfId="87"/>
    <cellStyle name="Titolo_ZCurve" xfId="88"/>
    <cellStyle name="Total 2" xfId="89"/>
    <cellStyle name="Total 2 2" xfId="115"/>
    <cellStyle name="Total 2 3" xfId="116"/>
    <cellStyle name="Totale" xfId="90"/>
    <cellStyle name="Totale 2" xfId="117"/>
    <cellStyle name="Totale 3" xfId="118"/>
    <cellStyle name="Trigger" xfId="37"/>
    <cellStyle name="Trigger 2" xfId="119"/>
    <cellStyle name="Trigger 3" xfId="120"/>
    <cellStyle name="Valore non valido" xfId="91"/>
    <cellStyle name="Valore valido" xfId="92"/>
    <cellStyle name="Valuta (0)_Anagrafiche Mutui" xfId="93"/>
    <cellStyle name="Valuta_BENCH2" xfId="94"/>
    <cellStyle name="Warning Text 2" xfId="95"/>
  </cellStyles>
  <dxfs count="64"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0" tint="-0.14996795556505021"/>
      </font>
    </dxf>
    <dxf>
      <font>
        <b val="0"/>
        <i/>
        <color theme="0" tint="-0.14996795556505021"/>
      </font>
    </dxf>
  </dxfs>
  <tableStyles count="0" defaultTableStyle="TableStyleMedium2" defaultPivotStyle="PivotStyleLight16"/>
  <colors>
    <mruColors>
      <color rgb="FFCCFFFF"/>
      <color rgb="FF99CCFF"/>
      <color rgb="FFCCCCFF"/>
      <color rgb="FFF9A9AB"/>
      <color rgb="FFFF66FF"/>
      <color rgb="FFCCECFF"/>
      <color rgb="FFFFCCFF"/>
      <color rgb="FFFFCC99"/>
      <color rgb="FFFFFFCC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-15.75</v>
        <stp/>
        <stp>_x0010_EUUSEOFF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3" s="27"/>
        <tr r="AA43" s="29"/>
      </tp>
      <tp>
        <v>-14.75</v>
        <stp/>
        <stp>_x0010_EUUSEOFF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2" s="27"/>
        <tr r="AA42" s="29"/>
      </tp>
      <tp>
        <v>-15.5</v>
        <stp/>
        <stp>_x0010_EUUSEOFF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27"/>
        <tr r="AA40" s="29"/>
      </tp>
      <tp>
        <v>-14</v>
        <stp/>
        <stp>_x0010_EUUSEOFF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1" s="27"/>
        <tr r="AA41" s="29"/>
      </tp>
      <tp>
        <v>-23.75</v>
        <stp/>
        <stp>_x0010_EUUSEOFF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27"/>
        <tr r="Z43" s="29"/>
      </tp>
      <tp>
        <v>-22.75</v>
        <stp/>
        <stp>_x0010_EUUSEOFF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2" s="27"/>
        <tr r="Z42" s="29"/>
      </tp>
      <tp>
        <v>-23.5</v>
        <stp/>
        <stp>_x0010_EUUSEOFF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27"/>
        <tr r="Z40" s="29"/>
      </tp>
      <tp>
        <v>-22</v>
        <stp/>
        <stp>_x0010_EUUSEOFF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1" s="27"/>
        <tr r="Z41" s="29"/>
      </tp>
    </main>
    <main first="pldatasource.rtnowrtdserver">
      <tp>
        <v>0.73553240740875481</v>
        <stp/>
        <stp>D8</stp>
        <stp>90</stp>
        <tr r="D8" s="8"/>
      </tp>
    </main>
    <main first="pldatasource.rtgetrtdserver">
      <tp t="s">
        <v>#N/A</v>
        <stp/>
        <stp>_x000D_EUUSEOF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72" s="27"/>
        <tr r="AA71" s="27"/>
        <tr r="AA70" s="27"/>
        <tr r="AA69" s="27"/>
        <tr r="AA68" s="27"/>
        <tr r="AA67" s="27"/>
        <tr r="AA64" s="27"/>
        <tr r="AA66" s="27"/>
        <tr r="AA65" s="27"/>
        <tr r="AA63" s="27"/>
        <tr r="AA62" s="27"/>
        <tr r="AA60" s="27"/>
        <tr r="AA61" s="27"/>
        <tr r="AA59" s="27"/>
        <tr r="AA58" s="27"/>
        <tr r="AA57" s="27"/>
        <tr r="AA56" s="27"/>
        <tr r="AA55" s="27"/>
        <tr r="AA54" s="27"/>
        <tr r="AA53" s="27"/>
        <tr r="AA52" s="27"/>
        <tr r="AA51" s="27"/>
        <tr r="AA49" s="27"/>
        <tr r="AA50" s="27"/>
        <tr r="AA48" s="27"/>
        <tr r="AA47" s="27"/>
        <tr r="AA46" s="27"/>
        <tr r="AA45" s="27"/>
        <tr r="AA44" s="27"/>
        <tr r="AA54" s="29"/>
        <tr r="AA62" s="29"/>
        <tr r="AA57" s="29"/>
        <tr r="AA55" s="29"/>
        <tr r="AA70" s="29"/>
        <tr r="AA56" s="29"/>
        <tr r="AA48" s="29"/>
        <tr r="AA68" s="29"/>
        <tr r="AA61" s="29"/>
        <tr r="AA49" s="29"/>
        <tr r="AA51" s="29"/>
        <tr r="AA45" s="29"/>
        <tr r="AA58" s="29"/>
        <tr r="AA47" s="29"/>
        <tr r="AA44" s="29"/>
        <tr r="AA59" s="29"/>
        <tr r="AA66" s="29"/>
        <tr r="AA64" s="29"/>
        <tr r="AA46" s="29"/>
        <tr r="AA60" s="29"/>
        <tr r="AA71" s="29"/>
        <tr r="AA52" s="29"/>
        <tr r="AA65" s="29"/>
        <tr r="AA63" s="29"/>
        <tr r="AA50" s="29"/>
        <tr r="AA53" s="29"/>
        <tr r="AA72" s="29"/>
        <tr r="AA69" s="29"/>
        <tr r="AA67" s="29"/>
      </tp>
    </main>
    <main first="pldatasource.rtnowrtdserver">
      <tp>
        <v>0.73553240740875481</v>
        <stp/>
        <stp>C15</stp>
        <stp>90</stp>
        <tr r="C15" s="27"/>
        <tr r="C15" s="29"/>
        <tr r="C15" s="31"/>
        <tr r="C15" s="32"/>
        <tr r="C15" s="36"/>
        <tr r="C15" s="35"/>
      </tp>
    </main>
    <main first="pldatasource.rtgetrtdserver">
      <tp t="s">
        <v>#N/A RIC Not Found</v>
        <stp/>
        <stp>_x0002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31"/>
        <tr r="AA21" s="32"/>
        <tr r="AA21" s="35"/>
        <tr r="AA21" s="36"/>
      </tp>
      <tp t="s">
        <v>#N/A RIC Not Found</v>
        <stp/>
        <stp>_x0002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31"/>
        <tr r="AA20" s="32"/>
        <tr r="AA20" s="35"/>
        <tr r="AA20" s="36"/>
      </tp>
      <tp t="s">
        <v>#N/A RIC Not Found</v>
        <stp/>
        <stp>_x0002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31"/>
        <tr r="AA10" s="32"/>
        <tr r="AA10" s="35"/>
        <tr r="AA10" s="36"/>
      </tp>
      <tp t="s">
        <v>#N/A RIC Not Found</v>
        <stp/>
        <stp>_x0002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31"/>
        <tr r="AA15" s="32"/>
        <tr r="AA15" s="36"/>
        <tr r="AA15" s="35"/>
      </tp>
      <tp t="s">
        <v>#N/A RIC Not Found</v>
        <stp/>
        <stp>_x0002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31"/>
        <tr r="AA9" s="32"/>
        <tr r="AA9" s="36"/>
        <tr r="AA9" s="35"/>
      </tp>
      <tp t="s">
        <v>#N/A RIC Not Found</v>
        <stp/>
        <stp>_x0002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31"/>
        <tr r="AA14" s="32"/>
        <tr r="AA14" s="36"/>
        <tr r="AA14" s="35"/>
      </tp>
      <tp t="s">
        <v>#N/A RIC Not Found</v>
        <stp/>
        <stp>_x0002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31"/>
        <tr r="AA13" s="32"/>
        <tr r="AA13" s="35"/>
        <tr r="AA13" s="36"/>
      </tp>
      <tp t="s">
        <v>#N/A RIC Not Found</v>
        <stp/>
        <stp>_x0002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31"/>
        <tr r="AA19" s="32"/>
        <tr r="AA19" s="35"/>
        <tr r="AA19" s="36"/>
      </tp>
      <tp>
        <v>-9.2241785000000007E-2</v>
        <stp/>
        <stp>_x0002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31"/>
        <tr r="AA18" s="32"/>
        <tr r="AA18" s="35"/>
        <tr r="AA18" s="36"/>
      </tp>
      <tp t="s">
        <v>#N/A RIC Not Found</v>
        <stp/>
        <stp>_x0002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31"/>
        <tr r="AA17" s="32"/>
        <tr r="AA17" s="36"/>
        <tr r="AA17" s="35"/>
      </tp>
      <tp t="s">
        <v>#N/A RIC Not Found</v>
        <stp/>
        <stp>_x0002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31"/>
        <tr r="AA16" s="32"/>
        <tr r="AA16" s="36"/>
        <tr r="AA16" s="35"/>
      </tp>
      <tp t="s">
        <v>#N/A RIC Not Found</v>
        <stp/>
        <stp>_x0002_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31"/>
        <tr r="AA8" s="32"/>
        <tr r="AA8" s="35"/>
        <tr r="AA8" s="36"/>
      </tp>
      <tp t="s">
        <v>#N/A RIC Not Found</v>
        <stp/>
        <stp>_x0002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31"/>
        <tr r="Z13" s="32"/>
        <tr r="Z13" s="36"/>
        <tr r="Z13" s="35"/>
      </tp>
      <tp t="s">
        <v>#N/A RIC Not Found</v>
        <stp/>
        <stp>_x0002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31"/>
        <tr r="Z10" s="32"/>
        <tr r="Z10" s="35"/>
        <tr r="Z10" s="36"/>
      </tp>
      <tp t="s">
        <v>#N/A RIC Not Found</v>
        <stp/>
        <stp>_x0002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31"/>
        <tr r="Z15" s="32"/>
        <tr r="Z15" s="36"/>
        <tr r="Z15" s="35"/>
      </tp>
      <tp t="s">
        <v>#N/A RIC Not Found</v>
        <stp/>
        <stp>_x0002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31"/>
        <tr r="Z9" s="32"/>
        <tr r="Z9" s="36"/>
        <tr r="Z9" s="35"/>
      </tp>
      <tp t="s">
        <v>#N/A RIC Not Found</v>
        <stp/>
        <stp>_x0002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31"/>
        <tr r="Z14" s="32"/>
        <tr r="Z14" s="36"/>
        <tr r="Z14" s="35"/>
      </tp>
      <tp t="s">
        <v>#N/A RIC Not Found</v>
        <stp/>
        <stp>_x0002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31"/>
        <tr r="Z17" s="32"/>
        <tr r="Z17" s="36"/>
        <tr r="Z17" s="35"/>
      </tp>
      <tp t="s">
        <v>#N/A RIC Not Found</v>
        <stp/>
        <stp>_x0002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31"/>
        <tr r="Z16" s="32"/>
        <tr r="Z16" s="35"/>
        <tr r="Z16" s="36"/>
      </tp>
      <tp t="s">
        <v>#N/A RIC Not Found</v>
        <stp/>
        <stp>_x0002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31"/>
        <tr r="Z19" s="32"/>
        <tr r="Z19" s="36"/>
        <tr r="Z19" s="35"/>
      </tp>
      <tp>
        <v>-9.2241785000000007E-2</v>
        <stp/>
        <stp>_x0002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31"/>
        <tr r="Z18" s="32"/>
        <tr r="Z18" s="35"/>
        <tr r="Z18" s="36"/>
      </tp>
      <tp t="s">
        <v>#N/A RIC Not Found</v>
        <stp/>
        <stp>_x0002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31"/>
        <tr r="Z21" s="32"/>
        <tr r="Z21" s="36"/>
        <tr r="Z21" s="35"/>
      </tp>
      <tp t="s">
        <v>#N/A RIC Not Found</v>
        <stp/>
        <stp>_x0002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31"/>
        <tr r="Z20" s="32"/>
        <tr r="Z20" s="36"/>
        <tr r="Z20" s="35"/>
      </tp>
      <tp t="s">
        <v>#N/A RIC Not Found</v>
        <stp/>
        <stp>_x0002_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31"/>
        <tr r="Z8" s="32"/>
        <tr r="Z8" s="36"/>
        <tr r="Z8" s="35"/>
      </tp>
      <tp>
        <v>19.5</v>
        <stp/>
        <stp>_x000D_SEKECB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36"/>
        <tr r="AA36" s="35"/>
      </tp>
      <tp>
        <v>17.25</v>
        <stp/>
        <stp>_x000D_SEKECB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36"/>
        <tr r="AA35" s="35"/>
      </tp>
      <tp>
        <v>14.5</v>
        <stp/>
        <stp>_x000D_SEKECB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35"/>
        <tr r="AA34" s="36"/>
      </tp>
      <tp>
        <v>12.25</v>
        <stp/>
        <stp>_x000D_SEKECB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35"/>
        <tr r="AA33" s="36"/>
      </tp>
      <tp>
        <v>9.5</v>
        <stp/>
        <stp>_x000D_SEKECB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35"/>
        <tr r="AA32" s="36"/>
      </tp>
      <tp>
        <v>7.25</v>
        <stp/>
        <stp>_x000D_SEKECB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36"/>
        <tr r="AA31" s="35"/>
      </tp>
      <tp>
        <v>1.75</v>
        <stp/>
        <stp>_x000D_SEKCBS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31"/>
        <tr r="AA36" s="32"/>
      </tp>
      <tp>
        <v>-1.25</v>
        <stp/>
        <stp>_x000D_SEKCBS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31"/>
        <tr r="AA35" s="32"/>
      </tp>
      <tp>
        <v>-4</v>
        <stp/>
        <stp>_x000D_SEKCBS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31"/>
        <tr r="AA34" s="32"/>
      </tp>
      <tp>
        <v>-6.25</v>
        <stp/>
        <stp>_x000D_SEKCBS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31"/>
        <tr r="AA33" s="32"/>
      </tp>
      <tp>
        <v>-8</v>
        <stp/>
        <stp>_x000D_SEKCBS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31"/>
        <tr r="AA32" s="32"/>
      </tp>
      <tp>
        <v>-9</v>
        <stp/>
        <stp>_x000D_SEKCBS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31"/>
        <tr r="AA31" s="32"/>
      </tp>
    </main>
    <main first="pldatasource.rtgetrtdserver">
      <tp>
        <v>8.5</v>
        <stp/>
        <stp>_x000D_SEKECB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36"/>
        <tr r="Z34" s="35"/>
      </tp>
      <tp>
        <v>11.25</v>
        <stp/>
        <stp>_x000D_SEKECB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35"/>
        <tr r="Z35" s="36"/>
      </tp>
      <tp>
        <v>13.5</v>
        <stp/>
        <stp>_x000D_SEKECB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35"/>
        <tr r="Z36" s="36"/>
      </tp>
      <tp>
        <v>1.25</v>
        <stp/>
        <stp>_x000D_SEKECB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35"/>
        <tr r="Z31" s="36"/>
      </tp>
      <tp>
        <v>3.5</v>
        <stp/>
        <stp>_x000D_SEKECB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36"/>
        <tr r="Z32" s="35"/>
      </tp>
      <tp>
        <v>6.25</v>
        <stp/>
        <stp>_x000D_SEKECB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36"/>
        <tr r="Z33" s="35"/>
      </tp>
    </main>
    <main first="pldatasource.rtgetrtdserver">
      <tp>
        <v>-10</v>
        <stp/>
        <stp>_x000D_SEKCBS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31"/>
        <tr r="Z34" s="32"/>
      </tp>
      <tp>
        <v>-7.25</v>
        <stp/>
        <stp>_x000D_SEKCBS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31"/>
        <tr r="Z35" s="32"/>
      </tp>
      <tp>
        <v>-4.25</v>
        <stp/>
        <stp>_x000D_SEKCBS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31"/>
        <tr r="Z36" s="32"/>
      </tp>
      <tp>
        <v>-15</v>
        <stp/>
        <stp>_x000D_SEKCBS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31"/>
        <tr r="Z31" s="32"/>
      </tp>
      <tp>
        <v>-14</v>
        <stp/>
        <stp>_x000D_SEKCBS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31"/>
        <tr r="Z32" s="32"/>
      </tp>
      <tp>
        <v>-12.25</v>
        <stp/>
        <stp>_x000D_SEKCBS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31"/>
        <tr r="Z33" s="32"/>
      </tp>
    </main>
    <main first="pldatasource.rtgetrtdserver">
      <tp t="s">
        <v>#N/A</v>
        <stp/>
        <stp>_x000D_EUUSEOF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27"/>
        <tr r="Z71" s="27"/>
        <tr r="Z70" s="27"/>
        <tr r="Z69" s="27"/>
        <tr r="Z68" s="27"/>
        <tr r="Z67" s="27"/>
        <tr r="Z63" s="27"/>
        <tr r="Z64" s="27"/>
        <tr r="Z66" s="27"/>
        <tr r="Z65" s="27"/>
        <tr r="Z62" s="27"/>
        <tr r="Z61" s="27"/>
        <tr r="Z60" s="27"/>
        <tr r="Z59" s="27"/>
        <tr r="Z58" s="27"/>
        <tr r="Z57" s="27"/>
        <tr r="Z56" s="27"/>
        <tr r="Z54" s="27"/>
        <tr r="Z55" s="27"/>
        <tr r="Z53" s="27"/>
        <tr r="Z52" s="27"/>
        <tr r="Z51" s="27"/>
        <tr r="Z50" s="27"/>
        <tr r="Z49" s="27"/>
        <tr r="Z48" s="27"/>
        <tr r="Z47" s="27"/>
        <tr r="Z46" s="27"/>
        <tr r="Z45" s="27"/>
        <tr r="Z44" s="27"/>
        <tr r="Z58" s="29"/>
        <tr r="Z49" s="29"/>
        <tr r="Z55" s="29"/>
        <tr r="Z48" s="29"/>
        <tr r="Z62" s="29"/>
        <tr r="Z47" s="29"/>
        <tr r="Z68" s="29"/>
        <tr r="Z46" s="29"/>
        <tr r="Z65" s="29"/>
        <tr r="Z64" s="29"/>
        <tr r="Z63" s="29"/>
        <tr r="Z57" s="29"/>
        <tr r="Z67" s="29"/>
        <tr r="Z72" s="29"/>
        <tr r="Z52" s="29"/>
        <tr r="Z44" s="29"/>
        <tr r="Z50" s="29"/>
        <tr r="Z59" s="29"/>
        <tr r="Z71" s="29"/>
        <tr r="Z69" s="29"/>
        <tr r="Z70" s="29"/>
        <tr r="Z61" s="29"/>
        <tr r="Z45" s="29"/>
        <tr r="Z66" s="29"/>
        <tr r="Z51" s="29"/>
        <tr r="Z60" s="29"/>
        <tr r="Z56" s="29"/>
        <tr r="Z53" s="29"/>
        <tr r="Z54" s="29"/>
      </tp>
    </main>
    <main first="pldatasource.rtgetrtdserver">
      <tp>
        <v>7.7237999999999998</v>
        <stp/>
        <stp>_x0004_SEK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7" s="31"/>
        <tr r="AA27" s="32"/>
      </tp>
      <tp>
        <v>1.2250000000000001</v>
        <stp/>
        <stp>_x0004_EUR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7" s="27"/>
        <tr r="AA27" s="29"/>
      </tp>
      <tp>
        <v>21.25</v>
        <stp/>
        <stp>_x000E_SEKECB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35"/>
        <tr r="Z38" s="36"/>
      </tp>
      <tp>
        <v>21.5</v>
        <stp/>
        <stp>_x000E_SEKCBS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31"/>
        <tr r="AA39" s="32"/>
      </tp>
      <tp>
        <v>27</v>
        <stp/>
        <stp>_x000E_SEKCBS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31"/>
        <tr r="AA40" s="32"/>
      </tp>
      <tp>
        <v>6.75</v>
        <stp/>
        <stp>_x000E_SEKCBS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31"/>
        <tr r="AA37" s="32"/>
      </tp>
      <tp>
        <v>15.5</v>
        <stp/>
        <stp>_x000E_SEKCBS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31"/>
        <tr r="Z39" s="32"/>
      </tp>
      <tp>
        <v>21</v>
        <stp/>
        <stp>_x000E_SEKCBS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31"/>
        <tr r="Z40" s="32"/>
      </tp>
      <tp>
        <v>0.75</v>
        <stp/>
        <stp>_x000E_SEKCBS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31"/>
        <tr r="Z37" s="32"/>
      </tp>
      <tp>
        <v>27.25</v>
        <stp/>
        <stp>_x000E_SEKECB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35"/>
        <tr r="AA38" s="36"/>
      </tp>
      <tp>
        <v>26</v>
        <stp/>
        <stp>_x000E_SEKECB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36"/>
        <tr r="Z39" s="35"/>
      </tp>
      <tp>
        <v>16</v>
        <stp/>
        <stp>_x000E_SEKECB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35"/>
        <tr r="Z37" s="36"/>
      </tp>
      <tp>
        <v>15</v>
        <stp/>
        <stp>_x000E_SEKCBS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31"/>
        <tr r="AA38" s="32"/>
      </tp>
      <tp>
        <v>7.7207999999999997</v>
        <stp/>
        <stp>_x0004_SEK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7" s="31"/>
        <tr r="Z27" s="32"/>
      </tp>
      <tp>
        <v>1.2249000000000001</v>
        <stp/>
        <stp>_x0004_EUR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7" s="27"/>
        <tr r="Z27" s="29"/>
      </tp>
      <tp>
        <v>9</v>
        <stp/>
        <stp>_x000E_SEKCBS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31"/>
        <tr r="Z38" s="32"/>
      </tp>
      <tp>
        <v>32</v>
        <stp/>
        <stp>_x000E_SEKECB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35"/>
        <tr r="AA39" s="36"/>
      </tp>
      <tp>
        <v>22</v>
        <stp/>
        <stp>_x000E_SEKECB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36"/>
        <tr r="AA37" s="35"/>
      </tp>
      <tp t="s">
        <v>#N/A RIC Not Found</v>
        <stp/>
        <stp>_x000D_CCSUSDEUR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27"/>
      </tp>
      <tp t="s">
        <v>#N/A RIC Not Found</v>
        <stp/>
        <stp>_x000D_CCSUSDEUR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27"/>
      </tp>
      <tp t="s">
        <v>#N/A RIC Not Found</v>
        <stp/>
        <stp>_x000D_CCSUSDEUR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27"/>
      </tp>
    </main>
    <main first="pldatasource.rtgetrtdserver">
      <tp>
        <v>0.348854361</v>
        <stp/>
        <stp>_x000E_CCSUSDEURSTD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29"/>
      </tp>
      <tp>
        <v>0.67298786099999997</v>
        <stp/>
        <stp>_x000E_CCSUSDEURSTD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29"/>
      </tp>
      <tp>
        <v>0.62823536599999996</v>
        <stp/>
        <stp>_x000E_CCSUSDEURSTD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29"/>
      </tp>
      <tp>
        <v>0.46924944699999999</v>
        <stp/>
        <stp>_x000E_CCSUSDEURSTD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29"/>
      </tp>
      <tp>
        <v>0.43227603300000006</v>
        <stp/>
        <stp>_x000E_CCSUSDEURSTD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29"/>
      </tp>
      <tp>
        <v>0.50608464800000008</v>
        <stp/>
        <stp>_x000E_CCSUSDEURSTD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29"/>
      </tp>
      <tp>
        <v>0.43348439599999999</v>
        <stp/>
        <stp>_x000E_CCSUSDEURSTD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29"/>
      </tp>
      <tp>
        <v>0.50208203799999995</v>
        <stp/>
        <stp>_x000E_CCSUSDEURSTD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29"/>
      </tp>
      <tp>
        <v>0.493325071</v>
        <stp/>
        <stp>_x000E_CCSUSDEURSTD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29"/>
      </tp>
      <tp>
        <v>0.46076418800000002</v>
        <stp/>
        <stp>_x000E_CCSUSDEURSTD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29"/>
      </tp>
      <tp>
        <v>0.57130007799999993</v>
        <stp/>
        <stp>_x000E_CCSUSDEURSTD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29"/>
      </tp>
      <tp>
        <v>0.53089070400000005</v>
        <stp/>
        <stp>_x000E_CCSUSDEURSTD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29"/>
      </tp>
      <tp>
        <v>0.348854361</v>
        <stp/>
        <stp>_x000E_CCSUSDEURSTD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29"/>
      </tp>
      <tp>
        <v>0.43227603300000006</v>
        <stp/>
        <stp>_x000E_CCSUSDEURSTD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29"/>
      </tp>
      <tp>
        <v>0.50608464800000008</v>
        <stp/>
        <stp>_x000E_CCSUSDEURSTD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29"/>
      </tp>
      <tp>
        <v>0.43348439599999999</v>
        <stp/>
        <stp>_x000E_CCSUSDEURSTD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29"/>
      </tp>
      <tp>
        <v>0.50208203799999995</v>
        <stp/>
        <stp>_x000E_CCSUSDEURSTD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29"/>
      </tp>
      <tp>
        <v>0.46924944699999999</v>
        <stp/>
        <stp>_x000E_CCSUSDEURSTD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29"/>
      </tp>
      <tp>
        <v>0.57130007799999993</v>
        <stp/>
        <stp>_x000E_CCSUSDEURSTD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29"/>
      </tp>
      <tp>
        <v>0.53089070400000005</v>
        <stp/>
        <stp>_x000E_CCSUSDEURSTD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29"/>
      </tp>
      <tp>
        <v>0.493325071</v>
        <stp/>
        <stp>_x000E_CCSUSDEURSTD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29"/>
      </tp>
      <tp>
        <v>0.46076418800000002</v>
        <stp/>
        <stp>_x000E_CCSUSDEURSTD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29"/>
      </tp>
      <tp>
        <v>0.67298786099999997</v>
        <stp/>
        <stp>_x000E_CCSUSDEURSTD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29"/>
      </tp>
      <tp>
        <v>0.62823536599999996</v>
        <stp/>
        <stp>_x000E_CCSUSDEURSTD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29"/>
      </tp>
      <tp>
        <v>0.36585568000000002</v>
        <stp/>
        <stp>_x000C_CCSUSDEUR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27"/>
      </tp>
      <tp>
        <v>0.35050765899999997</v>
        <stp/>
        <stp>_x000C_CCSUSDEUR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27"/>
      </tp>
      <tp>
        <v>0.371037864</v>
        <stp/>
        <stp>_x000C_CCSUSDEUR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27"/>
      </tp>
      <tp>
        <v>0.313517086</v>
        <stp/>
        <stp>_x000C_CCSUSDEUR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27"/>
      </tp>
      <tp>
        <v>0.32878582099999998</v>
        <stp/>
        <stp>_x000C_CCSUSDEUR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27"/>
      </tp>
      <tp>
        <v>0.30759931200000001</v>
        <stp/>
        <stp>_x000C_CCSUSDEUR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27"/>
      </tp>
      <tp>
        <v>0.31081344899999996</v>
        <stp/>
        <stp>_x000C_CCSUSDEUR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27"/>
      </tp>
      <tp>
        <v>0.33042347599999999</v>
        <stp/>
        <stp>_x000C_CCSUSDEUR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27"/>
      </tp>
      <tp>
        <v>0.39106554500000001</v>
        <stp/>
        <stp>_x000C_CCSUSDEUR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27"/>
      </tp>
      <tp>
        <v>0.30817925700000004</v>
        <stp/>
        <stp>_x000C_CCSUSDEUR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27"/>
      </tp>
      <tp>
        <v>0.388057386</v>
        <stp/>
        <stp>_x000C_CCSUSDEUR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27"/>
      </tp>
      <tp>
        <v>0.36021385299999997</v>
        <stp/>
        <stp>_x000C_CCSUSDEUR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27"/>
      </tp>
      <tp>
        <v>0.36585568000000002</v>
        <stp/>
        <stp>_x000C_CCSUSDEUR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27"/>
      </tp>
      <tp>
        <v>0.371037864</v>
        <stp/>
        <stp>_x000C_CCSUSDEUR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27"/>
      </tp>
      <tp>
        <v>0.35050765899999997</v>
        <stp/>
        <stp>_x000C_CCSUSDEUR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27"/>
      </tp>
      <tp>
        <v>0.31081344899999996</v>
        <stp/>
        <stp>_x000C_CCSUSDEUR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27"/>
      </tp>
      <tp>
        <v>0.30759931200000001</v>
        <stp/>
        <stp>_x000C_CCSUSDEUR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27"/>
      </tp>
      <tp>
        <v>0.32878582099999998</v>
        <stp/>
        <stp>_x000C_CCSUSDEUR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27"/>
      </tp>
      <tp>
        <v>0.313517086</v>
        <stp/>
        <stp>_x000C_CCSUSDEUR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27"/>
      </tp>
      <tp>
        <v>0.36021385299999997</v>
        <stp/>
        <stp>_x000C_CCSUSDEUR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27"/>
      </tp>
      <tp>
        <v>0.388057386</v>
        <stp/>
        <stp>_x000C_CCSUSDEUR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27"/>
      </tp>
      <tp>
        <v>0.30817925700000004</v>
        <stp/>
        <stp>_x000C_CCSUSDEUR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27"/>
      </tp>
      <tp>
        <v>0.39106554500000001</v>
        <stp/>
        <stp>_x000C_CCSUSDEUR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27"/>
      </tp>
      <tp>
        <v>0.33042347599999999</v>
        <stp/>
        <stp>_x000C_CCSUSDEUR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27"/>
      </tp>
      <tp t="s">
        <v>#N/A RIC Not Found</v>
        <stp/>
        <stp>_x000D_CCSUSDEUR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27"/>
      </tp>
      <tp t="s">
        <v>#N/A RIC Not Found</v>
        <stp/>
        <stp>_x000D_CCSUSDEUR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27"/>
      </tp>
      <tp t="s">
        <v>#N/A RIC Not Found</v>
        <stp/>
        <stp>_x000D_CCSUSDEUR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27"/>
      </tp>
      <tp>
        <v>0.47000000000000003</v>
        <stp/>
        <stp>_x000B_GBPS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31"/>
        <tr r="Z5" s="32"/>
        <tr r="Z5" s="35"/>
        <tr r="Z5" s="36"/>
      </tp>
      <tp>
        <v>0.57000000000000006</v>
        <stp/>
        <stp>_x000B_GBPS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" s="31"/>
        <tr r="AA5" s="32"/>
        <tr r="AA5" s="36"/>
        <tr r="AA5" s="35"/>
      </tp>
      <tp>
        <v>0.25</v>
        <stp/>
        <stp>_x000B_USDS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" s="27"/>
        <tr r="AA5" s="29"/>
      </tp>
      <tp>
        <v>0.15</v>
        <stp/>
        <stp>_x000B_USDS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27"/>
        <tr r="Z5" s="29"/>
      </tp>
      <tp>
        <v>0.47000000000000003</v>
        <stp/>
        <stp>_x000B_GBPT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31"/>
        <tr r="Z4" s="32"/>
        <tr r="Z4" s="35"/>
        <tr r="Z4" s="36"/>
      </tp>
      <tp>
        <v>0.57000000000000006</v>
        <stp/>
        <stp>_x000B_GBPT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" s="31"/>
        <tr r="AA4" s="32"/>
        <tr r="AA4" s="35"/>
        <tr r="AA4" s="36"/>
      </tp>
      <tp>
        <v>0.25</v>
        <stp/>
        <stp>_x000B_USDT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" s="27"/>
        <tr r="AA4" s="29"/>
      </tp>
      <tp>
        <v>0.15</v>
        <stp/>
        <stp>_x000B_USDT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27"/>
        <tr r="Z4" s="29"/>
      </tp>
      <tp t="s">
        <v>#N/A</v>
        <stp/>
        <stp>_x000B_SEKCBS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31"/>
        <tr r="Z41" s="31"/>
        <tr r="Z43" s="31"/>
        <tr r="Z47" s="31"/>
        <tr r="Z62" s="31"/>
        <tr r="Z44" s="31"/>
        <tr r="Z70" s="31"/>
        <tr r="Z68" s="31"/>
        <tr r="Z53" s="31"/>
        <tr r="Z46" s="31"/>
        <tr r="Z58" s="31"/>
        <tr r="Z65" s="31"/>
        <tr r="Z59" s="31"/>
        <tr r="Z49" s="31"/>
        <tr r="Z63" s="31"/>
        <tr r="Z57" s="31"/>
        <tr r="Z56" s="31"/>
        <tr r="Z72" s="31"/>
        <tr r="Z60" s="31"/>
        <tr r="Z51" s="31"/>
        <tr r="Z42" s="31"/>
        <tr r="Z71" s="31"/>
        <tr r="Z61" s="31"/>
        <tr r="Z66" s="31"/>
        <tr r="Z54" s="31"/>
        <tr r="Z48" s="31"/>
        <tr r="Z67" s="31"/>
        <tr r="Z52" s="31"/>
        <tr r="Z50" s="31"/>
        <tr r="Z55" s="31"/>
        <tr r="Z45" s="31"/>
        <tr r="Z69" s="31"/>
        <tr r="Z63" s="32"/>
        <tr r="Z56" s="32"/>
        <tr r="Z67" s="32"/>
        <tr r="Z71" s="32"/>
        <tr r="Z44" s="32"/>
        <tr r="Z60" s="32"/>
        <tr r="Z43" s="32"/>
        <tr r="Z53" s="32"/>
        <tr r="Z52" s="32"/>
        <tr r="Z42" s="32"/>
        <tr r="Z48" s="32"/>
        <tr r="Z45" s="32"/>
        <tr r="Z61" s="32"/>
        <tr r="Z57" s="32"/>
        <tr r="Z72" s="32"/>
        <tr r="Z59" s="32"/>
        <tr r="Z54" s="32"/>
        <tr r="Z69" s="32"/>
        <tr r="Z49" s="32"/>
        <tr r="Z68" s="32"/>
        <tr r="Z70" s="32"/>
        <tr r="Z58" s="32"/>
        <tr r="Z47" s="32"/>
        <tr r="Z66" s="32"/>
        <tr r="Z64" s="32"/>
        <tr r="Z51" s="32"/>
        <tr r="Z41" s="32"/>
        <tr r="Z50" s="32"/>
        <tr r="Z65" s="32"/>
        <tr r="Z62" s="32"/>
        <tr r="Z55" s="32"/>
        <tr r="Z46" s="32"/>
      </tp>
      <tp t="s">
        <v>#N/A</v>
        <stp/>
        <stp>_x000B_SEKCBS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65" s="31"/>
        <tr r="AA53" s="31"/>
        <tr r="AA70" s="31"/>
        <tr r="AA69" s="31"/>
        <tr r="AA52" s="31"/>
        <tr r="AA63" s="31"/>
        <tr r="AA64" s="31"/>
        <tr r="AA51" s="31"/>
        <tr r="AA48" s="31"/>
        <tr r="AA59" s="31"/>
        <tr r="AA62" s="31"/>
        <tr r="AA71" s="31"/>
        <tr r="AA45" s="31"/>
        <tr r="AA49" s="31"/>
        <tr r="AA60" s="31"/>
        <tr r="AA46" s="31"/>
        <tr r="AA42" s="31"/>
        <tr r="AA55" s="31"/>
        <tr r="AA67" s="31"/>
        <tr r="AA72" s="31"/>
        <tr r="AA54" s="31"/>
        <tr r="AA43" s="31"/>
        <tr r="AA47" s="31"/>
        <tr r="AA50" s="31"/>
        <tr r="AA58" s="31"/>
        <tr r="AA68" s="31"/>
        <tr r="AA66" s="31"/>
        <tr r="AA41" s="31"/>
        <tr r="AA44" s="31"/>
        <tr r="AA61" s="31"/>
        <tr r="AA56" s="31"/>
        <tr r="AA57" s="31"/>
        <tr r="AA57" s="32"/>
        <tr r="AA56" s="32"/>
        <tr r="AA69" s="32"/>
        <tr r="AA65" s="32"/>
        <tr r="AA62" s="32"/>
        <tr r="AA71" s="32"/>
        <tr r="AA49" s="32"/>
        <tr r="AA60" s="32"/>
        <tr r="AA70" s="32"/>
        <tr r="AA61" s="32"/>
        <tr r="AA54" s="32"/>
        <tr r="AA48" s="32"/>
        <tr r="AA43" s="32"/>
        <tr r="AA68" s="32"/>
        <tr r="AA64" s="32"/>
        <tr r="AA55" s="32"/>
        <tr r="AA47" s="32"/>
        <tr r="AA50" s="32"/>
        <tr r="AA41" s="32"/>
        <tr r="AA46" s="32"/>
        <tr r="AA67" s="32"/>
        <tr r="AA72" s="32"/>
        <tr r="AA52" s="32"/>
        <tr r="AA66" s="32"/>
        <tr r="AA58" s="32"/>
        <tr r="AA63" s="32"/>
        <tr r="AA44" s="32"/>
        <tr r="AA53" s="32"/>
        <tr r="AA42" s="32"/>
        <tr r="AA59" s="32"/>
        <tr r="AA45" s="32"/>
        <tr r="AA51" s="32"/>
      </tp>
      <tp t="s">
        <v>#N/A RIC Not Found</v>
        <stp/>
        <stp>_x000F_CCSUSDEURSTD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29"/>
      </tp>
      <tp t="s">
        <v>#N/A RIC Not Found</v>
        <stp/>
        <stp>_x000F_CCSUSDEURSTD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29"/>
      </tp>
      <tp t="s">
        <v>#N/A RIC Not Found</v>
        <stp/>
        <stp>_x000F_CCSUSDEURSTD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29"/>
      </tp>
      <tp t="s">
        <v>#N/A RIC Not Found</v>
        <stp/>
        <stp>_x000F_CCSUSDEURSTD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29"/>
      </tp>
      <tp t="s">
        <v>#N/A RIC Not Found</v>
        <stp/>
        <stp>_x000F_CCSUSDEURSTD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29"/>
      </tp>
      <tp t="s">
        <v>#N/A RIC Not Found</v>
        <stp/>
        <stp>_x000F_CCSUSDEURSTD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29"/>
      </tp>
      <tp>
        <v>0.47000000000000003</v>
        <stp/>
        <stp>_x000B_GBPO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31"/>
        <tr r="Z3" s="32"/>
        <tr r="Z3" s="36"/>
        <tr r="Z3" s="35"/>
      </tp>
      <tp>
        <v>0.57000000000000006</v>
        <stp/>
        <stp>_x000B_GBPO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" s="31"/>
        <tr r="AA3" s="32"/>
        <tr r="AA3" s="36"/>
        <tr r="AA3" s="35"/>
      </tp>
      <tp>
        <v>0.25</v>
        <stp/>
        <stp>_x000B_USDO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" s="27"/>
        <tr r="AA3" s="29"/>
      </tp>
      <tp t="s">
        <v>#N/A</v>
        <stp/>
        <stp>_x000B_SEKECB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35"/>
        <tr r="Z63" s="35"/>
        <tr r="Z56" s="36"/>
        <tr r="Z70" s="36"/>
        <tr r="Z61" s="36"/>
        <tr r="Z52" s="35"/>
        <tr r="Z48" s="36"/>
        <tr r="Z41" s="36"/>
        <tr r="Z69" s="35"/>
        <tr r="Z65" s="35"/>
        <tr r="Z67" s="35"/>
        <tr r="Z62" s="36"/>
        <tr r="Z51" s="36"/>
        <tr r="Z49" s="36"/>
        <tr r="Z40" s="36"/>
        <tr r="Z42" s="36"/>
        <tr r="Z55" s="36"/>
        <tr r="Z71" s="35"/>
        <tr r="Z43" s="35"/>
        <tr r="Z53" s="36"/>
        <tr r="Z44" s="35"/>
        <tr r="Z58" s="35"/>
        <tr r="Z45" s="35"/>
        <tr r="Z43" s="36"/>
        <tr r="Z48" s="35"/>
        <tr r="Z59" s="35"/>
        <tr r="Z46" s="35"/>
        <tr r="Z50" s="36"/>
        <tr r="Z67" s="36"/>
        <tr r="Z52" s="36"/>
        <tr r="Z58" s="36"/>
        <tr r="Z44" s="36"/>
        <tr r="Z62" s="35"/>
        <tr r="Z66" s="36"/>
        <tr r="Z64" s="35"/>
        <tr r="Z49" s="35"/>
        <tr r="Z41" s="35"/>
        <tr r="Z54" s="35"/>
        <tr r="Z40" s="35"/>
        <tr r="Z50" s="35"/>
        <tr r="Z53" s="35"/>
        <tr r="Z66" s="35"/>
        <tr r="Z47" s="35"/>
        <tr r="Z64" s="36"/>
        <tr r="Z65" s="36"/>
        <tr r="Z51" s="35"/>
        <tr r="Z69" s="36"/>
        <tr r="Z56" s="35"/>
        <tr r="Z70" s="35"/>
        <tr r="Z68" s="36"/>
        <tr r="Z72" s="36"/>
        <tr r="Z57" s="36"/>
        <tr r="Z71" s="36"/>
        <tr r="Z54" s="36"/>
        <tr r="Z45" s="36"/>
        <tr r="Z47" s="36"/>
        <tr r="Z63" s="36"/>
        <tr r="Z61" s="35"/>
        <tr r="Z57" s="35"/>
        <tr r="Z72" s="35"/>
        <tr r="Z60" s="35"/>
        <tr r="Z42" s="35"/>
        <tr r="Z55" s="35"/>
        <tr r="Z60" s="36"/>
        <tr r="Z59" s="36"/>
        <tr r="Z46" s="36"/>
      </tp>
      <tp t="s">
        <v>#N/A</v>
        <stp/>
        <stp>_x000B_SEKECB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7" s="36"/>
        <tr r="AA42" s="35"/>
        <tr r="AA49" s="35"/>
        <tr r="AA64" s="35"/>
        <tr r="AA66" s="35"/>
        <tr r="AA46" s="36"/>
        <tr r="AA69" s="36"/>
        <tr r="AA58" s="36"/>
        <tr r="AA54" s="36"/>
        <tr r="AA55" s="35"/>
        <tr r="AA68" s="35"/>
        <tr r="AA45" s="35"/>
        <tr r="AA53" s="35"/>
        <tr r="AA44" s="35"/>
        <tr r="AA70" s="35"/>
        <tr r="AA60" s="36"/>
        <tr r="AA41" s="36"/>
        <tr r="AA61" s="35"/>
        <tr r="AA71" s="36"/>
        <tr r="AA57" s="35"/>
        <tr r="AA48" s="35"/>
        <tr r="AA63" s="36"/>
        <tr r="AA50" s="36"/>
        <tr r="AA59" s="36"/>
        <tr r="AA50" s="35"/>
        <tr r="AA63" s="35"/>
        <tr r="AA62" s="36"/>
        <tr r="AA56" s="36"/>
        <tr r="AA49" s="36"/>
        <tr r="AA43" s="36"/>
        <tr r="AA66" s="36"/>
        <tr r="AA58" s="35"/>
        <tr r="AA45" s="36"/>
        <tr r="AA48" s="36"/>
        <tr r="AA47" s="36"/>
        <tr r="AA61" s="36"/>
        <tr r="AA42" s="36"/>
        <tr r="AA46" s="35"/>
        <tr r="AA69" s="35"/>
        <tr r="AA47" s="35"/>
        <tr r="AA67" s="35"/>
        <tr r="AA64" s="36"/>
        <tr r="AA51" s="36"/>
        <tr r="AA68" s="36"/>
        <tr r="AA55" s="36"/>
        <tr r="AA53" s="36"/>
        <tr r="AA44" s="36"/>
        <tr r="AA70" s="36"/>
        <tr r="AA67" s="36"/>
        <tr r="AA40" s="36"/>
        <tr r="AA72" s="35"/>
        <tr r="AA62" s="35"/>
        <tr r="AA59" s="35"/>
        <tr r="AA51" s="35"/>
        <tr r="AA43" s="35"/>
        <tr r="AA52" s="35"/>
        <tr r="AA56" s="35"/>
        <tr r="AA71" s="35"/>
        <tr r="AA54" s="35"/>
        <tr r="AA40" s="35"/>
        <tr r="AA65" s="35"/>
        <tr r="AA60" s="35"/>
        <tr r="AA41" s="35"/>
        <tr r="AA72" s="36"/>
        <tr r="AA52" s="36"/>
        <tr r="AA65" s="36"/>
      </tp>
      <tp>
        <v>0.15</v>
        <stp/>
        <stp>_x000B_USDO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27"/>
        <tr r="Z3" s="29"/>
      </tp>
      <tp>
        <v>-20.5</v>
        <stp/>
        <stp>_x000F_EUUSEOFF9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27"/>
        <tr r="Z33" s="29"/>
      </tp>
      <tp>
        <v>-12.5</v>
        <stp/>
        <stp>_x000F_EUUSEOFF9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27"/>
        <tr r="AA33" s="29"/>
      </tp>
      <tp>
        <v>-12.75</v>
        <stp/>
        <stp>_x000F_EUUSEOFF6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27"/>
        <tr r="AA32" s="29"/>
      </tp>
      <tp>
        <v>-24.75</v>
        <stp/>
        <stp>_x000F_EUUSEOFF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27"/>
        <tr r="Z38" s="29"/>
      </tp>
      <tp>
        <v>-17</v>
        <stp/>
        <stp>_x000F_EUUSEOFF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27"/>
        <tr r="AA39" s="29"/>
      </tp>
      <tp>
        <v>-25</v>
        <stp/>
        <stp>_x000F_EUUSEOFF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27"/>
        <tr r="Z37" s="29"/>
      </tp>
      <tp>
        <v>-17</v>
        <stp/>
        <stp>_x000F_EUUSEOFF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27"/>
        <tr r="AA37" s="29"/>
      </tp>
      <tp>
        <v>-25</v>
        <stp/>
        <stp>_x000F_EUUSEOFF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27"/>
        <tr r="Z39" s="29"/>
      </tp>
      <tp>
        <v>-16.75</v>
        <stp/>
        <stp>_x000F_EUUSEOFF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27"/>
        <tr r="AA38" s="29"/>
      </tp>
      <tp>
        <v>-20.75</v>
        <stp/>
        <stp>_x000F_EUUSEOFF6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27"/>
        <tr r="Z32" s="29"/>
      </tp>
      <tp>
        <v>-15.25</v>
        <stp/>
        <stp>_x000F_EUUSEOFF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27"/>
        <tr r="AA35" s="29"/>
      </tp>
      <tp>
        <v>-21.25</v>
        <stp/>
        <stp>_x000F_EUUSEOFF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27"/>
        <tr r="Z34" s="29"/>
      </tp>
      <tp>
        <v>-17</v>
        <stp/>
        <stp>_x000F_EUUSEOFF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27"/>
        <tr r="AA36" s="29"/>
      </tp>
      <tp>
        <v>-14.25</v>
        <stp/>
        <stp>_x000F_EUUSEOFF3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27"/>
        <tr r="AA31" s="29"/>
      </tp>
      <tp>
        <v>-22.25</v>
        <stp/>
        <stp>_x000F_EUUSEOFF3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29"/>
        <tr r="Z31" s="27"/>
      </tp>
      <tp>
        <v>-25</v>
        <stp/>
        <stp>_x000F_EUUSEOFF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27"/>
        <tr r="Z36" s="29"/>
      </tp>
      <tp>
        <v>-13.25</v>
        <stp/>
        <stp>_x000F_EUUSEOFF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27"/>
        <tr r="AA34" s="29"/>
      </tp>
      <tp>
        <v>-23.25</v>
        <stp/>
        <stp>_x000F_EUUSEOFF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27"/>
        <tr r="Z35" s="29"/>
      </tp>
      <tp>
        <v>9.4619</v>
        <stp/>
        <stp>_x0007_EURSEK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7" s="36"/>
        <tr r="AA27" s="35"/>
      </tp>
      <tp>
        <v>9.4568999999999992</v>
        <stp/>
        <stp>_x0007_EURSEK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7" s="36"/>
        <tr r="Z27" s="35"/>
      </tp>
      <tp t="s">
        <v>#N/A RIC Not Found</v>
        <stp/>
        <stp>_x0003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31"/>
        <tr r="AA24" s="32"/>
        <tr r="AA24" s="36"/>
        <tr r="AA24" s="35"/>
      </tp>
      <tp t="s">
        <v>#N/A RIC Not Found</v>
        <stp/>
        <stp>_x0003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31"/>
        <tr r="AA23" s="32"/>
        <tr r="AA23" s="36"/>
        <tr r="AA23" s="35"/>
      </tp>
      <tp t="s">
        <v>#N/A RIC Not Found</v>
        <stp/>
        <stp>_x0003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31"/>
        <tr r="AA22" s="32"/>
        <tr r="AA22" s="35"/>
        <tr r="AA22" s="36"/>
      </tp>
      <tp t="s">
        <v>#N/A RIC Not Found</v>
        <stp/>
        <stp>_x0003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31"/>
        <tr r="Z23" s="32"/>
        <tr r="Z23" s="36"/>
        <tr r="Z23" s="35"/>
      </tp>
      <tp t="s">
        <v>#N/A RIC Not Found</v>
        <stp/>
        <stp>_x0003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31"/>
        <tr r="Z22" s="32"/>
        <tr r="Z22" s="35"/>
        <tr r="Z22" s="36"/>
      </tp>
      <tp t="s">
        <v>#N/A RIC Not Found</v>
        <stp/>
        <stp>_x0003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31"/>
        <tr r="Z24" s="32"/>
        <tr r="Z24" s="35"/>
        <tr r="Z24" s="3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'USDBASIS(EURON)'!$AR$30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'USDBASIS(EURON)'!$AQ$31:$AQ$60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'USDBASIS(EURON)'!$AR$31:$AR$60</c:f>
              <c:numCache>
                <c:formatCode>General</c:formatCode>
                <c:ptCount val="30"/>
                <c:pt idx="0">
                  <c:v>-0.15024691358024692</c:v>
                </c:pt>
                <c:pt idx="1">
                  <c:v>-0.15753086419753087</c:v>
                </c:pt>
                <c:pt idx="2">
                  <c:v>-0.16500000000000001</c:v>
                </c:pt>
                <c:pt idx="3">
                  <c:v>-0.17246913580246914</c:v>
                </c:pt>
                <c:pt idx="4">
                  <c:v>-0.18666666666666668</c:v>
                </c:pt>
                <c:pt idx="5">
                  <c:v>-0.198641975308642</c:v>
                </c:pt>
                <c:pt idx="6">
                  <c:v>-0.21000000000000002</c:v>
                </c:pt>
                <c:pt idx="7">
                  <c:v>-0.21000000000000002</c:v>
                </c:pt>
                <c:pt idx="8">
                  <c:v>-0.21000000000000002</c:v>
                </c:pt>
                <c:pt idx="9">
                  <c:v>-0.21000000000000002</c:v>
                </c:pt>
                <c:pt idx="10">
                  <c:v>-0.21000000000000002</c:v>
                </c:pt>
                <c:pt idx="11">
                  <c:v>-0.20980541647701412</c:v>
                </c:pt>
                <c:pt idx="12">
                  <c:v>-0.20924214838416025</c:v>
                </c:pt>
                <c:pt idx="13">
                  <c:v>-0.20834091943559402</c:v>
                </c:pt>
                <c:pt idx="14">
                  <c:v>-0.20713245334547112</c:v>
                </c:pt>
                <c:pt idx="15">
                  <c:v>-0.20564747382794721</c:v>
                </c:pt>
                <c:pt idx="16">
                  <c:v>-0.20391670459717798</c:v>
                </c:pt>
                <c:pt idx="17">
                  <c:v>-0.20197086936731909</c:v>
                </c:pt>
                <c:pt idx="18">
                  <c:v>-0.19984069185252618</c:v>
                </c:pt>
                <c:pt idx="19">
                  <c:v>-0.19755689576695495</c:v>
                </c:pt>
                <c:pt idx="20">
                  <c:v>-0.19515020482476103</c:v>
                </c:pt>
                <c:pt idx="21">
                  <c:v>-0.19265134274010015</c:v>
                </c:pt>
                <c:pt idx="22">
                  <c:v>-0.19009103322712789</c:v>
                </c:pt>
                <c:pt idx="23">
                  <c:v>-0.1875</c:v>
                </c:pt>
                <c:pt idx="24">
                  <c:v>-0.18490896677287211</c:v>
                </c:pt>
                <c:pt idx="25">
                  <c:v>-0.18234865725989985</c:v>
                </c:pt>
                <c:pt idx="26">
                  <c:v>-0.17984979517523894</c:v>
                </c:pt>
                <c:pt idx="27">
                  <c:v>-0.17744310423304505</c:v>
                </c:pt>
                <c:pt idx="28">
                  <c:v>-0.17515930814747382</c:v>
                </c:pt>
                <c:pt idx="29">
                  <c:v>-0.17302913063268091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575488"/>
        <c:axId val="912577280"/>
      </c:scatterChart>
      <c:valAx>
        <c:axId val="91257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2577280"/>
        <c:crosses val="autoZero"/>
        <c:crossBetween val="midCat"/>
      </c:valAx>
      <c:valAx>
        <c:axId val="91257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257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'SEKBASIS(EURON)'!$AR$30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'SEKBASIS(EURON)'!$AQ$31:$AQ$60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'SEKBASIS(EURON)'!$AR$31:$AR$60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2071808"/>
        <c:axId val="902073344"/>
      </c:scatterChart>
      <c:valAx>
        <c:axId val="9020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2073344"/>
        <c:crosses val="autoZero"/>
        <c:crossBetween val="midCat"/>
      </c:valAx>
      <c:valAx>
        <c:axId val="90207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207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'SEKBASIS(EURON,USD)'!$AR$30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'SEKBASIS(EURON,USD)'!$AQ$31:$AQ$60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'SEKBASIS(EURON,USD)'!$AR$31:$AR$60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826368"/>
        <c:axId val="912827904"/>
      </c:scatterChart>
      <c:valAx>
        <c:axId val="91282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2827904"/>
        <c:crosses val="autoZero"/>
        <c:crossBetween val="midCat"/>
      </c:valAx>
      <c:valAx>
        <c:axId val="912827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1282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'USDBASIS(EURSTD)'!$AR$30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'USDBASIS(EURSTD)'!$AQ$31:$AQ$60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'USDBASIS(EURSTD)'!$AR$31:$AR$60</c:f>
              <c:numCache>
                <c:formatCode>General</c:formatCode>
                <c:ptCount val="30"/>
                <c:pt idx="0">
                  <c:v>-0.15024691358024692</c:v>
                </c:pt>
                <c:pt idx="1">
                  <c:v>-0.15753086419753087</c:v>
                </c:pt>
                <c:pt idx="2">
                  <c:v>-0.16500000000000001</c:v>
                </c:pt>
                <c:pt idx="3">
                  <c:v>-0.17246913580246914</c:v>
                </c:pt>
                <c:pt idx="4">
                  <c:v>-0.18666666666666668</c:v>
                </c:pt>
                <c:pt idx="5">
                  <c:v>-0.198641975308642</c:v>
                </c:pt>
                <c:pt idx="6">
                  <c:v>-0.21000000000000002</c:v>
                </c:pt>
                <c:pt idx="7">
                  <c:v>-0.21000000000000002</c:v>
                </c:pt>
                <c:pt idx="8">
                  <c:v>-0.21000000000000002</c:v>
                </c:pt>
                <c:pt idx="9">
                  <c:v>-0.21000000000000002</c:v>
                </c:pt>
                <c:pt idx="10">
                  <c:v>-0.21000000000000002</c:v>
                </c:pt>
                <c:pt idx="11">
                  <c:v>-0.20980541647701412</c:v>
                </c:pt>
                <c:pt idx="12">
                  <c:v>-0.20924214838416025</c:v>
                </c:pt>
                <c:pt idx="13">
                  <c:v>-0.20834091943559402</c:v>
                </c:pt>
                <c:pt idx="14">
                  <c:v>-0.20713245334547112</c:v>
                </c:pt>
                <c:pt idx="15">
                  <c:v>-0.20564747382794721</c:v>
                </c:pt>
                <c:pt idx="16">
                  <c:v>-0.20391670459717798</c:v>
                </c:pt>
                <c:pt idx="17">
                  <c:v>-0.20197086936731909</c:v>
                </c:pt>
                <c:pt idx="18">
                  <c:v>-0.19984069185252618</c:v>
                </c:pt>
                <c:pt idx="19">
                  <c:v>-0.19755689576695495</c:v>
                </c:pt>
                <c:pt idx="20">
                  <c:v>-0.19515020482476103</c:v>
                </c:pt>
                <c:pt idx="21">
                  <c:v>-0.19265134274010015</c:v>
                </c:pt>
                <c:pt idx="22">
                  <c:v>-0.19009103322712789</c:v>
                </c:pt>
                <c:pt idx="23">
                  <c:v>-0.1875</c:v>
                </c:pt>
                <c:pt idx="24">
                  <c:v>-0.18490896677287211</c:v>
                </c:pt>
                <c:pt idx="25">
                  <c:v>-0.18234865725989985</c:v>
                </c:pt>
                <c:pt idx="26">
                  <c:v>-0.17984979517523894</c:v>
                </c:pt>
                <c:pt idx="27">
                  <c:v>-0.17744310423304505</c:v>
                </c:pt>
                <c:pt idx="28">
                  <c:v>-0.17515930814747382</c:v>
                </c:pt>
                <c:pt idx="29">
                  <c:v>-0.17302913063268091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105408"/>
        <c:axId val="909107200"/>
      </c:scatterChart>
      <c:valAx>
        <c:axId val="90910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9107200"/>
        <c:crosses val="autoZero"/>
        <c:crossBetween val="midCat"/>
      </c:valAx>
      <c:valAx>
        <c:axId val="909107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910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'SEKBASIS(EURSTD)'!$AR$30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'SEKBASIS(EURSTD)'!$AQ$31:$AQ$60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'SEKBASIS(EURSTD)'!$AR$31:$AR$60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054720"/>
        <c:axId val="909056256"/>
      </c:scatterChart>
      <c:valAx>
        <c:axId val="90905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09056256"/>
        <c:crosses val="autoZero"/>
        <c:crossBetween val="midCat"/>
      </c:valAx>
      <c:valAx>
        <c:axId val="90905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9054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'SEKBASIS(EURSTD,USD)'!$AR$30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'SEKBASIS(EURSTD,USD)'!$AQ$31:$AQ$60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'SEKBASIS(EURSTD,USD)'!$AR$31:$AR$60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097984"/>
        <c:axId val="913969920"/>
      </c:scatterChart>
      <c:valAx>
        <c:axId val="90909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3969920"/>
        <c:crosses val="autoZero"/>
        <c:crossBetween val="midCat"/>
      </c:valAx>
      <c:valAx>
        <c:axId val="913969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0909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19050</xdr:colOff>
          <xdr:row>13</xdr:row>
          <xdr:rowOff>9525</xdr:rowOff>
        </xdr:to>
        <xdr:sp macro="" textlink="">
          <xdr:nvSpPr>
            <xdr:cNvPr id="59395" name="btnRunAll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19050</xdr:colOff>
          <xdr:row>15</xdr:row>
          <xdr:rowOff>9525</xdr:rowOff>
        </xdr:to>
        <xdr:sp macro="" textlink="">
          <xdr:nvSpPr>
            <xdr:cNvPr id="59396" name="btnFreezeAll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16</xdr:row>
          <xdr:rowOff>114300</xdr:rowOff>
        </xdr:from>
        <xdr:to>
          <xdr:col>2</xdr:col>
          <xdr:colOff>0</xdr:colOff>
          <xdr:row>18</xdr:row>
          <xdr:rowOff>76200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18</xdr:row>
          <xdr:rowOff>76200</xdr:rowOff>
        </xdr:from>
        <xdr:to>
          <xdr:col>2</xdr:col>
          <xdr:colOff>0</xdr:colOff>
          <xdr:row>20</xdr:row>
          <xdr:rowOff>47625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19050</xdr:rowOff>
        </xdr:from>
        <xdr:to>
          <xdr:col>1</xdr:col>
          <xdr:colOff>952500</xdr:colOff>
          <xdr:row>18</xdr:row>
          <xdr:rowOff>123825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123825</xdr:rowOff>
        </xdr:from>
        <xdr:to>
          <xdr:col>1</xdr:col>
          <xdr:colOff>952500</xdr:colOff>
          <xdr:row>20</xdr:row>
          <xdr:rowOff>85725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19050</xdr:rowOff>
        </xdr:from>
        <xdr:to>
          <xdr:col>1</xdr:col>
          <xdr:colOff>952500</xdr:colOff>
          <xdr:row>18</xdr:row>
          <xdr:rowOff>123825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123825</xdr:rowOff>
        </xdr:from>
        <xdr:to>
          <xdr:col>1</xdr:col>
          <xdr:colOff>952500</xdr:colOff>
          <xdr:row>20</xdr:row>
          <xdr:rowOff>85725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59999389629810485"/>
  </sheetPr>
  <dimension ref="B2:E15"/>
  <sheetViews>
    <sheetView showGridLines="0" workbookViewId="0">
      <selection activeCell="G5" sqref="G5"/>
    </sheetView>
  </sheetViews>
  <sheetFormatPr defaultRowHeight="11.25" x14ac:dyDescent="0.2"/>
  <cols>
    <col min="1" max="2" width="3.83203125" customWidth="1"/>
    <col min="3" max="4" width="21.83203125" customWidth="1"/>
    <col min="5" max="5" width="3.83203125" customWidth="1"/>
  </cols>
  <sheetData>
    <row r="2" spans="2:5" x14ac:dyDescent="0.2">
      <c r="B2" s="323" t="s">
        <v>0</v>
      </c>
      <c r="C2" s="324"/>
      <c r="D2" s="324"/>
      <c r="E2" s="325"/>
    </row>
    <row r="3" spans="2:5" x14ac:dyDescent="0.2">
      <c r="B3" s="1"/>
      <c r="C3" s="2"/>
      <c r="D3" s="2"/>
      <c r="E3" s="3"/>
    </row>
    <row r="4" spans="2:5" x14ac:dyDescent="0.2">
      <c r="B4" s="4"/>
      <c r="C4" s="54" t="s">
        <v>1</v>
      </c>
      <c r="D4" s="5"/>
      <c r="E4" s="6"/>
    </row>
    <row r="5" spans="2:5" x14ac:dyDescent="0.2">
      <c r="B5" s="4"/>
      <c r="C5" s="55" t="s">
        <v>2</v>
      </c>
      <c r="D5" s="7">
        <f>IF(ISBLANK(D7),D6,D7)+0*TYPE(ManualTrigger)</f>
        <v>41992</v>
      </c>
      <c r="E5" s="6"/>
    </row>
    <row r="6" spans="2:5" x14ac:dyDescent="0.2">
      <c r="B6" s="4"/>
      <c r="C6" s="55" t="s">
        <v>147</v>
      </c>
      <c r="D6" s="7">
        <f>_xll.qlSettingsEvaluationDate(ManualTrigger)</f>
        <v>41992</v>
      </c>
      <c r="E6" s="6"/>
    </row>
    <row r="7" spans="2:5" x14ac:dyDescent="0.2">
      <c r="B7" s="4"/>
      <c r="C7" s="55" t="s">
        <v>146</v>
      </c>
      <c r="D7" s="57"/>
      <c r="E7" s="6"/>
    </row>
    <row r="8" spans="2:5" x14ac:dyDescent="0.2">
      <c r="B8" s="4"/>
      <c r="C8" s="55" t="s">
        <v>140</v>
      </c>
      <c r="D8" s="31">
        <f>_xll.RtNow("frq:"&amp;E8&amp;"s")</f>
        <v>0.73553240740875481</v>
      </c>
      <c r="E8" s="53">
        <v>90</v>
      </c>
    </row>
    <row r="9" spans="2:5" x14ac:dyDescent="0.2">
      <c r="B9" s="4"/>
      <c r="C9" s="56" t="s">
        <v>3</v>
      </c>
      <c r="D9" s="30">
        <f>_xll.ohTrigger(EvaluationDate,TYPE(ManualTrigger))</f>
        <v>0</v>
      </c>
      <c r="E9" s="6"/>
    </row>
    <row r="10" spans="2:5" x14ac:dyDescent="0.2">
      <c r="B10" s="8"/>
      <c r="C10" s="9"/>
      <c r="D10" s="9"/>
      <c r="E10" s="10"/>
    </row>
    <row r="15" spans="2:5" x14ac:dyDescent="0.2">
      <c r="C15" s="300" t="b">
        <v>0</v>
      </c>
    </row>
  </sheetData>
  <dataConsolidate/>
  <mergeCells count="1">
    <mergeCell ref="B2:E2"/>
  </mergeCells>
  <conditionalFormatting sqref="D6">
    <cfRule type="expression" dxfId="63" priority="2">
      <formula>NOT(ISBLANK($D$7))</formula>
    </cfRule>
  </conditionalFormatting>
  <conditionalFormatting sqref="D7">
    <cfRule type="expression" dxfId="62" priority="1">
      <formula>ISBLANK($D$7)</formula>
    </cfRule>
  </conditionalFormatting>
  <pageMargins left="0.7" right="0.7" top="0.75" bottom="0.75" header="0.3" footer="0.3"/>
  <pageSetup paperSize="9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59396" r:id="rId4" name="btnFreezeAll">
          <controlPr defaultSize="0" autoLine="0" r:id="rId5">
            <anchor moveWithCells="1">
              <from>
                <xdr:col>2</xdr:col>
                <xdr:colOff>0</xdr:colOff>
                <xdr:row>13</xdr:row>
                <xdr:rowOff>0</xdr:rowOff>
              </from>
              <to>
                <xdr:col>3</xdr:col>
                <xdr:colOff>19050</xdr:colOff>
                <xdr:row>15</xdr:row>
                <xdr:rowOff>9525</xdr:rowOff>
              </to>
            </anchor>
          </controlPr>
        </control>
      </mc:Choice>
      <mc:Fallback>
        <control shapeId="59396" r:id="rId4" name="btnFreezeAll"/>
      </mc:Fallback>
    </mc:AlternateContent>
    <mc:AlternateContent xmlns:mc="http://schemas.openxmlformats.org/markup-compatibility/2006">
      <mc:Choice Requires="x14">
        <control shapeId="59395" r:id="rId6" name="btnRunAll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3</xdr:col>
                <xdr:colOff>19050</xdr:colOff>
                <xdr:row>13</xdr:row>
                <xdr:rowOff>9525</xdr:rowOff>
              </to>
            </anchor>
          </controlPr>
        </control>
      </mc:Choice>
      <mc:Fallback>
        <control shapeId="59395" r:id="rId6" name="btnRun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 tint="0.59999389629810485"/>
  </sheetPr>
  <dimension ref="B2:AA93"/>
  <sheetViews>
    <sheetView showGridLines="0" workbookViewId="0">
      <selection activeCell="C10" sqref="C10"/>
    </sheetView>
  </sheetViews>
  <sheetFormatPr defaultRowHeight="11.25" outlineLevelCol="1" x14ac:dyDescent="0.2"/>
  <cols>
    <col min="1" max="1" width="3.83203125" customWidth="1"/>
    <col min="2" max="2" width="16.83203125" customWidth="1"/>
    <col min="3" max="3" width="20.83203125" customWidth="1"/>
    <col min="4" max="7" width="10.83203125" hidden="1" customWidth="1" outlineLevel="1"/>
    <col min="8" max="8" width="10.83203125" customWidth="1" collapsed="1"/>
    <col min="9" max="9" width="10.83203125" customWidth="1"/>
    <col min="10" max="10" width="6.1640625" customWidth="1"/>
    <col min="11" max="11" width="16.83203125" customWidth="1"/>
    <col min="12" max="12" width="20.83203125" customWidth="1"/>
    <col min="13" max="16" width="10.83203125" hidden="1" customWidth="1" outlineLevel="1"/>
    <col min="17" max="17" width="10.83203125" customWidth="1" collapsed="1"/>
    <col min="18" max="18" width="10.83203125" customWidth="1"/>
    <col min="20" max="20" width="16.83203125" customWidth="1"/>
    <col min="21" max="21" width="20.83203125" customWidth="1"/>
    <col min="22" max="25" width="10.83203125" hidden="1" customWidth="1" outlineLevel="1"/>
    <col min="26" max="26" width="10.83203125" customWidth="1" collapsed="1"/>
    <col min="27" max="27" width="10.83203125" customWidth="1"/>
  </cols>
  <sheetData>
    <row r="2" spans="2:27" x14ac:dyDescent="0.2">
      <c r="D2" s="326" t="s">
        <v>141</v>
      </c>
      <c r="E2" s="327"/>
      <c r="F2" s="326" t="s">
        <v>75</v>
      </c>
      <c r="G2" s="327"/>
      <c r="H2" s="326" t="s">
        <v>142</v>
      </c>
      <c r="I2" s="327"/>
      <c r="M2" s="326" t="s">
        <v>141</v>
      </c>
      <c r="N2" s="327"/>
      <c r="O2" s="326" t="s">
        <v>75</v>
      </c>
      <c r="P2" s="327"/>
      <c r="Q2" s="326" t="s">
        <v>142</v>
      </c>
      <c r="R2" s="327"/>
      <c r="V2" s="326" t="s">
        <v>141</v>
      </c>
      <c r="W2" s="327"/>
      <c r="X2" s="326" t="s">
        <v>75</v>
      </c>
      <c r="Y2" s="327"/>
      <c r="Z2" s="326" t="s">
        <v>142</v>
      </c>
      <c r="AA2" s="327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137</v>
      </c>
      <c r="D4" s="29">
        <f t="array" ref="D4:D93">CHOOSE(C7,_xll.qlPiecewiseYieldCurveDates(C5),_xll.qlInterpolatedYieldCurveDates(C5))</f>
        <v>41992</v>
      </c>
      <c r="E4" s="34">
        <f>_xll.qlYieldTSDiscount(C$4,D4,,Triggers!RTDataTrigger)</f>
        <v>1</v>
      </c>
      <c r="F4" s="43"/>
      <c r="G4" s="32"/>
      <c r="H4" s="47">
        <f>IF(ISBLANK(F4),D4,F4)</f>
        <v>41992</v>
      </c>
      <c r="I4" s="48">
        <f t="shared" ref="I4:I67" si="0">IF(ISBLANK(G4),E4,G4)</f>
        <v>1</v>
      </c>
      <c r="J4" s="65"/>
      <c r="K4" s="36" t="s">
        <v>10</v>
      </c>
      <c r="L4" s="40" t="s">
        <v>136</v>
      </c>
      <c r="M4" s="29">
        <f t="array" ref="M4:M93">CHOOSE(L7,_xll.qlPiecewiseYieldCurveDates(L5),_xll.qlInterpolatedYieldCurveDates(L5))</f>
        <v>41996</v>
      </c>
      <c r="N4" s="34">
        <f>_xll.qlYieldTSDiscount(L$4,M4,,Triggers!RTDataTrigger)</f>
        <v>1</v>
      </c>
      <c r="O4" s="43"/>
      <c r="P4" s="32"/>
      <c r="Q4" s="47">
        <f>IF(ISBLANK(O4),M4,O4)</f>
        <v>41996</v>
      </c>
      <c r="R4" s="48">
        <f t="shared" ref="R4:R67" si="1">IF(ISBLANK(P4),N4,P4)</f>
        <v>1</v>
      </c>
      <c r="T4" s="36" t="s">
        <v>10</v>
      </c>
      <c r="U4" s="40" t="s">
        <v>135</v>
      </c>
      <c r="V4" s="29">
        <f t="array" ref="V4:V93">CHOOSE(U7,_xll.qlPiecewiseYieldCurveDates(U5),_xll.qlInterpolatedYieldCurveDates(U5))</f>
        <v>41992</v>
      </c>
      <c r="W4" s="34">
        <f>_xll.qlYieldTSDiscount(U$4,V4,,Triggers!RTDataTrigger)</f>
        <v>1</v>
      </c>
      <c r="X4" s="43"/>
      <c r="Y4" s="32"/>
      <c r="Z4" s="47">
        <f>IF(ISBLANK(X4),V4,X4)</f>
        <v>41992</v>
      </c>
      <c r="AA4" s="48">
        <f t="shared" ref="AA4:AA67" si="2">IF(ISBLANK(Y4),W4,Y4)</f>
        <v>1</v>
      </c>
    </row>
    <row r="5" spans="2:27" x14ac:dyDescent="0.2">
      <c r="B5" s="37" t="s">
        <v>16</v>
      </c>
      <c r="C5" s="23" t="str">
        <f>_xll.qlHandleCurrentLink(C4,ObjectsTrigger)</f>
        <v>_EURYCON</v>
      </c>
      <c r="D5" s="11">
        <v>41995</v>
      </c>
      <c r="E5" s="35">
        <f>_xll.qlYieldTSDiscount(C$4,D5,,Triggers!RTDataTrigger)</f>
        <v>1.0000066667119361</v>
      </c>
      <c r="F5" s="44"/>
      <c r="G5" s="33"/>
      <c r="H5" s="49">
        <f t="shared" ref="H5:I68" si="3">IF(ISBLANK(F5),D5,F5)</f>
        <v>41995</v>
      </c>
      <c r="I5" s="50">
        <f t="shared" si="0"/>
        <v>1.0000066667119361</v>
      </c>
      <c r="J5" s="65"/>
      <c r="K5" s="37" t="s">
        <v>16</v>
      </c>
      <c r="L5" s="23" t="str">
        <f>_xll.qlHandleCurrentLink(L4,ObjectsTrigger)</f>
        <v>_EURYC3M</v>
      </c>
      <c r="M5" s="11">
        <v>42010</v>
      </c>
      <c r="N5" s="35">
        <f>_xll.qlYieldTSDiscount(L$4,M5,,Triggers!RTDataTrigger)</f>
        <v>0.99996888985674071</v>
      </c>
      <c r="O5" s="44"/>
      <c r="P5" s="33"/>
      <c r="Q5" s="49">
        <f t="shared" ref="Q5:R68" si="4">IF(ISBLANK(O5),M5,O5)</f>
        <v>42010</v>
      </c>
      <c r="R5" s="50">
        <f t="shared" si="1"/>
        <v>0.99996888985674071</v>
      </c>
      <c r="T5" s="37" t="s">
        <v>16</v>
      </c>
      <c r="U5" s="23" t="str">
        <f>_xll.qlHandleCurrentLink(U4,ObjectsTrigger)</f>
        <v>_EURYCSTD</v>
      </c>
      <c r="V5" s="11">
        <v>41995</v>
      </c>
      <c r="W5" s="35">
        <f>_xll.qlYieldTSDiscount(U$4,V5,,Triggers!RTDataTrigger)</f>
        <v>1.0000066667111114</v>
      </c>
      <c r="X5" s="44"/>
      <c r="Y5" s="33"/>
      <c r="Z5" s="49">
        <f t="shared" ref="Z5:AA68" si="5">IF(ISBLANK(X5),V5,X5)</f>
        <v>41995</v>
      </c>
      <c r="AA5" s="50">
        <f t="shared" si="2"/>
        <v>1.0000066667111114</v>
      </c>
    </row>
    <row r="6" spans="2:27" x14ac:dyDescent="0.2">
      <c r="B6" s="37" t="s">
        <v>133</v>
      </c>
      <c r="C6" s="27" t="str">
        <f>_xll.ohObjectClassName(C5)</f>
        <v>qlPiecewiseYieldCurve</v>
      </c>
      <c r="D6" s="11">
        <v>41996</v>
      </c>
      <c r="E6" s="35">
        <f>_xll.qlYieldTSDiscount(C$4,D6,,Triggers!RTDataTrigger)</f>
        <v>1.0000080556124609</v>
      </c>
      <c r="F6" s="44"/>
      <c r="G6" s="33"/>
      <c r="H6" s="49">
        <f t="shared" si="3"/>
        <v>41996</v>
      </c>
      <c r="I6" s="50">
        <f t="shared" si="0"/>
        <v>1.0000080556124609</v>
      </c>
      <c r="J6" s="65"/>
      <c r="K6" s="37" t="s">
        <v>133</v>
      </c>
      <c r="L6" s="27" t="str">
        <f>_xll.ohObjectClassName(L5)</f>
        <v>qlPiecewiseYieldCurve</v>
      </c>
      <c r="M6" s="11">
        <v>42017</v>
      </c>
      <c r="N6" s="35">
        <f>_xll.qlYieldTSDiscount(L$4,M6,,Triggers!RTDataTrigger)</f>
        <v>0.99996272638937389</v>
      </c>
      <c r="O6" s="44"/>
      <c r="P6" s="33"/>
      <c r="Q6" s="49">
        <f t="shared" si="4"/>
        <v>42017</v>
      </c>
      <c r="R6" s="50">
        <f t="shared" si="1"/>
        <v>0.99996272638937389</v>
      </c>
      <c r="T6" s="37" t="s">
        <v>133</v>
      </c>
      <c r="U6" s="27" t="str">
        <f>_xll.ohObjectClassName(U5)</f>
        <v>qlPiecewiseYieldCurve</v>
      </c>
      <c r="V6" s="11">
        <v>41996</v>
      </c>
      <c r="W6" s="35">
        <f>_xll.qlYieldTSDiscount(U$4,V6,,Triggers!RTDataTrigger)</f>
        <v>1.0000080556111886</v>
      </c>
      <c r="X6" s="44"/>
      <c r="Y6" s="33"/>
      <c r="Z6" s="49">
        <f t="shared" si="5"/>
        <v>41996</v>
      </c>
      <c r="AA6" s="50">
        <f t="shared" si="2"/>
        <v>1.0000080556111886</v>
      </c>
    </row>
    <row r="7" spans="2:27" x14ac:dyDescent="0.2">
      <c r="B7" s="38" t="s">
        <v>134</v>
      </c>
      <c r="C7" s="26">
        <f>MATCH(C6,{"qlPiecewiseYieldCurve","qlInterpolatedYieldCurve"})</f>
        <v>1</v>
      </c>
      <c r="D7" s="11">
        <v>41997</v>
      </c>
      <c r="E7" s="35">
        <f>_xll.qlYieldTSDiscount(C$4,D7,,Triggers!RTDataTrigger)</f>
        <v>1.0000094445151306</v>
      </c>
      <c r="F7" s="44"/>
      <c r="G7" s="33"/>
      <c r="H7" s="49">
        <f t="shared" si="3"/>
        <v>41997</v>
      </c>
      <c r="I7" s="50">
        <f t="shared" si="0"/>
        <v>1.0000094445151306</v>
      </c>
      <c r="J7" s="65"/>
      <c r="K7" s="38" t="s">
        <v>134</v>
      </c>
      <c r="L7" s="26">
        <f>MATCH(L6,{"qlPiecewiseYieldCurve","qlInterpolatedYieldCurve"})</f>
        <v>1</v>
      </c>
      <c r="M7" s="11">
        <v>42027</v>
      </c>
      <c r="N7" s="35">
        <f>_xll.qlYieldTSDiscount(L$4,M7,,Triggers!RTDataTrigger)</f>
        <v>0.99995315774985483</v>
      </c>
      <c r="O7" s="44"/>
      <c r="P7" s="33"/>
      <c r="Q7" s="49">
        <f t="shared" si="4"/>
        <v>42027</v>
      </c>
      <c r="R7" s="50">
        <f t="shared" si="1"/>
        <v>0.99995315774985483</v>
      </c>
      <c r="T7" s="38" t="s">
        <v>134</v>
      </c>
      <c r="U7" s="26">
        <f>MATCH(U6,{"qlPiecewiseYieldCurve","qlInterpolatedYieldCurve"})</f>
        <v>1</v>
      </c>
      <c r="V7" s="11">
        <v>41997</v>
      </c>
      <c r="W7" s="35">
        <f>_xll.qlYieldTSDiscount(U$4,V7,,Triggers!RTDataTrigger)</f>
        <v>1.0000094445131955</v>
      </c>
      <c r="X7" s="44"/>
      <c r="Y7" s="33"/>
      <c r="Z7" s="49">
        <f t="shared" si="5"/>
        <v>41997</v>
      </c>
      <c r="AA7" s="50">
        <f t="shared" si="2"/>
        <v>1.0000094445131955</v>
      </c>
    </row>
    <row r="8" spans="2:27" x14ac:dyDescent="0.2">
      <c r="B8" s="36" t="s">
        <v>4</v>
      </c>
      <c r="C8" s="40" t="s">
        <v>100</v>
      </c>
      <c r="D8" s="11">
        <v>42003</v>
      </c>
      <c r="E8" s="35">
        <f>_xll.qlYieldTSDiscount(C$4,D8,,Triggers!RTDataTrigger)</f>
        <v>1.0000144723719919</v>
      </c>
      <c r="F8" s="44"/>
      <c r="G8" s="33"/>
      <c r="H8" s="49">
        <f t="shared" si="3"/>
        <v>42003</v>
      </c>
      <c r="I8" s="50">
        <f t="shared" si="0"/>
        <v>1.0000144723719919</v>
      </c>
      <c r="J8" s="65"/>
      <c r="K8" s="36" t="s">
        <v>4</v>
      </c>
      <c r="L8" s="40" t="s">
        <v>100</v>
      </c>
      <c r="M8" s="11">
        <v>42058</v>
      </c>
      <c r="N8" s="35">
        <f>_xll.qlYieldTSDiscount(L$4,M8,,Triggers!RTDataTrigger)</f>
        <v>0.99988669061824875</v>
      </c>
      <c r="O8" s="44"/>
      <c r="P8" s="33"/>
      <c r="Q8" s="49">
        <f t="shared" si="4"/>
        <v>42058</v>
      </c>
      <c r="R8" s="50">
        <f t="shared" si="1"/>
        <v>0.99988669061824875</v>
      </c>
      <c r="T8" s="36" t="s">
        <v>4</v>
      </c>
      <c r="U8" s="40" t="s">
        <v>100</v>
      </c>
      <c r="V8" s="11">
        <v>42003</v>
      </c>
      <c r="W8" s="35">
        <f>_xll.qlYieldTSDiscount(U$4,V8,,Triggers!RTDataTrigger)</f>
        <v>1.0000177780062525</v>
      </c>
      <c r="X8" s="44"/>
      <c r="Y8" s="33"/>
      <c r="Z8" s="49">
        <f t="shared" si="5"/>
        <v>42003</v>
      </c>
      <c r="AA8" s="50">
        <f t="shared" si="2"/>
        <v>1.0000177780062525</v>
      </c>
    </row>
    <row r="9" spans="2:27" x14ac:dyDescent="0.2">
      <c r="B9" s="37" t="s">
        <v>5</v>
      </c>
      <c r="C9" s="41" t="str">
        <f>C4&amp;"_"</f>
        <v>EURON_</v>
      </c>
      <c r="D9" s="11">
        <v>42010</v>
      </c>
      <c r="E9" s="35">
        <f>_xll.qlYieldTSDiscount(C$4,D9,,Triggers!RTDataTrigger)</f>
        <v>1.0000045555965162</v>
      </c>
      <c r="F9" s="44"/>
      <c r="G9" s="33"/>
      <c r="H9" s="49">
        <f t="shared" si="3"/>
        <v>42010</v>
      </c>
      <c r="I9" s="50">
        <f t="shared" si="0"/>
        <v>1.0000045555965162</v>
      </c>
      <c r="J9" s="65"/>
      <c r="K9" s="37" t="s">
        <v>5</v>
      </c>
      <c r="L9" s="41" t="str">
        <f>L4&amp;"_"</f>
        <v>EUR3M_</v>
      </c>
      <c r="M9" s="11">
        <v>42173</v>
      </c>
      <c r="N9" s="35">
        <f>_xll.qlYieldTSDiscount(L$4,M9,,Triggers!RTDataTrigger)</f>
        <v>0.99958971428516519</v>
      </c>
      <c r="O9" s="44"/>
      <c r="P9" s="33"/>
      <c r="Q9" s="49">
        <f t="shared" si="4"/>
        <v>42173</v>
      </c>
      <c r="R9" s="50">
        <f t="shared" si="1"/>
        <v>0.99958971428516519</v>
      </c>
      <c r="T9" s="37" t="s">
        <v>5</v>
      </c>
      <c r="U9" s="41" t="str">
        <f>U4&amp;"_"</f>
        <v>EURSTD_</v>
      </c>
      <c r="V9" s="11">
        <v>42010</v>
      </c>
      <c r="W9" s="35">
        <f>_xll.qlYieldTSDiscount(U$4,V9,,Triggers!RTDataTrigger)</f>
        <v>0.99996139074628698</v>
      </c>
      <c r="X9" s="44"/>
      <c r="Y9" s="33"/>
      <c r="Z9" s="49">
        <f t="shared" si="5"/>
        <v>42010</v>
      </c>
      <c r="AA9" s="50">
        <f t="shared" si="2"/>
        <v>0.99996139074628698</v>
      </c>
    </row>
    <row r="10" spans="2:27" x14ac:dyDescent="0.2">
      <c r="B10" s="37" t="s">
        <v>6</v>
      </c>
      <c r="C10" s="41" t="s">
        <v>11</v>
      </c>
      <c r="D10" s="11">
        <v>42017</v>
      </c>
      <c r="E10" s="35">
        <f>_xll.qlYieldTSDiscount(C$4,D10,,Triggers!RTDataTrigger)</f>
        <v>1.0000127223384985</v>
      </c>
      <c r="F10" s="44"/>
      <c r="G10" s="33"/>
      <c r="H10" s="49">
        <f t="shared" si="3"/>
        <v>42017</v>
      </c>
      <c r="I10" s="50">
        <f t="shared" si="0"/>
        <v>1.0000127223384985</v>
      </c>
      <c r="J10" s="65"/>
      <c r="K10" s="37" t="s">
        <v>6</v>
      </c>
      <c r="L10" s="41" t="s">
        <v>11</v>
      </c>
      <c r="M10" s="11">
        <v>42264</v>
      </c>
      <c r="N10" s="35">
        <f>_xll.qlYieldTSDiscount(L$4,M10,,Triggers!RTDataTrigger)</f>
        <v>0.99940687403171335</v>
      </c>
      <c r="O10" s="44"/>
      <c r="P10" s="33"/>
      <c r="Q10" s="49">
        <f t="shared" si="4"/>
        <v>42264</v>
      </c>
      <c r="R10" s="50">
        <f t="shared" si="1"/>
        <v>0.99940687403171335</v>
      </c>
      <c r="T10" s="37" t="s">
        <v>6</v>
      </c>
      <c r="U10" s="41" t="s">
        <v>58</v>
      </c>
      <c r="V10" s="11">
        <v>42017</v>
      </c>
      <c r="W10" s="35">
        <f>_xll.qlYieldTSDiscount(U$4,V10,,Triggers!RTDataTrigger)</f>
        <v>0.99994389254475036</v>
      </c>
      <c r="X10" s="44"/>
      <c r="Y10" s="33"/>
      <c r="Z10" s="49">
        <f t="shared" si="5"/>
        <v>42017</v>
      </c>
      <c r="AA10" s="50">
        <f t="shared" si="2"/>
        <v>0.99994389254475036</v>
      </c>
    </row>
    <row r="11" spans="2:27" x14ac:dyDescent="0.2">
      <c r="B11" s="37" t="s">
        <v>7</v>
      </c>
      <c r="C11" s="41" t="s">
        <v>12</v>
      </c>
      <c r="D11" s="11">
        <v>42027</v>
      </c>
      <c r="E11" s="35">
        <f>_xll.qlYieldTSDiscount(C$4,D11,,Triggers!RTDataTrigger)</f>
        <v>1.0000244171230632</v>
      </c>
      <c r="F11" s="44"/>
      <c r="G11" s="33"/>
      <c r="H11" s="49">
        <f t="shared" si="3"/>
        <v>42027</v>
      </c>
      <c r="I11" s="50">
        <f t="shared" si="0"/>
        <v>1.0000244171230632</v>
      </c>
      <c r="J11" s="65"/>
      <c r="K11" s="37" t="s">
        <v>7</v>
      </c>
      <c r="L11" s="41" t="s">
        <v>12</v>
      </c>
      <c r="M11" s="11">
        <v>42354</v>
      </c>
      <c r="N11" s="35">
        <f>_xll.qlYieldTSDiscount(L$4,M11,,Triggers!RTDataTrigger)</f>
        <v>0.99925078093271524</v>
      </c>
      <c r="O11" s="44"/>
      <c r="P11" s="33"/>
      <c r="Q11" s="49">
        <f t="shared" si="4"/>
        <v>42354</v>
      </c>
      <c r="R11" s="50">
        <f t="shared" si="1"/>
        <v>0.99925078093271524</v>
      </c>
      <c r="T11" s="37" t="s">
        <v>7</v>
      </c>
      <c r="U11" s="41" t="s">
        <v>46</v>
      </c>
      <c r="V11" s="11">
        <v>42027</v>
      </c>
      <c r="W11" s="35">
        <f>_xll.qlYieldTSDiscount(U$4,V11,,Triggers!RTDataTrigger)</f>
        <v>0.99993056099271171</v>
      </c>
      <c r="X11" s="44"/>
      <c r="Y11" s="33"/>
      <c r="Z11" s="49">
        <f t="shared" si="5"/>
        <v>42027</v>
      </c>
      <c r="AA11" s="50">
        <f t="shared" si="2"/>
        <v>0.99993056099271171</v>
      </c>
    </row>
    <row r="12" spans="2:27" x14ac:dyDescent="0.2">
      <c r="B12" s="37" t="s">
        <v>8</v>
      </c>
      <c r="C12" s="41" t="s">
        <v>13</v>
      </c>
      <c r="D12" s="11">
        <v>42058</v>
      </c>
      <c r="E12" s="35">
        <f>_xll.qlYieldTSDiscount(C$4,D12,,Triggers!RTDataTrigger)</f>
        <v>1.0000304451829818</v>
      </c>
      <c r="F12" s="44"/>
      <c r="G12" s="33"/>
      <c r="H12" s="49">
        <f t="shared" si="3"/>
        <v>42058</v>
      </c>
      <c r="I12" s="50">
        <f t="shared" si="0"/>
        <v>1.0000304451829818</v>
      </c>
      <c r="J12" s="65"/>
      <c r="K12" s="37" t="s">
        <v>8</v>
      </c>
      <c r="L12" s="41" t="s">
        <v>13</v>
      </c>
      <c r="M12" s="11">
        <v>42445</v>
      </c>
      <c r="N12" s="35">
        <f>_xll.qlYieldTSDiscount(L$4,M12,,Triggers!RTDataTrigger)</f>
        <v>0.99906768790296696</v>
      </c>
      <c r="O12" s="44"/>
      <c r="P12" s="33"/>
      <c r="Q12" s="49">
        <f t="shared" si="4"/>
        <v>42445</v>
      </c>
      <c r="R12" s="50">
        <f t="shared" si="1"/>
        <v>0.99906768790296696</v>
      </c>
      <c r="T12" s="37" t="s">
        <v>8</v>
      </c>
      <c r="U12" s="41" t="s">
        <v>13</v>
      </c>
      <c r="V12" s="11">
        <v>42058</v>
      </c>
      <c r="W12" s="35">
        <f>_xll.qlYieldTSDiscount(U$4,V12,,Triggers!RTDataTrigger)</f>
        <v>0.99985307838403903</v>
      </c>
      <c r="X12" s="44"/>
      <c r="Y12" s="33"/>
      <c r="Z12" s="49">
        <f t="shared" si="5"/>
        <v>42058</v>
      </c>
      <c r="AA12" s="50">
        <f t="shared" si="2"/>
        <v>0.99985307838403903</v>
      </c>
    </row>
    <row r="13" spans="2:27" x14ac:dyDescent="0.2">
      <c r="B13" s="38" t="s">
        <v>9</v>
      </c>
      <c r="C13" s="42">
        <v>5</v>
      </c>
      <c r="D13" s="11">
        <v>42086</v>
      </c>
      <c r="E13" s="35">
        <f>_xll.qlYieldTSDiscount(C$4,D13,,Triggers!RTDataTrigger)</f>
        <v>1.0000180557930183</v>
      </c>
      <c r="F13" s="44"/>
      <c r="G13" s="33"/>
      <c r="H13" s="49">
        <f t="shared" si="3"/>
        <v>42086</v>
      </c>
      <c r="I13" s="50">
        <f t="shared" si="0"/>
        <v>1.0000180557930183</v>
      </c>
      <c r="J13" s="65"/>
      <c r="K13" s="38" t="s">
        <v>9</v>
      </c>
      <c r="L13" s="42">
        <v>5</v>
      </c>
      <c r="M13" s="11">
        <v>42537</v>
      </c>
      <c r="N13" s="35">
        <f>_xll.qlYieldTSDiscount(L$4,M13,,Triggers!RTDataTrigger)</f>
        <v>0.99884433521134319</v>
      </c>
      <c r="O13" s="44"/>
      <c r="P13" s="33"/>
      <c r="Q13" s="49">
        <f t="shared" si="4"/>
        <v>42537</v>
      </c>
      <c r="R13" s="50">
        <f t="shared" si="1"/>
        <v>0.99884433521134319</v>
      </c>
      <c r="T13" s="38" t="s">
        <v>9</v>
      </c>
      <c r="U13" s="42">
        <v>5</v>
      </c>
      <c r="V13" s="11">
        <v>42086</v>
      </c>
      <c r="W13" s="35">
        <f>_xll.qlYieldTSDiscount(U$4,V13,,Triggers!RTDataTrigger)</f>
        <v>0.99970814316823819</v>
      </c>
      <c r="X13" s="44"/>
      <c r="Y13" s="33"/>
      <c r="Z13" s="49">
        <f t="shared" si="5"/>
        <v>42086</v>
      </c>
      <c r="AA13" s="50">
        <f t="shared" si="2"/>
        <v>0.99970814316823819</v>
      </c>
    </row>
    <row r="14" spans="2:27" x14ac:dyDescent="0.2">
      <c r="B14" s="37" t="s">
        <v>17</v>
      </c>
      <c r="C14" s="28">
        <f>COUNT(H4:H93)</f>
        <v>40</v>
      </c>
      <c r="D14" s="11">
        <v>42117</v>
      </c>
      <c r="E14" s="35">
        <f>_xll.qlYieldTSDiscount(C$4,D14,,Triggers!RTDataTrigger)</f>
        <v>1.0000483908975573</v>
      </c>
      <c r="F14" s="44"/>
      <c r="G14" s="33"/>
      <c r="H14" s="49">
        <f t="shared" si="3"/>
        <v>42117</v>
      </c>
      <c r="I14" s="50">
        <f t="shared" si="0"/>
        <v>1.0000483908975573</v>
      </c>
      <c r="J14" s="65"/>
      <c r="K14" s="37" t="s">
        <v>17</v>
      </c>
      <c r="L14" s="28">
        <f>COUNT(Q4:Q93)</f>
        <v>29</v>
      </c>
      <c r="M14" s="11">
        <v>42628</v>
      </c>
      <c r="N14" s="35">
        <f>_xll.qlYieldTSDiscount(L$4,M14,,Triggers!RTDataTrigger)</f>
        <v>0.99857267518722004</v>
      </c>
      <c r="O14" s="44"/>
      <c r="P14" s="33"/>
      <c r="Q14" s="49">
        <f t="shared" si="4"/>
        <v>42628</v>
      </c>
      <c r="R14" s="50">
        <f t="shared" si="1"/>
        <v>0.99857267518722004</v>
      </c>
      <c r="T14" s="37" t="s">
        <v>17</v>
      </c>
      <c r="U14" s="28">
        <f>COUNT(Z4:Z93)</f>
        <v>55</v>
      </c>
      <c r="V14" s="11">
        <v>42117</v>
      </c>
      <c r="W14" s="35">
        <f>_xll.qlYieldTSDiscount(U$4,V14,,Triggers!RTDataTrigger)</f>
        <v>0.9995377175851915</v>
      </c>
      <c r="X14" s="44"/>
      <c r="Y14" s="33"/>
      <c r="Z14" s="49">
        <f t="shared" si="5"/>
        <v>42117</v>
      </c>
      <c r="AA14" s="50">
        <f t="shared" si="2"/>
        <v>0.9995377175851915</v>
      </c>
    </row>
    <row r="15" spans="2:27" x14ac:dyDescent="0.2">
      <c r="B15" s="38" t="s">
        <v>18</v>
      </c>
      <c r="C15" s="15">
        <f>GetNow(_xll.xlPushShmLiborCurveName(C8,C9,H4:INDEX(H4:H93,C14),I4:INDEX(I4:I93,C14),C10,C11,C12,C13+0*TYPE(ManualTrigger)))</f>
        <v>41992.735532407409</v>
      </c>
      <c r="D15" s="11">
        <v>42149</v>
      </c>
      <c r="E15" s="35">
        <f>_xll.qlYieldTSDiscount(C$4,D15,,Triggers!RTDataTrigger)</f>
        <v>1.0000973142977445</v>
      </c>
      <c r="F15" s="44"/>
      <c r="G15" s="33"/>
      <c r="H15" s="49">
        <f t="shared" si="3"/>
        <v>42149</v>
      </c>
      <c r="I15" s="50">
        <f t="shared" si="0"/>
        <v>1.0000973142977445</v>
      </c>
      <c r="J15" s="65"/>
      <c r="K15" s="38" t="s">
        <v>18</v>
      </c>
      <c r="L15" s="15">
        <f>GetNow(_xll.xlPushShmLiborCurveName(L8,L9,Q4:INDEX(Q4:Q93,L14),R4:INDEX(R4:R93,L14),L10,L11,L12,L13+0*TYPE(ManualTrigger)))</f>
        <v>41992.735532407409</v>
      </c>
      <c r="M15" s="11">
        <v>42725</v>
      </c>
      <c r="N15" s="35">
        <f>_xll.qlYieldTSDiscount(L$4,M15,,Triggers!RTDataTrigger)</f>
        <v>0.9982055154381918</v>
      </c>
      <c r="O15" s="44"/>
      <c r="P15" s="33"/>
      <c r="Q15" s="49">
        <f t="shared" si="4"/>
        <v>42725</v>
      </c>
      <c r="R15" s="50">
        <f t="shared" si="1"/>
        <v>0.9982055154381918</v>
      </c>
      <c r="T15" s="38" t="s">
        <v>18</v>
      </c>
      <c r="U15" s="15">
        <f>GetNow(_xll.xlPushShmLiborCurveName(U8,U9,Z4:INDEX(Z4:Z93,U14),AA4:INDEX(AA4:AA93,U14),U10,U11,U12,U13+0*TYPE(ManualTrigger)))</f>
        <v>41992.735532407409</v>
      </c>
      <c r="V15" s="11">
        <v>42149</v>
      </c>
      <c r="W15" s="35">
        <f>_xll.qlYieldTSDiscount(U$4,V15,,Triggers!RTDataTrigger)</f>
        <v>0.99932851222287711</v>
      </c>
      <c r="X15" s="44"/>
      <c r="Y15" s="33"/>
      <c r="Z15" s="49">
        <f t="shared" si="5"/>
        <v>42149</v>
      </c>
      <c r="AA15" s="50">
        <f t="shared" si="2"/>
        <v>0.99932851222287711</v>
      </c>
    </row>
    <row r="16" spans="2:27" x14ac:dyDescent="0.2">
      <c r="D16" s="11">
        <v>42178</v>
      </c>
      <c r="E16" s="35">
        <f>_xll.qlYieldTSDiscount(C$4,D16,,Triggers!RTDataTrigger)</f>
        <v>1.000144575346968</v>
      </c>
      <c r="F16" s="44"/>
      <c r="G16" s="33"/>
      <c r="H16" s="49">
        <f t="shared" si="3"/>
        <v>42178</v>
      </c>
      <c r="I16" s="50">
        <f t="shared" si="0"/>
        <v>1.000144575346968</v>
      </c>
      <c r="J16" s="65"/>
      <c r="M16" s="11">
        <v>42815</v>
      </c>
      <c r="N16" s="35">
        <f>_xll.qlYieldTSDiscount(L$4,M16,,Triggers!RTDataTrigger)</f>
        <v>0.99778769184223282</v>
      </c>
      <c r="O16" s="44"/>
      <c r="P16" s="33"/>
      <c r="Q16" s="49">
        <f t="shared" si="4"/>
        <v>42815</v>
      </c>
      <c r="R16" s="50">
        <f t="shared" si="1"/>
        <v>0.99778769184223282</v>
      </c>
      <c r="V16" s="11">
        <v>42172</v>
      </c>
      <c r="W16" s="35">
        <f>_xll.qlYieldTSDiscount(U$4,V16,,Triggers!RTDataTrigger)</f>
        <v>0.99867515716808819</v>
      </c>
      <c r="X16" s="44"/>
      <c r="Y16" s="33"/>
      <c r="Z16" s="49">
        <f t="shared" si="5"/>
        <v>42172</v>
      </c>
      <c r="AA16" s="50">
        <f t="shared" si="2"/>
        <v>0.99867515716808819</v>
      </c>
    </row>
    <row r="17" spans="2:27" x14ac:dyDescent="0.2">
      <c r="D17" s="11">
        <v>42208</v>
      </c>
      <c r="E17" s="35">
        <f>_xll.qlYieldTSDiscount(C$4,D17,,Triggers!RTDataTrigger)</f>
        <v>1.0001965370931876</v>
      </c>
      <c r="F17" s="44"/>
      <c r="G17" s="33"/>
      <c r="H17" s="49">
        <f t="shared" si="3"/>
        <v>42208</v>
      </c>
      <c r="I17" s="50">
        <f t="shared" si="0"/>
        <v>1.0001965370931876</v>
      </c>
      <c r="J17" s="65"/>
      <c r="M17" s="11">
        <v>43096</v>
      </c>
      <c r="N17" s="35">
        <f>_xll.qlYieldTSDiscount(L$4,M17,,Triggers!RTDataTrigger)</f>
        <v>0.99601923206173515</v>
      </c>
      <c r="O17" s="44"/>
      <c r="P17" s="33"/>
      <c r="Q17" s="49">
        <f t="shared" si="4"/>
        <v>43096</v>
      </c>
      <c r="R17" s="50">
        <f t="shared" si="1"/>
        <v>0.99601923206173515</v>
      </c>
      <c r="V17" s="11">
        <v>42178</v>
      </c>
      <c r="W17" s="35">
        <f>_xll.qlYieldTSDiscount(U$4,V17,,Triggers!RTDataTrigger)</f>
        <v>0.99904841410674783</v>
      </c>
      <c r="X17" s="44"/>
      <c r="Y17" s="33"/>
      <c r="Z17" s="49">
        <f t="shared" si="5"/>
        <v>42178</v>
      </c>
      <c r="AA17" s="50">
        <f t="shared" si="2"/>
        <v>0.99904841410674783</v>
      </c>
    </row>
    <row r="18" spans="2:27" x14ac:dyDescent="0.2">
      <c r="D18" s="11">
        <v>42240</v>
      </c>
      <c r="E18" s="35">
        <f>_xll.qlYieldTSDiscount(C$4,D18,,Triggers!RTDataTrigger)</f>
        <v>1.0002656795951952</v>
      </c>
      <c r="F18" s="44"/>
      <c r="G18" s="33"/>
      <c r="H18" s="49">
        <f t="shared" si="3"/>
        <v>42240</v>
      </c>
      <c r="I18" s="50">
        <f t="shared" si="0"/>
        <v>1.0002656795951952</v>
      </c>
      <c r="J18" s="65"/>
      <c r="M18" s="11">
        <v>43458</v>
      </c>
      <c r="N18" s="35">
        <f>_xll.qlYieldTSDiscount(L$4,M18,,Triggers!RTDataTrigger)</f>
        <v>0.99232165512144543</v>
      </c>
      <c r="O18" s="44"/>
      <c r="P18" s="33"/>
      <c r="Q18" s="49">
        <f t="shared" si="4"/>
        <v>43458</v>
      </c>
      <c r="R18" s="50">
        <f t="shared" si="1"/>
        <v>0.99232165512144543</v>
      </c>
      <c r="V18" s="11">
        <v>42208</v>
      </c>
      <c r="W18" s="35">
        <f>_xll.qlYieldTSDiscount(U$4,V18,,Triggers!RTDataTrigger)</f>
        <v>0.99877290645021166</v>
      </c>
      <c r="X18" s="44"/>
      <c r="Y18" s="33"/>
      <c r="Z18" s="49">
        <f t="shared" si="5"/>
        <v>42208</v>
      </c>
      <c r="AA18" s="50">
        <f t="shared" si="2"/>
        <v>0.99877290645021166</v>
      </c>
    </row>
    <row r="19" spans="2:27" x14ac:dyDescent="0.2">
      <c r="D19" s="11">
        <v>42270</v>
      </c>
      <c r="E19" s="35">
        <f>_xll.qlYieldTSDiscount(C$4,D19,,Triggers!RTDataTrigger)</f>
        <v>1.0003278270744311</v>
      </c>
      <c r="F19" s="44"/>
      <c r="G19" s="33"/>
      <c r="H19" s="49">
        <f t="shared" si="3"/>
        <v>42270</v>
      </c>
      <c r="I19" s="50">
        <f t="shared" si="0"/>
        <v>1.0003278270744311</v>
      </c>
      <c r="J19" s="65"/>
      <c r="M19" s="11">
        <v>43822</v>
      </c>
      <c r="N19" s="35">
        <f>_xll.qlYieldTSDiscount(L$4,M19,,Triggers!RTDataTrigger)</f>
        <v>0.98680340802884281</v>
      </c>
      <c r="O19" s="44"/>
      <c r="P19" s="33"/>
      <c r="Q19" s="49">
        <f t="shared" si="4"/>
        <v>43822</v>
      </c>
      <c r="R19" s="50">
        <f t="shared" si="1"/>
        <v>0.98680340802884281</v>
      </c>
      <c r="V19" s="11">
        <v>42240</v>
      </c>
      <c r="W19" s="35">
        <f>_xll.qlYieldTSDiscount(U$4,V19,,Triggers!RTDataTrigger)</f>
        <v>0.99838401760921258</v>
      </c>
      <c r="X19" s="44"/>
      <c r="Y19" s="33"/>
      <c r="Z19" s="49">
        <f t="shared" si="5"/>
        <v>42240</v>
      </c>
      <c r="AA19" s="50">
        <f t="shared" si="2"/>
        <v>0.99838401760921258</v>
      </c>
    </row>
    <row r="20" spans="2:27" x14ac:dyDescent="0.2">
      <c r="B20" t="b">
        <v>1</v>
      </c>
      <c r="D20" s="11">
        <v>42300</v>
      </c>
      <c r="E20" s="35">
        <f>_xll.qlYieldTSDiscount(C$4,D20,,Triggers!RTDataTrigger)</f>
        <v>1.00038820312965</v>
      </c>
      <c r="F20" s="44"/>
      <c r="G20" s="33"/>
      <c r="H20" s="49">
        <f t="shared" si="3"/>
        <v>42300</v>
      </c>
      <c r="I20" s="50">
        <f t="shared" si="0"/>
        <v>1.00038820312965</v>
      </c>
      <c r="J20" s="65"/>
      <c r="M20" s="11">
        <v>44188</v>
      </c>
      <c r="N20" s="35">
        <f>_xll.qlYieldTSDiscount(L$4,M20,,Triggers!RTDataTrigger)</f>
        <v>0.97921987100539842</v>
      </c>
      <c r="O20" s="44"/>
      <c r="P20" s="33"/>
      <c r="Q20" s="49">
        <f t="shared" si="4"/>
        <v>44188</v>
      </c>
      <c r="R20" s="50">
        <f t="shared" si="1"/>
        <v>0.97921987100539842</v>
      </c>
      <c r="T20" s="64"/>
      <c r="V20" s="11">
        <v>42270</v>
      </c>
      <c r="W20" s="35">
        <f>_xll.qlYieldTSDiscount(U$4,V20,,Triggers!RTDataTrigger)</f>
        <v>0.99795725345533792</v>
      </c>
      <c r="X20" s="44"/>
      <c r="Y20" s="33"/>
      <c r="Z20" s="49">
        <f t="shared" si="5"/>
        <v>42270</v>
      </c>
      <c r="AA20" s="50">
        <f t="shared" si="2"/>
        <v>0.99795725345533792</v>
      </c>
    </row>
    <row r="21" spans="2:27" x14ac:dyDescent="0.2">
      <c r="D21" s="11">
        <v>42331</v>
      </c>
      <c r="E21" s="35">
        <f>_xll.qlYieldTSDiscount(C$4,D21,,Triggers!RTDataTrigger)</f>
        <v>1.000464239514846</v>
      </c>
      <c r="F21" s="44"/>
      <c r="G21" s="33"/>
      <c r="H21" s="49">
        <f t="shared" si="3"/>
        <v>42331</v>
      </c>
      <c r="I21" s="50">
        <f t="shared" si="0"/>
        <v>1.000464239514846</v>
      </c>
      <c r="J21" s="65"/>
      <c r="M21" s="11">
        <v>44553</v>
      </c>
      <c r="N21" s="35">
        <f>_xll.qlYieldTSDiscount(L$4,M21,,Triggers!RTDataTrigger)</f>
        <v>0.96935472180318016</v>
      </c>
      <c r="O21" s="44"/>
      <c r="P21" s="33"/>
      <c r="Q21" s="49">
        <f t="shared" si="4"/>
        <v>44553</v>
      </c>
      <c r="R21" s="50">
        <f t="shared" si="1"/>
        <v>0.96935472180318016</v>
      </c>
      <c r="T21" s="64"/>
      <c r="V21" s="11">
        <v>42354</v>
      </c>
      <c r="W21" s="35">
        <f>_xll.qlYieldTSDiscount(U$4,V21,,Triggers!RTDataTrigger)</f>
        <v>0.99790362868643223</v>
      </c>
      <c r="X21" s="44"/>
      <c r="Y21" s="33"/>
      <c r="Z21" s="49">
        <f t="shared" si="5"/>
        <v>42354</v>
      </c>
      <c r="AA21" s="50">
        <f t="shared" si="2"/>
        <v>0.99790362868643223</v>
      </c>
    </row>
    <row r="22" spans="2:27" x14ac:dyDescent="0.2">
      <c r="D22" s="11">
        <v>42361</v>
      </c>
      <c r="E22" s="35">
        <f>_xll.qlYieldTSDiscount(C$4,D22,,Triggers!RTDataTrigger)</f>
        <v>1.0005355601937069</v>
      </c>
      <c r="F22" s="44"/>
      <c r="G22" s="33"/>
      <c r="H22" s="49">
        <f t="shared" si="3"/>
        <v>42361</v>
      </c>
      <c r="I22" s="50">
        <f t="shared" si="0"/>
        <v>1.0005355601937069</v>
      </c>
      <c r="J22" s="65"/>
      <c r="M22" s="11">
        <v>44918</v>
      </c>
      <c r="N22" s="35">
        <f>_xll.qlYieldTSDiscount(L$4,M22,,Triggers!RTDataTrigger)</f>
        <v>0.95719594587537848</v>
      </c>
      <c r="O22" s="44"/>
      <c r="P22" s="33"/>
      <c r="Q22" s="49">
        <f t="shared" si="4"/>
        <v>44918</v>
      </c>
      <c r="R22" s="50">
        <f t="shared" si="1"/>
        <v>0.95719594587537848</v>
      </c>
      <c r="T22" s="64"/>
      <c r="V22" s="11">
        <v>42445</v>
      </c>
      <c r="W22" s="35">
        <f>_xll.qlYieldTSDiscount(U$4,V22,,Triggers!RTDataTrigger)</f>
        <v>0.99772078249584972</v>
      </c>
      <c r="X22" s="44"/>
      <c r="Y22" s="33"/>
      <c r="Z22" s="49">
        <f t="shared" si="5"/>
        <v>42445</v>
      </c>
      <c r="AA22" s="50">
        <f t="shared" si="2"/>
        <v>0.99772078249584972</v>
      </c>
    </row>
    <row r="23" spans="2:27" x14ac:dyDescent="0.2">
      <c r="D23" s="11">
        <v>42452</v>
      </c>
      <c r="E23" s="35">
        <f>_xll.qlYieldTSDiscount(C$4,D23,,Triggers!RTDataTrigger)</f>
        <v>1.0007304703702202</v>
      </c>
      <c r="F23" s="44"/>
      <c r="G23" s="33"/>
      <c r="H23" s="49">
        <f t="shared" si="3"/>
        <v>42452</v>
      </c>
      <c r="I23" s="50">
        <f t="shared" si="0"/>
        <v>1.0007304703702202</v>
      </c>
      <c r="J23" s="65"/>
      <c r="M23" s="11">
        <v>45287</v>
      </c>
      <c r="N23" s="35">
        <f>_xll.qlYieldTSDiscount(L$4,M23,,Triggers!RTDataTrigger)</f>
        <v>0.94279161699232394</v>
      </c>
      <c r="O23" s="44"/>
      <c r="P23" s="33"/>
      <c r="Q23" s="49">
        <f t="shared" si="4"/>
        <v>45287</v>
      </c>
      <c r="R23" s="50">
        <f t="shared" si="1"/>
        <v>0.94279161699232394</v>
      </c>
      <c r="T23" s="64"/>
      <c r="V23" s="11">
        <v>42537</v>
      </c>
      <c r="W23" s="35">
        <f>_xll.qlYieldTSDiscount(U$4,V23,,Triggers!RTDataTrigger)</f>
        <v>0.99749773091995697</v>
      </c>
      <c r="X23" s="44"/>
      <c r="Y23" s="33"/>
      <c r="Z23" s="49">
        <f t="shared" si="5"/>
        <v>42537</v>
      </c>
      <c r="AA23" s="50">
        <f t="shared" si="2"/>
        <v>0.99749773091995697</v>
      </c>
    </row>
    <row r="24" spans="2:27" x14ac:dyDescent="0.2">
      <c r="D24" s="11">
        <v>42544</v>
      </c>
      <c r="E24" s="35">
        <f>_xll.qlYieldTSDiscount(C$4,D24,,Triggers!RTDataTrigger)</f>
        <v>1.0009219959535613</v>
      </c>
      <c r="F24" s="44"/>
      <c r="G24" s="33"/>
      <c r="H24" s="49">
        <f t="shared" si="3"/>
        <v>42544</v>
      </c>
      <c r="I24" s="50">
        <f t="shared" si="0"/>
        <v>1.0009219959535613</v>
      </c>
      <c r="J24" s="65"/>
      <c r="M24" s="11">
        <v>45649</v>
      </c>
      <c r="N24" s="35">
        <f>_xll.qlYieldTSDiscount(L$4,M24,,Triggers!RTDataTrigger)</f>
        <v>0.92735132298783796</v>
      </c>
      <c r="O24" s="44"/>
      <c r="P24" s="33"/>
      <c r="Q24" s="49">
        <f t="shared" si="4"/>
        <v>45649</v>
      </c>
      <c r="R24" s="50">
        <f t="shared" si="1"/>
        <v>0.92735132298783796</v>
      </c>
      <c r="T24" s="64"/>
      <c r="V24" s="11">
        <v>42628</v>
      </c>
      <c r="W24" s="35">
        <f>_xll.qlYieldTSDiscount(U$4,V24,,Triggers!RTDataTrigger)</f>
        <v>0.99722576086551806</v>
      </c>
      <c r="X24" s="44"/>
      <c r="Y24" s="33"/>
      <c r="Z24" s="49">
        <f t="shared" si="5"/>
        <v>42628</v>
      </c>
      <c r="AA24" s="50">
        <f t="shared" si="2"/>
        <v>0.99722576086551806</v>
      </c>
    </row>
    <row r="25" spans="2:27" x14ac:dyDescent="0.2">
      <c r="D25" s="11">
        <v>42636</v>
      </c>
      <c r="E25" s="35">
        <f>_xll.qlYieldTSDiscount(C$4,D25,,Triggers!RTDataTrigger)</f>
        <v>1.0010577415881881</v>
      </c>
      <c r="F25" s="44"/>
      <c r="G25" s="33"/>
      <c r="H25" s="49">
        <f t="shared" si="3"/>
        <v>42636</v>
      </c>
      <c r="I25" s="50">
        <f t="shared" si="0"/>
        <v>1.0010577415881881</v>
      </c>
      <c r="J25" s="65"/>
      <c r="M25" s="11">
        <v>46379</v>
      </c>
      <c r="N25" s="35">
        <f>_xll.qlYieldTSDiscount(L$4,M25,,Triggers!RTDataTrigger)</f>
        <v>0.89380506745868538</v>
      </c>
      <c r="O25" s="44"/>
      <c r="P25" s="33"/>
      <c r="Q25" s="49">
        <f t="shared" si="4"/>
        <v>46379</v>
      </c>
      <c r="R25" s="50">
        <f t="shared" si="1"/>
        <v>0.89380506745868538</v>
      </c>
      <c r="T25" s="64"/>
      <c r="V25" s="11">
        <v>42725</v>
      </c>
      <c r="W25" s="35">
        <f>_xll.qlYieldTSDiscount(U$4,V25,,Triggers!RTDataTrigger)</f>
        <v>0.99685600393470675</v>
      </c>
      <c r="X25" s="44"/>
      <c r="Y25" s="33"/>
      <c r="Z25" s="49">
        <f t="shared" si="5"/>
        <v>42725</v>
      </c>
      <c r="AA25" s="50">
        <f t="shared" si="2"/>
        <v>0.99685600393470675</v>
      </c>
    </row>
    <row r="26" spans="2:27" x14ac:dyDescent="0.2">
      <c r="D26" s="11">
        <v>42727</v>
      </c>
      <c r="E26" s="35">
        <f>_xll.qlYieldTSDiscount(C$4,D26,,Triggers!RTDataTrigger)</f>
        <v>1.001146123328964</v>
      </c>
      <c r="F26" s="44"/>
      <c r="G26" s="33"/>
      <c r="H26" s="49">
        <f t="shared" si="3"/>
        <v>42727</v>
      </c>
      <c r="I26" s="50">
        <f t="shared" si="0"/>
        <v>1.001146123328964</v>
      </c>
      <c r="J26" s="65"/>
      <c r="M26" s="11">
        <v>47476</v>
      </c>
      <c r="N26" s="35">
        <f>_xll.qlYieldTSDiscount(L$4,M26,,Triggers!RTDataTrigger)</f>
        <v>0.84282778493877653</v>
      </c>
      <c r="O26" s="44"/>
      <c r="P26" s="33"/>
      <c r="Q26" s="49">
        <f t="shared" si="4"/>
        <v>47476</v>
      </c>
      <c r="R26" s="50">
        <f t="shared" si="1"/>
        <v>0.84282778493877653</v>
      </c>
      <c r="T26" s="64"/>
      <c r="V26" s="11">
        <v>42815</v>
      </c>
      <c r="W26" s="35">
        <f>_xll.qlYieldTSDiscount(U$4,V26,,Triggers!RTDataTrigger)</f>
        <v>0.99643874521022213</v>
      </c>
      <c r="X26" s="44"/>
      <c r="Y26" s="33"/>
      <c r="Z26" s="49">
        <f t="shared" si="5"/>
        <v>42815</v>
      </c>
      <c r="AA26" s="50">
        <f t="shared" si="2"/>
        <v>0.99643874521022213</v>
      </c>
    </row>
    <row r="27" spans="2:27" x14ac:dyDescent="0.2">
      <c r="D27" s="11">
        <v>43096</v>
      </c>
      <c r="E27" s="35">
        <f>_xll.qlYieldTSDiscount(C$4,D27,,Triggers!RTDataTrigger)</f>
        <v>1.0008337475725584</v>
      </c>
      <c r="F27" s="44"/>
      <c r="G27" s="33"/>
      <c r="H27" s="49">
        <f t="shared" si="3"/>
        <v>43096</v>
      </c>
      <c r="I27" s="50">
        <f t="shared" si="0"/>
        <v>1.0008337475725584</v>
      </c>
      <c r="J27" s="65"/>
      <c r="M27" s="11">
        <v>49305</v>
      </c>
      <c r="N27" s="35">
        <f>_xll.qlYieldTSDiscount(L$4,M27,,Triggers!RTDataTrigger)</f>
        <v>0.76343779379902899</v>
      </c>
      <c r="O27" s="44"/>
      <c r="P27" s="33"/>
      <c r="Q27" s="49">
        <f t="shared" si="4"/>
        <v>49305</v>
      </c>
      <c r="R27" s="50">
        <f t="shared" si="1"/>
        <v>0.76343779379902899</v>
      </c>
      <c r="T27" s="64"/>
      <c r="V27" s="11">
        <v>43096</v>
      </c>
      <c r="W27" s="35">
        <f>_xll.qlYieldTSDiscount(U$4,V27,,Triggers!RTDataTrigger)</f>
        <v>0.99262633169702497</v>
      </c>
      <c r="X27" s="44"/>
      <c r="Y27" s="33"/>
      <c r="Z27" s="49">
        <f t="shared" si="5"/>
        <v>43096</v>
      </c>
      <c r="AA27" s="50">
        <f t="shared" si="2"/>
        <v>0.99262633169702497</v>
      </c>
    </row>
    <row r="28" spans="2:27" x14ac:dyDescent="0.2">
      <c r="D28" s="11">
        <v>43458</v>
      </c>
      <c r="E28" s="35">
        <f>_xll.qlYieldTSDiscount(C$4,D28,,Triggers!RTDataTrigger)</f>
        <v>0.99931734774060332</v>
      </c>
      <c r="F28" s="44"/>
      <c r="G28" s="33"/>
      <c r="H28" s="49">
        <f t="shared" si="3"/>
        <v>43458</v>
      </c>
      <c r="I28" s="50">
        <f t="shared" si="0"/>
        <v>0.99931734774060332</v>
      </c>
      <c r="J28" s="65"/>
      <c r="M28" s="11">
        <v>51127</v>
      </c>
      <c r="N28" s="35">
        <f>_xll.qlYieldTSDiscount(L$4,M28,,Triggers!RTDataTrigger)</f>
        <v>0.69392367826939805</v>
      </c>
      <c r="O28" s="44"/>
      <c r="P28" s="33"/>
      <c r="Q28" s="49">
        <f t="shared" si="4"/>
        <v>51127</v>
      </c>
      <c r="R28" s="50">
        <f t="shared" si="1"/>
        <v>0.69392367826939805</v>
      </c>
      <c r="T28" s="64"/>
      <c r="V28" s="11">
        <v>43458</v>
      </c>
      <c r="W28" s="35">
        <f>_xll.qlYieldTSDiscount(U$4,V28,,Triggers!RTDataTrigger)</f>
        <v>0.9875716591257464</v>
      </c>
      <c r="X28" s="44"/>
      <c r="Y28" s="33"/>
      <c r="Z28" s="49">
        <f t="shared" si="5"/>
        <v>43458</v>
      </c>
      <c r="AA28" s="50">
        <f t="shared" si="2"/>
        <v>0.9875716591257464</v>
      </c>
    </row>
    <row r="29" spans="2:27" x14ac:dyDescent="0.2">
      <c r="D29" s="11">
        <v>43822</v>
      </c>
      <c r="E29" s="35">
        <f>_xll.qlYieldTSDiscount(C$4,D29,,Triggers!RTDataTrigger)</f>
        <v>0.99600271067017487</v>
      </c>
      <c r="F29" s="44"/>
      <c r="G29" s="33"/>
      <c r="H29" s="49">
        <f t="shared" si="3"/>
        <v>43822</v>
      </c>
      <c r="I29" s="50">
        <f t="shared" si="0"/>
        <v>0.99600271067017487</v>
      </c>
      <c r="J29" s="65"/>
      <c r="M29" s="11">
        <v>52954</v>
      </c>
      <c r="N29" s="35">
        <f>_xll.qlYieldTSDiscount(L$4,M29,,Triggers!RTDataTrigger)</f>
        <v>0.63144138774257164</v>
      </c>
      <c r="O29" s="44"/>
      <c r="P29" s="33"/>
      <c r="Q29" s="49">
        <f t="shared" si="4"/>
        <v>52954</v>
      </c>
      <c r="R29" s="50">
        <f t="shared" si="1"/>
        <v>0.63144138774257164</v>
      </c>
      <c r="T29" s="64"/>
      <c r="V29" s="11">
        <v>43822</v>
      </c>
      <c r="W29" s="35">
        <f>_xll.qlYieldTSDiscount(U$4,V29,,Triggers!RTDataTrigger)</f>
        <v>0.98061547629070234</v>
      </c>
      <c r="X29" s="44"/>
      <c r="Y29" s="33"/>
      <c r="Z29" s="49">
        <f t="shared" si="5"/>
        <v>43822</v>
      </c>
      <c r="AA29" s="50">
        <f t="shared" si="2"/>
        <v>0.98061547629070234</v>
      </c>
    </row>
    <row r="30" spans="2:27" x14ac:dyDescent="0.2">
      <c r="D30" s="11">
        <v>44188</v>
      </c>
      <c r="E30" s="35">
        <f>_xll.qlYieldTSDiscount(C$4,D30,,Triggers!RTDataTrigger)</f>
        <v>0.99040644284519663</v>
      </c>
      <c r="F30" s="44"/>
      <c r="G30" s="33"/>
      <c r="H30" s="49">
        <f t="shared" si="3"/>
        <v>44188</v>
      </c>
      <c r="I30" s="50">
        <f t="shared" si="0"/>
        <v>0.99040644284519663</v>
      </c>
      <c r="J30" s="65"/>
      <c r="M30" s="11">
        <v>56606</v>
      </c>
      <c r="N30" s="35">
        <f>_xll.qlYieldTSDiscount(L$4,M30,,Triggers!RTDataTrigger)</f>
        <v>0.52822910933194156</v>
      </c>
      <c r="O30" s="44"/>
      <c r="P30" s="33"/>
      <c r="Q30" s="49">
        <f t="shared" si="4"/>
        <v>56606</v>
      </c>
      <c r="R30" s="50">
        <f t="shared" si="1"/>
        <v>0.52822910933194156</v>
      </c>
      <c r="T30" s="64"/>
      <c r="V30" s="11">
        <v>44188</v>
      </c>
      <c r="W30" s="35">
        <f>_xll.qlYieldTSDiscount(U$4,V30,,Triggers!RTDataTrigger)</f>
        <v>0.97178720968755561</v>
      </c>
      <c r="X30" s="44"/>
      <c r="Y30" s="33"/>
      <c r="Z30" s="49">
        <f t="shared" si="5"/>
        <v>44188</v>
      </c>
      <c r="AA30" s="50">
        <f t="shared" si="2"/>
        <v>0.97178720968755561</v>
      </c>
    </row>
    <row r="31" spans="2:27" x14ac:dyDescent="0.2">
      <c r="D31" s="11">
        <v>44553</v>
      </c>
      <c r="E31" s="35">
        <f>_xll.qlYieldTSDiscount(C$4,D31,,Triggers!RTDataTrigger)</f>
        <v>0.98239625882709714</v>
      </c>
      <c r="F31" s="44"/>
      <c r="G31" s="33"/>
      <c r="H31" s="49">
        <f t="shared" si="3"/>
        <v>44553</v>
      </c>
      <c r="I31" s="50">
        <f t="shared" si="0"/>
        <v>0.98239625882709714</v>
      </c>
      <c r="J31" s="65"/>
      <c r="M31" s="11">
        <v>60259</v>
      </c>
      <c r="N31" s="35">
        <f>_xll.qlYieldTSDiscount(L$4,M31,,Triggers!RTDataTrigger)</f>
        <v>0.45330427726857425</v>
      </c>
      <c r="O31" s="44"/>
      <c r="P31" s="33"/>
      <c r="Q31" s="49">
        <f t="shared" si="4"/>
        <v>60259</v>
      </c>
      <c r="R31" s="50">
        <f t="shared" si="1"/>
        <v>0.45330427726857425</v>
      </c>
      <c r="T31" s="64"/>
      <c r="V31" s="11">
        <v>44553</v>
      </c>
      <c r="W31" s="35">
        <f>_xll.qlYieldTSDiscount(U$4,V31,,Triggers!RTDataTrigger)</f>
        <v>0.96074878592359891</v>
      </c>
      <c r="X31" s="44"/>
      <c r="Y31" s="33"/>
      <c r="Z31" s="49">
        <f t="shared" si="5"/>
        <v>44553</v>
      </c>
      <c r="AA31" s="50">
        <f t="shared" si="2"/>
        <v>0.96074878592359891</v>
      </c>
    </row>
    <row r="32" spans="2:27" x14ac:dyDescent="0.2">
      <c r="D32" s="11">
        <v>44918</v>
      </c>
      <c r="E32" s="35">
        <f>_xll.qlYieldTSDiscount(C$4,D32,,Triggers!RTDataTrigger)</f>
        <v>0.97188426260348582</v>
      </c>
      <c r="F32" s="44"/>
      <c r="G32" s="33"/>
      <c r="H32" s="49">
        <f t="shared" si="3"/>
        <v>44918</v>
      </c>
      <c r="I32" s="50">
        <f t="shared" si="0"/>
        <v>0.97188426260348582</v>
      </c>
      <c r="J32" s="65"/>
      <c r="M32" s="11">
        <v>63912</v>
      </c>
      <c r="N32" s="35">
        <f>_xll.qlYieldTSDiscount(L$4,M32,,Triggers!RTDataTrigger)</f>
        <v>0.38350038794280855</v>
      </c>
      <c r="O32" s="44"/>
      <c r="P32" s="33"/>
      <c r="Q32" s="49">
        <f t="shared" si="4"/>
        <v>63912</v>
      </c>
      <c r="R32" s="50">
        <f t="shared" si="1"/>
        <v>0.38350038794280855</v>
      </c>
      <c r="T32" s="64"/>
      <c r="V32" s="11">
        <v>44918</v>
      </c>
      <c r="W32" s="35">
        <f>_xll.qlYieldTSDiscount(U$4,V32,,Triggers!RTDataTrigger)</f>
        <v>0.94744387398795638</v>
      </c>
      <c r="X32" s="44"/>
      <c r="Y32" s="33"/>
      <c r="Z32" s="49">
        <f t="shared" si="5"/>
        <v>44918</v>
      </c>
      <c r="AA32" s="50">
        <f t="shared" si="2"/>
        <v>0.94744387398795638</v>
      </c>
    </row>
    <row r="33" spans="4:27" x14ac:dyDescent="0.2">
      <c r="D33" s="11">
        <v>45287</v>
      </c>
      <c r="E33" s="35">
        <f>_xll.qlYieldTSDiscount(C$4,D33,,Triggers!RTDataTrigger)</f>
        <v>0.9590504225800347</v>
      </c>
      <c r="F33" s="44"/>
      <c r="G33" s="33"/>
      <c r="H33" s="49">
        <f t="shared" si="3"/>
        <v>45287</v>
      </c>
      <c r="I33" s="50">
        <f t="shared" si="0"/>
        <v>0.9590504225800347</v>
      </c>
      <c r="J33" s="65"/>
      <c r="M33" s="11" t="e">
        <v>#N/A</v>
      </c>
      <c r="N33" s="35" t="e">
        <f>_xll.qlYieldTSDiscount(L$4,M33,,Triggers!RTDataTrigger)</f>
        <v>#NUM!</v>
      </c>
      <c r="O33" s="44"/>
      <c r="P33" s="33"/>
      <c r="Q33" s="49" t="e">
        <f t="shared" si="4"/>
        <v>#N/A</v>
      </c>
      <c r="R33" s="50" t="e">
        <f t="shared" si="1"/>
        <v>#NUM!</v>
      </c>
      <c r="T33" s="64"/>
      <c r="V33" s="11">
        <v>45287</v>
      </c>
      <c r="W33" s="35">
        <f>_xll.qlYieldTSDiscount(U$4,V33,,Triggers!RTDataTrigger)</f>
        <v>0.93217520915975349</v>
      </c>
      <c r="X33" s="44"/>
      <c r="Y33" s="33"/>
      <c r="Z33" s="49">
        <f t="shared" si="5"/>
        <v>45287</v>
      </c>
      <c r="AA33" s="50">
        <f t="shared" si="2"/>
        <v>0.93217520915975349</v>
      </c>
    </row>
    <row r="34" spans="4:27" x14ac:dyDescent="0.2">
      <c r="D34" s="11">
        <v>45649</v>
      </c>
      <c r="E34" s="35">
        <f>_xll.qlYieldTSDiscount(C$4,D34,,Triggers!RTDataTrigger)</f>
        <v>0.94495420710709677</v>
      </c>
      <c r="F34" s="44"/>
      <c r="G34" s="33"/>
      <c r="H34" s="49">
        <f t="shared" si="3"/>
        <v>45649</v>
      </c>
      <c r="I34" s="50">
        <f t="shared" si="0"/>
        <v>0.94495420710709677</v>
      </c>
      <c r="J34" s="65"/>
      <c r="M34" s="11" t="e">
        <v>#N/A</v>
      </c>
      <c r="N34" s="35" t="e">
        <f>_xll.qlYieldTSDiscount(L$4,M34,,Triggers!RTDataTrigger)</f>
        <v>#NUM!</v>
      </c>
      <c r="O34" s="44"/>
      <c r="P34" s="33"/>
      <c r="Q34" s="49" t="e">
        <f t="shared" si="4"/>
        <v>#N/A</v>
      </c>
      <c r="R34" s="50" t="e">
        <f t="shared" si="1"/>
        <v>#NUM!</v>
      </c>
      <c r="T34" s="64"/>
      <c r="V34" s="11">
        <v>45649</v>
      </c>
      <c r="W34" s="35">
        <f>_xll.qlYieldTSDiscount(U$4,V34,,Triggers!RTDataTrigger)</f>
        <v>0.91607866998190324</v>
      </c>
      <c r="X34" s="44"/>
      <c r="Y34" s="33"/>
      <c r="Z34" s="49">
        <f t="shared" si="5"/>
        <v>45649</v>
      </c>
      <c r="AA34" s="50">
        <f t="shared" si="2"/>
        <v>0.91607866998190324</v>
      </c>
    </row>
    <row r="35" spans="4:27" x14ac:dyDescent="0.2">
      <c r="D35" s="11">
        <v>46014</v>
      </c>
      <c r="E35" s="35">
        <f>_xll.qlYieldTSDiscount(C$4,D35,,Triggers!RTDataTrigger)</f>
        <v>0.92959227562264501</v>
      </c>
      <c r="F35" s="44"/>
      <c r="G35" s="33"/>
      <c r="H35" s="49">
        <f t="shared" si="3"/>
        <v>46014</v>
      </c>
      <c r="I35" s="50">
        <f t="shared" si="0"/>
        <v>0.92959227562264501</v>
      </c>
      <c r="J35" s="65"/>
      <c r="M35" s="11" t="e">
        <v>#N/A</v>
      </c>
      <c r="N35" s="35" t="e">
        <f>_xll.qlYieldTSDiscount(L$4,M35,,Triggers!RTDataTrigger)</f>
        <v>#NUM!</v>
      </c>
      <c r="O35" s="44"/>
      <c r="P35" s="33"/>
      <c r="Q35" s="49" t="e">
        <f t="shared" si="4"/>
        <v>#N/A</v>
      </c>
      <c r="R35" s="50" t="e">
        <f t="shared" si="1"/>
        <v>#NUM!</v>
      </c>
      <c r="T35" s="64"/>
      <c r="V35" s="11">
        <v>46014</v>
      </c>
      <c r="W35" s="35">
        <f>_xll.qlYieldTSDiscount(U$4,V35,,Triggers!RTDataTrigger)</f>
        <v>0.89898044745616057</v>
      </c>
      <c r="X35" s="44"/>
      <c r="Y35" s="33"/>
      <c r="Z35" s="49">
        <f t="shared" si="5"/>
        <v>46014</v>
      </c>
      <c r="AA35" s="50">
        <f t="shared" si="2"/>
        <v>0.89898044745616057</v>
      </c>
    </row>
    <row r="36" spans="4:27" x14ac:dyDescent="0.2">
      <c r="D36" s="11">
        <v>46379</v>
      </c>
      <c r="E36" s="35">
        <f>_xll.qlYieldTSDiscount(C$4,D36,,Triggers!RTDataTrigger)</f>
        <v>0.91389923128902384</v>
      </c>
      <c r="F36" s="44"/>
      <c r="G36" s="33"/>
      <c r="H36" s="49">
        <f t="shared" si="3"/>
        <v>46379</v>
      </c>
      <c r="I36" s="50">
        <f t="shared" si="0"/>
        <v>0.91389923128902384</v>
      </c>
      <c r="J36" s="65"/>
      <c r="M36" s="11" t="e">
        <v>#N/A</v>
      </c>
      <c r="N36" s="35" t="e">
        <f>_xll.qlYieldTSDiscount(L$4,M36,,Triggers!RTDataTrigger)</f>
        <v>#NUM!</v>
      </c>
      <c r="O36" s="44"/>
      <c r="P36" s="33"/>
      <c r="Q36" s="49" t="e">
        <f t="shared" si="4"/>
        <v>#N/A</v>
      </c>
      <c r="R36" s="50" t="e">
        <f t="shared" si="1"/>
        <v>#NUM!</v>
      </c>
      <c r="T36" s="64"/>
      <c r="V36" s="11">
        <v>46379</v>
      </c>
      <c r="W36" s="35">
        <f>_xll.qlYieldTSDiscount(U$4,V36,,Triggers!RTDataTrigger)</f>
        <v>0.88174077964855779</v>
      </c>
      <c r="X36" s="44"/>
      <c r="Y36" s="33"/>
      <c r="Z36" s="49">
        <f t="shared" si="5"/>
        <v>46379</v>
      </c>
      <c r="AA36" s="50">
        <f t="shared" si="2"/>
        <v>0.88174077964855779</v>
      </c>
    </row>
    <row r="37" spans="4:27" x14ac:dyDescent="0.2">
      <c r="D37" s="11">
        <v>47476</v>
      </c>
      <c r="E37" s="35">
        <f>_xll.qlYieldTSDiscount(C$4,D37,,Triggers!RTDataTrigger)</f>
        <v>0.86530187790395285</v>
      </c>
      <c r="F37" s="44"/>
      <c r="G37" s="33"/>
      <c r="H37" s="49">
        <f t="shared" si="3"/>
        <v>47476</v>
      </c>
      <c r="I37" s="50">
        <f t="shared" si="0"/>
        <v>0.86530187790395285</v>
      </c>
      <c r="J37" s="65"/>
      <c r="M37" s="11" t="e">
        <v>#N/A</v>
      </c>
      <c r="N37" s="35" t="e">
        <f>_xll.qlYieldTSDiscount(L$4,M37,,Triggers!RTDataTrigger)</f>
        <v>#NUM!</v>
      </c>
      <c r="O37" s="44"/>
      <c r="P37" s="33"/>
      <c r="Q37" s="49" t="e">
        <f t="shared" si="4"/>
        <v>#N/A</v>
      </c>
      <c r="R37" s="50" t="e">
        <f t="shared" si="1"/>
        <v>#NUM!</v>
      </c>
      <c r="T37" s="64"/>
      <c r="V37" s="11">
        <v>46744</v>
      </c>
      <c r="W37" s="35">
        <f>_xll.qlYieldTSDiscount(U$4,V37,,Triggers!RTDataTrigger)</f>
        <v>0.8643225511558027</v>
      </c>
      <c r="X37" s="44"/>
      <c r="Y37" s="33"/>
      <c r="Z37" s="49">
        <f t="shared" si="5"/>
        <v>46744</v>
      </c>
      <c r="AA37" s="50">
        <f t="shared" si="2"/>
        <v>0.8643225511558027</v>
      </c>
    </row>
    <row r="38" spans="4:27" x14ac:dyDescent="0.2">
      <c r="D38" s="11">
        <v>49305</v>
      </c>
      <c r="E38" s="35">
        <f>_xll.qlYieldTSDiscount(C$4,D38,,Triggers!RTDataTrigger)</f>
        <v>0.78699571865437323</v>
      </c>
      <c r="F38" s="44"/>
      <c r="G38" s="33"/>
      <c r="H38" s="49">
        <f t="shared" si="3"/>
        <v>49305</v>
      </c>
      <c r="I38" s="50">
        <f t="shared" si="0"/>
        <v>0.78699571865437323</v>
      </c>
      <c r="J38" s="65"/>
      <c r="M38" s="11" t="e">
        <v>#N/A</v>
      </c>
      <c r="N38" s="35" t="e">
        <f>_xll.qlYieldTSDiscount(L$4,M38,,Triggers!RTDataTrigger)</f>
        <v>#NUM!</v>
      </c>
      <c r="O38" s="44"/>
      <c r="P38" s="33"/>
      <c r="Q38" s="49" t="e">
        <f t="shared" si="4"/>
        <v>#N/A</v>
      </c>
      <c r="R38" s="50" t="e">
        <f t="shared" si="1"/>
        <v>#NUM!</v>
      </c>
      <c r="T38" s="64"/>
      <c r="V38" s="11">
        <v>47114</v>
      </c>
      <c r="W38" s="35">
        <f>_xll.qlYieldTSDiscount(U$4,V38,,Triggers!RTDataTrigger)</f>
        <v>0.84712117109036411</v>
      </c>
      <c r="X38" s="44"/>
      <c r="Y38" s="33"/>
      <c r="Z38" s="49">
        <f t="shared" si="5"/>
        <v>47114</v>
      </c>
      <c r="AA38" s="50">
        <f t="shared" si="2"/>
        <v>0.84712117109036411</v>
      </c>
    </row>
    <row r="39" spans="4:27" x14ac:dyDescent="0.2">
      <c r="D39" s="11">
        <v>51127</v>
      </c>
      <c r="E39" s="35">
        <f>_xll.qlYieldTSDiscount(C$4,D39,,Triggers!RTDataTrigger)</f>
        <v>0.7175528961355464</v>
      </c>
      <c r="F39" s="44"/>
      <c r="G39" s="33"/>
      <c r="H39" s="49">
        <f t="shared" si="3"/>
        <v>51127</v>
      </c>
      <c r="I39" s="50">
        <f t="shared" si="0"/>
        <v>0.7175528961355464</v>
      </c>
      <c r="J39" s="65"/>
      <c r="M39" s="11" t="e">
        <v>#N/A</v>
      </c>
      <c r="N39" s="35" t="e">
        <f>_xll.qlYieldTSDiscount(L$4,M39,,Triggers!RTDataTrigger)</f>
        <v>#NUM!</v>
      </c>
      <c r="O39" s="44"/>
      <c r="P39" s="33"/>
      <c r="Q39" s="49" t="e">
        <f t="shared" si="4"/>
        <v>#N/A</v>
      </c>
      <c r="R39" s="50" t="e">
        <f t="shared" si="1"/>
        <v>#NUM!</v>
      </c>
      <c r="T39" s="64"/>
      <c r="V39" s="11">
        <v>47476</v>
      </c>
      <c r="W39" s="35">
        <f>_xll.qlYieldTSDiscount(U$4,V39,,Triggers!RTDataTrigger)</f>
        <v>0.83057044912017952</v>
      </c>
      <c r="X39" s="44"/>
      <c r="Y39" s="33"/>
      <c r="Z39" s="49">
        <f t="shared" si="5"/>
        <v>47476</v>
      </c>
      <c r="AA39" s="50">
        <f t="shared" si="2"/>
        <v>0.83057044912017952</v>
      </c>
    </row>
    <row r="40" spans="4:27" x14ac:dyDescent="0.2">
      <c r="D40" s="11">
        <v>52954</v>
      </c>
      <c r="E40" s="35">
        <f>_xll.qlYieldTSDiscount(C$4,D40,,Triggers!RTDataTrigger)</f>
        <v>0.65477274876753155</v>
      </c>
      <c r="F40" s="44"/>
      <c r="G40" s="33"/>
      <c r="H40" s="49">
        <f t="shared" si="3"/>
        <v>52954</v>
      </c>
      <c r="I40" s="50">
        <f t="shared" si="0"/>
        <v>0.65477274876753155</v>
      </c>
      <c r="J40" s="65"/>
      <c r="M40" s="11" t="e">
        <v>#N/A</v>
      </c>
      <c r="N40" s="35" t="e">
        <f>_xll.qlYieldTSDiscount(L$4,M40,,Triggers!RTDataTrigger)</f>
        <v>#NUM!</v>
      </c>
      <c r="O40" s="44"/>
      <c r="P40" s="33"/>
      <c r="Q40" s="49" t="e">
        <f t="shared" si="4"/>
        <v>#N/A</v>
      </c>
      <c r="R40" s="50" t="e">
        <f t="shared" si="1"/>
        <v>#NUM!</v>
      </c>
      <c r="T40" s="64"/>
      <c r="V40" s="11">
        <v>47840</v>
      </c>
      <c r="W40" s="35">
        <f>_xll.qlYieldTSDiscount(U$4,V40,,Triggers!RTDataTrigger)</f>
        <v>0.81408600123900132</v>
      </c>
      <c r="X40" s="44"/>
      <c r="Y40" s="33"/>
      <c r="Z40" s="49">
        <f t="shared" si="5"/>
        <v>47840</v>
      </c>
      <c r="AA40" s="50">
        <f t="shared" si="2"/>
        <v>0.81408600123900132</v>
      </c>
    </row>
    <row r="41" spans="4:27" x14ac:dyDescent="0.2">
      <c r="D41" s="11">
        <v>56606</v>
      </c>
      <c r="E41" s="35">
        <f>_xll.qlYieldTSDiscount(C$4,D41,,Triggers!RTDataTrigger)</f>
        <v>0.54985814872732008</v>
      </c>
      <c r="F41" s="44"/>
      <c r="G41" s="33"/>
      <c r="H41" s="49">
        <f t="shared" si="3"/>
        <v>56606</v>
      </c>
      <c r="I41" s="50">
        <f t="shared" si="0"/>
        <v>0.54985814872732008</v>
      </c>
      <c r="J41" s="65"/>
      <c r="M41" s="11" t="e">
        <v>#N/A</v>
      </c>
      <c r="N41" s="35" t="e">
        <f>_xll.qlYieldTSDiscount(L$4,M41,,Triggers!RTDataTrigger)</f>
        <v>#NUM!</v>
      </c>
      <c r="O41" s="44"/>
      <c r="P41" s="33"/>
      <c r="Q41" s="49" t="e">
        <f t="shared" si="4"/>
        <v>#N/A</v>
      </c>
      <c r="R41" s="50" t="e">
        <f t="shared" si="1"/>
        <v>#NUM!</v>
      </c>
      <c r="T41" s="64"/>
      <c r="V41" s="11">
        <v>48205</v>
      </c>
      <c r="W41" s="35">
        <f>_xll.qlYieldTSDiscount(U$4,V41,,Triggers!RTDataTrigger)</f>
        <v>0.79783360080218424</v>
      </c>
      <c r="X41" s="44"/>
      <c r="Y41" s="33"/>
      <c r="Z41" s="49">
        <f t="shared" si="5"/>
        <v>48205</v>
      </c>
      <c r="AA41" s="50">
        <f t="shared" si="2"/>
        <v>0.79783360080218424</v>
      </c>
    </row>
    <row r="42" spans="4:27" x14ac:dyDescent="0.2">
      <c r="D42" s="11">
        <v>60259</v>
      </c>
      <c r="E42" s="35">
        <f>_xll.qlYieldTSDiscount(C$4,D42,,Triggers!RTDataTrigger)</f>
        <v>0.47368976877703783</v>
      </c>
      <c r="F42" s="44"/>
      <c r="G42" s="33"/>
      <c r="H42" s="49">
        <f t="shared" si="3"/>
        <v>60259</v>
      </c>
      <c r="I42" s="50">
        <f t="shared" si="0"/>
        <v>0.47368976877703783</v>
      </c>
      <c r="J42" s="65"/>
      <c r="M42" s="11" t="e">
        <v>#N/A</v>
      </c>
      <c r="N42" s="35" t="e">
        <f>_xll.qlYieldTSDiscount(L$4,M42,,Triggers!RTDataTrigger)</f>
        <v>#NUM!</v>
      </c>
      <c r="O42" s="44"/>
      <c r="P42" s="33"/>
      <c r="Q42" s="49" t="e">
        <f t="shared" si="4"/>
        <v>#N/A</v>
      </c>
      <c r="R42" s="50" t="e">
        <f t="shared" si="1"/>
        <v>#NUM!</v>
      </c>
      <c r="T42" s="64"/>
      <c r="V42" s="11">
        <v>48571</v>
      </c>
      <c r="W42" s="35">
        <f>_xll.qlYieldTSDiscount(U$4,V42,,Triggers!RTDataTrigger)</f>
        <v>0.78197453799481842</v>
      </c>
      <c r="X42" s="44"/>
      <c r="Y42" s="33"/>
      <c r="Z42" s="49">
        <f t="shared" si="5"/>
        <v>48571</v>
      </c>
      <c r="AA42" s="50">
        <f t="shared" si="2"/>
        <v>0.78197453799481842</v>
      </c>
    </row>
    <row r="43" spans="4:27" x14ac:dyDescent="0.2">
      <c r="D43" s="11">
        <v>63912</v>
      </c>
      <c r="E43" s="35">
        <f>_xll.qlYieldTSDiscount(C$4,D43,,Triggers!RTDataTrigger)</f>
        <v>0.40130464264976207</v>
      </c>
      <c r="F43" s="44"/>
      <c r="G43" s="33"/>
      <c r="H43" s="49">
        <f t="shared" si="3"/>
        <v>63912</v>
      </c>
      <c r="I43" s="50">
        <f t="shared" si="0"/>
        <v>0.40130464264976207</v>
      </c>
      <c r="J43" s="65"/>
      <c r="M43" s="11" t="e">
        <v>#N/A</v>
      </c>
      <c r="N43" s="35" t="e">
        <f>_xll.qlYieldTSDiscount(L$4,M43,,Triggers!RTDataTrigger)</f>
        <v>#NUM!</v>
      </c>
      <c r="O43" s="44"/>
      <c r="P43" s="33"/>
      <c r="Q43" s="49" t="e">
        <f t="shared" si="4"/>
        <v>#N/A</v>
      </c>
      <c r="R43" s="50" t="e">
        <f t="shared" si="1"/>
        <v>#NUM!</v>
      </c>
      <c r="T43" s="64"/>
      <c r="V43" s="11">
        <v>48936</v>
      </c>
      <c r="W43" s="35">
        <f>_xll.qlYieldTSDiscount(U$4,V43,,Triggers!RTDataTrigger)</f>
        <v>0.76663569127672637</v>
      </c>
      <c r="X43" s="44"/>
      <c r="Y43" s="33"/>
      <c r="Z43" s="49">
        <f t="shared" si="5"/>
        <v>48936</v>
      </c>
      <c r="AA43" s="50">
        <f t="shared" si="2"/>
        <v>0.76663569127672637</v>
      </c>
    </row>
    <row r="44" spans="4:27" x14ac:dyDescent="0.2">
      <c r="D44" s="11" t="e">
        <v>#N/A</v>
      </c>
      <c r="E44" s="35" t="e">
        <f>_xll.qlYieldTSDiscount(C$4,D44,,Triggers!RTDataTrigger)</f>
        <v>#NUM!</v>
      </c>
      <c r="F44" s="44"/>
      <c r="G44" s="33"/>
      <c r="H44" s="49" t="e">
        <f t="shared" si="3"/>
        <v>#N/A</v>
      </c>
      <c r="I44" s="50" t="e">
        <f t="shared" si="0"/>
        <v>#NUM!</v>
      </c>
      <c r="J44" s="65"/>
      <c r="M44" s="11" t="e">
        <v>#N/A</v>
      </c>
      <c r="N44" s="35" t="e">
        <f>_xll.qlYieldTSDiscount(L$4,M44,,Triggers!RTDataTrigger)</f>
        <v>#NUM!</v>
      </c>
      <c r="O44" s="44"/>
      <c r="P44" s="33"/>
      <c r="Q44" s="49" t="e">
        <f t="shared" si="4"/>
        <v>#N/A</v>
      </c>
      <c r="R44" s="50" t="e">
        <f t="shared" si="1"/>
        <v>#NUM!</v>
      </c>
      <c r="T44" s="64"/>
      <c r="V44" s="11">
        <v>49305</v>
      </c>
      <c r="W44" s="35">
        <f>_xll.qlYieldTSDiscount(U$4,V44,,Triggers!RTDataTrigger)</f>
        <v>0.7514693670244198</v>
      </c>
      <c r="X44" s="44"/>
      <c r="Y44" s="33"/>
      <c r="Z44" s="49">
        <f t="shared" si="5"/>
        <v>49305</v>
      </c>
      <c r="AA44" s="50">
        <f t="shared" si="2"/>
        <v>0.7514693670244198</v>
      </c>
    </row>
    <row r="45" spans="4:27" x14ac:dyDescent="0.2">
      <c r="D45" s="11" t="e">
        <v>#N/A</v>
      </c>
      <c r="E45" s="35" t="e">
        <f>_xll.qlYieldTSDiscount(C$4,D45,,Triggers!RTDataTrigger)</f>
        <v>#NUM!</v>
      </c>
      <c r="F45" s="44"/>
      <c r="G45" s="33"/>
      <c r="H45" s="49" t="e">
        <f t="shared" si="3"/>
        <v>#N/A</v>
      </c>
      <c r="I45" s="50" t="e">
        <f t="shared" si="0"/>
        <v>#NUM!</v>
      </c>
      <c r="J45" s="65"/>
      <c r="M45" s="11" t="e">
        <v>#N/A</v>
      </c>
      <c r="N45" s="35" t="e">
        <f>_xll.qlYieldTSDiscount(L$4,M45,,Triggers!RTDataTrigger)</f>
        <v>#NUM!</v>
      </c>
      <c r="O45" s="44"/>
      <c r="P45" s="33"/>
      <c r="Q45" s="49" t="e">
        <f t="shared" si="4"/>
        <v>#N/A</v>
      </c>
      <c r="R45" s="50" t="e">
        <f t="shared" si="1"/>
        <v>#NUM!</v>
      </c>
      <c r="T45" s="64"/>
      <c r="V45" s="11">
        <v>49667</v>
      </c>
      <c r="W45" s="35">
        <f>_xll.qlYieldTSDiscount(U$4,V45,,Triggers!RTDataTrigger)</f>
        <v>0.73704761796030738</v>
      </c>
      <c r="X45" s="44"/>
      <c r="Y45" s="33"/>
      <c r="Z45" s="49">
        <f t="shared" si="5"/>
        <v>49667</v>
      </c>
      <c r="AA45" s="50">
        <f t="shared" si="2"/>
        <v>0.73704761796030738</v>
      </c>
    </row>
    <row r="46" spans="4:27" x14ac:dyDescent="0.2">
      <c r="D46" s="11" t="e">
        <v>#N/A</v>
      </c>
      <c r="E46" s="12" t="e">
        <f>_xll.qlYieldTSDiscount(C$4,D46,,Triggers!RTDataTrigger)</f>
        <v>#NUM!</v>
      </c>
      <c r="F46" s="44"/>
      <c r="G46" s="33"/>
      <c r="H46" s="49" t="e">
        <f t="shared" si="3"/>
        <v>#N/A</v>
      </c>
      <c r="I46" s="50" t="e">
        <f t="shared" si="0"/>
        <v>#NUM!</v>
      </c>
      <c r="J46" s="65"/>
      <c r="M46" s="11" t="e">
        <v>#N/A</v>
      </c>
      <c r="N46" s="12" t="e">
        <f>_xll.qlYieldTSDiscount(L$4,M46,,Triggers!RTDataTrigger)</f>
        <v>#NUM!</v>
      </c>
      <c r="O46" s="44"/>
      <c r="P46" s="33"/>
      <c r="Q46" s="49" t="e">
        <f t="shared" si="4"/>
        <v>#N/A</v>
      </c>
      <c r="R46" s="50" t="e">
        <f t="shared" si="1"/>
        <v>#NUM!</v>
      </c>
      <c r="T46" s="64"/>
      <c r="V46" s="11">
        <v>50032</v>
      </c>
      <c r="W46" s="12">
        <f>_xll.qlYieldTSDiscount(U$4,V46,,Triggers!RTDataTrigger)</f>
        <v>0.72282174604910299</v>
      </c>
      <c r="X46" s="44"/>
      <c r="Y46" s="33"/>
      <c r="Z46" s="49">
        <f t="shared" si="5"/>
        <v>50032</v>
      </c>
      <c r="AA46" s="50">
        <f t="shared" si="2"/>
        <v>0.72282174604910299</v>
      </c>
    </row>
    <row r="47" spans="4:27" x14ac:dyDescent="0.2">
      <c r="D47" s="11" t="e">
        <v>#N/A</v>
      </c>
      <c r="E47" s="12" t="e">
        <f>_xll.qlYieldTSDiscount(C$4,D47,,Triggers!RTDataTrigger)</f>
        <v>#NUM!</v>
      </c>
      <c r="F47" s="44"/>
      <c r="G47" s="33"/>
      <c r="H47" s="49" t="e">
        <f t="shared" si="3"/>
        <v>#N/A</v>
      </c>
      <c r="I47" s="50" t="e">
        <f t="shared" si="0"/>
        <v>#NUM!</v>
      </c>
      <c r="J47" s="65"/>
      <c r="M47" s="11" t="e">
        <v>#N/A</v>
      </c>
      <c r="N47" s="12" t="e">
        <f>_xll.qlYieldTSDiscount(L$4,M47,,Triggers!RTDataTrigger)</f>
        <v>#NUM!</v>
      </c>
      <c r="O47" s="44"/>
      <c r="P47" s="33"/>
      <c r="Q47" s="49" t="e">
        <f t="shared" si="4"/>
        <v>#N/A</v>
      </c>
      <c r="R47" s="50" t="e">
        <f t="shared" si="1"/>
        <v>#NUM!</v>
      </c>
      <c r="T47" s="64"/>
      <c r="V47" s="11">
        <v>50397</v>
      </c>
      <c r="W47" s="12">
        <f>_xll.qlYieldTSDiscount(U$4,V47,,Triggers!RTDataTrigger)</f>
        <v>0.70906623500952426</v>
      </c>
      <c r="X47" s="44"/>
      <c r="Y47" s="33"/>
      <c r="Z47" s="49">
        <f t="shared" si="5"/>
        <v>50397</v>
      </c>
      <c r="AA47" s="50">
        <f t="shared" si="2"/>
        <v>0.70906623500952426</v>
      </c>
    </row>
    <row r="48" spans="4:27" x14ac:dyDescent="0.2">
      <c r="D48" s="11" t="e">
        <v>#N/A</v>
      </c>
      <c r="E48" s="12" t="e">
        <f>_xll.qlYieldTSDiscount(C$4,D48,,Triggers!RTDataTrigger)</f>
        <v>#NUM!</v>
      </c>
      <c r="F48" s="44"/>
      <c r="G48" s="33"/>
      <c r="H48" s="49" t="e">
        <f t="shared" si="3"/>
        <v>#N/A</v>
      </c>
      <c r="I48" s="50" t="e">
        <f t="shared" si="0"/>
        <v>#NUM!</v>
      </c>
      <c r="J48" s="65"/>
      <c r="M48" s="11" t="e">
        <v>#N/A</v>
      </c>
      <c r="N48" s="12" t="e">
        <f>_xll.qlYieldTSDiscount(L$4,M48,,Triggers!RTDataTrigger)</f>
        <v>#NUM!</v>
      </c>
      <c r="O48" s="44"/>
      <c r="P48" s="33"/>
      <c r="Q48" s="49" t="e">
        <f t="shared" si="4"/>
        <v>#N/A</v>
      </c>
      <c r="R48" s="50" t="e">
        <f t="shared" si="1"/>
        <v>#NUM!</v>
      </c>
      <c r="T48" s="64"/>
      <c r="V48" s="11">
        <v>50762</v>
      </c>
      <c r="W48" s="12">
        <f>_xll.qlYieldTSDiscount(U$4,V48,,Triggers!RTDataTrigger)</f>
        <v>0.69566756069518687</v>
      </c>
      <c r="X48" s="44"/>
      <c r="Y48" s="33"/>
      <c r="Z48" s="49">
        <f t="shared" si="5"/>
        <v>50762</v>
      </c>
      <c r="AA48" s="50">
        <f t="shared" si="2"/>
        <v>0.69566756069518687</v>
      </c>
    </row>
    <row r="49" spans="4:27" x14ac:dyDescent="0.2">
      <c r="D49" s="11" t="e">
        <v>#N/A</v>
      </c>
      <c r="E49" s="12" t="e">
        <f>_xll.qlYieldTSDiscount(C$4,D49,,Triggers!RTDataTrigger)</f>
        <v>#NUM!</v>
      </c>
      <c r="F49" s="44"/>
      <c r="G49" s="33"/>
      <c r="H49" s="49" t="e">
        <f t="shared" si="3"/>
        <v>#N/A</v>
      </c>
      <c r="I49" s="50" t="e">
        <f t="shared" si="0"/>
        <v>#NUM!</v>
      </c>
      <c r="J49" s="65"/>
      <c r="M49" s="11" t="e">
        <v>#N/A</v>
      </c>
      <c r="N49" s="12" t="e">
        <f>_xll.qlYieldTSDiscount(L$4,M49,,Triggers!RTDataTrigger)</f>
        <v>#NUM!</v>
      </c>
      <c r="O49" s="44"/>
      <c r="P49" s="33"/>
      <c r="Q49" s="49" t="e">
        <f t="shared" si="4"/>
        <v>#N/A</v>
      </c>
      <c r="R49" s="50" t="e">
        <f t="shared" si="1"/>
        <v>#NUM!</v>
      </c>
      <c r="T49" s="64"/>
      <c r="V49" s="11">
        <v>51127</v>
      </c>
      <c r="W49" s="12">
        <f>_xll.qlYieldTSDiscount(U$4,V49,,Triggers!RTDataTrigger)</f>
        <v>0.68245645962406121</v>
      </c>
      <c r="X49" s="44"/>
      <c r="Y49" s="33"/>
      <c r="Z49" s="49">
        <f t="shared" si="5"/>
        <v>51127</v>
      </c>
      <c r="AA49" s="50">
        <f t="shared" si="2"/>
        <v>0.68245645962406121</v>
      </c>
    </row>
    <row r="50" spans="4:27" x14ac:dyDescent="0.2">
      <c r="D50" s="11" t="e">
        <v>#N/A</v>
      </c>
      <c r="E50" s="12" t="e">
        <f>_xll.qlYieldTSDiscount(C$4,D50,,Triggers!RTDataTrigger)</f>
        <v>#NUM!</v>
      </c>
      <c r="F50" s="44"/>
      <c r="G50" s="33"/>
      <c r="H50" s="49" t="e">
        <f t="shared" si="3"/>
        <v>#N/A</v>
      </c>
      <c r="I50" s="50" t="e">
        <f t="shared" si="0"/>
        <v>#NUM!</v>
      </c>
      <c r="J50" s="65"/>
      <c r="M50" s="11" t="e">
        <v>#N/A</v>
      </c>
      <c r="N50" s="12" t="e">
        <f>_xll.qlYieldTSDiscount(L$4,M50,,Triggers!RTDataTrigger)</f>
        <v>#NUM!</v>
      </c>
      <c r="O50" s="44"/>
      <c r="P50" s="33"/>
      <c r="Q50" s="49" t="e">
        <f t="shared" si="4"/>
        <v>#N/A</v>
      </c>
      <c r="R50" s="50" t="e">
        <f t="shared" si="1"/>
        <v>#NUM!</v>
      </c>
      <c r="T50" s="64"/>
      <c r="V50" s="11">
        <v>51494</v>
      </c>
      <c r="W50" s="12">
        <f>_xll.qlYieldTSDiscount(U$4,V50,,Triggers!RTDataTrigger)</f>
        <v>0.66942884828180615</v>
      </c>
      <c r="X50" s="44"/>
      <c r="Y50" s="33"/>
      <c r="Z50" s="49">
        <f t="shared" si="5"/>
        <v>51494</v>
      </c>
      <c r="AA50" s="50">
        <f t="shared" si="2"/>
        <v>0.66942884828180615</v>
      </c>
    </row>
    <row r="51" spans="4:27" x14ac:dyDescent="0.2">
      <c r="D51" s="11" t="e">
        <v>#N/A</v>
      </c>
      <c r="E51" s="12" t="e">
        <f>_xll.qlYieldTSDiscount(C$4,D51,,Triggers!RTDataTrigger)</f>
        <v>#NUM!</v>
      </c>
      <c r="F51" s="44"/>
      <c r="G51" s="33"/>
      <c r="H51" s="49" t="e">
        <f t="shared" si="3"/>
        <v>#N/A</v>
      </c>
      <c r="I51" s="50" t="e">
        <f t="shared" si="0"/>
        <v>#NUM!</v>
      </c>
      <c r="J51" s="65"/>
      <c r="M51" s="11" t="e">
        <v>#N/A</v>
      </c>
      <c r="N51" s="12" t="e">
        <f>_xll.qlYieldTSDiscount(L$4,M51,,Triggers!RTDataTrigger)</f>
        <v>#NUM!</v>
      </c>
      <c r="O51" s="44"/>
      <c r="P51" s="33"/>
      <c r="Q51" s="49" t="e">
        <f t="shared" si="4"/>
        <v>#N/A</v>
      </c>
      <c r="R51" s="50" t="e">
        <f t="shared" si="1"/>
        <v>#NUM!</v>
      </c>
      <c r="T51" s="64"/>
      <c r="V51" s="11">
        <v>51858</v>
      </c>
      <c r="W51" s="12">
        <f>_xll.qlYieldTSDiscount(U$4,V51,,Triggers!RTDataTrigger)</f>
        <v>0.656688706975189</v>
      </c>
      <c r="X51" s="44"/>
      <c r="Y51" s="33"/>
      <c r="Z51" s="49">
        <f t="shared" si="5"/>
        <v>51858</v>
      </c>
      <c r="AA51" s="50">
        <f t="shared" si="2"/>
        <v>0.656688706975189</v>
      </c>
    </row>
    <row r="52" spans="4:27" x14ac:dyDescent="0.2">
      <c r="D52" s="11" t="e">
        <v>#N/A</v>
      </c>
      <c r="E52" s="12" t="e">
        <f>_xll.qlYieldTSDiscount(C$4,D52,,Triggers!RTDataTrigger)</f>
        <v>#NUM!</v>
      </c>
      <c r="F52" s="44"/>
      <c r="G52" s="33"/>
      <c r="H52" s="49" t="e">
        <f t="shared" si="3"/>
        <v>#N/A</v>
      </c>
      <c r="I52" s="50" t="e">
        <f t="shared" si="0"/>
        <v>#NUM!</v>
      </c>
      <c r="J52" s="65"/>
      <c r="M52" s="11" t="e">
        <v>#N/A</v>
      </c>
      <c r="N52" s="12" t="e">
        <f>_xll.qlYieldTSDiscount(L$4,M52,,Triggers!RTDataTrigger)</f>
        <v>#NUM!</v>
      </c>
      <c r="O52" s="44"/>
      <c r="P52" s="33"/>
      <c r="Q52" s="49" t="e">
        <f t="shared" si="4"/>
        <v>#N/A</v>
      </c>
      <c r="R52" s="50" t="e">
        <f t="shared" si="1"/>
        <v>#NUM!</v>
      </c>
      <c r="T52" s="64"/>
      <c r="V52" s="11">
        <v>52223</v>
      </c>
      <c r="W52" s="12">
        <f>_xll.qlYieldTSDiscount(U$4,V52,,Triggers!RTDataTrigger)</f>
        <v>0.64417504070152665</v>
      </c>
      <c r="X52" s="44"/>
      <c r="Y52" s="33"/>
      <c r="Z52" s="49">
        <f t="shared" si="5"/>
        <v>52223</v>
      </c>
      <c r="AA52" s="50">
        <f t="shared" si="2"/>
        <v>0.64417504070152665</v>
      </c>
    </row>
    <row r="53" spans="4:27" x14ac:dyDescent="0.2">
      <c r="D53" s="11" t="e">
        <v>#N/A</v>
      </c>
      <c r="E53" s="12" t="e">
        <f>_xll.qlYieldTSDiscount(C$4,D53,,Triggers!RTDataTrigger)</f>
        <v>#NUM!</v>
      </c>
      <c r="F53" s="44"/>
      <c r="G53" s="33"/>
      <c r="H53" s="49" t="e">
        <f t="shared" si="3"/>
        <v>#N/A</v>
      </c>
      <c r="I53" s="50" t="e">
        <f t="shared" si="0"/>
        <v>#NUM!</v>
      </c>
      <c r="J53" s="65"/>
      <c r="M53" s="11" t="e">
        <v>#N/A</v>
      </c>
      <c r="N53" s="12" t="e">
        <f>_xll.qlYieldTSDiscount(L$4,M53,,Triggers!RTDataTrigger)</f>
        <v>#NUM!</v>
      </c>
      <c r="O53" s="44"/>
      <c r="P53" s="33"/>
      <c r="Q53" s="49" t="e">
        <f t="shared" si="4"/>
        <v>#N/A</v>
      </c>
      <c r="R53" s="50" t="e">
        <f t="shared" si="1"/>
        <v>#NUM!</v>
      </c>
      <c r="T53" s="64"/>
      <c r="V53" s="11">
        <v>52588</v>
      </c>
      <c r="W53" s="12">
        <f>_xll.qlYieldTSDiscount(U$4,V53,,Triggers!RTDataTrigger)</f>
        <v>0.63217179717379623</v>
      </c>
      <c r="X53" s="44"/>
      <c r="Y53" s="33"/>
      <c r="Z53" s="49">
        <f t="shared" si="5"/>
        <v>52588</v>
      </c>
      <c r="AA53" s="50">
        <f t="shared" si="2"/>
        <v>0.63217179717379623</v>
      </c>
    </row>
    <row r="54" spans="4:27" x14ac:dyDescent="0.2">
      <c r="D54" s="11" t="e">
        <v>#N/A</v>
      </c>
      <c r="E54" s="12" t="e">
        <f>_xll.qlYieldTSDiscount(C$4,D54,,Triggers!RTDataTrigger)</f>
        <v>#NUM!</v>
      </c>
      <c r="F54" s="44"/>
      <c r="G54" s="33"/>
      <c r="H54" s="49" t="e">
        <f t="shared" si="3"/>
        <v>#N/A</v>
      </c>
      <c r="I54" s="50" t="e">
        <f t="shared" si="0"/>
        <v>#NUM!</v>
      </c>
      <c r="J54" s="65"/>
      <c r="M54" s="11" t="e">
        <v>#N/A</v>
      </c>
      <c r="N54" s="12" t="e">
        <f>_xll.qlYieldTSDiscount(L$4,M54,,Triggers!RTDataTrigger)</f>
        <v>#NUM!</v>
      </c>
      <c r="O54" s="44"/>
      <c r="P54" s="33"/>
      <c r="Q54" s="49" t="e">
        <f t="shared" si="4"/>
        <v>#N/A</v>
      </c>
      <c r="R54" s="50" t="e">
        <f t="shared" si="1"/>
        <v>#NUM!</v>
      </c>
      <c r="T54" s="64"/>
      <c r="V54" s="11">
        <v>52954</v>
      </c>
      <c r="W54" s="12">
        <f>_xll.qlYieldTSDiscount(U$4,V54,,Triggers!RTDataTrigger)</f>
        <v>0.62046900055324583</v>
      </c>
      <c r="X54" s="44"/>
      <c r="Y54" s="33"/>
      <c r="Z54" s="49">
        <f t="shared" si="5"/>
        <v>52954</v>
      </c>
      <c r="AA54" s="50">
        <f t="shared" si="2"/>
        <v>0.62046900055324583</v>
      </c>
    </row>
    <row r="55" spans="4:27" x14ac:dyDescent="0.2">
      <c r="D55" s="11" t="e">
        <v>#N/A</v>
      </c>
      <c r="E55" s="12" t="e">
        <f>_xll.qlYieldTSDiscount(C$4,D55,,Triggers!RTDataTrigger)</f>
        <v>#NUM!</v>
      </c>
      <c r="F55" s="44"/>
      <c r="G55" s="33"/>
      <c r="H55" s="49" t="e">
        <f t="shared" si="3"/>
        <v>#N/A</v>
      </c>
      <c r="I55" s="50" t="e">
        <f t="shared" si="0"/>
        <v>#NUM!</v>
      </c>
      <c r="J55" s="65"/>
      <c r="M55" s="11" t="e">
        <v>#N/A</v>
      </c>
      <c r="N55" s="12" t="e">
        <f>_xll.qlYieldTSDiscount(L$4,M55,,Triggers!RTDataTrigger)</f>
        <v>#NUM!</v>
      </c>
      <c r="O55" s="44"/>
      <c r="P55" s="33"/>
      <c r="Q55" s="49" t="e">
        <f t="shared" si="4"/>
        <v>#N/A</v>
      </c>
      <c r="R55" s="50" t="e">
        <f t="shared" si="1"/>
        <v>#NUM!</v>
      </c>
      <c r="T55" s="64"/>
      <c r="V55" s="11">
        <v>54780</v>
      </c>
      <c r="W55" s="12">
        <f>_xll.qlYieldTSDiscount(U$4,V55,,Triggers!RTDataTrigger)</f>
        <v>0.56645327176022153</v>
      </c>
      <c r="X55" s="44"/>
      <c r="Y55" s="33"/>
      <c r="Z55" s="49">
        <f t="shared" si="5"/>
        <v>54780</v>
      </c>
      <c r="AA55" s="50">
        <f t="shared" si="2"/>
        <v>0.56645327176022153</v>
      </c>
    </row>
    <row r="56" spans="4:27" x14ac:dyDescent="0.2">
      <c r="D56" s="11" t="e">
        <v>#N/A</v>
      </c>
      <c r="E56" s="12" t="e">
        <f>_xll.qlYieldTSDiscount(C$4,D56,,Triggers!RTDataTrigger)</f>
        <v>#NUM!</v>
      </c>
      <c r="F56" s="44"/>
      <c r="G56" s="33"/>
      <c r="H56" s="49" t="e">
        <f t="shared" si="3"/>
        <v>#N/A</v>
      </c>
      <c r="I56" s="50" t="e">
        <f t="shared" si="0"/>
        <v>#NUM!</v>
      </c>
      <c r="J56" s="65"/>
      <c r="M56" s="11" t="e">
        <v>#N/A</v>
      </c>
      <c r="N56" s="12" t="e">
        <f>_xll.qlYieldTSDiscount(L$4,M56,,Triggers!RTDataTrigger)</f>
        <v>#NUM!</v>
      </c>
      <c r="O56" s="44"/>
      <c r="P56" s="33"/>
      <c r="Q56" s="49" t="e">
        <f t="shared" si="4"/>
        <v>#N/A</v>
      </c>
      <c r="R56" s="50" t="e">
        <f t="shared" si="1"/>
        <v>#NUM!</v>
      </c>
      <c r="T56" s="64"/>
      <c r="V56" s="11">
        <v>56606</v>
      </c>
      <c r="W56" s="12">
        <f>_xll.qlYieldTSDiscount(U$4,V56,,Triggers!RTDataTrigger)</f>
        <v>0.51795218937363274</v>
      </c>
      <c r="X56" s="44"/>
      <c r="Y56" s="33"/>
      <c r="Z56" s="49">
        <f t="shared" si="5"/>
        <v>56606</v>
      </c>
      <c r="AA56" s="50">
        <f t="shared" si="2"/>
        <v>0.51795218937363274</v>
      </c>
    </row>
    <row r="57" spans="4:27" x14ac:dyDescent="0.2">
      <c r="D57" s="11" t="e">
        <v>#N/A</v>
      </c>
      <c r="E57" s="12" t="e">
        <f>_xll.qlYieldTSDiscount(C$4,D57,,Triggers!RTDataTrigger)</f>
        <v>#NUM!</v>
      </c>
      <c r="F57" s="44"/>
      <c r="G57" s="33"/>
      <c r="H57" s="49" t="e">
        <f t="shared" si="3"/>
        <v>#N/A</v>
      </c>
      <c r="I57" s="50" t="e">
        <f t="shared" si="0"/>
        <v>#NUM!</v>
      </c>
      <c r="J57" s="65"/>
      <c r="M57" s="11" t="e">
        <v>#N/A</v>
      </c>
      <c r="N57" s="12" t="e">
        <f>_xll.qlYieldTSDiscount(L$4,M57,,Triggers!RTDataTrigger)</f>
        <v>#NUM!</v>
      </c>
      <c r="O57" s="44"/>
      <c r="P57" s="33"/>
      <c r="Q57" s="49" t="e">
        <f t="shared" si="4"/>
        <v>#N/A</v>
      </c>
      <c r="R57" s="50" t="e">
        <f t="shared" si="1"/>
        <v>#NUM!</v>
      </c>
      <c r="T57" s="64"/>
      <c r="V57" s="11">
        <v>60259</v>
      </c>
      <c r="W57" s="12">
        <f>_xll.qlYieldTSDiscount(U$4,V57,,Triggers!RTDataTrigger)</f>
        <v>0.44431735500056763</v>
      </c>
      <c r="X57" s="44"/>
      <c r="Y57" s="33"/>
      <c r="Z57" s="49">
        <f t="shared" si="5"/>
        <v>60259</v>
      </c>
      <c r="AA57" s="50">
        <f t="shared" si="2"/>
        <v>0.44431735500056763</v>
      </c>
    </row>
    <row r="58" spans="4:27" x14ac:dyDescent="0.2">
      <c r="D58" s="11" t="e">
        <v>#N/A</v>
      </c>
      <c r="E58" s="12" t="e">
        <f>_xll.qlYieldTSDiscount(C$4,D58,,Triggers!RTDataTrigger)</f>
        <v>#NUM!</v>
      </c>
      <c r="F58" s="44"/>
      <c r="G58" s="33"/>
      <c r="H58" s="49" t="e">
        <f t="shared" si="3"/>
        <v>#N/A</v>
      </c>
      <c r="I58" s="50" t="e">
        <f t="shared" si="0"/>
        <v>#NUM!</v>
      </c>
      <c r="J58" s="65"/>
      <c r="M58" s="11" t="e">
        <v>#N/A</v>
      </c>
      <c r="N58" s="12" t="e">
        <f>_xll.qlYieldTSDiscount(L$4,M58,,Triggers!RTDataTrigger)</f>
        <v>#NUM!</v>
      </c>
      <c r="O58" s="44"/>
      <c r="P58" s="33"/>
      <c r="Q58" s="49" t="e">
        <f t="shared" si="4"/>
        <v>#N/A</v>
      </c>
      <c r="R58" s="50" t="e">
        <f t="shared" si="1"/>
        <v>#NUM!</v>
      </c>
      <c r="T58" s="64"/>
      <c r="V58" s="11">
        <v>63912</v>
      </c>
      <c r="W58" s="12">
        <f>_xll.qlYieldTSDiscount(U$4,V58,,Triggers!RTDataTrigger)</f>
        <v>0.3753704282314797</v>
      </c>
      <c r="X58" s="44"/>
      <c r="Y58" s="33"/>
      <c r="Z58" s="49">
        <f t="shared" si="5"/>
        <v>63912</v>
      </c>
      <c r="AA58" s="50">
        <f t="shared" si="2"/>
        <v>0.3753704282314797</v>
      </c>
    </row>
    <row r="59" spans="4:27" x14ac:dyDescent="0.2">
      <c r="D59" s="11" t="e">
        <v>#N/A</v>
      </c>
      <c r="E59" s="12" t="e">
        <f>_xll.qlYieldTSDiscount(C$4,D59,,Triggers!RTDataTrigger)</f>
        <v>#NUM!</v>
      </c>
      <c r="F59" s="44"/>
      <c r="G59" s="33"/>
      <c r="H59" s="49" t="e">
        <f t="shared" si="3"/>
        <v>#N/A</v>
      </c>
      <c r="I59" s="50" t="e">
        <f t="shared" si="0"/>
        <v>#NUM!</v>
      </c>
      <c r="J59" s="65"/>
      <c r="M59" s="11" t="e">
        <v>#N/A</v>
      </c>
      <c r="N59" s="12" t="e">
        <f>_xll.qlYieldTSDiscount(L$4,M59,,Triggers!RTDataTrigger)</f>
        <v>#NUM!</v>
      </c>
      <c r="O59" s="44"/>
      <c r="P59" s="33"/>
      <c r="Q59" s="49" t="e">
        <f t="shared" si="4"/>
        <v>#N/A</v>
      </c>
      <c r="R59" s="50" t="e">
        <f t="shared" si="1"/>
        <v>#NUM!</v>
      </c>
      <c r="T59" s="64"/>
      <c r="V59" s="11" t="e">
        <v>#N/A</v>
      </c>
      <c r="W59" s="12" t="e">
        <f>_xll.qlYieldTSDiscount(U$4,V59,,Triggers!RTDataTrigger)</f>
        <v>#NUM!</v>
      </c>
      <c r="X59" s="44"/>
      <c r="Y59" s="33"/>
      <c r="Z59" s="49" t="e">
        <f t="shared" si="5"/>
        <v>#N/A</v>
      </c>
      <c r="AA59" s="50" t="e">
        <f t="shared" si="2"/>
        <v>#NUM!</v>
      </c>
    </row>
    <row r="60" spans="4:27" x14ac:dyDescent="0.2">
      <c r="D60" s="11" t="e">
        <v>#N/A</v>
      </c>
      <c r="E60" s="12" t="e">
        <f>_xll.qlYieldTSDiscount(C$4,D60,,Triggers!RTDataTrigger)</f>
        <v>#NUM!</v>
      </c>
      <c r="F60" s="44"/>
      <c r="G60" s="33"/>
      <c r="H60" s="49" t="e">
        <f t="shared" si="3"/>
        <v>#N/A</v>
      </c>
      <c r="I60" s="50" t="e">
        <f t="shared" si="0"/>
        <v>#NUM!</v>
      </c>
      <c r="J60" s="65"/>
      <c r="M60" s="11" t="e">
        <v>#N/A</v>
      </c>
      <c r="N60" s="12" t="e">
        <f>_xll.qlYieldTSDiscount(L$4,M60,,Triggers!RTDataTrigger)</f>
        <v>#NUM!</v>
      </c>
      <c r="O60" s="44"/>
      <c r="P60" s="33"/>
      <c r="Q60" s="49" t="e">
        <f t="shared" si="4"/>
        <v>#N/A</v>
      </c>
      <c r="R60" s="50" t="e">
        <f t="shared" si="1"/>
        <v>#NUM!</v>
      </c>
      <c r="T60" s="64"/>
      <c r="V60" s="11" t="e">
        <v>#N/A</v>
      </c>
      <c r="W60" s="12" t="e">
        <f>_xll.qlYieldTSDiscount(U$4,V60,,Triggers!RTDataTrigger)</f>
        <v>#NUM!</v>
      </c>
      <c r="X60" s="44"/>
      <c r="Y60" s="33"/>
      <c r="Z60" s="49" t="e">
        <f t="shared" si="5"/>
        <v>#N/A</v>
      </c>
      <c r="AA60" s="50" t="e">
        <f t="shared" si="2"/>
        <v>#NUM!</v>
      </c>
    </row>
    <row r="61" spans="4:27" x14ac:dyDescent="0.2">
      <c r="D61" s="11" t="e">
        <v>#N/A</v>
      </c>
      <c r="E61" s="12" t="e">
        <f>_xll.qlYieldTSDiscount(C$4,D61,,Triggers!RTDataTrigger)</f>
        <v>#NUM!</v>
      </c>
      <c r="F61" s="44"/>
      <c r="G61" s="33"/>
      <c r="H61" s="49" t="e">
        <f t="shared" si="3"/>
        <v>#N/A</v>
      </c>
      <c r="I61" s="50" t="e">
        <f t="shared" si="0"/>
        <v>#NUM!</v>
      </c>
      <c r="J61" s="65"/>
      <c r="M61" s="11" t="e">
        <v>#N/A</v>
      </c>
      <c r="N61" s="12" t="e">
        <f>_xll.qlYieldTSDiscount(L$4,M61,,Triggers!RTDataTrigger)</f>
        <v>#NUM!</v>
      </c>
      <c r="O61" s="44"/>
      <c r="P61" s="33"/>
      <c r="Q61" s="49" t="e">
        <f t="shared" si="4"/>
        <v>#N/A</v>
      </c>
      <c r="R61" s="50" t="e">
        <f t="shared" si="1"/>
        <v>#NUM!</v>
      </c>
      <c r="T61" s="64"/>
      <c r="V61" s="11" t="e">
        <v>#N/A</v>
      </c>
      <c r="W61" s="12" t="e">
        <f>_xll.qlYieldTSDiscount(U$4,V61,,Triggers!RTDataTrigger)</f>
        <v>#NUM!</v>
      </c>
      <c r="X61" s="44"/>
      <c r="Y61" s="33"/>
      <c r="Z61" s="49" t="e">
        <f t="shared" si="5"/>
        <v>#N/A</v>
      </c>
      <c r="AA61" s="50" t="e">
        <f t="shared" si="2"/>
        <v>#NUM!</v>
      </c>
    </row>
    <row r="62" spans="4:27" x14ac:dyDescent="0.2">
      <c r="D62" s="11" t="e">
        <v>#N/A</v>
      </c>
      <c r="E62" s="12" t="e">
        <f>_xll.qlYieldTSDiscount(C$4,D62,,Triggers!RTDataTrigger)</f>
        <v>#NUM!</v>
      </c>
      <c r="F62" s="44"/>
      <c r="G62" s="33"/>
      <c r="H62" s="49" t="e">
        <f t="shared" si="3"/>
        <v>#N/A</v>
      </c>
      <c r="I62" s="50" t="e">
        <f t="shared" si="0"/>
        <v>#NUM!</v>
      </c>
      <c r="J62" s="65"/>
      <c r="M62" s="11" t="e">
        <v>#N/A</v>
      </c>
      <c r="N62" s="12" t="e">
        <f>_xll.qlYieldTSDiscount(L$4,M62,,Triggers!RTDataTrigger)</f>
        <v>#NUM!</v>
      </c>
      <c r="O62" s="44"/>
      <c r="P62" s="33"/>
      <c r="Q62" s="49" t="e">
        <f t="shared" si="4"/>
        <v>#N/A</v>
      </c>
      <c r="R62" s="50" t="e">
        <f t="shared" si="1"/>
        <v>#NUM!</v>
      </c>
      <c r="T62" s="64"/>
      <c r="V62" s="11" t="e">
        <v>#N/A</v>
      </c>
      <c r="W62" s="12" t="e">
        <f>_xll.qlYieldTSDiscount(U$4,V62,,Triggers!RTDataTrigger)</f>
        <v>#NUM!</v>
      </c>
      <c r="X62" s="44"/>
      <c r="Y62" s="33"/>
      <c r="Z62" s="49" t="e">
        <f t="shared" si="5"/>
        <v>#N/A</v>
      </c>
      <c r="AA62" s="50" t="e">
        <f t="shared" si="2"/>
        <v>#NUM!</v>
      </c>
    </row>
    <row r="63" spans="4:27" x14ac:dyDescent="0.2">
      <c r="D63" s="11" t="e">
        <v>#N/A</v>
      </c>
      <c r="E63" s="12" t="e">
        <f>_xll.qlYieldTSDiscount(C$4,D63,,Triggers!RTDataTrigger)</f>
        <v>#NUM!</v>
      </c>
      <c r="F63" s="44"/>
      <c r="G63" s="33"/>
      <c r="H63" s="49" t="e">
        <f t="shared" si="3"/>
        <v>#N/A</v>
      </c>
      <c r="I63" s="50" t="e">
        <f t="shared" si="0"/>
        <v>#NUM!</v>
      </c>
      <c r="J63" s="65"/>
      <c r="M63" s="11" t="e">
        <v>#N/A</v>
      </c>
      <c r="N63" s="12" t="e">
        <f>_xll.qlYieldTSDiscount(L$4,M63,,Triggers!RTDataTrigger)</f>
        <v>#NUM!</v>
      </c>
      <c r="O63" s="44"/>
      <c r="P63" s="33"/>
      <c r="Q63" s="49" t="e">
        <f t="shared" si="4"/>
        <v>#N/A</v>
      </c>
      <c r="R63" s="50" t="e">
        <f t="shared" si="1"/>
        <v>#NUM!</v>
      </c>
      <c r="T63" s="64"/>
      <c r="V63" s="11" t="e">
        <v>#N/A</v>
      </c>
      <c r="W63" s="12" t="e">
        <f>_xll.qlYieldTSDiscount(U$4,V63,,Triggers!RTDataTrigger)</f>
        <v>#NUM!</v>
      </c>
      <c r="X63" s="44"/>
      <c r="Y63" s="33"/>
      <c r="Z63" s="49" t="e">
        <f t="shared" si="5"/>
        <v>#N/A</v>
      </c>
      <c r="AA63" s="50" t="e">
        <f t="shared" si="2"/>
        <v>#NUM!</v>
      </c>
    </row>
    <row r="64" spans="4:27" x14ac:dyDescent="0.2">
      <c r="D64" s="11" t="e">
        <v>#N/A</v>
      </c>
      <c r="E64" s="12" t="e">
        <f>_xll.qlYieldTSDiscount(C$4,D64,,Triggers!RTDataTrigger)</f>
        <v>#NUM!</v>
      </c>
      <c r="F64" s="44"/>
      <c r="G64" s="33"/>
      <c r="H64" s="49" t="e">
        <f t="shared" si="3"/>
        <v>#N/A</v>
      </c>
      <c r="I64" s="50" t="e">
        <f t="shared" si="0"/>
        <v>#NUM!</v>
      </c>
      <c r="J64" s="65"/>
      <c r="M64" s="11" t="e">
        <v>#N/A</v>
      </c>
      <c r="N64" s="12" t="e">
        <f>_xll.qlYieldTSDiscount(L$4,M64,,Triggers!RTDataTrigger)</f>
        <v>#NUM!</v>
      </c>
      <c r="O64" s="44"/>
      <c r="P64" s="33"/>
      <c r="Q64" s="49" t="e">
        <f t="shared" si="4"/>
        <v>#N/A</v>
      </c>
      <c r="R64" s="50" t="e">
        <f t="shared" si="1"/>
        <v>#NUM!</v>
      </c>
      <c r="T64" s="64"/>
      <c r="V64" s="11" t="e">
        <v>#N/A</v>
      </c>
      <c r="W64" s="12" t="e">
        <f>_xll.qlYieldTSDiscount(U$4,V64,,Triggers!RTDataTrigger)</f>
        <v>#NUM!</v>
      </c>
      <c r="X64" s="44"/>
      <c r="Y64" s="33"/>
      <c r="Z64" s="49" t="e">
        <f t="shared" si="5"/>
        <v>#N/A</v>
      </c>
      <c r="AA64" s="50" t="e">
        <f t="shared" si="2"/>
        <v>#NUM!</v>
      </c>
    </row>
    <row r="65" spans="4:27" x14ac:dyDescent="0.2">
      <c r="D65" s="11" t="e">
        <v>#N/A</v>
      </c>
      <c r="E65" s="12" t="e">
        <f>_xll.qlYieldTSDiscount(C$4,D65,,Triggers!RTDataTrigger)</f>
        <v>#NUM!</v>
      </c>
      <c r="F65" s="44"/>
      <c r="G65" s="33"/>
      <c r="H65" s="49" t="e">
        <f t="shared" si="3"/>
        <v>#N/A</v>
      </c>
      <c r="I65" s="50" t="e">
        <f t="shared" si="0"/>
        <v>#NUM!</v>
      </c>
      <c r="J65" s="65"/>
      <c r="M65" s="11" t="e">
        <v>#N/A</v>
      </c>
      <c r="N65" s="12" t="e">
        <f>_xll.qlYieldTSDiscount(L$4,M65,,Triggers!RTDataTrigger)</f>
        <v>#NUM!</v>
      </c>
      <c r="O65" s="44"/>
      <c r="P65" s="33"/>
      <c r="Q65" s="49" t="e">
        <f t="shared" si="4"/>
        <v>#N/A</v>
      </c>
      <c r="R65" s="50" t="e">
        <f t="shared" si="1"/>
        <v>#NUM!</v>
      </c>
      <c r="T65" s="64"/>
      <c r="V65" s="11" t="e">
        <v>#N/A</v>
      </c>
      <c r="W65" s="12" t="e">
        <f>_xll.qlYieldTSDiscount(U$4,V65,,Triggers!RTDataTrigger)</f>
        <v>#NUM!</v>
      </c>
      <c r="X65" s="44"/>
      <c r="Y65" s="33"/>
      <c r="Z65" s="49" t="e">
        <f t="shared" si="5"/>
        <v>#N/A</v>
      </c>
      <c r="AA65" s="50" t="e">
        <f t="shared" si="2"/>
        <v>#NUM!</v>
      </c>
    </row>
    <row r="66" spans="4:27" x14ac:dyDescent="0.2">
      <c r="D66" s="11" t="e">
        <v>#N/A</v>
      </c>
      <c r="E66" s="12" t="e">
        <f>_xll.qlYieldTSDiscount(C$4,D66,,Triggers!RTDataTrigger)</f>
        <v>#NUM!</v>
      </c>
      <c r="F66" s="44"/>
      <c r="G66" s="33"/>
      <c r="H66" s="49" t="e">
        <f t="shared" si="3"/>
        <v>#N/A</v>
      </c>
      <c r="I66" s="50" t="e">
        <f t="shared" si="0"/>
        <v>#NUM!</v>
      </c>
      <c r="J66" s="65"/>
      <c r="M66" s="11" t="e">
        <v>#N/A</v>
      </c>
      <c r="N66" s="12" t="e">
        <f>_xll.qlYieldTSDiscount(L$4,M66,,Triggers!RTDataTrigger)</f>
        <v>#NUM!</v>
      </c>
      <c r="O66" s="44"/>
      <c r="P66" s="33"/>
      <c r="Q66" s="49" t="e">
        <f t="shared" si="4"/>
        <v>#N/A</v>
      </c>
      <c r="R66" s="50" t="e">
        <f t="shared" si="1"/>
        <v>#NUM!</v>
      </c>
      <c r="T66" s="64"/>
      <c r="V66" s="11" t="e">
        <v>#N/A</v>
      </c>
      <c r="W66" s="12" t="e">
        <f>_xll.qlYieldTSDiscount(U$4,V66,,Triggers!RTDataTrigger)</f>
        <v>#NUM!</v>
      </c>
      <c r="X66" s="44"/>
      <c r="Y66" s="33"/>
      <c r="Z66" s="49" t="e">
        <f t="shared" si="5"/>
        <v>#N/A</v>
      </c>
      <c r="AA66" s="50" t="e">
        <f t="shared" si="2"/>
        <v>#NUM!</v>
      </c>
    </row>
    <row r="67" spans="4:27" x14ac:dyDescent="0.2">
      <c r="D67" s="11" t="e">
        <v>#N/A</v>
      </c>
      <c r="E67" s="12" t="e">
        <f>_xll.qlYieldTSDiscount(C$4,D67,,Triggers!RTDataTrigger)</f>
        <v>#NUM!</v>
      </c>
      <c r="F67" s="44"/>
      <c r="G67" s="33"/>
      <c r="H67" s="49" t="e">
        <f t="shared" si="3"/>
        <v>#N/A</v>
      </c>
      <c r="I67" s="50" t="e">
        <f t="shared" si="0"/>
        <v>#NUM!</v>
      </c>
      <c r="J67" s="65"/>
      <c r="M67" s="11" t="e">
        <v>#N/A</v>
      </c>
      <c r="N67" s="12" t="e">
        <f>_xll.qlYieldTSDiscount(L$4,M67,,Triggers!RTDataTrigger)</f>
        <v>#NUM!</v>
      </c>
      <c r="O67" s="44"/>
      <c r="P67" s="33"/>
      <c r="Q67" s="49" t="e">
        <f t="shared" si="4"/>
        <v>#N/A</v>
      </c>
      <c r="R67" s="50" t="e">
        <f t="shared" si="1"/>
        <v>#NUM!</v>
      </c>
      <c r="T67" s="64"/>
      <c r="V67" s="11" t="e">
        <v>#N/A</v>
      </c>
      <c r="W67" s="12" t="e">
        <f>_xll.qlYieldTSDiscount(U$4,V67,,Triggers!RTDataTrigger)</f>
        <v>#NUM!</v>
      </c>
      <c r="X67" s="44"/>
      <c r="Y67" s="33"/>
      <c r="Z67" s="49" t="e">
        <f t="shared" si="5"/>
        <v>#N/A</v>
      </c>
      <c r="AA67" s="50" t="e">
        <f t="shared" si="2"/>
        <v>#NUM!</v>
      </c>
    </row>
    <row r="68" spans="4:27" x14ac:dyDescent="0.2">
      <c r="D68" s="11" t="e">
        <v>#N/A</v>
      </c>
      <c r="E68" s="12" t="e">
        <f>_xll.qlYieldTSDiscount(C$4,D68,,Triggers!RTDataTrigger)</f>
        <v>#NUM!</v>
      </c>
      <c r="F68" s="44"/>
      <c r="G68" s="33"/>
      <c r="H68" s="49" t="e">
        <f t="shared" si="3"/>
        <v>#N/A</v>
      </c>
      <c r="I68" s="50" t="e">
        <f t="shared" si="3"/>
        <v>#NUM!</v>
      </c>
      <c r="J68" s="65"/>
      <c r="M68" s="11" t="e">
        <v>#N/A</v>
      </c>
      <c r="N68" s="12" t="e">
        <f>_xll.qlYieldTSDiscount(L$4,M68,,Triggers!RTDataTrigger)</f>
        <v>#NUM!</v>
      </c>
      <c r="O68" s="44"/>
      <c r="P68" s="33"/>
      <c r="Q68" s="49" t="e">
        <f t="shared" si="4"/>
        <v>#N/A</v>
      </c>
      <c r="R68" s="50" t="e">
        <f t="shared" si="4"/>
        <v>#NUM!</v>
      </c>
      <c r="T68" s="64"/>
      <c r="V68" s="11" t="e">
        <v>#N/A</v>
      </c>
      <c r="W68" s="12" t="e">
        <f>_xll.qlYieldTSDiscount(U$4,V68,,Triggers!RTDataTrigger)</f>
        <v>#NUM!</v>
      </c>
      <c r="X68" s="44"/>
      <c r="Y68" s="33"/>
      <c r="Z68" s="49" t="e">
        <f t="shared" si="5"/>
        <v>#N/A</v>
      </c>
      <c r="AA68" s="50" t="e">
        <f t="shared" si="5"/>
        <v>#NUM!</v>
      </c>
    </row>
    <row r="69" spans="4:27" x14ac:dyDescent="0.2">
      <c r="D69" s="11" t="e">
        <v>#N/A</v>
      </c>
      <c r="E69" s="12" t="e">
        <f>_xll.qlYieldTSDiscount(C$4,D69,,Triggers!RTDataTrigger)</f>
        <v>#NUM!</v>
      </c>
      <c r="F69" s="44"/>
      <c r="G69" s="33"/>
      <c r="H69" s="49" t="e">
        <f t="shared" ref="H69:I93" si="6">IF(ISBLANK(F69),D69,F69)</f>
        <v>#N/A</v>
      </c>
      <c r="I69" s="50" t="e">
        <f t="shared" si="6"/>
        <v>#NUM!</v>
      </c>
      <c r="J69" s="65"/>
      <c r="M69" s="11" t="e">
        <v>#N/A</v>
      </c>
      <c r="N69" s="12" t="e">
        <f>_xll.qlYieldTSDiscount(L$4,M69,,Triggers!RTDataTrigger)</f>
        <v>#NUM!</v>
      </c>
      <c r="O69" s="44"/>
      <c r="P69" s="33"/>
      <c r="Q69" s="49" t="e">
        <f t="shared" ref="Q69:R93" si="7">IF(ISBLANK(O69),M69,O69)</f>
        <v>#N/A</v>
      </c>
      <c r="R69" s="50" t="e">
        <f t="shared" si="7"/>
        <v>#NUM!</v>
      </c>
      <c r="T69" s="64"/>
      <c r="V69" s="11" t="e">
        <v>#N/A</v>
      </c>
      <c r="W69" s="12" t="e">
        <f>_xll.qlYieldTSDiscount(U$4,V69,,Triggers!RTDataTrigger)</f>
        <v>#NUM!</v>
      </c>
      <c r="X69" s="44"/>
      <c r="Y69" s="33"/>
      <c r="Z69" s="49" t="e">
        <f t="shared" ref="Z69:AA93" si="8">IF(ISBLANK(X69),V69,X69)</f>
        <v>#N/A</v>
      </c>
      <c r="AA69" s="50" t="e">
        <f t="shared" si="8"/>
        <v>#NUM!</v>
      </c>
    </row>
    <row r="70" spans="4:27" x14ac:dyDescent="0.2">
      <c r="D70" s="11" t="e">
        <v>#N/A</v>
      </c>
      <c r="E70" s="12" t="e">
        <f>_xll.qlYieldTSDiscount(C$4,D70,,Triggers!RTDataTrigger)</f>
        <v>#NUM!</v>
      </c>
      <c r="F70" s="44"/>
      <c r="G70" s="33"/>
      <c r="H70" s="49" t="e">
        <f t="shared" si="6"/>
        <v>#N/A</v>
      </c>
      <c r="I70" s="50" t="e">
        <f t="shared" si="6"/>
        <v>#NUM!</v>
      </c>
      <c r="J70" s="65"/>
      <c r="M70" s="11" t="e">
        <v>#N/A</v>
      </c>
      <c r="N70" s="12" t="e">
        <f>_xll.qlYieldTSDiscount(L$4,M70,,Triggers!RTDataTrigger)</f>
        <v>#NUM!</v>
      </c>
      <c r="O70" s="44"/>
      <c r="P70" s="33"/>
      <c r="Q70" s="49" t="e">
        <f t="shared" si="7"/>
        <v>#N/A</v>
      </c>
      <c r="R70" s="50" t="e">
        <f t="shared" si="7"/>
        <v>#NUM!</v>
      </c>
      <c r="T70" s="64"/>
      <c r="V70" s="11" t="e">
        <v>#N/A</v>
      </c>
      <c r="W70" s="12" t="e">
        <f>_xll.qlYieldTSDiscount(U$4,V70,,Triggers!RTDataTrigger)</f>
        <v>#NUM!</v>
      </c>
      <c r="X70" s="44"/>
      <c r="Y70" s="33"/>
      <c r="Z70" s="49" t="e">
        <f t="shared" si="8"/>
        <v>#N/A</v>
      </c>
      <c r="AA70" s="50" t="e">
        <f t="shared" si="8"/>
        <v>#NUM!</v>
      </c>
    </row>
    <row r="71" spans="4:27" x14ac:dyDescent="0.2">
      <c r="D71" s="11" t="e">
        <v>#N/A</v>
      </c>
      <c r="E71" s="12" t="e">
        <f>_xll.qlYieldTSDiscount(C$4,D71,,Triggers!RTDataTrigger)</f>
        <v>#NUM!</v>
      </c>
      <c r="F71" s="44"/>
      <c r="G71" s="33"/>
      <c r="H71" s="49" t="e">
        <f t="shared" si="6"/>
        <v>#N/A</v>
      </c>
      <c r="I71" s="50" t="e">
        <f t="shared" si="6"/>
        <v>#NUM!</v>
      </c>
      <c r="J71" s="65"/>
      <c r="M71" s="11" t="e">
        <v>#N/A</v>
      </c>
      <c r="N71" s="12" t="e">
        <f>_xll.qlYieldTSDiscount(L$4,M71,,Triggers!RTDataTrigger)</f>
        <v>#NUM!</v>
      </c>
      <c r="O71" s="44"/>
      <c r="P71" s="33"/>
      <c r="Q71" s="49" t="e">
        <f t="shared" si="7"/>
        <v>#N/A</v>
      </c>
      <c r="R71" s="50" t="e">
        <f t="shared" si="7"/>
        <v>#NUM!</v>
      </c>
      <c r="T71" s="64"/>
      <c r="V71" s="11" t="e">
        <v>#N/A</v>
      </c>
      <c r="W71" s="12" t="e">
        <f>_xll.qlYieldTSDiscount(U$4,V71,,Triggers!RTDataTrigger)</f>
        <v>#NUM!</v>
      </c>
      <c r="X71" s="44"/>
      <c r="Y71" s="33"/>
      <c r="Z71" s="49" t="e">
        <f t="shared" si="8"/>
        <v>#N/A</v>
      </c>
      <c r="AA71" s="50" t="e">
        <f t="shared" si="8"/>
        <v>#NUM!</v>
      </c>
    </row>
    <row r="72" spans="4:27" x14ac:dyDescent="0.2">
      <c r="D72" s="11" t="e">
        <v>#N/A</v>
      </c>
      <c r="E72" s="12" t="e">
        <f>_xll.qlYieldTSDiscount(C$4,D72,,Triggers!RTDataTrigger)</f>
        <v>#NUM!</v>
      </c>
      <c r="F72" s="44"/>
      <c r="G72" s="33"/>
      <c r="H72" s="49" t="e">
        <f t="shared" si="6"/>
        <v>#N/A</v>
      </c>
      <c r="I72" s="50" t="e">
        <f t="shared" si="6"/>
        <v>#NUM!</v>
      </c>
      <c r="J72" s="65"/>
      <c r="M72" s="11" t="e">
        <v>#N/A</v>
      </c>
      <c r="N72" s="12" t="e">
        <f>_xll.qlYieldTSDiscount(L$4,M72,,Triggers!RTDataTrigger)</f>
        <v>#NUM!</v>
      </c>
      <c r="O72" s="44"/>
      <c r="P72" s="33"/>
      <c r="Q72" s="49" t="e">
        <f t="shared" si="7"/>
        <v>#N/A</v>
      </c>
      <c r="R72" s="50" t="e">
        <f t="shared" si="7"/>
        <v>#NUM!</v>
      </c>
      <c r="T72" s="64"/>
      <c r="V72" s="11" t="e">
        <v>#N/A</v>
      </c>
      <c r="W72" s="12" t="e">
        <f>_xll.qlYieldTSDiscount(U$4,V72,,Triggers!RTDataTrigger)</f>
        <v>#NUM!</v>
      </c>
      <c r="X72" s="44"/>
      <c r="Y72" s="33"/>
      <c r="Z72" s="49" t="e">
        <f t="shared" si="8"/>
        <v>#N/A</v>
      </c>
      <c r="AA72" s="50" t="e">
        <f t="shared" si="8"/>
        <v>#NUM!</v>
      </c>
    </row>
    <row r="73" spans="4:27" x14ac:dyDescent="0.2">
      <c r="D73" s="11" t="e">
        <v>#N/A</v>
      </c>
      <c r="E73" s="12" t="e">
        <f>_xll.qlYieldTSDiscount(C$4,D73,,Triggers!RTDataTrigger)</f>
        <v>#NUM!</v>
      </c>
      <c r="F73" s="44"/>
      <c r="G73" s="33"/>
      <c r="H73" s="49" t="e">
        <f t="shared" si="6"/>
        <v>#N/A</v>
      </c>
      <c r="I73" s="50" t="e">
        <f t="shared" si="6"/>
        <v>#NUM!</v>
      </c>
      <c r="J73" s="65"/>
      <c r="M73" s="11" t="e">
        <v>#N/A</v>
      </c>
      <c r="N73" s="12" t="e">
        <f>_xll.qlYieldTSDiscount(L$4,M73,,Triggers!RTDataTrigger)</f>
        <v>#NUM!</v>
      </c>
      <c r="O73" s="44"/>
      <c r="P73" s="33"/>
      <c r="Q73" s="49" t="e">
        <f t="shared" si="7"/>
        <v>#N/A</v>
      </c>
      <c r="R73" s="50" t="e">
        <f t="shared" si="7"/>
        <v>#NUM!</v>
      </c>
      <c r="T73" s="64"/>
      <c r="V73" s="11" t="e">
        <v>#N/A</v>
      </c>
      <c r="W73" s="12" t="e">
        <f>_xll.qlYieldTSDiscount(U$4,V73,,Triggers!RTDataTrigger)</f>
        <v>#NUM!</v>
      </c>
      <c r="X73" s="44"/>
      <c r="Y73" s="33"/>
      <c r="Z73" s="49" t="e">
        <f t="shared" si="8"/>
        <v>#N/A</v>
      </c>
      <c r="AA73" s="50" t="e">
        <f t="shared" si="8"/>
        <v>#NUM!</v>
      </c>
    </row>
    <row r="74" spans="4:27" x14ac:dyDescent="0.2">
      <c r="D74" s="11" t="e">
        <v>#N/A</v>
      </c>
      <c r="E74" s="12" t="e">
        <f>_xll.qlYieldTSDiscount(C$4,D74,,Triggers!RTDataTrigger)</f>
        <v>#NUM!</v>
      </c>
      <c r="F74" s="44"/>
      <c r="G74" s="33"/>
      <c r="H74" s="49" t="e">
        <f t="shared" si="6"/>
        <v>#N/A</v>
      </c>
      <c r="I74" s="50" t="e">
        <f t="shared" si="6"/>
        <v>#NUM!</v>
      </c>
      <c r="J74" s="65"/>
      <c r="M74" s="11" t="e">
        <v>#N/A</v>
      </c>
      <c r="N74" s="12" t="e">
        <f>_xll.qlYieldTSDiscount(L$4,M74,,Triggers!RTDataTrigger)</f>
        <v>#NUM!</v>
      </c>
      <c r="O74" s="44"/>
      <c r="P74" s="33"/>
      <c r="Q74" s="49" t="e">
        <f t="shared" si="7"/>
        <v>#N/A</v>
      </c>
      <c r="R74" s="50" t="e">
        <f t="shared" si="7"/>
        <v>#NUM!</v>
      </c>
      <c r="T74" s="64"/>
      <c r="V74" s="11" t="e">
        <v>#N/A</v>
      </c>
      <c r="W74" s="12" t="e">
        <f>_xll.qlYieldTSDiscount(U$4,V74,,Triggers!RTDataTrigger)</f>
        <v>#NUM!</v>
      </c>
      <c r="X74" s="44"/>
      <c r="Y74" s="33"/>
      <c r="Z74" s="49" t="e">
        <f t="shared" si="8"/>
        <v>#N/A</v>
      </c>
      <c r="AA74" s="50" t="e">
        <f t="shared" si="8"/>
        <v>#NUM!</v>
      </c>
    </row>
    <row r="75" spans="4:27" x14ac:dyDescent="0.2">
      <c r="D75" s="11" t="e">
        <v>#N/A</v>
      </c>
      <c r="E75" s="12" t="e">
        <f>_xll.qlYieldTSDiscount(C$4,D75,,Triggers!RTDataTrigger)</f>
        <v>#NUM!</v>
      </c>
      <c r="F75" s="44"/>
      <c r="G75" s="33"/>
      <c r="H75" s="49" t="e">
        <f t="shared" si="6"/>
        <v>#N/A</v>
      </c>
      <c r="I75" s="50" t="e">
        <f t="shared" si="6"/>
        <v>#NUM!</v>
      </c>
      <c r="J75" s="65"/>
      <c r="M75" s="11" t="e">
        <v>#N/A</v>
      </c>
      <c r="N75" s="12" t="e">
        <f>_xll.qlYieldTSDiscount(L$4,M75,,Triggers!RTDataTrigger)</f>
        <v>#NUM!</v>
      </c>
      <c r="O75" s="44"/>
      <c r="P75" s="33"/>
      <c r="Q75" s="49" t="e">
        <f t="shared" si="7"/>
        <v>#N/A</v>
      </c>
      <c r="R75" s="50" t="e">
        <f t="shared" si="7"/>
        <v>#NUM!</v>
      </c>
      <c r="T75" s="64"/>
      <c r="V75" s="11" t="e">
        <v>#N/A</v>
      </c>
      <c r="W75" s="12" t="e">
        <f>_xll.qlYieldTSDiscount(U$4,V75,,Triggers!RTDataTrigger)</f>
        <v>#NUM!</v>
      </c>
      <c r="X75" s="44"/>
      <c r="Y75" s="33"/>
      <c r="Z75" s="49" t="e">
        <f t="shared" si="8"/>
        <v>#N/A</v>
      </c>
      <c r="AA75" s="50" t="e">
        <f t="shared" si="8"/>
        <v>#NUM!</v>
      </c>
    </row>
    <row r="76" spans="4:27" x14ac:dyDescent="0.2">
      <c r="D76" s="11" t="e">
        <v>#N/A</v>
      </c>
      <c r="E76" s="12" t="e">
        <f>_xll.qlYieldTSDiscount(C$4,D76,,Triggers!RTDataTrigger)</f>
        <v>#NUM!</v>
      </c>
      <c r="F76" s="44"/>
      <c r="G76" s="33"/>
      <c r="H76" s="49" t="e">
        <f t="shared" si="6"/>
        <v>#N/A</v>
      </c>
      <c r="I76" s="50" t="e">
        <f t="shared" si="6"/>
        <v>#NUM!</v>
      </c>
      <c r="J76" s="65"/>
      <c r="M76" s="11" t="e">
        <v>#N/A</v>
      </c>
      <c r="N76" s="12" t="e">
        <f>_xll.qlYieldTSDiscount(L$4,M76,,Triggers!RTDataTrigger)</f>
        <v>#NUM!</v>
      </c>
      <c r="O76" s="44"/>
      <c r="P76" s="33"/>
      <c r="Q76" s="49" t="e">
        <f t="shared" si="7"/>
        <v>#N/A</v>
      </c>
      <c r="R76" s="50" t="e">
        <f t="shared" si="7"/>
        <v>#NUM!</v>
      </c>
      <c r="T76" s="64"/>
      <c r="V76" s="11" t="e">
        <v>#N/A</v>
      </c>
      <c r="W76" s="12" t="e">
        <f>_xll.qlYieldTSDiscount(U$4,V76,,Triggers!RTDataTrigger)</f>
        <v>#NUM!</v>
      </c>
      <c r="X76" s="44"/>
      <c r="Y76" s="33"/>
      <c r="Z76" s="49" t="e">
        <f t="shared" si="8"/>
        <v>#N/A</v>
      </c>
      <c r="AA76" s="50" t="e">
        <f t="shared" si="8"/>
        <v>#NUM!</v>
      </c>
    </row>
    <row r="77" spans="4:27" x14ac:dyDescent="0.2">
      <c r="D77" s="11" t="e">
        <v>#N/A</v>
      </c>
      <c r="E77" s="12" t="e">
        <f>_xll.qlYieldTSDiscount(C$4,D77,,Triggers!RTDataTrigger)</f>
        <v>#NUM!</v>
      </c>
      <c r="F77" s="44"/>
      <c r="G77" s="33"/>
      <c r="H77" s="49" t="e">
        <f t="shared" si="6"/>
        <v>#N/A</v>
      </c>
      <c r="I77" s="50" t="e">
        <f t="shared" si="6"/>
        <v>#NUM!</v>
      </c>
      <c r="J77" s="65"/>
      <c r="M77" s="11" t="e">
        <v>#N/A</v>
      </c>
      <c r="N77" s="12" t="e">
        <f>_xll.qlYieldTSDiscount(L$4,M77,,Triggers!RTDataTrigger)</f>
        <v>#NUM!</v>
      </c>
      <c r="O77" s="44"/>
      <c r="P77" s="33"/>
      <c r="Q77" s="49" t="e">
        <f t="shared" si="7"/>
        <v>#N/A</v>
      </c>
      <c r="R77" s="50" t="e">
        <f t="shared" si="7"/>
        <v>#NUM!</v>
      </c>
      <c r="T77" s="64"/>
      <c r="V77" s="11" t="e">
        <v>#N/A</v>
      </c>
      <c r="W77" s="12" t="e">
        <f>_xll.qlYieldTSDiscount(U$4,V77,,Triggers!RTDataTrigger)</f>
        <v>#NUM!</v>
      </c>
      <c r="X77" s="44"/>
      <c r="Y77" s="33"/>
      <c r="Z77" s="49" t="e">
        <f t="shared" si="8"/>
        <v>#N/A</v>
      </c>
      <c r="AA77" s="50" t="e">
        <f t="shared" si="8"/>
        <v>#NUM!</v>
      </c>
    </row>
    <row r="78" spans="4:27" x14ac:dyDescent="0.2">
      <c r="D78" s="11" t="e">
        <v>#N/A</v>
      </c>
      <c r="E78" s="12" t="e">
        <f>_xll.qlYieldTSDiscount(C$4,D78,,Triggers!RTDataTrigger)</f>
        <v>#NUM!</v>
      </c>
      <c r="F78" s="44"/>
      <c r="G78" s="33"/>
      <c r="H78" s="49" t="e">
        <f t="shared" si="6"/>
        <v>#N/A</v>
      </c>
      <c r="I78" s="50" t="e">
        <f t="shared" si="6"/>
        <v>#NUM!</v>
      </c>
      <c r="J78" s="65"/>
      <c r="M78" s="11" t="e">
        <v>#N/A</v>
      </c>
      <c r="N78" s="12" t="e">
        <f>_xll.qlYieldTSDiscount(L$4,M78,,Triggers!RTDataTrigger)</f>
        <v>#NUM!</v>
      </c>
      <c r="O78" s="44"/>
      <c r="P78" s="33"/>
      <c r="Q78" s="49" t="e">
        <f t="shared" si="7"/>
        <v>#N/A</v>
      </c>
      <c r="R78" s="50" t="e">
        <f t="shared" si="7"/>
        <v>#NUM!</v>
      </c>
      <c r="T78" s="64"/>
      <c r="V78" s="11" t="e">
        <v>#N/A</v>
      </c>
      <c r="W78" s="12" t="e">
        <f>_xll.qlYieldTSDiscount(U$4,V78,,Triggers!RTDataTrigger)</f>
        <v>#NUM!</v>
      </c>
      <c r="X78" s="44"/>
      <c r="Y78" s="33"/>
      <c r="Z78" s="49" t="e">
        <f t="shared" si="8"/>
        <v>#N/A</v>
      </c>
      <c r="AA78" s="50" t="e">
        <f t="shared" si="8"/>
        <v>#NUM!</v>
      </c>
    </row>
    <row r="79" spans="4:27" x14ac:dyDescent="0.2">
      <c r="D79" s="11" t="e">
        <v>#N/A</v>
      </c>
      <c r="E79" s="12" t="e">
        <f>_xll.qlYieldTSDiscount(C$4,D79,,Triggers!RTDataTrigger)</f>
        <v>#NUM!</v>
      </c>
      <c r="F79" s="44"/>
      <c r="G79" s="33"/>
      <c r="H79" s="49" t="e">
        <f t="shared" si="6"/>
        <v>#N/A</v>
      </c>
      <c r="I79" s="50" t="e">
        <f t="shared" si="6"/>
        <v>#NUM!</v>
      </c>
      <c r="J79" s="65"/>
      <c r="M79" s="11" t="e">
        <v>#N/A</v>
      </c>
      <c r="N79" s="12" t="e">
        <f>_xll.qlYieldTSDiscount(L$4,M79,,Triggers!RTDataTrigger)</f>
        <v>#NUM!</v>
      </c>
      <c r="O79" s="44"/>
      <c r="P79" s="33"/>
      <c r="Q79" s="49" t="e">
        <f t="shared" si="7"/>
        <v>#N/A</v>
      </c>
      <c r="R79" s="50" t="e">
        <f t="shared" si="7"/>
        <v>#NUM!</v>
      </c>
      <c r="T79" s="64"/>
      <c r="V79" s="11" t="e">
        <v>#N/A</v>
      </c>
      <c r="W79" s="12" t="e">
        <f>_xll.qlYieldTSDiscount(U$4,V79,,Triggers!RTDataTrigger)</f>
        <v>#NUM!</v>
      </c>
      <c r="X79" s="44"/>
      <c r="Y79" s="33"/>
      <c r="Z79" s="49" t="e">
        <f t="shared" si="8"/>
        <v>#N/A</v>
      </c>
      <c r="AA79" s="50" t="e">
        <f t="shared" si="8"/>
        <v>#NUM!</v>
      </c>
    </row>
    <row r="80" spans="4:27" x14ac:dyDescent="0.2">
      <c r="D80" s="11" t="e">
        <v>#N/A</v>
      </c>
      <c r="E80" s="12" t="e">
        <f>_xll.qlYieldTSDiscount(C$4,D80,,Triggers!RTDataTrigger)</f>
        <v>#NUM!</v>
      </c>
      <c r="F80" s="44"/>
      <c r="G80" s="33"/>
      <c r="H80" s="49" t="e">
        <f t="shared" si="6"/>
        <v>#N/A</v>
      </c>
      <c r="I80" s="50" t="e">
        <f t="shared" si="6"/>
        <v>#NUM!</v>
      </c>
      <c r="J80" s="65"/>
      <c r="M80" s="11" t="e">
        <v>#N/A</v>
      </c>
      <c r="N80" s="12" t="e">
        <f>_xll.qlYieldTSDiscount(L$4,M80,,Triggers!RTDataTrigger)</f>
        <v>#NUM!</v>
      </c>
      <c r="O80" s="44"/>
      <c r="P80" s="33"/>
      <c r="Q80" s="49" t="e">
        <f t="shared" si="7"/>
        <v>#N/A</v>
      </c>
      <c r="R80" s="50" t="e">
        <f t="shared" si="7"/>
        <v>#NUM!</v>
      </c>
      <c r="T80" s="64"/>
      <c r="V80" s="11" t="e">
        <v>#N/A</v>
      </c>
      <c r="W80" s="12" t="e">
        <f>_xll.qlYieldTSDiscount(U$4,V80,,Triggers!RTDataTrigger)</f>
        <v>#NUM!</v>
      </c>
      <c r="X80" s="44"/>
      <c r="Y80" s="33"/>
      <c r="Z80" s="49" t="e">
        <f t="shared" si="8"/>
        <v>#N/A</v>
      </c>
      <c r="AA80" s="50" t="e">
        <f t="shared" si="8"/>
        <v>#NUM!</v>
      </c>
    </row>
    <row r="81" spans="4:27" x14ac:dyDescent="0.2">
      <c r="D81" s="11" t="e">
        <v>#N/A</v>
      </c>
      <c r="E81" s="12" t="e">
        <f>_xll.qlYieldTSDiscount(C$4,D81,,Triggers!RTDataTrigger)</f>
        <v>#NUM!</v>
      </c>
      <c r="F81" s="44"/>
      <c r="G81" s="33"/>
      <c r="H81" s="49" t="e">
        <f t="shared" si="6"/>
        <v>#N/A</v>
      </c>
      <c r="I81" s="50" t="e">
        <f t="shared" si="6"/>
        <v>#NUM!</v>
      </c>
      <c r="J81" s="65"/>
      <c r="M81" s="11" t="e">
        <v>#N/A</v>
      </c>
      <c r="N81" s="12" t="e">
        <f>_xll.qlYieldTSDiscount(L$4,M81,,Triggers!RTDataTrigger)</f>
        <v>#NUM!</v>
      </c>
      <c r="O81" s="44"/>
      <c r="P81" s="33"/>
      <c r="Q81" s="49" t="e">
        <f t="shared" si="7"/>
        <v>#N/A</v>
      </c>
      <c r="R81" s="50" t="e">
        <f t="shared" si="7"/>
        <v>#NUM!</v>
      </c>
      <c r="V81" s="11" t="e">
        <v>#N/A</v>
      </c>
      <c r="W81" s="12" t="e">
        <f>_xll.qlYieldTSDiscount(U$4,V81,,Triggers!RTDataTrigger)</f>
        <v>#NUM!</v>
      </c>
      <c r="X81" s="44"/>
      <c r="Y81" s="33"/>
      <c r="Z81" s="49" t="e">
        <f t="shared" si="8"/>
        <v>#N/A</v>
      </c>
      <c r="AA81" s="50" t="e">
        <f t="shared" si="8"/>
        <v>#NUM!</v>
      </c>
    </row>
    <row r="82" spans="4:27" x14ac:dyDescent="0.2">
      <c r="D82" s="11" t="e">
        <v>#N/A</v>
      </c>
      <c r="E82" s="12" t="e">
        <f>_xll.qlYieldTSDiscount(C$4,D82,,Triggers!RTDataTrigger)</f>
        <v>#NUM!</v>
      </c>
      <c r="F82" s="44"/>
      <c r="G82" s="33"/>
      <c r="H82" s="49" t="e">
        <f t="shared" si="6"/>
        <v>#N/A</v>
      </c>
      <c r="I82" s="50" t="e">
        <f t="shared" si="6"/>
        <v>#NUM!</v>
      </c>
      <c r="J82" s="65"/>
      <c r="M82" s="11" t="e">
        <v>#N/A</v>
      </c>
      <c r="N82" s="12" t="e">
        <f>_xll.qlYieldTSDiscount(L$4,M82,,Triggers!RTDataTrigger)</f>
        <v>#NUM!</v>
      </c>
      <c r="O82" s="44"/>
      <c r="P82" s="33"/>
      <c r="Q82" s="49" t="e">
        <f t="shared" si="7"/>
        <v>#N/A</v>
      </c>
      <c r="R82" s="50" t="e">
        <f t="shared" si="7"/>
        <v>#NUM!</v>
      </c>
      <c r="V82" s="11" t="e">
        <v>#N/A</v>
      </c>
      <c r="W82" s="12" t="e">
        <f>_xll.qlYieldTSDiscount(U$4,V82,,Triggers!RTDataTrigger)</f>
        <v>#NUM!</v>
      </c>
      <c r="X82" s="44"/>
      <c r="Y82" s="33"/>
      <c r="Z82" s="49" t="e">
        <f t="shared" si="8"/>
        <v>#N/A</v>
      </c>
      <c r="AA82" s="50" t="e">
        <f t="shared" si="8"/>
        <v>#NUM!</v>
      </c>
    </row>
    <row r="83" spans="4:27" x14ac:dyDescent="0.2">
      <c r="D83" s="11" t="e">
        <v>#N/A</v>
      </c>
      <c r="E83" s="12" t="e">
        <f>_xll.qlYieldTSDiscount(C$4,D83,,Triggers!RTDataTrigger)</f>
        <v>#NUM!</v>
      </c>
      <c r="F83" s="44"/>
      <c r="G83" s="33"/>
      <c r="H83" s="49" t="e">
        <f t="shared" si="6"/>
        <v>#N/A</v>
      </c>
      <c r="I83" s="50" t="e">
        <f t="shared" si="6"/>
        <v>#NUM!</v>
      </c>
      <c r="J83" s="65"/>
      <c r="M83" s="11" t="e">
        <v>#N/A</v>
      </c>
      <c r="N83" s="12" t="e">
        <f>_xll.qlYieldTSDiscount(L$4,M83,,Triggers!RTDataTrigger)</f>
        <v>#NUM!</v>
      </c>
      <c r="O83" s="44"/>
      <c r="P83" s="33"/>
      <c r="Q83" s="49" t="e">
        <f t="shared" si="7"/>
        <v>#N/A</v>
      </c>
      <c r="R83" s="50" t="e">
        <f t="shared" si="7"/>
        <v>#NUM!</v>
      </c>
      <c r="V83" s="11" t="e">
        <v>#N/A</v>
      </c>
      <c r="W83" s="12" t="e">
        <f>_xll.qlYieldTSDiscount(U$4,V83,,Triggers!RTDataTrigger)</f>
        <v>#NUM!</v>
      </c>
      <c r="X83" s="44"/>
      <c r="Y83" s="33"/>
      <c r="Z83" s="49" t="e">
        <f t="shared" si="8"/>
        <v>#N/A</v>
      </c>
      <c r="AA83" s="50" t="e">
        <f t="shared" si="8"/>
        <v>#NUM!</v>
      </c>
    </row>
    <row r="84" spans="4:27" x14ac:dyDescent="0.2">
      <c r="D84" s="11" t="e">
        <v>#N/A</v>
      </c>
      <c r="E84" s="12" t="e">
        <f>_xll.qlYieldTSDiscount(C$4,D84,,Triggers!RTDataTrigger)</f>
        <v>#NUM!</v>
      </c>
      <c r="F84" s="44"/>
      <c r="G84" s="33"/>
      <c r="H84" s="49" t="e">
        <f t="shared" si="6"/>
        <v>#N/A</v>
      </c>
      <c r="I84" s="50" t="e">
        <f t="shared" si="6"/>
        <v>#NUM!</v>
      </c>
      <c r="J84" s="65"/>
      <c r="M84" s="11" t="e">
        <v>#N/A</v>
      </c>
      <c r="N84" s="12" t="e">
        <f>_xll.qlYieldTSDiscount(L$4,M84,,Triggers!RTDataTrigger)</f>
        <v>#NUM!</v>
      </c>
      <c r="O84" s="44"/>
      <c r="P84" s="33"/>
      <c r="Q84" s="49" t="e">
        <f t="shared" si="7"/>
        <v>#N/A</v>
      </c>
      <c r="R84" s="50" t="e">
        <f t="shared" si="7"/>
        <v>#NUM!</v>
      </c>
      <c r="V84" s="11" t="e">
        <v>#N/A</v>
      </c>
      <c r="W84" s="12" t="e">
        <f>_xll.qlYieldTSDiscount(U$4,V84,,Triggers!RTDataTrigger)</f>
        <v>#NUM!</v>
      </c>
      <c r="X84" s="44"/>
      <c r="Y84" s="33"/>
      <c r="Z84" s="49" t="e">
        <f t="shared" si="8"/>
        <v>#N/A</v>
      </c>
      <c r="AA84" s="50" t="e">
        <f t="shared" si="8"/>
        <v>#NUM!</v>
      </c>
    </row>
    <row r="85" spans="4:27" x14ac:dyDescent="0.2">
      <c r="D85" s="11" t="e">
        <v>#N/A</v>
      </c>
      <c r="E85" s="12" t="e">
        <f>_xll.qlYieldTSDiscount(C$4,D85,,Triggers!RTDataTrigger)</f>
        <v>#NUM!</v>
      </c>
      <c r="F85" s="44"/>
      <c r="G85" s="33"/>
      <c r="H85" s="49" t="e">
        <f t="shared" si="6"/>
        <v>#N/A</v>
      </c>
      <c r="I85" s="50" t="e">
        <f t="shared" si="6"/>
        <v>#NUM!</v>
      </c>
      <c r="J85" s="65"/>
      <c r="M85" s="11" t="e">
        <v>#N/A</v>
      </c>
      <c r="N85" s="12" t="e">
        <f>_xll.qlYieldTSDiscount(L$4,M85,,Triggers!RTDataTrigger)</f>
        <v>#NUM!</v>
      </c>
      <c r="O85" s="44"/>
      <c r="P85" s="33"/>
      <c r="Q85" s="49" t="e">
        <f t="shared" si="7"/>
        <v>#N/A</v>
      </c>
      <c r="R85" s="50" t="e">
        <f t="shared" si="7"/>
        <v>#NUM!</v>
      </c>
      <c r="V85" s="11" t="e">
        <v>#N/A</v>
      </c>
      <c r="W85" s="12" t="e">
        <f>_xll.qlYieldTSDiscount(U$4,V85,,Triggers!RTDataTrigger)</f>
        <v>#NUM!</v>
      </c>
      <c r="X85" s="44"/>
      <c r="Y85" s="33"/>
      <c r="Z85" s="49" t="e">
        <f t="shared" si="8"/>
        <v>#N/A</v>
      </c>
      <c r="AA85" s="50" t="e">
        <f t="shared" si="8"/>
        <v>#NUM!</v>
      </c>
    </row>
    <row r="86" spans="4:27" x14ac:dyDescent="0.2">
      <c r="D86" s="11" t="e">
        <v>#N/A</v>
      </c>
      <c r="E86" s="12" t="e">
        <f>_xll.qlYieldTSDiscount(C$4,D86,,Triggers!RTDataTrigger)</f>
        <v>#NUM!</v>
      </c>
      <c r="F86" s="44"/>
      <c r="G86" s="33"/>
      <c r="H86" s="49" t="e">
        <f t="shared" si="6"/>
        <v>#N/A</v>
      </c>
      <c r="I86" s="50" t="e">
        <f t="shared" si="6"/>
        <v>#NUM!</v>
      </c>
      <c r="J86" s="65"/>
      <c r="M86" s="11" t="e">
        <v>#N/A</v>
      </c>
      <c r="N86" s="12" t="e">
        <f>_xll.qlYieldTSDiscount(L$4,M86,,Triggers!RTDataTrigger)</f>
        <v>#NUM!</v>
      </c>
      <c r="O86" s="44"/>
      <c r="P86" s="33"/>
      <c r="Q86" s="49" t="e">
        <f t="shared" si="7"/>
        <v>#N/A</v>
      </c>
      <c r="R86" s="50" t="e">
        <f t="shared" si="7"/>
        <v>#NUM!</v>
      </c>
      <c r="V86" s="11" t="e">
        <v>#N/A</v>
      </c>
      <c r="W86" s="12" t="e">
        <f>_xll.qlYieldTSDiscount(U$4,V86,,Triggers!RTDataTrigger)</f>
        <v>#NUM!</v>
      </c>
      <c r="X86" s="44"/>
      <c r="Y86" s="33"/>
      <c r="Z86" s="49" t="e">
        <f t="shared" si="8"/>
        <v>#N/A</v>
      </c>
      <c r="AA86" s="50" t="e">
        <f t="shared" si="8"/>
        <v>#NUM!</v>
      </c>
    </row>
    <row r="87" spans="4:27" x14ac:dyDescent="0.2">
      <c r="D87" s="11" t="e">
        <v>#N/A</v>
      </c>
      <c r="E87" s="12" t="e">
        <f>_xll.qlYieldTSDiscount(C$4,D87,,Triggers!RTDataTrigger)</f>
        <v>#NUM!</v>
      </c>
      <c r="F87" s="44"/>
      <c r="G87" s="33"/>
      <c r="H87" s="49" t="e">
        <f t="shared" si="6"/>
        <v>#N/A</v>
      </c>
      <c r="I87" s="50" t="e">
        <f t="shared" si="6"/>
        <v>#NUM!</v>
      </c>
      <c r="J87" s="65"/>
      <c r="M87" s="11" t="e">
        <v>#N/A</v>
      </c>
      <c r="N87" s="12" t="e">
        <f>_xll.qlYieldTSDiscount(L$4,M87,,Triggers!RTDataTrigger)</f>
        <v>#NUM!</v>
      </c>
      <c r="O87" s="44"/>
      <c r="P87" s="33"/>
      <c r="Q87" s="49" t="e">
        <f t="shared" si="7"/>
        <v>#N/A</v>
      </c>
      <c r="R87" s="50" t="e">
        <f t="shared" si="7"/>
        <v>#NUM!</v>
      </c>
      <c r="V87" s="11" t="e">
        <v>#N/A</v>
      </c>
      <c r="W87" s="12" t="e">
        <f>_xll.qlYieldTSDiscount(U$4,V87,,Triggers!RTDataTrigger)</f>
        <v>#NUM!</v>
      </c>
      <c r="X87" s="44"/>
      <c r="Y87" s="33"/>
      <c r="Z87" s="49" t="e">
        <f t="shared" si="8"/>
        <v>#N/A</v>
      </c>
      <c r="AA87" s="50" t="e">
        <f t="shared" si="8"/>
        <v>#NUM!</v>
      </c>
    </row>
    <row r="88" spans="4:27" x14ac:dyDescent="0.2">
      <c r="D88" s="11" t="e">
        <v>#N/A</v>
      </c>
      <c r="E88" s="12" t="e">
        <f>_xll.qlYieldTSDiscount(C$4,D88,,Triggers!RTDataTrigger)</f>
        <v>#NUM!</v>
      </c>
      <c r="F88" s="44"/>
      <c r="G88" s="33"/>
      <c r="H88" s="49" t="e">
        <f t="shared" si="6"/>
        <v>#N/A</v>
      </c>
      <c r="I88" s="50" t="e">
        <f t="shared" si="6"/>
        <v>#NUM!</v>
      </c>
      <c r="J88" s="65"/>
      <c r="M88" s="11" t="e">
        <v>#N/A</v>
      </c>
      <c r="N88" s="12" t="e">
        <f>_xll.qlYieldTSDiscount(L$4,M88,,Triggers!RTDataTrigger)</f>
        <v>#NUM!</v>
      </c>
      <c r="O88" s="44"/>
      <c r="P88" s="33"/>
      <c r="Q88" s="49" t="e">
        <f t="shared" si="7"/>
        <v>#N/A</v>
      </c>
      <c r="R88" s="50" t="e">
        <f t="shared" si="7"/>
        <v>#NUM!</v>
      </c>
      <c r="V88" s="11" t="e">
        <v>#N/A</v>
      </c>
      <c r="W88" s="12" t="e">
        <f>_xll.qlYieldTSDiscount(U$4,V88,,Triggers!RTDataTrigger)</f>
        <v>#NUM!</v>
      </c>
      <c r="X88" s="44"/>
      <c r="Y88" s="33"/>
      <c r="Z88" s="49" t="e">
        <f t="shared" si="8"/>
        <v>#N/A</v>
      </c>
      <c r="AA88" s="50" t="e">
        <f t="shared" si="8"/>
        <v>#NUM!</v>
      </c>
    </row>
    <row r="89" spans="4:27" x14ac:dyDescent="0.2">
      <c r="D89" s="11" t="e">
        <v>#N/A</v>
      </c>
      <c r="E89" s="12" t="e">
        <f>_xll.qlYieldTSDiscount(C$4,D89,,Triggers!RTDataTrigger)</f>
        <v>#NUM!</v>
      </c>
      <c r="F89" s="44"/>
      <c r="G89" s="33"/>
      <c r="H89" s="49" t="e">
        <f t="shared" si="6"/>
        <v>#N/A</v>
      </c>
      <c r="I89" s="50" t="e">
        <f t="shared" si="6"/>
        <v>#NUM!</v>
      </c>
      <c r="J89" s="65"/>
      <c r="M89" s="11" t="e">
        <v>#N/A</v>
      </c>
      <c r="N89" s="12" t="e">
        <f>_xll.qlYieldTSDiscount(L$4,M89,,Triggers!RTDataTrigger)</f>
        <v>#NUM!</v>
      </c>
      <c r="O89" s="44"/>
      <c r="P89" s="33"/>
      <c r="Q89" s="49" t="e">
        <f t="shared" si="7"/>
        <v>#N/A</v>
      </c>
      <c r="R89" s="50" t="e">
        <f t="shared" si="7"/>
        <v>#NUM!</v>
      </c>
      <c r="V89" s="11" t="e">
        <v>#N/A</v>
      </c>
      <c r="W89" s="12" t="e">
        <f>_xll.qlYieldTSDiscount(U$4,V89,,Triggers!RTDataTrigger)</f>
        <v>#NUM!</v>
      </c>
      <c r="X89" s="44"/>
      <c r="Y89" s="33"/>
      <c r="Z89" s="49" t="e">
        <f t="shared" si="8"/>
        <v>#N/A</v>
      </c>
      <c r="AA89" s="50" t="e">
        <f t="shared" si="8"/>
        <v>#NUM!</v>
      </c>
    </row>
    <row r="90" spans="4:27" x14ac:dyDescent="0.2">
      <c r="D90" s="11" t="e">
        <v>#N/A</v>
      </c>
      <c r="E90" s="12" t="e">
        <f>_xll.qlYieldTSDiscount(C$4,D90,,Triggers!RTDataTrigger)</f>
        <v>#NUM!</v>
      </c>
      <c r="F90" s="44"/>
      <c r="G90" s="33"/>
      <c r="H90" s="49" t="e">
        <f t="shared" si="6"/>
        <v>#N/A</v>
      </c>
      <c r="I90" s="50" t="e">
        <f t="shared" si="6"/>
        <v>#NUM!</v>
      </c>
      <c r="J90" s="65"/>
      <c r="M90" s="11" t="e">
        <v>#N/A</v>
      </c>
      <c r="N90" s="12" t="e">
        <f>_xll.qlYieldTSDiscount(L$4,M90,,Triggers!RTDataTrigger)</f>
        <v>#NUM!</v>
      </c>
      <c r="O90" s="44"/>
      <c r="P90" s="33"/>
      <c r="Q90" s="49" t="e">
        <f t="shared" si="7"/>
        <v>#N/A</v>
      </c>
      <c r="R90" s="50" t="e">
        <f t="shared" si="7"/>
        <v>#NUM!</v>
      </c>
      <c r="V90" s="11" t="e">
        <v>#N/A</v>
      </c>
      <c r="W90" s="12" t="e">
        <f>_xll.qlYieldTSDiscount(U$4,V90,,Triggers!RTDataTrigger)</f>
        <v>#NUM!</v>
      </c>
      <c r="X90" s="44"/>
      <c r="Y90" s="33"/>
      <c r="Z90" s="49" t="e">
        <f t="shared" si="8"/>
        <v>#N/A</v>
      </c>
      <c r="AA90" s="50" t="e">
        <f t="shared" si="8"/>
        <v>#NUM!</v>
      </c>
    </row>
    <row r="91" spans="4:27" x14ac:dyDescent="0.2">
      <c r="D91" s="11" t="e">
        <v>#N/A</v>
      </c>
      <c r="E91" s="12" t="e">
        <f>_xll.qlYieldTSDiscount(C$4,D91,,Triggers!RTDataTrigger)</f>
        <v>#NUM!</v>
      </c>
      <c r="F91" s="44"/>
      <c r="G91" s="33"/>
      <c r="H91" s="49" t="e">
        <f t="shared" si="6"/>
        <v>#N/A</v>
      </c>
      <c r="I91" s="50" t="e">
        <f t="shared" si="6"/>
        <v>#NUM!</v>
      </c>
      <c r="J91" s="65"/>
      <c r="M91" s="11" t="e">
        <v>#N/A</v>
      </c>
      <c r="N91" s="12" t="e">
        <f>_xll.qlYieldTSDiscount(L$4,M91,,Triggers!RTDataTrigger)</f>
        <v>#NUM!</v>
      </c>
      <c r="O91" s="44"/>
      <c r="P91" s="33"/>
      <c r="Q91" s="49" t="e">
        <f t="shared" si="7"/>
        <v>#N/A</v>
      </c>
      <c r="R91" s="50" t="e">
        <f t="shared" si="7"/>
        <v>#NUM!</v>
      </c>
      <c r="V91" s="11" t="e">
        <v>#N/A</v>
      </c>
      <c r="W91" s="12" t="e">
        <f>_xll.qlYieldTSDiscount(U$4,V91,,Triggers!RTDataTrigger)</f>
        <v>#NUM!</v>
      </c>
      <c r="X91" s="44"/>
      <c r="Y91" s="33"/>
      <c r="Z91" s="49" t="e">
        <f t="shared" si="8"/>
        <v>#N/A</v>
      </c>
      <c r="AA91" s="50" t="e">
        <f t="shared" si="8"/>
        <v>#NUM!</v>
      </c>
    </row>
    <row r="92" spans="4:27" x14ac:dyDescent="0.2">
      <c r="D92" s="11" t="e">
        <v>#N/A</v>
      </c>
      <c r="E92" s="12" t="e">
        <f>_xll.qlYieldTSDiscount(C$4,D92,,Triggers!RTDataTrigger)</f>
        <v>#NUM!</v>
      </c>
      <c r="F92" s="44"/>
      <c r="G92" s="33"/>
      <c r="H92" s="49" t="e">
        <f t="shared" si="6"/>
        <v>#N/A</v>
      </c>
      <c r="I92" s="50" t="e">
        <f t="shared" si="6"/>
        <v>#NUM!</v>
      </c>
      <c r="J92" s="65"/>
      <c r="M92" s="11" t="e">
        <v>#N/A</v>
      </c>
      <c r="N92" s="12" t="e">
        <f>_xll.qlYieldTSDiscount(L$4,M92,,Triggers!RTDataTrigger)</f>
        <v>#NUM!</v>
      </c>
      <c r="O92" s="44"/>
      <c r="P92" s="33"/>
      <c r="Q92" s="49" t="e">
        <f t="shared" si="7"/>
        <v>#N/A</v>
      </c>
      <c r="R92" s="50" t="e">
        <f t="shared" si="7"/>
        <v>#NUM!</v>
      </c>
      <c r="V92" s="11" t="e">
        <v>#N/A</v>
      </c>
      <c r="W92" s="12" t="e">
        <f>_xll.qlYieldTSDiscount(U$4,V92,,Triggers!RTDataTrigger)</f>
        <v>#NUM!</v>
      </c>
      <c r="X92" s="44"/>
      <c r="Y92" s="33"/>
      <c r="Z92" s="49" t="e">
        <f t="shared" si="8"/>
        <v>#N/A</v>
      </c>
      <c r="AA92" s="50" t="e">
        <f t="shared" si="8"/>
        <v>#NUM!</v>
      </c>
    </row>
    <row r="93" spans="4:27" x14ac:dyDescent="0.2">
      <c r="D93" s="13" t="e">
        <v>#N/A</v>
      </c>
      <c r="E93" s="14" t="e">
        <f>_xll.qlYieldTSDiscount(C$4,D93,,Triggers!RTDataTrigger)</f>
        <v>#NUM!</v>
      </c>
      <c r="F93" s="45"/>
      <c r="G93" s="46"/>
      <c r="H93" s="51" t="e">
        <f t="shared" si="6"/>
        <v>#N/A</v>
      </c>
      <c r="I93" s="52" t="e">
        <f t="shared" si="6"/>
        <v>#NUM!</v>
      </c>
      <c r="J93" s="65"/>
      <c r="M93" s="13" t="e">
        <v>#N/A</v>
      </c>
      <c r="N93" s="14" t="e">
        <f>_xll.qlYieldTSDiscount(L$4,M93,,Triggers!RTDataTrigger)</f>
        <v>#NUM!</v>
      </c>
      <c r="O93" s="45"/>
      <c r="P93" s="46"/>
      <c r="Q93" s="51" t="e">
        <f t="shared" si="7"/>
        <v>#N/A</v>
      </c>
      <c r="R93" s="52" t="e">
        <f t="shared" si="7"/>
        <v>#NUM!</v>
      </c>
      <c r="V93" s="13" t="e">
        <v>#N/A</v>
      </c>
      <c r="W93" s="14" t="e">
        <f>_xll.qlYieldTSDiscount(U$4,V93,,Triggers!RTDataTrigger)</f>
        <v>#NUM!</v>
      </c>
      <c r="X93" s="45"/>
      <c r="Y93" s="46"/>
      <c r="Z93" s="51" t="e">
        <f t="shared" si="8"/>
        <v>#N/A</v>
      </c>
      <c r="AA93" s="52" t="e">
        <f t="shared" si="8"/>
        <v>#NUM!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9" r:id="rId4" name="Button 3">
              <controlPr defaultSize="0" print="0" autoFill="0" autoPict="0" macro="[0]!rtRun">
                <anchor moveWithCells="1" sizeWithCells="1">
                  <from>
                    <xdr:col>1</xdr:col>
                    <xdr:colOff>66675</xdr:colOff>
                    <xdr:row>16</xdr:row>
                    <xdr:rowOff>114300</xdr:rowOff>
                  </from>
                  <to>
                    <xdr:col>2</xdr:col>
                    <xdr:colOff>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5" name="Button 4">
              <controlPr defaultSize="0" print="0" autoFill="0" autoPict="0" macro="[0]!rtFreeze">
                <anchor moveWithCells="1" sizeWithCells="1">
                  <from>
                    <xdr:col>1</xdr:col>
                    <xdr:colOff>66675</xdr:colOff>
                    <xdr:row>18</xdr:row>
                    <xdr:rowOff>76200</xdr:rowOff>
                  </from>
                  <to>
                    <xdr:col>2</xdr:col>
                    <xdr:colOff>0</xdr:colOff>
                    <xdr:row>20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59999389629810485"/>
  </sheetPr>
  <dimension ref="B2:AA93"/>
  <sheetViews>
    <sheetView showGridLines="0" zoomScaleNormal="100" workbookViewId="0">
      <selection activeCell="U15" sqref="U15"/>
    </sheetView>
  </sheetViews>
  <sheetFormatPr defaultRowHeight="11.25" outlineLevelCol="1" x14ac:dyDescent="0.2"/>
  <cols>
    <col min="1" max="1" width="3.83203125" customWidth="1"/>
    <col min="2" max="2" width="16.83203125" customWidth="1"/>
    <col min="3" max="3" width="20.83203125" customWidth="1"/>
    <col min="4" max="7" width="10.83203125" hidden="1" customWidth="1" outlineLevel="1"/>
    <col min="8" max="8" width="10.83203125" customWidth="1" collapsed="1"/>
    <col min="9" max="9" width="10.83203125" customWidth="1"/>
    <col min="10" max="10" width="5.83203125" customWidth="1"/>
    <col min="11" max="11" width="16.83203125" customWidth="1"/>
    <col min="12" max="12" width="20.83203125" customWidth="1"/>
    <col min="13" max="16" width="10.83203125" hidden="1" customWidth="1" outlineLevel="1"/>
    <col min="17" max="17" width="10.83203125" customWidth="1" collapsed="1"/>
    <col min="18" max="18" width="10.83203125" customWidth="1"/>
    <col min="20" max="20" width="16.83203125" customWidth="1"/>
    <col min="21" max="21" width="20.83203125" customWidth="1"/>
    <col min="22" max="25" width="10.83203125" hidden="1" customWidth="1" outlineLevel="1"/>
    <col min="26" max="26" width="10.83203125" customWidth="1" collapsed="1"/>
    <col min="27" max="27" width="10.83203125" customWidth="1"/>
  </cols>
  <sheetData>
    <row r="2" spans="2:27" x14ac:dyDescent="0.2">
      <c r="D2" s="326" t="s">
        <v>141</v>
      </c>
      <c r="E2" s="327"/>
      <c r="F2" s="326" t="s">
        <v>75</v>
      </c>
      <c r="G2" s="327"/>
      <c r="H2" s="326" t="s">
        <v>142</v>
      </c>
      <c r="I2" s="327"/>
      <c r="M2" s="326" t="s">
        <v>141</v>
      </c>
      <c r="N2" s="327"/>
      <c r="O2" s="326" t="s">
        <v>75</v>
      </c>
      <c r="P2" s="327"/>
      <c r="Q2" s="326" t="s">
        <v>142</v>
      </c>
      <c r="R2" s="327"/>
      <c r="V2" s="326" t="s">
        <v>141</v>
      </c>
      <c r="W2" s="327"/>
      <c r="X2" s="326" t="s">
        <v>75</v>
      </c>
      <c r="Y2" s="327"/>
      <c r="Z2" s="326" t="s">
        <v>142</v>
      </c>
      <c r="AA2" s="327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155</v>
      </c>
      <c r="D4" s="29">
        <f t="array" ref="D4:D93">CHOOSE(C7,_xll.qlPiecewiseYieldCurveDates(C5),_xll.qlInterpolatedYieldCurveDates(C5))</f>
        <v>41992</v>
      </c>
      <c r="E4" s="34">
        <f>_xll.qlYieldTSDiscount(C$4,D4,,Triggers!RTDataTrigger)</f>
        <v>1</v>
      </c>
      <c r="F4" s="43"/>
      <c r="G4" s="32"/>
      <c r="H4" s="47">
        <f>IF(ISBLANK(F4),D4,F4)</f>
        <v>41992</v>
      </c>
      <c r="I4" s="48">
        <f t="shared" ref="I4:I67" si="0">IF(ISBLANK(G4),E4,G4)</f>
        <v>1</v>
      </c>
      <c r="K4" s="36" t="s">
        <v>10</v>
      </c>
      <c r="L4" s="40" t="s">
        <v>156</v>
      </c>
      <c r="M4" s="29">
        <f t="array" ref="M4:M93">CHOOSE(L7,_xll.qlPiecewiseYieldCurveDates(L5),_xll.qlInterpolatedYieldCurveDates(L5))</f>
        <v>41996</v>
      </c>
      <c r="N4" s="34">
        <f>_xll.qlYieldTSDiscount(L$4,M4,,Triggers!RTDataTrigger)</f>
        <v>1</v>
      </c>
      <c r="O4" s="43"/>
      <c r="P4" s="32"/>
      <c r="Q4" s="47">
        <f>IF(ISBLANK(O4),M4,O4)</f>
        <v>41996</v>
      </c>
      <c r="R4" s="48">
        <f t="shared" ref="R4:R67" si="1">IF(ISBLANK(P4),N4,P4)</f>
        <v>1</v>
      </c>
      <c r="T4" s="36" t="s">
        <v>10</v>
      </c>
      <c r="U4" s="40" t="s">
        <v>157</v>
      </c>
      <c r="V4" s="29">
        <f t="array" ref="V4:V93">CHOOSE(U7,_xll.qlPiecewiseYieldCurveDates(U5),_xll.qlInterpolatedYieldCurveDates(U5))</f>
        <v>41992</v>
      </c>
      <c r="W4" s="34">
        <f>_xll.qlYieldTSDiscount(U$4,V4,,Triggers!RTDataTrigger)</f>
        <v>1</v>
      </c>
      <c r="X4" s="43"/>
      <c r="Y4" s="32"/>
      <c r="Z4" s="47">
        <f>IF(ISBLANK(X4),V4,X4)</f>
        <v>41992</v>
      </c>
      <c r="AA4" s="48">
        <f t="shared" ref="AA4:AA67" si="2">IF(ISBLANK(Y4),W4,Y4)</f>
        <v>1</v>
      </c>
    </row>
    <row r="5" spans="2:27" x14ac:dyDescent="0.2">
      <c r="B5" s="37" t="s">
        <v>16</v>
      </c>
      <c r="C5" s="23" t="str">
        <f>_xll.qlHandleCurrentLink(C4,ObjectsTrigger)</f>
        <v>_USDYCON</v>
      </c>
      <c r="D5" s="11">
        <v>41995</v>
      </c>
      <c r="E5" s="35">
        <f>_xll.qlYieldTSDiscount(C$4,D5,,Triggers!RTDataTrigger)</f>
        <v>0.99997916710069124</v>
      </c>
      <c r="F5" s="44"/>
      <c r="G5" s="33"/>
      <c r="H5" s="49">
        <f t="shared" ref="H5:I68" si="3">IF(ISBLANK(F5),D5,F5)</f>
        <v>41995</v>
      </c>
      <c r="I5" s="50">
        <f t="shared" si="0"/>
        <v>0.99997916710069124</v>
      </c>
      <c r="K5" s="37" t="s">
        <v>16</v>
      </c>
      <c r="L5" s="23" t="str">
        <f>_xll.qlHandleCurrentLink(L4,ObjectsTrigger)</f>
        <v>_USDYC3M</v>
      </c>
      <c r="M5" s="11">
        <v>42003</v>
      </c>
      <c r="N5" s="35">
        <f>_xll.qlYieldTSDiscount(L$4,M5,,Triggers!RTDataTrigger)</f>
        <v>0.99994892205357022</v>
      </c>
      <c r="O5" s="44"/>
      <c r="P5" s="33"/>
      <c r="Q5" s="49">
        <f t="shared" ref="Q5:R68" si="4">IF(ISBLANK(O5),M5,O5)</f>
        <v>42003</v>
      </c>
      <c r="R5" s="50">
        <f t="shared" si="1"/>
        <v>0.99994892205357022</v>
      </c>
      <c r="T5" s="37" t="s">
        <v>16</v>
      </c>
      <c r="U5" s="23" t="str">
        <f>_xll.qlHandleCurrentLink(U4,ObjectsTrigger)</f>
        <v>_USDYCSTD</v>
      </c>
      <c r="V5" s="11">
        <v>41995</v>
      </c>
      <c r="W5" s="35">
        <f>_xll.qlYieldTSDiscount(U$4,V5,,Triggers!RTDataTrigger)</f>
        <v>0.99997916710068546</v>
      </c>
      <c r="X5" s="44"/>
      <c r="Y5" s="33"/>
      <c r="Z5" s="49">
        <f t="shared" ref="Z5:AA68" si="5">IF(ISBLANK(X5),V5,X5)</f>
        <v>41995</v>
      </c>
      <c r="AA5" s="50">
        <f t="shared" si="2"/>
        <v>0.99997916710068546</v>
      </c>
    </row>
    <row r="6" spans="2:27" x14ac:dyDescent="0.2">
      <c r="B6" s="37" t="s">
        <v>133</v>
      </c>
      <c r="C6" s="27" t="str">
        <f>_xll.ohObjectClassName(C5)</f>
        <v>qlPiecewiseYieldCurve</v>
      </c>
      <c r="D6" s="11">
        <v>41996</v>
      </c>
      <c r="E6" s="35">
        <f>_xll.qlYieldTSDiscount(C$4,D6,,Triggers!RTDataTrigger)</f>
        <v>0.999972222849147</v>
      </c>
      <c r="F6" s="44"/>
      <c r="G6" s="33"/>
      <c r="H6" s="49">
        <f t="shared" si="3"/>
        <v>41996</v>
      </c>
      <c r="I6" s="50">
        <f t="shared" si="0"/>
        <v>0.999972222849147</v>
      </c>
      <c r="K6" s="37" t="s">
        <v>133</v>
      </c>
      <c r="L6" s="27" t="str">
        <f>_xll.ohObjectClassName(L5)</f>
        <v>qlPiecewiseYieldCurve</v>
      </c>
      <c r="M6" s="11">
        <v>42027</v>
      </c>
      <c r="N6" s="35">
        <f>_xll.qlYieldTSDiscount(L$4,M6,,Triggers!RTDataTrigger)</f>
        <v>0.99978416603969067</v>
      </c>
      <c r="O6" s="44"/>
      <c r="P6" s="33"/>
      <c r="Q6" s="49">
        <f t="shared" si="4"/>
        <v>42027</v>
      </c>
      <c r="R6" s="50">
        <f t="shared" si="1"/>
        <v>0.99978416603969067</v>
      </c>
      <c r="T6" s="37" t="s">
        <v>133</v>
      </c>
      <c r="U6" s="27" t="str">
        <f>_xll.ohObjectClassName(U5)</f>
        <v>qlPiecewiseYieldCurve</v>
      </c>
      <c r="V6" s="11">
        <v>41996</v>
      </c>
      <c r="W6" s="35">
        <f>_xll.qlYieldTSDiscount(U$4,V6,,Triggers!RTDataTrigger)</f>
        <v>0.99997222284913789</v>
      </c>
      <c r="X6" s="44"/>
      <c r="Y6" s="33"/>
      <c r="Z6" s="49">
        <f t="shared" si="5"/>
        <v>41996</v>
      </c>
      <c r="AA6" s="50">
        <f t="shared" si="2"/>
        <v>0.99997222284913789</v>
      </c>
    </row>
    <row r="7" spans="2:27" x14ac:dyDescent="0.2">
      <c r="B7" s="38" t="s">
        <v>134</v>
      </c>
      <c r="C7" s="26">
        <f>MATCH(C6,{"qlPiecewiseYieldCurve","qlInterpolatedYieldCurve"})</f>
        <v>1</v>
      </c>
      <c r="D7" s="11">
        <v>42003</v>
      </c>
      <c r="E7" s="35">
        <f>_xll.qlYieldTSDiscount(C$4,D7,,Triggers!RTDataTrigger)</f>
        <v>0.99994694641318316</v>
      </c>
      <c r="F7" s="44"/>
      <c r="G7" s="33"/>
      <c r="H7" s="49">
        <f t="shared" si="3"/>
        <v>42003</v>
      </c>
      <c r="I7" s="50">
        <f t="shared" si="0"/>
        <v>0.99994694641318316</v>
      </c>
      <c r="K7" s="38" t="s">
        <v>134</v>
      </c>
      <c r="L7" s="26">
        <f>MATCH(L6,{"qlPiecewiseYieldCurve","qlInterpolatedYieldCurve"})</f>
        <v>1</v>
      </c>
      <c r="M7" s="11">
        <v>42058</v>
      </c>
      <c r="N7" s="35">
        <f>_xll.qlYieldTSDiscount(L$4,M7,,Triggers!RTDataTrigger)</f>
        <v>0.99956773693283774</v>
      </c>
      <c r="O7" s="44"/>
      <c r="P7" s="33"/>
      <c r="Q7" s="49">
        <f t="shared" si="4"/>
        <v>42058</v>
      </c>
      <c r="R7" s="50">
        <f t="shared" si="1"/>
        <v>0.99956773693283774</v>
      </c>
      <c r="T7" s="38" t="s">
        <v>134</v>
      </c>
      <c r="U7" s="26">
        <f>MATCH(U6,{"qlPiecewiseYieldCurve","qlInterpolatedYieldCurve"})</f>
        <v>1</v>
      </c>
      <c r="V7" s="11">
        <v>41997</v>
      </c>
      <c r="W7" s="35">
        <f>_xll.qlYieldTSDiscount(U$4,V7,,Triggers!RTDataTrigger)</f>
        <v>0.99996527864581397</v>
      </c>
      <c r="X7" s="44"/>
      <c r="Y7" s="33"/>
      <c r="Z7" s="49">
        <f t="shared" si="5"/>
        <v>41997</v>
      </c>
      <c r="AA7" s="50">
        <f t="shared" si="2"/>
        <v>0.99996527864581397</v>
      </c>
    </row>
    <row r="8" spans="2:27" x14ac:dyDescent="0.2">
      <c r="B8" s="36" t="s">
        <v>4</v>
      </c>
      <c r="C8" s="40" t="s">
        <v>158</v>
      </c>
      <c r="D8" s="11">
        <v>42010</v>
      </c>
      <c r="E8" s="35">
        <f>_xll.qlYieldTSDiscount(C$4,D8,,Triggers!RTDataTrigger)</f>
        <v>0.9999236154511737</v>
      </c>
      <c r="F8" s="44"/>
      <c r="G8" s="33"/>
      <c r="H8" s="49">
        <f t="shared" si="3"/>
        <v>42010</v>
      </c>
      <c r="I8" s="50">
        <f t="shared" si="0"/>
        <v>0.9999236154511737</v>
      </c>
      <c r="K8" s="36" t="s">
        <v>4</v>
      </c>
      <c r="L8" s="40" t="s">
        <v>158</v>
      </c>
      <c r="M8" s="11">
        <v>42086</v>
      </c>
      <c r="N8" s="35">
        <f>_xll.qlYieldTSDiscount(L$4,M8,,Triggers!RTDataTrigger)</f>
        <v>0.99937014696504822</v>
      </c>
      <c r="O8" s="44"/>
      <c r="P8" s="33"/>
      <c r="Q8" s="49">
        <f t="shared" si="4"/>
        <v>42086</v>
      </c>
      <c r="R8" s="50">
        <f t="shared" si="1"/>
        <v>0.99937014696504822</v>
      </c>
      <c r="T8" s="36" t="s">
        <v>4</v>
      </c>
      <c r="U8" s="40" t="s">
        <v>158</v>
      </c>
      <c r="V8" s="11">
        <v>42003</v>
      </c>
      <c r="W8" s="35">
        <f>_xll.qlYieldTSDiscount(U$4,V8,,Triggers!RTDataTrigger)</f>
        <v>0.99994655755416073</v>
      </c>
      <c r="X8" s="44"/>
      <c r="Y8" s="33"/>
      <c r="Z8" s="49">
        <f t="shared" si="5"/>
        <v>42003</v>
      </c>
      <c r="AA8" s="50">
        <f t="shared" si="2"/>
        <v>0.99994655755416073</v>
      </c>
    </row>
    <row r="9" spans="2:27" x14ac:dyDescent="0.2">
      <c r="B9" s="37" t="s">
        <v>5</v>
      </c>
      <c r="C9" s="41" t="str">
        <f>C4&amp;"_"</f>
        <v>USDON_</v>
      </c>
      <c r="D9" s="11">
        <v>42017</v>
      </c>
      <c r="E9" s="35">
        <f>_xll.qlYieldTSDiscount(C$4,D9,,Triggers!RTDataTrigger)</f>
        <v>0.99990106322348082</v>
      </c>
      <c r="F9" s="44"/>
      <c r="G9" s="33"/>
      <c r="H9" s="49">
        <f t="shared" si="3"/>
        <v>42017</v>
      </c>
      <c r="I9" s="50">
        <f t="shared" si="0"/>
        <v>0.99990106322348082</v>
      </c>
      <c r="K9" s="37" t="s">
        <v>5</v>
      </c>
      <c r="L9" s="41" t="str">
        <f>L4&amp;"_"</f>
        <v>USD3M_</v>
      </c>
      <c r="M9" s="11">
        <v>42115</v>
      </c>
      <c r="N9" s="35">
        <f>_xll.qlYieldTSDiscount(L$4,M9,,Triggers!RTDataTrigger)</f>
        <v>0.99915838062375306</v>
      </c>
      <c r="O9" s="44"/>
      <c r="P9" s="33"/>
      <c r="Q9" s="49">
        <f t="shared" si="4"/>
        <v>42115</v>
      </c>
      <c r="R9" s="50">
        <f t="shared" si="1"/>
        <v>0.99915838062375306</v>
      </c>
      <c r="T9" s="37" t="s">
        <v>5</v>
      </c>
      <c r="U9" s="41" t="str">
        <f>U4&amp;"_"</f>
        <v>USDSTD_</v>
      </c>
      <c r="V9" s="11">
        <v>42010</v>
      </c>
      <c r="W9" s="35">
        <f>_xll.qlYieldTSDiscount(U$4,V9,,Triggers!RTDataTrigger)</f>
        <v>0.99991723608099048</v>
      </c>
      <c r="X9" s="44"/>
      <c r="Y9" s="33"/>
      <c r="Z9" s="49">
        <f t="shared" si="5"/>
        <v>42010</v>
      </c>
      <c r="AA9" s="50">
        <f t="shared" si="2"/>
        <v>0.99991723608099048</v>
      </c>
    </row>
    <row r="10" spans="2:27" x14ac:dyDescent="0.2">
      <c r="B10" s="37" t="s">
        <v>6</v>
      </c>
      <c r="C10" s="41" t="s">
        <v>11</v>
      </c>
      <c r="D10" s="11">
        <v>42027</v>
      </c>
      <c r="E10" s="35">
        <f>_xll.qlYieldTSDiscount(C$4,D10,,Triggers!RTDataTrigger)</f>
        <v>0.99986804215397707</v>
      </c>
      <c r="F10" s="44"/>
      <c r="G10" s="33"/>
      <c r="H10" s="49">
        <f t="shared" si="3"/>
        <v>42027</v>
      </c>
      <c r="I10" s="50">
        <f t="shared" si="0"/>
        <v>0.99986804215397707</v>
      </c>
      <c r="K10" s="37" t="s">
        <v>6</v>
      </c>
      <c r="L10" s="41" t="s">
        <v>11</v>
      </c>
      <c r="M10" s="11">
        <v>42173</v>
      </c>
      <c r="N10" s="35">
        <f>_xll.qlYieldTSDiscount(L$4,M10,,Triggers!RTDataTrigger)</f>
        <v>0.99864880514293786</v>
      </c>
      <c r="O10" s="44"/>
      <c r="P10" s="33"/>
      <c r="Q10" s="49">
        <f t="shared" si="4"/>
        <v>42173</v>
      </c>
      <c r="R10" s="50">
        <f t="shared" si="1"/>
        <v>0.99864880514293786</v>
      </c>
      <c r="T10" s="37" t="s">
        <v>6</v>
      </c>
      <c r="U10" s="41" t="s">
        <v>58</v>
      </c>
      <c r="V10" s="11">
        <v>42017</v>
      </c>
      <c r="W10" s="35">
        <f>_xll.qlYieldTSDiscount(U$4,V10,,Triggers!RTDataTrigger)</f>
        <v>0.99988425907299194</v>
      </c>
      <c r="X10" s="44"/>
      <c r="Y10" s="33"/>
      <c r="Z10" s="49">
        <f t="shared" si="5"/>
        <v>42017</v>
      </c>
      <c r="AA10" s="50">
        <f t="shared" si="2"/>
        <v>0.99988425907299194</v>
      </c>
    </row>
    <row r="11" spans="2:27" x14ac:dyDescent="0.2">
      <c r="B11" s="37" t="s">
        <v>7</v>
      </c>
      <c r="C11" s="41" t="s">
        <v>12</v>
      </c>
      <c r="D11" s="11">
        <v>42058</v>
      </c>
      <c r="E11" s="35">
        <f>_xll.qlYieldTSDiscount(C$4,D11,,Triggers!RTDataTrigger)</f>
        <v>0.99975871882052791</v>
      </c>
      <c r="F11" s="44"/>
      <c r="G11" s="33"/>
      <c r="H11" s="49">
        <f t="shared" si="3"/>
        <v>42058</v>
      </c>
      <c r="I11" s="50">
        <f t="shared" si="0"/>
        <v>0.99975871882052791</v>
      </c>
      <c r="K11" s="37" t="s">
        <v>7</v>
      </c>
      <c r="L11" s="41" t="s">
        <v>12</v>
      </c>
      <c r="M11" s="11">
        <v>42264</v>
      </c>
      <c r="N11" s="35">
        <f>_xll.qlYieldTSDiscount(L$4,M11,,Triggers!RTDataTrigger)</f>
        <v>0.997512037009888</v>
      </c>
      <c r="O11" s="44"/>
      <c r="P11" s="33"/>
      <c r="Q11" s="49">
        <f t="shared" si="4"/>
        <v>42264</v>
      </c>
      <c r="R11" s="50">
        <f t="shared" si="1"/>
        <v>0.997512037009888</v>
      </c>
      <c r="T11" s="37" t="s">
        <v>7</v>
      </c>
      <c r="U11" s="41" t="s">
        <v>46</v>
      </c>
      <c r="V11" s="11">
        <v>42027</v>
      </c>
      <c r="W11" s="35">
        <f>_xll.qlYieldTSDiscount(U$4,V11,,Triggers!RTDataTrigger)</f>
        <v>0.99983080927905288</v>
      </c>
      <c r="X11" s="44"/>
      <c r="Y11" s="33"/>
      <c r="Z11" s="49">
        <f t="shared" si="5"/>
        <v>42027</v>
      </c>
      <c r="AA11" s="50">
        <f t="shared" si="2"/>
        <v>0.99983080927905288</v>
      </c>
    </row>
    <row r="12" spans="2:27" x14ac:dyDescent="0.2">
      <c r="B12" s="37" t="s">
        <v>8</v>
      </c>
      <c r="C12" s="41" t="s">
        <v>13</v>
      </c>
      <c r="D12" s="11">
        <v>42086</v>
      </c>
      <c r="E12" s="35">
        <f>_xll.qlYieldTSDiscount(C$4,D12,,Triggers!RTDataTrigger)</f>
        <v>0.99965733078994856</v>
      </c>
      <c r="F12" s="44"/>
      <c r="G12" s="33"/>
      <c r="H12" s="49">
        <f t="shared" si="3"/>
        <v>42086</v>
      </c>
      <c r="I12" s="50">
        <f t="shared" si="0"/>
        <v>0.99965733078994856</v>
      </c>
      <c r="K12" s="37" t="s">
        <v>8</v>
      </c>
      <c r="L12" s="41" t="s">
        <v>13</v>
      </c>
      <c r="M12" s="11">
        <v>42354</v>
      </c>
      <c r="N12" s="35">
        <f>_xll.qlYieldTSDiscount(L$4,M12,,Triggers!RTDataTrigger)</f>
        <v>0.99589672685182684</v>
      </c>
      <c r="O12" s="44"/>
      <c r="P12" s="33"/>
      <c r="Q12" s="49">
        <f t="shared" si="4"/>
        <v>42354</v>
      </c>
      <c r="R12" s="50">
        <f t="shared" si="1"/>
        <v>0.99589672685182684</v>
      </c>
      <c r="T12" s="37" t="s">
        <v>8</v>
      </c>
      <c r="U12" s="41" t="s">
        <v>13</v>
      </c>
      <c r="V12" s="11">
        <v>42058</v>
      </c>
      <c r="W12" s="35">
        <f>_xll.qlYieldTSDiscount(U$4,V12,,Triggers!RTDataTrigger)</f>
        <v>0.99961069698039662</v>
      </c>
      <c r="X12" s="44"/>
      <c r="Y12" s="33"/>
      <c r="Z12" s="49">
        <f t="shared" si="5"/>
        <v>42058</v>
      </c>
      <c r="AA12" s="50">
        <f t="shared" si="2"/>
        <v>0.99961069698039662</v>
      </c>
    </row>
    <row r="13" spans="2:27" x14ac:dyDescent="0.2">
      <c r="B13" s="38" t="s">
        <v>9</v>
      </c>
      <c r="C13" s="42">
        <v>5</v>
      </c>
      <c r="D13" s="11">
        <v>42117</v>
      </c>
      <c r="E13" s="35">
        <f>_xll.qlYieldTSDiscount(C$4,D13,,Triggers!RTDataTrigger)</f>
        <v>0.99953883946733535</v>
      </c>
      <c r="F13" s="44"/>
      <c r="G13" s="33"/>
      <c r="H13" s="49">
        <f t="shared" si="3"/>
        <v>42117</v>
      </c>
      <c r="I13" s="50">
        <f t="shared" si="0"/>
        <v>0.99953883946733535</v>
      </c>
      <c r="K13" s="38" t="s">
        <v>9</v>
      </c>
      <c r="L13" s="42">
        <v>5</v>
      </c>
      <c r="M13" s="11">
        <v>42445</v>
      </c>
      <c r="N13" s="35">
        <f>_xll.qlYieldTSDiscount(L$4,M13,,Triggers!RTDataTrigger)</f>
        <v>0.99366197089636821</v>
      </c>
      <c r="O13" s="44"/>
      <c r="P13" s="33"/>
      <c r="Q13" s="49">
        <f t="shared" si="4"/>
        <v>42445</v>
      </c>
      <c r="R13" s="50">
        <f t="shared" si="1"/>
        <v>0.99366197089636821</v>
      </c>
      <c r="T13" s="38" t="s">
        <v>9</v>
      </c>
      <c r="U13" s="42">
        <v>5</v>
      </c>
      <c r="V13" s="11">
        <v>42086</v>
      </c>
      <c r="W13" s="35">
        <f>_xll.qlYieldTSDiscount(U$4,V13,,Triggers!RTDataTrigger)</f>
        <v>0.99934238730953617</v>
      </c>
      <c r="X13" s="44"/>
      <c r="Y13" s="33"/>
      <c r="Z13" s="49">
        <f t="shared" si="5"/>
        <v>42086</v>
      </c>
      <c r="AA13" s="50">
        <f t="shared" si="2"/>
        <v>0.99934238730953617</v>
      </c>
    </row>
    <row r="14" spans="2:27" x14ac:dyDescent="0.2">
      <c r="B14" s="37" t="s">
        <v>17</v>
      </c>
      <c r="C14" s="28">
        <f>COUNT(H4:H93)</f>
        <v>46</v>
      </c>
      <c r="D14" s="11">
        <v>42150</v>
      </c>
      <c r="E14" s="35">
        <f>_xll.qlYieldTSDiscount(C$4,D14,,Triggers!RTDataTrigger)</f>
        <v>0.99938225419175941</v>
      </c>
      <c r="F14" s="44"/>
      <c r="G14" s="33"/>
      <c r="H14" s="49">
        <f t="shared" si="3"/>
        <v>42150</v>
      </c>
      <c r="I14" s="50">
        <f t="shared" si="0"/>
        <v>0.99938225419175941</v>
      </c>
      <c r="K14" s="37" t="s">
        <v>17</v>
      </c>
      <c r="L14" s="28">
        <f>COUNT(Q4:Q93)</f>
        <v>29</v>
      </c>
      <c r="M14" s="11">
        <v>42537</v>
      </c>
      <c r="N14" s="35">
        <f>_xll.qlYieldTSDiscount(L$4,M14,,Triggers!RTDataTrigger)</f>
        <v>0.99078517038826741</v>
      </c>
      <c r="O14" s="44"/>
      <c r="P14" s="33"/>
      <c r="Q14" s="49">
        <f t="shared" si="4"/>
        <v>42537</v>
      </c>
      <c r="R14" s="50">
        <f t="shared" si="1"/>
        <v>0.99078517038826741</v>
      </c>
      <c r="T14" s="37" t="s">
        <v>17</v>
      </c>
      <c r="U14" s="28">
        <f>COUNT(Z4:Z93)</f>
        <v>53</v>
      </c>
      <c r="V14" s="11">
        <v>42117</v>
      </c>
      <c r="W14" s="35">
        <f>_xll.qlYieldTSDiscount(U$4,V14,,Triggers!RTDataTrigger)</f>
        <v>0.99901495414350594</v>
      </c>
      <c r="X14" s="44"/>
      <c r="Y14" s="33"/>
      <c r="Z14" s="49">
        <f t="shared" si="5"/>
        <v>42117</v>
      </c>
      <c r="AA14" s="50">
        <f t="shared" si="2"/>
        <v>0.99901495414350594</v>
      </c>
    </row>
    <row r="15" spans="2:27" x14ac:dyDescent="0.2">
      <c r="B15" s="38" t="s">
        <v>18</v>
      </c>
      <c r="C15" s="15">
        <f>GetNow(_xll.xlPushShmLiborCurveName(C8,C9,H4:INDEX(H4:H93,C14),I4:INDEX(I4:I93,C14),C10,C11,C12,C13+0*TYPE(ManualTrigger)))</f>
        <v>41992.735532407409</v>
      </c>
      <c r="D15" s="11">
        <v>42178</v>
      </c>
      <c r="E15" s="35">
        <f>_xll.qlYieldTSDiscount(C$4,D15,,Triggers!RTDataTrigger)</f>
        <v>0.9992296286967598</v>
      </c>
      <c r="F15" s="44"/>
      <c r="G15" s="33"/>
      <c r="H15" s="49">
        <f t="shared" si="3"/>
        <v>42178</v>
      </c>
      <c r="I15" s="50">
        <f t="shared" si="0"/>
        <v>0.9992296286967598</v>
      </c>
      <c r="K15" s="38" t="s">
        <v>18</v>
      </c>
      <c r="L15" s="15">
        <f>GetNow(_xll.xlPushShmLiborCurveName(L8,L9,Q4:INDEX(Q4:Q93,L14),R4:INDEX(R4:R93,L14),L10,L11,L12,L13+0*TYPE(ManualTrigger)))</f>
        <v>41992.735532407409</v>
      </c>
      <c r="M15" s="11">
        <v>42628</v>
      </c>
      <c r="N15" s="35">
        <f>_xll.qlYieldTSDiscount(L$4,M15,,Triggers!RTDataTrigger)</f>
        <v>0.98733266279280096</v>
      </c>
      <c r="O15" s="44"/>
      <c r="P15" s="33"/>
      <c r="Q15" s="49">
        <f t="shared" si="4"/>
        <v>42628</v>
      </c>
      <c r="R15" s="50">
        <f t="shared" si="1"/>
        <v>0.98733266279280096</v>
      </c>
      <c r="T15" s="38" t="s">
        <v>18</v>
      </c>
      <c r="U15" s="15">
        <f>GetNow(_xll.xlPushShmLiborCurveName(U8,U9,Z4:INDEX(Z4:Z93,U14),AA4:INDEX(AA4:AA93,U14),U10,U11,U12,U13+0*TYPE(ManualTrigger)))</f>
        <v>41992.735532407409</v>
      </c>
      <c r="V15" s="11">
        <v>42150</v>
      </c>
      <c r="W15" s="35">
        <f>_xll.qlYieldTSDiscount(U$4,V15,,Triggers!RTDataTrigger)</f>
        <v>0.99860437148518943</v>
      </c>
      <c r="X15" s="44"/>
      <c r="Y15" s="33"/>
      <c r="Z15" s="49">
        <f t="shared" si="5"/>
        <v>42150</v>
      </c>
      <c r="AA15" s="50">
        <f t="shared" si="2"/>
        <v>0.99860437148518943</v>
      </c>
    </row>
    <row r="16" spans="2:27" x14ac:dyDescent="0.2">
      <c r="D16" s="11">
        <v>42208</v>
      </c>
      <c r="E16" s="35">
        <f>_xll.qlYieldTSDiscount(C$4,D16,,Triggers!RTDataTrigger)</f>
        <v>0.99900152636604034</v>
      </c>
      <c r="F16" s="44"/>
      <c r="G16" s="33"/>
      <c r="H16" s="49">
        <f t="shared" si="3"/>
        <v>42208</v>
      </c>
      <c r="I16" s="50">
        <f t="shared" si="0"/>
        <v>0.99900152636604034</v>
      </c>
      <c r="M16" s="11">
        <v>42725</v>
      </c>
      <c r="N16" s="35">
        <f>_xll.qlYieldTSDiscount(L$4,M16,,Triggers!RTDataTrigger)</f>
        <v>0.98308043791023636</v>
      </c>
      <c r="O16" s="44"/>
      <c r="P16" s="33"/>
      <c r="Q16" s="49">
        <f t="shared" si="4"/>
        <v>42725</v>
      </c>
      <c r="R16" s="50">
        <f t="shared" si="1"/>
        <v>0.98308043791023636</v>
      </c>
      <c r="V16" s="11">
        <v>42178</v>
      </c>
      <c r="W16" s="35">
        <f>_xll.qlYieldTSDiscount(U$4,V16,,Triggers!RTDataTrigger)</f>
        <v>0.99820595287139402</v>
      </c>
      <c r="X16" s="44"/>
      <c r="Y16" s="33"/>
      <c r="Z16" s="49">
        <f t="shared" si="5"/>
        <v>42178</v>
      </c>
      <c r="AA16" s="50">
        <f t="shared" si="2"/>
        <v>0.99820595287139402</v>
      </c>
    </row>
    <row r="17" spans="2:27" x14ac:dyDescent="0.2">
      <c r="D17" s="11">
        <v>42240</v>
      </c>
      <c r="E17" s="35">
        <f>_xll.qlYieldTSDiscount(C$4,D17,,Triggers!RTDataTrigger)</f>
        <v>0.99871317843553264</v>
      </c>
      <c r="F17" s="44"/>
      <c r="G17" s="33"/>
      <c r="H17" s="49">
        <f t="shared" si="3"/>
        <v>42240</v>
      </c>
      <c r="I17" s="50">
        <f t="shared" si="0"/>
        <v>0.99871317843553264</v>
      </c>
      <c r="M17" s="11">
        <v>42815</v>
      </c>
      <c r="N17" s="35">
        <f>_xll.qlYieldTSDiscount(L$4,M17,,Triggers!RTDataTrigger)</f>
        <v>0.97862334887375046</v>
      </c>
      <c r="O17" s="44"/>
      <c r="P17" s="33"/>
      <c r="Q17" s="49">
        <f t="shared" si="4"/>
        <v>42815</v>
      </c>
      <c r="R17" s="50">
        <f t="shared" si="1"/>
        <v>0.97862334887375046</v>
      </c>
      <c r="V17" s="11">
        <v>42208</v>
      </c>
      <c r="W17" s="35">
        <f>_xll.qlYieldTSDiscount(U$4,V17,,Triggers!RTDataTrigger)</f>
        <v>0.99765897333909925</v>
      </c>
      <c r="X17" s="44"/>
      <c r="Y17" s="33"/>
      <c r="Z17" s="49">
        <f t="shared" si="5"/>
        <v>42208</v>
      </c>
      <c r="AA17" s="50">
        <f t="shared" si="2"/>
        <v>0.99765897333909925</v>
      </c>
    </row>
    <row r="18" spans="2:27" x14ac:dyDescent="0.2">
      <c r="D18" s="11">
        <v>42270</v>
      </c>
      <c r="E18" s="35">
        <f>_xll.qlYieldTSDiscount(C$4,D18,,Triggers!RTDataTrigger)</f>
        <v>0.99840683187091739</v>
      </c>
      <c r="F18" s="44"/>
      <c r="G18" s="33"/>
      <c r="H18" s="49">
        <f t="shared" si="3"/>
        <v>42270</v>
      </c>
      <c r="I18" s="50">
        <f t="shared" si="0"/>
        <v>0.99840683187091739</v>
      </c>
      <c r="K18" s="64"/>
      <c r="M18" s="11">
        <v>43096</v>
      </c>
      <c r="N18" s="35">
        <f>_xll.qlYieldTSDiscount(L$4,M18,,Triggers!RTDataTrigger)</f>
        <v>0.96268133391795041</v>
      </c>
      <c r="O18" s="44"/>
      <c r="P18" s="33"/>
      <c r="Q18" s="49">
        <f t="shared" si="4"/>
        <v>43096</v>
      </c>
      <c r="R18" s="50">
        <f t="shared" si="1"/>
        <v>0.96268133391795041</v>
      </c>
      <c r="T18" s="64"/>
      <c r="V18" s="11">
        <v>42240</v>
      </c>
      <c r="W18" s="35">
        <f>_xll.qlYieldTSDiscount(U$4,V18,,Triggers!RTDataTrigger)</f>
        <v>0.99699631439717873</v>
      </c>
      <c r="X18" s="44"/>
      <c r="Y18" s="33"/>
      <c r="Z18" s="49">
        <f t="shared" si="5"/>
        <v>42240</v>
      </c>
      <c r="AA18" s="50">
        <f t="shared" si="2"/>
        <v>0.99699631439717873</v>
      </c>
    </row>
    <row r="19" spans="2:27" x14ac:dyDescent="0.2">
      <c r="B19" s="64"/>
      <c r="D19" s="11">
        <v>42300</v>
      </c>
      <c r="E19" s="35">
        <f>_xll.qlYieldTSDiscount(C$4,D19,,Triggers!RTDataTrigger)</f>
        <v>0.99802540795344508</v>
      </c>
      <c r="F19" s="44"/>
      <c r="G19" s="33"/>
      <c r="H19" s="49">
        <f t="shared" si="3"/>
        <v>42300</v>
      </c>
      <c r="I19" s="50">
        <f t="shared" si="0"/>
        <v>0.99802540795344508</v>
      </c>
      <c r="K19" s="64"/>
      <c r="M19" s="11">
        <v>43458</v>
      </c>
      <c r="N19" s="35">
        <f>_xll.qlYieldTSDiscount(L$4,M19,,Triggers!RTDataTrigger)</f>
        <v>0.93950101383943219</v>
      </c>
      <c r="O19" s="44"/>
      <c r="P19" s="33"/>
      <c r="Q19" s="49">
        <f t="shared" si="4"/>
        <v>43458</v>
      </c>
      <c r="R19" s="50">
        <f t="shared" si="1"/>
        <v>0.93950101383943219</v>
      </c>
      <c r="T19" s="64"/>
      <c r="V19" s="11">
        <v>42263</v>
      </c>
      <c r="W19" s="35">
        <f>_xll.qlYieldTSDiscount(U$4,V19,,Triggers!RTDataTrigger)</f>
        <v>0.99646969901640958</v>
      </c>
      <c r="X19" s="44"/>
      <c r="Y19" s="33"/>
      <c r="Z19" s="49">
        <f t="shared" si="5"/>
        <v>42263</v>
      </c>
      <c r="AA19" s="50">
        <f t="shared" si="2"/>
        <v>0.99646969901640958</v>
      </c>
    </row>
    <row r="20" spans="2:27" x14ac:dyDescent="0.2">
      <c r="B20" s="64" t="b">
        <v>1</v>
      </c>
      <c r="D20" s="11">
        <v>42331</v>
      </c>
      <c r="E20" s="35">
        <f>_xll.qlYieldTSDiscount(C$4,D20,,Triggers!RTDataTrigger)</f>
        <v>0.99757720623995938</v>
      </c>
      <c r="F20" s="44"/>
      <c r="G20" s="33"/>
      <c r="H20" s="49">
        <f t="shared" si="3"/>
        <v>42331</v>
      </c>
      <c r="I20" s="50">
        <f t="shared" si="0"/>
        <v>0.99757720623995938</v>
      </c>
      <c r="K20" s="64"/>
      <c r="M20" s="11">
        <v>43822</v>
      </c>
      <c r="N20" s="35">
        <f>_xll.qlYieldTSDiscount(L$4,M20,,Triggers!RTDataTrigger)</f>
        <v>0.915146051442291</v>
      </c>
      <c r="O20" s="44"/>
      <c r="P20" s="33"/>
      <c r="Q20" s="49">
        <f t="shared" si="4"/>
        <v>43822</v>
      </c>
      <c r="R20" s="50">
        <f t="shared" si="1"/>
        <v>0.915146051442291</v>
      </c>
      <c r="T20" s="64"/>
      <c r="V20" s="11">
        <v>42354</v>
      </c>
      <c r="W20" s="35">
        <f>_xll.qlYieldTSDiscount(U$4,V20,,Triggers!RTDataTrigger)</f>
        <v>0.99484115509947457</v>
      </c>
      <c r="X20" s="44"/>
      <c r="Y20" s="33"/>
      <c r="Z20" s="49">
        <f t="shared" si="5"/>
        <v>42354</v>
      </c>
      <c r="AA20" s="50">
        <f t="shared" si="2"/>
        <v>0.99484115509947457</v>
      </c>
    </row>
    <row r="21" spans="2:27" x14ac:dyDescent="0.2">
      <c r="B21" s="64"/>
      <c r="D21" s="11">
        <v>42361</v>
      </c>
      <c r="E21" s="35">
        <f>_xll.qlYieldTSDiscount(C$4,D21,,Triggers!RTDataTrigger)</f>
        <v>0.99710112555285579</v>
      </c>
      <c r="F21" s="44"/>
      <c r="G21" s="33"/>
      <c r="H21" s="49">
        <f t="shared" si="3"/>
        <v>42361</v>
      </c>
      <c r="I21" s="50">
        <f t="shared" si="0"/>
        <v>0.99710112555285579</v>
      </c>
      <c r="K21" s="64"/>
      <c r="M21" s="11">
        <v>44188</v>
      </c>
      <c r="N21" s="35">
        <f>_xll.qlYieldTSDiscount(L$4,M21,,Triggers!RTDataTrigger)</f>
        <v>0.8903211755687428</v>
      </c>
      <c r="O21" s="44"/>
      <c r="P21" s="33"/>
      <c r="Q21" s="49">
        <f t="shared" si="4"/>
        <v>44188</v>
      </c>
      <c r="R21" s="50">
        <f t="shared" si="1"/>
        <v>0.8903211755687428</v>
      </c>
      <c r="T21" s="64"/>
      <c r="V21" s="11">
        <v>42445</v>
      </c>
      <c r="W21" s="35">
        <f>_xll.qlYieldTSDiscount(U$4,V21,,Triggers!RTDataTrigger)</f>
        <v>0.99260906406912319</v>
      </c>
      <c r="X21" s="44"/>
      <c r="Y21" s="33"/>
      <c r="Z21" s="49">
        <f t="shared" si="5"/>
        <v>42445</v>
      </c>
      <c r="AA21" s="50">
        <f t="shared" si="2"/>
        <v>0.99260906406912319</v>
      </c>
    </row>
    <row r="22" spans="2:27" x14ac:dyDescent="0.2">
      <c r="B22" s="64"/>
      <c r="D22" s="11">
        <v>42394</v>
      </c>
      <c r="E22" s="35">
        <f>_xll.qlYieldTSDiscount(C$4,D22,,Triggers!RTDataTrigger)</f>
        <v>0.99648897199300224</v>
      </c>
      <c r="F22" s="44"/>
      <c r="G22" s="33"/>
      <c r="H22" s="49">
        <f t="shared" si="3"/>
        <v>42394</v>
      </c>
      <c r="I22" s="50">
        <f t="shared" si="0"/>
        <v>0.99648897199300224</v>
      </c>
      <c r="K22" s="64"/>
      <c r="M22" s="11">
        <v>44553</v>
      </c>
      <c r="N22" s="35">
        <f>_xll.qlYieldTSDiscount(L$4,M22,,Triggers!RTDataTrigger)</f>
        <v>0.8652948495690217</v>
      </c>
      <c r="O22" s="44"/>
      <c r="P22" s="33"/>
      <c r="Q22" s="49">
        <f t="shared" si="4"/>
        <v>44553</v>
      </c>
      <c r="R22" s="50">
        <f t="shared" si="1"/>
        <v>0.8652948495690217</v>
      </c>
      <c r="T22" s="64"/>
      <c r="V22" s="11">
        <v>42537</v>
      </c>
      <c r="W22" s="35">
        <f>_xll.qlYieldTSDiscount(U$4,V22,,Triggers!RTDataTrigger)</f>
        <v>0.98973600341308221</v>
      </c>
      <c r="X22" s="44"/>
      <c r="Y22" s="33"/>
      <c r="Z22" s="49">
        <f t="shared" si="5"/>
        <v>42537</v>
      </c>
      <c r="AA22" s="50">
        <f t="shared" si="2"/>
        <v>0.98973600341308221</v>
      </c>
    </row>
    <row r="23" spans="2:27" x14ac:dyDescent="0.2">
      <c r="B23" s="64"/>
      <c r="D23" s="11">
        <v>42423</v>
      </c>
      <c r="E23" s="35">
        <f>_xll.qlYieldTSDiscount(C$4,D23,,Triggers!RTDataTrigger)</f>
        <v>0.99588090234208426</v>
      </c>
      <c r="F23" s="44"/>
      <c r="G23" s="33"/>
      <c r="H23" s="49">
        <f t="shared" si="3"/>
        <v>42423</v>
      </c>
      <c r="I23" s="50">
        <f t="shared" si="0"/>
        <v>0.99588090234208426</v>
      </c>
      <c r="K23" s="64"/>
      <c r="M23" s="11">
        <v>44918</v>
      </c>
      <c r="N23" s="35">
        <f>_xll.qlYieldTSDiscount(L$4,M23,,Triggers!RTDataTrigger)</f>
        <v>0.84048185079644022</v>
      </c>
      <c r="O23" s="44"/>
      <c r="P23" s="33"/>
      <c r="Q23" s="49">
        <f t="shared" si="4"/>
        <v>44918</v>
      </c>
      <c r="R23" s="50">
        <f t="shared" si="1"/>
        <v>0.84048185079644022</v>
      </c>
      <c r="T23" s="64"/>
      <c r="V23" s="11">
        <v>42628</v>
      </c>
      <c r="W23" s="35">
        <f>_xll.qlYieldTSDiscount(U$4,V23,,Triggers!RTDataTrigger)</f>
        <v>0.9862873486518009</v>
      </c>
      <c r="X23" s="44"/>
      <c r="Y23" s="33"/>
      <c r="Z23" s="49">
        <f t="shared" si="5"/>
        <v>42628</v>
      </c>
      <c r="AA23" s="50">
        <f t="shared" si="2"/>
        <v>0.9862873486518009</v>
      </c>
    </row>
    <row r="24" spans="2:27" x14ac:dyDescent="0.2">
      <c r="B24" s="64"/>
      <c r="D24" s="11">
        <v>42452</v>
      </c>
      <c r="E24" s="35">
        <f>_xll.qlYieldTSDiscount(C$4,D24,,Triggers!RTDataTrigger)</f>
        <v>0.99523775881968313</v>
      </c>
      <c r="F24" s="44"/>
      <c r="G24" s="33"/>
      <c r="H24" s="49">
        <f t="shared" si="3"/>
        <v>42452</v>
      </c>
      <c r="I24" s="50">
        <f t="shared" si="0"/>
        <v>0.99523775881968313</v>
      </c>
      <c r="K24" s="64"/>
      <c r="M24" s="11">
        <v>45287</v>
      </c>
      <c r="N24" s="35">
        <f>_xll.qlYieldTSDiscount(L$4,M24,,Triggers!RTDataTrigger)</f>
        <v>0.81572737801251205</v>
      </c>
      <c r="O24" s="44"/>
      <c r="P24" s="33"/>
      <c r="Q24" s="49">
        <f t="shared" si="4"/>
        <v>45287</v>
      </c>
      <c r="R24" s="50">
        <f t="shared" si="1"/>
        <v>0.81572737801251205</v>
      </c>
      <c r="T24" s="64"/>
      <c r="V24" s="11">
        <v>42725</v>
      </c>
      <c r="W24" s="35">
        <f>_xll.qlYieldTSDiscount(U$4,V24,,Triggers!RTDataTrigger)</f>
        <v>0.98203997533825615</v>
      </c>
      <c r="X24" s="44"/>
      <c r="Y24" s="33"/>
      <c r="Z24" s="49">
        <f t="shared" si="5"/>
        <v>42725</v>
      </c>
      <c r="AA24" s="50">
        <f t="shared" si="2"/>
        <v>0.98203997533825615</v>
      </c>
    </row>
    <row r="25" spans="2:27" x14ac:dyDescent="0.2">
      <c r="B25" s="64"/>
      <c r="D25" s="11">
        <v>42485</v>
      </c>
      <c r="E25" s="35">
        <f>_xll.qlYieldTSDiscount(C$4,D25,,Triggers!RTDataTrigger)</f>
        <v>0.99443649832200653</v>
      </c>
      <c r="F25" s="44"/>
      <c r="G25" s="33"/>
      <c r="H25" s="49">
        <f t="shared" si="3"/>
        <v>42485</v>
      </c>
      <c r="I25" s="50">
        <f t="shared" si="0"/>
        <v>0.99443649832200653</v>
      </c>
      <c r="K25" s="64"/>
      <c r="M25" s="11">
        <v>45649</v>
      </c>
      <c r="N25" s="35">
        <f>_xll.qlYieldTSDiscount(L$4,M25,,Triggers!RTDataTrigger)</f>
        <v>0.79185572687714623</v>
      </c>
      <c r="O25" s="44"/>
      <c r="P25" s="33"/>
      <c r="Q25" s="49">
        <f t="shared" si="4"/>
        <v>45649</v>
      </c>
      <c r="R25" s="50">
        <f t="shared" si="1"/>
        <v>0.79185572687714623</v>
      </c>
      <c r="T25" s="64"/>
      <c r="V25" s="11">
        <v>42815</v>
      </c>
      <c r="W25" s="35">
        <f>_xll.qlYieldTSDiscount(U$4,V25,,Triggers!RTDataTrigger)</f>
        <v>0.97758974243348995</v>
      </c>
      <c r="X25" s="44"/>
      <c r="Y25" s="33"/>
      <c r="Z25" s="49">
        <f t="shared" si="5"/>
        <v>42815</v>
      </c>
      <c r="AA25" s="50">
        <f t="shared" si="2"/>
        <v>0.97758974243348995</v>
      </c>
    </row>
    <row r="26" spans="2:27" x14ac:dyDescent="0.2">
      <c r="B26" s="64"/>
      <c r="D26" s="11">
        <v>42513</v>
      </c>
      <c r="E26" s="35">
        <f>_xll.qlYieldTSDiscount(C$4,D26,,Triggers!RTDataTrigger)</f>
        <v>0.99366373257147067</v>
      </c>
      <c r="F26" s="44"/>
      <c r="G26" s="33"/>
      <c r="H26" s="49">
        <f t="shared" si="3"/>
        <v>42513</v>
      </c>
      <c r="I26" s="50">
        <f t="shared" si="0"/>
        <v>0.99366373257147067</v>
      </c>
      <c r="K26" s="64"/>
      <c r="M26" s="11">
        <v>46379</v>
      </c>
      <c r="N26" s="35">
        <f>_xll.qlYieldTSDiscount(L$4,M26,,Triggers!RTDataTrigger)</f>
        <v>0.74460129343851522</v>
      </c>
      <c r="O26" s="44"/>
      <c r="P26" s="33"/>
      <c r="Q26" s="49">
        <f t="shared" si="4"/>
        <v>46379</v>
      </c>
      <c r="R26" s="50">
        <f t="shared" si="1"/>
        <v>0.74460129343851522</v>
      </c>
      <c r="T26" s="64"/>
      <c r="V26" s="11">
        <v>43095</v>
      </c>
      <c r="W26" s="35">
        <f>_xll.qlYieldTSDiscount(U$4,V26,,Triggers!RTDataTrigger)</f>
        <v>0.96270539505728914</v>
      </c>
      <c r="X26" s="44"/>
      <c r="Y26" s="33"/>
      <c r="Z26" s="49">
        <f t="shared" si="5"/>
        <v>43095</v>
      </c>
      <c r="AA26" s="50">
        <f t="shared" si="2"/>
        <v>0.96270539505728914</v>
      </c>
    </row>
    <row r="27" spans="2:27" x14ac:dyDescent="0.2">
      <c r="B27" s="64"/>
      <c r="D27" s="11">
        <v>42544</v>
      </c>
      <c r="E27" s="35">
        <f>_xll.qlYieldTSDiscount(C$4,D27,,Triggers!RTDataTrigger)</f>
        <v>0.99278819786051586</v>
      </c>
      <c r="F27" s="44"/>
      <c r="G27" s="33"/>
      <c r="H27" s="49">
        <f t="shared" si="3"/>
        <v>42544</v>
      </c>
      <c r="I27" s="50">
        <f t="shared" si="0"/>
        <v>0.99278819786051586</v>
      </c>
      <c r="K27" s="64"/>
      <c r="M27" s="11">
        <v>47476</v>
      </c>
      <c r="N27" s="35">
        <f>_xll.qlYieldTSDiscount(L$4,M27,,Triggers!RTDataTrigger)</f>
        <v>0.67815501965805614</v>
      </c>
      <c r="O27" s="44"/>
      <c r="P27" s="33"/>
      <c r="Q27" s="49">
        <f t="shared" si="4"/>
        <v>47476</v>
      </c>
      <c r="R27" s="50">
        <f t="shared" si="1"/>
        <v>0.67815501965805614</v>
      </c>
      <c r="T27" s="64"/>
      <c r="V27" s="11">
        <v>43458</v>
      </c>
      <c r="W27" s="35">
        <f>_xll.qlYieldTSDiscount(U$4,V27,,Triggers!RTDataTrigger)</f>
        <v>0.93948276920985507</v>
      </c>
      <c r="X27" s="44"/>
      <c r="Y27" s="33"/>
      <c r="Z27" s="49">
        <f t="shared" si="5"/>
        <v>43458</v>
      </c>
      <c r="AA27" s="50">
        <f t="shared" si="2"/>
        <v>0.93948276920985507</v>
      </c>
    </row>
    <row r="28" spans="2:27" x14ac:dyDescent="0.2">
      <c r="B28" s="64"/>
      <c r="D28" s="11">
        <v>42576</v>
      </c>
      <c r="E28" s="35">
        <f>_xll.qlYieldTSDiscount(C$4,D28,,Triggers!RTDataTrigger)</f>
        <v>0.99179553521143593</v>
      </c>
      <c r="F28" s="44"/>
      <c r="G28" s="33"/>
      <c r="H28" s="49">
        <f t="shared" si="3"/>
        <v>42576</v>
      </c>
      <c r="I28" s="50">
        <f t="shared" si="0"/>
        <v>0.99179553521143593</v>
      </c>
      <c r="K28" s="64"/>
      <c r="M28" s="11">
        <v>49305</v>
      </c>
      <c r="N28" s="35">
        <f>_xll.qlYieldTSDiscount(L$4,M28,,Triggers!RTDataTrigger)</f>
        <v>0.58052252405007765</v>
      </c>
      <c r="O28" s="44"/>
      <c r="P28" s="33"/>
      <c r="Q28" s="49">
        <f t="shared" si="4"/>
        <v>49305</v>
      </c>
      <c r="R28" s="50">
        <f t="shared" si="1"/>
        <v>0.58052252405007765</v>
      </c>
      <c r="T28" s="64"/>
      <c r="V28" s="11">
        <v>43822</v>
      </c>
      <c r="W28" s="35">
        <f>_xll.qlYieldTSDiscount(U$4,V28,,Triggers!RTDataTrigger)</f>
        <v>0.91510586238401881</v>
      </c>
      <c r="X28" s="44"/>
      <c r="Y28" s="33"/>
      <c r="Z28" s="49">
        <f t="shared" si="5"/>
        <v>43822</v>
      </c>
      <c r="AA28" s="50">
        <f t="shared" si="2"/>
        <v>0.91510586238401881</v>
      </c>
    </row>
    <row r="29" spans="2:27" x14ac:dyDescent="0.2">
      <c r="B29" s="64"/>
      <c r="D29" s="11">
        <v>42605</v>
      </c>
      <c r="E29" s="35">
        <f>_xll.qlYieldTSDiscount(C$4,D29,,Triggers!RTDataTrigger)</f>
        <v>0.99081939499625815</v>
      </c>
      <c r="F29" s="44"/>
      <c r="G29" s="33"/>
      <c r="H29" s="49">
        <f t="shared" si="3"/>
        <v>42605</v>
      </c>
      <c r="I29" s="50">
        <f t="shared" si="0"/>
        <v>0.99081939499625815</v>
      </c>
      <c r="K29" s="64"/>
      <c r="M29" s="11">
        <v>51127</v>
      </c>
      <c r="N29" s="35">
        <f>_xll.qlYieldTSDiscount(L$4,M29,,Triggers!RTDataTrigger)</f>
        <v>0.49964303949025118</v>
      </c>
      <c r="O29" s="44"/>
      <c r="P29" s="33"/>
      <c r="Q29" s="49">
        <f t="shared" si="4"/>
        <v>51127</v>
      </c>
      <c r="R29" s="50">
        <f t="shared" si="1"/>
        <v>0.49964303949025118</v>
      </c>
      <c r="T29" s="64"/>
      <c r="V29" s="11">
        <v>44188</v>
      </c>
      <c r="W29" s="35">
        <f>_xll.qlYieldTSDiscount(U$4,V29,,Triggers!RTDataTrigger)</f>
        <v>0.8902553096908955</v>
      </c>
      <c r="X29" s="44"/>
      <c r="Y29" s="33"/>
      <c r="Z29" s="49">
        <f t="shared" si="5"/>
        <v>44188</v>
      </c>
      <c r="AA29" s="50">
        <f t="shared" si="2"/>
        <v>0.8902553096908955</v>
      </c>
    </row>
    <row r="30" spans="2:27" x14ac:dyDescent="0.2">
      <c r="B30" s="64"/>
      <c r="D30" s="11">
        <v>42636</v>
      </c>
      <c r="E30" s="35">
        <f>_xll.qlYieldTSDiscount(C$4,D30,,Triggers!RTDataTrigger)</f>
        <v>0.98975887292389308</v>
      </c>
      <c r="F30" s="44"/>
      <c r="G30" s="33"/>
      <c r="H30" s="49">
        <f t="shared" si="3"/>
        <v>42636</v>
      </c>
      <c r="I30" s="50">
        <f t="shared" si="0"/>
        <v>0.98975887292389308</v>
      </c>
      <c r="K30" s="64"/>
      <c r="M30" s="11">
        <v>52954</v>
      </c>
      <c r="N30" s="35">
        <f>_xll.qlYieldTSDiscount(L$4,M30,,Triggers!RTDataTrigger)</f>
        <v>0.43157038059580283</v>
      </c>
      <c r="O30" s="44"/>
      <c r="P30" s="33"/>
      <c r="Q30" s="49">
        <f t="shared" si="4"/>
        <v>52954</v>
      </c>
      <c r="R30" s="50">
        <f t="shared" si="1"/>
        <v>0.43157038059580283</v>
      </c>
      <c r="T30" s="64"/>
      <c r="V30" s="11">
        <v>44553</v>
      </c>
      <c r="W30" s="35">
        <f>_xll.qlYieldTSDiscount(U$4,V30,,Triggers!RTDataTrigger)</f>
        <v>0.8651969977776891</v>
      </c>
      <c r="X30" s="44"/>
      <c r="Y30" s="33"/>
      <c r="Z30" s="49">
        <f t="shared" si="5"/>
        <v>44553</v>
      </c>
      <c r="AA30" s="50">
        <f t="shared" si="2"/>
        <v>0.8651969977776891</v>
      </c>
    </row>
    <row r="31" spans="2:27" x14ac:dyDescent="0.2">
      <c r="B31" s="64"/>
      <c r="D31" s="11">
        <v>42667</v>
      </c>
      <c r="E31" s="35">
        <f>_xll.qlYieldTSDiscount(C$4,D31,,Triggers!RTDataTrigger)</f>
        <v>0.9885870431046927</v>
      </c>
      <c r="F31" s="44"/>
      <c r="G31" s="33"/>
      <c r="H31" s="49">
        <f t="shared" si="3"/>
        <v>42667</v>
      </c>
      <c r="I31" s="50">
        <f t="shared" si="0"/>
        <v>0.9885870431046927</v>
      </c>
      <c r="K31" s="64"/>
      <c r="M31" s="11">
        <v>56606</v>
      </c>
      <c r="N31" s="35">
        <f>_xll.qlYieldTSDiscount(L$4,M31,,Triggers!RTDataTrigger)</f>
        <v>0.3245543043100822</v>
      </c>
      <c r="O31" s="44"/>
      <c r="P31" s="33"/>
      <c r="Q31" s="49">
        <f t="shared" si="4"/>
        <v>56606</v>
      </c>
      <c r="R31" s="50">
        <f t="shared" si="1"/>
        <v>0.3245543043100822</v>
      </c>
      <c r="T31" s="64"/>
      <c r="V31" s="11">
        <v>44918</v>
      </c>
      <c r="W31" s="35">
        <f>_xll.qlYieldTSDiscount(U$4,V31,,Triggers!RTDataTrigger)</f>
        <v>0.84034530220826431</v>
      </c>
      <c r="X31" s="44"/>
      <c r="Y31" s="33"/>
      <c r="Z31" s="49">
        <f t="shared" si="5"/>
        <v>44918</v>
      </c>
      <c r="AA31" s="50">
        <f t="shared" si="2"/>
        <v>0.84034530220826431</v>
      </c>
    </row>
    <row r="32" spans="2:27" x14ac:dyDescent="0.2">
      <c r="B32" s="64"/>
      <c r="D32" s="11">
        <v>42697</v>
      </c>
      <c r="E32" s="35">
        <f>_xll.qlYieldTSDiscount(C$4,D32,,Triggers!RTDataTrigger)</f>
        <v>0.98746838552771421</v>
      </c>
      <c r="F32" s="44"/>
      <c r="G32" s="33"/>
      <c r="H32" s="49">
        <f t="shared" si="3"/>
        <v>42697</v>
      </c>
      <c r="I32" s="50">
        <f t="shared" si="0"/>
        <v>0.98746838552771421</v>
      </c>
      <c r="K32" s="64"/>
      <c r="M32" s="11">
        <v>60259</v>
      </c>
      <c r="N32" s="35">
        <f>_xll.qlYieldTSDiscount(L$4,M32,,Triggers!RTDataTrigger)</f>
        <v>0.25142852105679214</v>
      </c>
      <c r="O32" s="44"/>
      <c r="P32" s="33"/>
      <c r="Q32" s="49">
        <f t="shared" si="4"/>
        <v>60259</v>
      </c>
      <c r="R32" s="50">
        <f t="shared" si="1"/>
        <v>0.25142852105679214</v>
      </c>
      <c r="T32" s="64"/>
      <c r="V32" s="11">
        <v>45286</v>
      </c>
      <c r="W32" s="35">
        <f>_xll.qlYieldTSDiscount(U$4,V32,,Triggers!RTDataTrigger)</f>
        <v>0.81559461078207673</v>
      </c>
      <c r="X32" s="44"/>
      <c r="Y32" s="33"/>
      <c r="Z32" s="49">
        <f t="shared" si="5"/>
        <v>45286</v>
      </c>
      <c r="AA32" s="50">
        <f t="shared" si="2"/>
        <v>0.81559461078207673</v>
      </c>
    </row>
    <row r="33" spans="2:27" x14ac:dyDescent="0.2">
      <c r="B33" s="64"/>
      <c r="D33" s="11">
        <v>42727</v>
      </c>
      <c r="E33" s="35">
        <f>_xll.qlYieldTSDiscount(C$4,D33,,Triggers!RTDataTrigger)</f>
        <v>0.98625928884965619</v>
      </c>
      <c r="F33" s="44"/>
      <c r="G33" s="33"/>
      <c r="H33" s="49">
        <f t="shared" si="3"/>
        <v>42727</v>
      </c>
      <c r="I33" s="50">
        <f t="shared" si="0"/>
        <v>0.98625928884965619</v>
      </c>
      <c r="K33" s="64"/>
      <c r="M33" s="11" t="e">
        <v>#N/A</v>
      </c>
      <c r="N33" s="35" t="e">
        <f>_xll.qlYieldTSDiscount(L$4,M33,,Triggers!RTDataTrigger)</f>
        <v>#NUM!</v>
      </c>
      <c r="O33" s="44"/>
      <c r="P33" s="33"/>
      <c r="Q33" s="49" t="e">
        <f t="shared" si="4"/>
        <v>#N/A</v>
      </c>
      <c r="R33" s="50" t="e">
        <f t="shared" si="1"/>
        <v>#NUM!</v>
      </c>
      <c r="T33" s="64"/>
      <c r="V33" s="11">
        <v>45649</v>
      </c>
      <c r="W33" s="35">
        <f>_xll.qlYieldTSDiscount(U$4,V33,,Triggers!RTDataTrigger)</f>
        <v>0.79163068061476227</v>
      </c>
      <c r="X33" s="44"/>
      <c r="Y33" s="33"/>
      <c r="Z33" s="49">
        <f t="shared" si="5"/>
        <v>45649</v>
      </c>
      <c r="AA33" s="50">
        <f t="shared" si="2"/>
        <v>0.79163068061476227</v>
      </c>
    </row>
    <row r="34" spans="2:27" x14ac:dyDescent="0.2">
      <c r="B34" s="64"/>
      <c r="D34" s="11">
        <v>43095</v>
      </c>
      <c r="E34" s="35">
        <f>_xll.qlYieldTSDiscount(C$4,D34,,Triggers!RTDataTrigger)</f>
        <v>0.96798871505921902</v>
      </c>
      <c r="F34" s="44"/>
      <c r="G34" s="33"/>
      <c r="H34" s="49">
        <f t="shared" si="3"/>
        <v>43095</v>
      </c>
      <c r="I34" s="50">
        <f t="shared" si="0"/>
        <v>0.96798871505921902</v>
      </c>
      <c r="K34" s="64"/>
      <c r="M34" s="11" t="e">
        <v>#N/A</v>
      </c>
      <c r="N34" s="35" t="e">
        <f>_xll.qlYieldTSDiscount(L$4,M34,,Triggers!RTDataTrigger)</f>
        <v>#NUM!</v>
      </c>
      <c r="O34" s="44"/>
      <c r="P34" s="33"/>
      <c r="Q34" s="49" t="e">
        <f t="shared" si="4"/>
        <v>#N/A</v>
      </c>
      <c r="R34" s="50" t="e">
        <f t="shared" si="1"/>
        <v>#NUM!</v>
      </c>
      <c r="T34" s="64"/>
      <c r="V34" s="11">
        <v>46014</v>
      </c>
      <c r="W34" s="35">
        <f>_xll.qlYieldTSDiscount(U$4,V34,,Triggers!RTDataTrigger)</f>
        <v>0.76774609794356996</v>
      </c>
      <c r="X34" s="44"/>
      <c r="Y34" s="33"/>
      <c r="Z34" s="49">
        <f t="shared" si="5"/>
        <v>46014</v>
      </c>
      <c r="AA34" s="50">
        <f t="shared" si="2"/>
        <v>0.76774609794356996</v>
      </c>
    </row>
    <row r="35" spans="2:27" x14ac:dyDescent="0.2">
      <c r="B35" s="64"/>
      <c r="D35" s="11">
        <v>43458</v>
      </c>
      <c r="E35" s="35">
        <f>_xll.qlYieldTSDiscount(C$4,D35,,Triggers!RTDataTrigger)</f>
        <v>0.94701349319498207</v>
      </c>
      <c r="F35" s="44"/>
      <c r="G35" s="33"/>
      <c r="H35" s="49">
        <f t="shared" si="3"/>
        <v>43458</v>
      </c>
      <c r="I35" s="50">
        <f t="shared" si="0"/>
        <v>0.94701349319498207</v>
      </c>
      <c r="K35" s="64"/>
      <c r="M35" s="11" t="e">
        <v>#N/A</v>
      </c>
      <c r="N35" s="35" t="e">
        <f>_xll.qlYieldTSDiscount(L$4,M35,,Triggers!RTDataTrigger)</f>
        <v>#NUM!</v>
      </c>
      <c r="O35" s="44"/>
      <c r="P35" s="33"/>
      <c r="Q35" s="49" t="e">
        <f t="shared" si="4"/>
        <v>#N/A</v>
      </c>
      <c r="R35" s="50" t="e">
        <f t="shared" si="1"/>
        <v>#NUM!</v>
      </c>
      <c r="T35" s="64"/>
      <c r="V35" s="11">
        <v>46379</v>
      </c>
      <c r="W35" s="35">
        <f>_xll.qlYieldTSDiscount(U$4,V35,,Triggers!RTDataTrigger)</f>
        <v>0.74427822311935676</v>
      </c>
      <c r="X35" s="44"/>
      <c r="Y35" s="33"/>
      <c r="Z35" s="49">
        <f t="shared" si="5"/>
        <v>46379</v>
      </c>
      <c r="AA35" s="50">
        <f t="shared" si="2"/>
        <v>0.74427822311935676</v>
      </c>
    </row>
    <row r="36" spans="2:27" x14ac:dyDescent="0.2">
      <c r="B36" s="64"/>
      <c r="D36" s="11">
        <v>43822</v>
      </c>
      <c r="E36" s="35">
        <f>_xll.qlYieldTSDiscount(C$4,D36,,Triggers!RTDataTrigger)</f>
        <v>0.92452449841627693</v>
      </c>
      <c r="F36" s="44"/>
      <c r="G36" s="33"/>
      <c r="H36" s="49">
        <f t="shared" si="3"/>
        <v>43822</v>
      </c>
      <c r="I36" s="50">
        <f t="shared" si="0"/>
        <v>0.92452449841627693</v>
      </c>
      <c r="K36" s="64"/>
      <c r="M36" s="11" t="e">
        <v>#N/A</v>
      </c>
      <c r="N36" s="35" t="e">
        <f>_xll.qlYieldTSDiscount(L$4,M36,,Triggers!RTDataTrigger)</f>
        <v>#NUM!</v>
      </c>
      <c r="O36" s="44"/>
      <c r="P36" s="33"/>
      <c r="Q36" s="49" t="e">
        <f t="shared" si="4"/>
        <v>#N/A</v>
      </c>
      <c r="R36" s="50" t="e">
        <f t="shared" si="1"/>
        <v>#NUM!</v>
      </c>
      <c r="T36" s="64"/>
      <c r="V36" s="11">
        <v>46744</v>
      </c>
      <c r="W36" s="35">
        <f>_xll.qlYieldTSDiscount(U$4,V36,,Triggers!RTDataTrigger)</f>
        <v>0.72145640222244578</v>
      </c>
      <c r="X36" s="44"/>
      <c r="Y36" s="33"/>
      <c r="Z36" s="49">
        <f t="shared" si="5"/>
        <v>46744</v>
      </c>
      <c r="AA36" s="50">
        <f t="shared" si="2"/>
        <v>0.72145640222244578</v>
      </c>
    </row>
    <row r="37" spans="2:27" x14ac:dyDescent="0.2">
      <c r="B37" s="64"/>
      <c r="D37" s="11">
        <v>44188</v>
      </c>
      <c r="E37" s="35">
        <f>_xll.qlYieldTSDiscount(C$4,D37,,Triggers!RTDataTrigger)</f>
        <v>0.9016175063374936</v>
      </c>
      <c r="F37" s="44"/>
      <c r="G37" s="33"/>
      <c r="H37" s="49">
        <f t="shared" si="3"/>
        <v>44188</v>
      </c>
      <c r="I37" s="50">
        <f t="shared" si="0"/>
        <v>0.9016175063374936</v>
      </c>
      <c r="K37" s="64"/>
      <c r="M37" s="11" t="e">
        <v>#N/A</v>
      </c>
      <c r="N37" s="35" t="e">
        <f>_xll.qlYieldTSDiscount(L$4,M37,,Triggers!RTDataTrigger)</f>
        <v>#NUM!</v>
      </c>
      <c r="O37" s="44"/>
      <c r="P37" s="33"/>
      <c r="Q37" s="49" t="e">
        <f t="shared" si="4"/>
        <v>#N/A</v>
      </c>
      <c r="R37" s="50" t="e">
        <f t="shared" si="1"/>
        <v>#NUM!</v>
      </c>
      <c r="T37" s="64"/>
      <c r="V37" s="11">
        <v>47113</v>
      </c>
      <c r="W37" s="35">
        <f>_xll.qlYieldTSDiscount(U$4,V37,,Triggers!RTDataTrigger)</f>
        <v>0.69905240393368095</v>
      </c>
      <c r="X37" s="44"/>
      <c r="Y37" s="33"/>
      <c r="Z37" s="49">
        <f t="shared" si="5"/>
        <v>47113</v>
      </c>
      <c r="AA37" s="50">
        <f t="shared" si="2"/>
        <v>0.69905240393368095</v>
      </c>
    </row>
    <row r="38" spans="2:27" x14ac:dyDescent="0.2">
      <c r="B38" s="64"/>
      <c r="D38" s="11">
        <v>44553</v>
      </c>
      <c r="E38" s="35">
        <f>_xll.qlYieldTSDiscount(C$4,D38,,Triggers!RTDataTrigger)</f>
        <v>0.87869512359807922</v>
      </c>
      <c r="F38" s="44"/>
      <c r="G38" s="33"/>
      <c r="H38" s="49">
        <f t="shared" si="3"/>
        <v>44553</v>
      </c>
      <c r="I38" s="50">
        <f t="shared" si="0"/>
        <v>0.87869512359807922</v>
      </c>
      <c r="K38" s="64"/>
      <c r="M38" s="11" t="e">
        <v>#N/A</v>
      </c>
      <c r="N38" s="35" t="e">
        <f>_xll.qlYieldTSDiscount(L$4,M38,,Triggers!RTDataTrigger)</f>
        <v>#NUM!</v>
      </c>
      <c r="O38" s="44"/>
      <c r="P38" s="33"/>
      <c r="Q38" s="49" t="e">
        <f t="shared" si="4"/>
        <v>#N/A</v>
      </c>
      <c r="R38" s="50" t="e">
        <f t="shared" si="1"/>
        <v>#NUM!</v>
      </c>
      <c r="T38" s="64"/>
      <c r="V38" s="11">
        <v>47476</v>
      </c>
      <c r="W38" s="35">
        <f>_xll.qlYieldTSDiscount(U$4,V38,,Triggers!RTDataTrigger)</f>
        <v>0.67768666932996202</v>
      </c>
      <c r="X38" s="44"/>
      <c r="Y38" s="33"/>
      <c r="Z38" s="49">
        <f t="shared" si="5"/>
        <v>47476</v>
      </c>
      <c r="AA38" s="50">
        <f t="shared" si="2"/>
        <v>0.67768666932996202</v>
      </c>
    </row>
    <row r="39" spans="2:27" x14ac:dyDescent="0.2">
      <c r="B39" s="64"/>
      <c r="D39" s="11">
        <v>44918</v>
      </c>
      <c r="E39" s="35">
        <f>_xll.qlYieldTSDiscount(C$4,D39,,Triggers!RTDataTrigger)</f>
        <v>0.85572607830172387</v>
      </c>
      <c r="F39" s="44"/>
      <c r="G39" s="33"/>
      <c r="H39" s="49">
        <f t="shared" si="3"/>
        <v>44918</v>
      </c>
      <c r="I39" s="50">
        <f t="shared" si="0"/>
        <v>0.85572607830172387</v>
      </c>
      <c r="K39" s="64"/>
      <c r="M39" s="11" t="e">
        <v>#N/A</v>
      </c>
      <c r="N39" s="35" t="e">
        <f>_xll.qlYieldTSDiscount(L$4,M39,,Triggers!RTDataTrigger)</f>
        <v>#NUM!</v>
      </c>
      <c r="O39" s="44"/>
      <c r="P39" s="33"/>
      <c r="Q39" s="49" t="e">
        <f t="shared" si="4"/>
        <v>#N/A</v>
      </c>
      <c r="R39" s="50" t="e">
        <f t="shared" si="1"/>
        <v>#NUM!</v>
      </c>
      <c r="T39" s="64"/>
      <c r="V39" s="11">
        <v>47840</v>
      </c>
      <c r="W39" s="35">
        <f>_xll.qlYieldTSDiscount(U$4,V39,,Triggers!RTDataTrigger)</f>
        <v>0.65688028337822602</v>
      </c>
      <c r="X39" s="44"/>
      <c r="Y39" s="33"/>
      <c r="Z39" s="49">
        <f t="shared" si="5"/>
        <v>47840</v>
      </c>
      <c r="AA39" s="50">
        <f t="shared" si="2"/>
        <v>0.65688028337822602</v>
      </c>
    </row>
    <row r="40" spans="2:27" x14ac:dyDescent="0.2">
      <c r="B40" s="64"/>
      <c r="D40" s="11">
        <v>45286</v>
      </c>
      <c r="E40" s="35">
        <f>_xll.qlYieldTSDiscount(C$4,D40,,Triggers!RTDataTrigger)</f>
        <v>0.83260039531351171</v>
      </c>
      <c r="F40" s="44"/>
      <c r="G40" s="33"/>
      <c r="H40" s="49">
        <f t="shared" si="3"/>
        <v>45286</v>
      </c>
      <c r="I40" s="50">
        <f t="shared" si="0"/>
        <v>0.83260039531351171</v>
      </c>
      <c r="K40" s="64"/>
      <c r="M40" s="11" t="e">
        <v>#N/A</v>
      </c>
      <c r="N40" s="35" t="e">
        <f>_xll.qlYieldTSDiscount(L$4,M40,,Triggers!RTDataTrigger)</f>
        <v>#NUM!</v>
      </c>
      <c r="O40" s="44"/>
      <c r="P40" s="33"/>
      <c r="Q40" s="49" t="e">
        <f t="shared" si="4"/>
        <v>#N/A</v>
      </c>
      <c r="R40" s="50" t="e">
        <f t="shared" si="1"/>
        <v>#NUM!</v>
      </c>
      <c r="T40" s="64"/>
      <c r="V40" s="11">
        <v>48205</v>
      </c>
      <c r="W40" s="35">
        <f>_xll.qlYieldTSDiscount(U$4,V40,,Triggers!RTDataTrigger)</f>
        <v>0.63666657414928463</v>
      </c>
      <c r="X40" s="44"/>
      <c r="Y40" s="33"/>
      <c r="Z40" s="49">
        <f t="shared" si="5"/>
        <v>48205</v>
      </c>
      <c r="AA40" s="50">
        <f t="shared" si="2"/>
        <v>0.63666657414928463</v>
      </c>
    </row>
    <row r="41" spans="2:27" x14ac:dyDescent="0.2">
      <c r="B41" s="64"/>
      <c r="D41" s="11">
        <v>45649</v>
      </c>
      <c r="E41" s="35">
        <f>_xll.qlYieldTSDiscount(C$4,D41,,Triggers!RTDataTrigger)</f>
        <v>0.81008133700030238</v>
      </c>
      <c r="F41" s="44"/>
      <c r="G41" s="33"/>
      <c r="H41" s="49">
        <f t="shared" si="3"/>
        <v>45649</v>
      </c>
      <c r="I41" s="50">
        <f t="shared" si="0"/>
        <v>0.81008133700030238</v>
      </c>
      <c r="K41" s="64"/>
      <c r="M41" s="11" t="e">
        <v>#N/A</v>
      </c>
      <c r="N41" s="35" t="e">
        <f>_xll.qlYieldTSDiscount(L$4,M41,,Triggers!RTDataTrigger)</f>
        <v>#NUM!</v>
      </c>
      <c r="O41" s="44"/>
      <c r="P41" s="33"/>
      <c r="Q41" s="49" t="e">
        <f t="shared" si="4"/>
        <v>#N/A</v>
      </c>
      <c r="R41" s="50" t="e">
        <f t="shared" si="1"/>
        <v>#NUM!</v>
      </c>
      <c r="T41" s="64"/>
      <c r="V41" s="11">
        <v>48571</v>
      </c>
      <c r="W41" s="35">
        <f>_xll.qlYieldTSDiscount(U$4,V41,,Triggers!RTDataTrigger)</f>
        <v>0.61706877746944477</v>
      </c>
      <c r="X41" s="44"/>
      <c r="Y41" s="33"/>
      <c r="Z41" s="49">
        <f t="shared" si="5"/>
        <v>48571</v>
      </c>
      <c r="AA41" s="50">
        <f t="shared" si="2"/>
        <v>0.61706877746944477</v>
      </c>
    </row>
    <row r="42" spans="2:27" x14ac:dyDescent="0.2">
      <c r="B42" s="64"/>
      <c r="D42" s="11">
        <v>46379</v>
      </c>
      <c r="E42" s="35">
        <f>_xll.qlYieldTSDiscount(C$4,D42,,Triggers!RTDataTrigger)</f>
        <v>0.76538584232692763</v>
      </c>
      <c r="F42" s="44"/>
      <c r="G42" s="33"/>
      <c r="H42" s="49">
        <f t="shared" si="3"/>
        <v>46379</v>
      </c>
      <c r="I42" s="50">
        <f t="shared" si="0"/>
        <v>0.76538584232692763</v>
      </c>
      <c r="K42" s="64"/>
      <c r="M42" s="11" t="e">
        <v>#N/A</v>
      </c>
      <c r="N42" s="35" t="e">
        <f>_xll.qlYieldTSDiscount(L$4,M42,,Triggers!RTDataTrigger)</f>
        <v>#NUM!</v>
      </c>
      <c r="O42" s="44"/>
      <c r="P42" s="33"/>
      <c r="Q42" s="49" t="e">
        <f t="shared" si="4"/>
        <v>#N/A</v>
      </c>
      <c r="R42" s="50" t="e">
        <f t="shared" si="1"/>
        <v>#NUM!</v>
      </c>
      <c r="T42" s="64"/>
      <c r="V42" s="11">
        <v>48936</v>
      </c>
      <c r="W42" s="35">
        <f>_xll.qlYieldTSDiscount(U$4,V42,,Triggers!RTDataTrigger)</f>
        <v>0.59820758309749067</v>
      </c>
      <c r="X42" s="44"/>
      <c r="Y42" s="33"/>
      <c r="Z42" s="49">
        <f t="shared" si="5"/>
        <v>48936</v>
      </c>
      <c r="AA42" s="50">
        <f t="shared" si="2"/>
        <v>0.59820758309749067</v>
      </c>
    </row>
    <row r="43" spans="2:27" x14ac:dyDescent="0.2">
      <c r="B43" s="64"/>
      <c r="D43" s="11">
        <v>47476</v>
      </c>
      <c r="E43" s="35">
        <f>_xll.qlYieldTSDiscount(C$4,D43,,Triggers!RTDataTrigger)</f>
        <v>0.70272644366600912</v>
      </c>
      <c r="F43" s="44"/>
      <c r="G43" s="33"/>
      <c r="H43" s="49">
        <f t="shared" si="3"/>
        <v>47476</v>
      </c>
      <c r="I43" s="50">
        <f t="shared" si="0"/>
        <v>0.70272644366600912</v>
      </c>
      <c r="K43" s="64"/>
      <c r="M43" s="11" t="e">
        <v>#N/A</v>
      </c>
      <c r="N43" s="35" t="e">
        <f>_xll.qlYieldTSDiscount(L$4,M43,,Triggers!RTDataTrigger)</f>
        <v>#NUM!</v>
      </c>
      <c r="O43" s="44"/>
      <c r="P43" s="33"/>
      <c r="Q43" s="49" t="e">
        <f t="shared" si="4"/>
        <v>#N/A</v>
      </c>
      <c r="R43" s="50" t="e">
        <f t="shared" si="1"/>
        <v>#NUM!</v>
      </c>
      <c r="T43" s="64"/>
      <c r="V43" s="11">
        <v>49304</v>
      </c>
      <c r="W43" s="35">
        <f>_xll.qlYieldTSDiscount(U$4,V43,,Triggers!RTDataTrigger)</f>
        <v>0.57988394303413471</v>
      </c>
      <c r="X43" s="44"/>
      <c r="Y43" s="33"/>
      <c r="Z43" s="49">
        <f t="shared" si="5"/>
        <v>49304</v>
      </c>
      <c r="AA43" s="50">
        <f t="shared" si="2"/>
        <v>0.57988394303413471</v>
      </c>
    </row>
    <row r="44" spans="2:27" x14ac:dyDescent="0.2">
      <c r="B44" s="64"/>
      <c r="D44" s="11">
        <v>49304</v>
      </c>
      <c r="E44" s="35">
        <f>_xll.qlYieldTSDiscount(C$4,D44,,Triggers!RTDataTrigger)</f>
        <v>0.60883997493791431</v>
      </c>
      <c r="F44" s="44"/>
      <c r="G44" s="33"/>
      <c r="H44" s="49">
        <f t="shared" si="3"/>
        <v>49304</v>
      </c>
      <c r="I44" s="50">
        <f t="shared" si="0"/>
        <v>0.60883997493791431</v>
      </c>
      <c r="K44" s="64"/>
      <c r="M44" s="11" t="e">
        <v>#N/A</v>
      </c>
      <c r="N44" s="35" t="e">
        <f>_xll.qlYieldTSDiscount(L$4,M44,,Triggers!RTDataTrigger)</f>
        <v>#NUM!</v>
      </c>
      <c r="O44" s="44"/>
      <c r="P44" s="33"/>
      <c r="Q44" s="49" t="e">
        <f t="shared" si="4"/>
        <v>#N/A</v>
      </c>
      <c r="R44" s="50" t="e">
        <f t="shared" si="1"/>
        <v>#NUM!</v>
      </c>
      <c r="T44" s="64"/>
      <c r="V44" s="11">
        <v>49667</v>
      </c>
      <c r="W44" s="35">
        <f>_xll.qlYieldTSDiscount(U$4,V44,,Triggers!RTDataTrigger)</f>
        <v>0.56251355935368164</v>
      </c>
      <c r="X44" s="44"/>
      <c r="Y44" s="33"/>
      <c r="Z44" s="49">
        <f t="shared" si="5"/>
        <v>49667</v>
      </c>
      <c r="AA44" s="50">
        <f t="shared" si="2"/>
        <v>0.56251355935368164</v>
      </c>
    </row>
    <row r="45" spans="2:27" x14ac:dyDescent="0.2">
      <c r="B45" s="64"/>
      <c r="D45" s="11">
        <v>51127</v>
      </c>
      <c r="E45" s="35">
        <f>_xll.qlYieldTSDiscount(C$4,D45,,Triggers!RTDataTrigger)</f>
        <v>0.53105273894614691</v>
      </c>
      <c r="F45" s="44"/>
      <c r="G45" s="33"/>
      <c r="H45" s="49">
        <f t="shared" si="3"/>
        <v>51127</v>
      </c>
      <c r="I45" s="50">
        <f t="shared" si="0"/>
        <v>0.53105273894614691</v>
      </c>
      <c r="K45" s="64"/>
      <c r="M45" s="11" t="e">
        <v>#N/A</v>
      </c>
      <c r="N45" s="35" t="e">
        <f>_xll.qlYieldTSDiscount(L$4,M45,,Triggers!RTDataTrigger)</f>
        <v>#NUM!</v>
      </c>
      <c r="O45" s="44"/>
      <c r="P45" s="33"/>
      <c r="Q45" s="49" t="e">
        <f t="shared" si="4"/>
        <v>#N/A</v>
      </c>
      <c r="R45" s="50" t="e">
        <f t="shared" si="1"/>
        <v>#NUM!</v>
      </c>
      <c r="T45" s="64"/>
      <c r="V45" s="11">
        <v>50032</v>
      </c>
      <c r="W45" s="35">
        <f>_xll.qlYieldTSDiscount(U$4,V45,,Triggers!RTDataTrigger)</f>
        <v>0.54569814765426694</v>
      </c>
      <c r="X45" s="44"/>
      <c r="Y45" s="33"/>
      <c r="Z45" s="49">
        <f t="shared" si="5"/>
        <v>50032</v>
      </c>
      <c r="AA45" s="50">
        <f t="shared" si="2"/>
        <v>0.54569814765426694</v>
      </c>
    </row>
    <row r="46" spans="2:27" x14ac:dyDescent="0.2">
      <c r="B46" s="64"/>
      <c r="D46" s="11">
        <v>54780</v>
      </c>
      <c r="E46" s="12">
        <f>_xll.qlYieldTSDiscount(C$4,D46,,Triggers!RTDataTrigger)</f>
        <v>0.40574421064044985</v>
      </c>
      <c r="F46" s="44"/>
      <c r="G46" s="33"/>
      <c r="H46" s="49">
        <f t="shared" si="3"/>
        <v>54780</v>
      </c>
      <c r="I46" s="50">
        <f t="shared" si="0"/>
        <v>0.40574421064044985</v>
      </c>
      <c r="K46" s="64"/>
      <c r="M46" s="11" t="e">
        <v>#N/A</v>
      </c>
      <c r="N46" s="12" t="e">
        <f>_xll.qlYieldTSDiscount(L$4,M46,,Triggers!RTDataTrigger)</f>
        <v>#NUM!</v>
      </c>
      <c r="O46" s="44"/>
      <c r="P46" s="33"/>
      <c r="Q46" s="49" t="e">
        <f t="shared" si="4"/>
        <v>#N/A</v>
      </c>
      <c r="R46" s="50" t="e">
        <f t="shared" si="1"/>
        <v>#NUM!</v>
      </c>
      <c r="T46" s="64"/>
      <c r="V46" s="11">
        <v>50397</v>
      </c>
      <c r="W46" s="12">
        <f>_xll.qlYieldTSDiscount(U$4,V46,,Triggers!RTDataTrigger)</f>
        <v>0.52950698777844185</v>
      </c>
      <c r="X46" s="44"/>
      <c r="Y46" s="33"/>
      <c r="Z46" s="49">
        <f t="shared" si="5"/>
        <v>50397</v>
      </c>
      <c r="AA46" s="50">
        <f t="shared" si="2"/>
        <v>0.52950698777844185</v>
      </c>
    </row>
    <row r="47" spans="2:27" x14ac:dyDescent="0.2">
      <c r="B47" s="64"/>
      <c r="D47" s="11">
        <v>56606</v>
      </c>
      <c r="E47" s="12">
        <f>_xll.qlYieldTSDiscount(C$4,D47,,Triggers!RTDataTrigger)</f>
        <v>0.35805606600743228</v>
      </c>
      <c r="F47" s="44"/>
      <c r="G47" s="33"/>
      <c r="H47" s="49">
        <f t="shared" si="3"/>
        <v>56606</v>
      </c>
      <c r="I47" s="50">
        <f t="shared" si="0"/>
        <v>0.35805606600743228</v>
      </c>
      <c r="K47" s="64"/>
      <c r="M47" s="11" t="e">
        <v>#N/A</v>
      </c>
      <c r="N47" s="12" t="e">
        <f>_xll.qlYieldTSDiscount(L$4,M47,,Triggers!RTDataTrigger)</f>
        <v>#NUM!</v>
      </c>
      <c r="O47" s="44"/>
      <c r="P47" s="33"/>
      <c r="Q47" s="49" t="e">
        <f t="shared" si="4"/>
        <v>#N/A</v>
      </c>
      <c r="R47" s="50" t="e">
        <f t="shared" si="1"/>
        <v>#NUM!</v>
      </c>
      <c r="T47" s="64"/>
      <c r="V47" s="11">
        <v>50762</v>
      </c>
      <c r="W47" s="12">
        <f>_xll.qlYieldTSDiscount(U$4,V47,,Triggers!RTDataTrigger)</f>
        <v>0.51390629749202354</v>
      </c>
      <c r="X47" s="44"/>
      <c r="Y47" s="33"/>
      <c r="Z47" s="49">
        <f t="shared" si="5"/>
        <v>50762</v>
      </c>
      <c r="AA47" s="50">
        <f t="shared" si="2"/>
        <v>0.51390629749202354</v>
      </c>
    </row>
    <row r="48" spans="2:27" x14ac:dyDescent="0.2">
      <c r="B48" s="64"/>
      <c r="D48" s="11">
        <v>58432</v>
      </c>
      <c r="E48" s="12">
        <f>_xll.qlYieldTSDiscount(C$4,D48,,Triggers!RTDataTrigger)</f>
        <v>0.31849948054815935</v>
      </c>
      <c r="F48" s="44"/>
      <c r="G48" s="33"/>
      <c r="H48" s="49">
        <f t="shared" si="3"/>
        <v>58432</v>
      </c>
      <c r="I48" s="50">
        <f t="shared" si="0"/>
        <v>0.31849948054815935</v>
      </c>
      <c r="K48" s="64"/>
      <c r="M48" s="11" t="e">
        <v>#N/A</v>
      </c>
      <c r="N48" s="12" t="e">
        <f>_xll.qlYieldTSDiscount(L$4,M48,,Triggers!RTDataTrigger)</f>
        <v>#NUM!</v>
      </c>
      <c r="O48" s="44"/>
      <c r="P48" s="33"/>
      <c r="Q48" s="49" t="e">
        <f t="shared" si="4"/>
        <v>#N/A</v>
      </c>
      <c r="R48" s="50" t="e">
        <f t="shared" si="1"/>
        <v>#NUM!</v>
      </c>
      <c r="T48" s="64"/>
      <c r="V48" s="11">
        <v>51127</v>
      </c>
      <c r="W48" s="12">
        <f>_xll.qlYieldTSDiscount(U$4,V48,,Triggers!RTDataTrigger)</f>
        <v>0.49886445926480383</v>
      </c>
      <c r="X48" s="44"/>
      <c r="Y48" s="33"/>
      <c r="Z48" s="49">
        <f t="shared" si="5"/>
        <v>51127</v>
      </c>
      <c r="AA48" s="50">
        <f t="shared" si="2"/>
        <v>0.49886445926480383</v>
      </c>
    </row>
    <row r="49" spans="2:27" x14ac:dyDescent="0.2">
      <c r="B49" s="64"/>
      <c r="D49" s="11">
        <v>60259</v>
      </c>
      <c r="E49" s="12">
        <f>_xll.qlYieldTSDiscount(C$4,D49,,Triggers!RTDataTrigger)</f>
        <v>0.28384060350122442</v>
      </c>
      <c r="F49" s="44"/>
      <c r="G49" s="33"/>
      <c r="H49" s="49">
        <f t="shared" si="3"/>
        <v>60259</v>
      </c>
      <c r="I49" s="50">
        <f t="shared" si="0"/>
        <v>0.28384060350122442</v>
      </c>
      <c r="K49" s="64"/>
      <c r="M49" s="11" t="e">
        <v>#N/A</v>
      </c>
      <c r="N49" s="12" t="e">
        <f>_xll.qlYieldTSDiscount(L$4,M49,,Triggers!RTDataTrigger)</f>
        <v>#NUM!</v>
      </c>
      <c r="O49" s="44"/>
      <c r="P49" s="33"/>
      <c r="Q49" s="49" t="e">
        <f t="shared" si="4"/>
        <v>#N/A</v>
      </c>
      <c r="R49" s="50" t="e">
        <f t="shared" si="1"/>
        <v>#NUM!</v>
      </c>
      <c r="T49" s="64"/>
      <c r="V49" s="11">
        <v>51494</v>
      </c>
      <c r="W49" s="12">
        <f>_xll.qlYieldTSDiscount(U$4,V49,,Triggers!RTDataTrigger)</f>
        <v>0.48427171621210047</v>
      </c>
      <c r="X49" s="44"/>
      <c r="Y49" s="33"/>
      <c r="Z49" s="49">
        <f t="shared" si="5"/>
        <v>51494</v>
      </c>
      <c r="AA49" s="50">
        <f t="shared" si="2"/>
        <v>0.48427171621210047</v>
      </c>
    </row>
    <row r="50" spans="2:27" x14ac:dyDescent="0.2">
      <c r="B50" s="64"/>
      <c r="D50" s="11" t="e">
        <v>#N/A</v>
      </c>
      <c r="E50" s="12" t="e">
        <f>_xll.qlYieldTSDiscount(C$4,D50,,Triggers!RTDataTrigger)</f>
        <v>#NUM!</v>
      </c>
      <c r="F50" s="44"/>
      <c r="G50" s="33"/>
      <c r="H50" s="49" t="e">
        <f t="shared" si="3"/>
        <v>#N/A</v>
      </c>
      <c r="I50" s="50" t="e">
        <f t="shared" si="0"/>
        <v>#NUM!</v>
      </c>
      <c r="K50" s="64"/>
      <c r="M50" s="11" t="e">
        <v>#N/A</v>
      </c>
      <c r="N50" s="12" t="e">
        <f>_xll.qlYieldTSDiscount(L$4,M50,,Triggers!RTDataTrigger)</f>
        <v>#NUM!</v>
      </c>
      <c r="O50" s="44"/>
      <c r="P50" s="33"/>
      <c r="Q50" s="49" t="e">
        <f t="shared" si="4"/>
        <v>#N/A</v>
      </c>
      <c r="R50" s="50" t="e">
        <f t="shared" si="1"/>
        <v>#NUM!</v>
      </c>
      <c r="T50" s="64"/>
      <c r="V50" s="11">
        <v>51858</v>
      </c>
      <c r="W50" s="12">
        <f>_xll.qlYieldTSDiscount(U$4,V50,,Triggers!RTDataTrigger)</f>
        <v>0.47028694225963902</v>
      </c>
      <c r="X50" s="44"/>
      <c r="Y50" s="33"/>
      <c r="Z50" s="49">
        <f t="shared" si="5"/>
        <v>51858</v>
      </c>
      <c r="AA50" s="50">
        <f t="shared" si="2"/>
        <v>0.47028694225963902</v>
      </c>
    </row>
    <row r="51" spans="2:27" x14ac:dyDescent="0.2">
      <c r="B51" s="64"/>
      <c r="D51" s="11" t="e">
        <v>#N/A</v>
      </c>
      <c r="E51" s="12" t="e">
        <f>_xll.qlYieldTSDiscount(C$4,D51,,Triggers!RTDataTrigger)</f>
        <v>#NUM!</v>
      </c>
      <c r="F51" s="44"/>
      <c r="G51" s="33"/>
      <c r="H51" s="49" t="e">
        <f t="shared" si="3"/>
        <v>#N/A</v>
      </c>
      <c r="I51" s="50" t="e">
        <f t="shared" si="0"/>
        <v>#NUM!</v>
      </c>
      <c r="K51" s="64"/>
      <c r="M51" s="11" t="e">
        <v>#N/A</v>
      </c>
      <c r="N51" s="12" t="e">
        <f>_xll.qlYieldTSDiscount(L$4,M51,,Triggers!RTDataTrigger)</f>
        <v>#NUM!</v>
      </c>
      <c r="O51" s="44"/>
      <c r="P51" s="33"/>
      <c r="Q51" s="49" t="e">
        <f t="shared" si="4"/>
        <v>#N/A</v>
      </c>
      <c r="R51" s="50" t="e">
        <f t="shared" si="1"/>
        <v>#NUM!</v>
      </c>
      <c r="T51" s="64"/>
      <c r="V51" s="11">
        <v>52223</v>
      </c>
      <c r="W51" s="12">
        <f>_xll.qlYieldTSDiscount(U$4,V51,,Triggers!RTDataTrigger)</f>
        <v>0.45671538310887366</v>
      </c>
      <c r="X51" s="44"/>
      <c r="Y51" s="33"/>
      <c r="Z51" s="49">
        <f t="shared" si="5"/>
        <v>52223</v>
      </c>
      <c r="AA51" s="50">
        <f t="shared" si="2"/>
        <v>0.45671538310887366</v>
      </c>
    </row>
    <row r="52" spans="2:27" x14ac:dyDescent="0.2">
      <c r="B52" s="64"/>
      <c r="D52" s="11" t="e">
        <v>#N/A</v>
      </c>
      <c r="E52" s="12" t="e">
        <f>_xll.qlYieldTSDiscount(C$4,D52,,Triggers!RTDataTrigger)</f>
        <v>#NUM!</v>
      </c>
      <c r="F52" s="44"/>
      <c r="G52" s="33"/>
      <c r="H52" s="49" t="e">
        <f t="shared" si="3"/>
        <v>#N/A</v>
      </c>
      <c r="I52" s="50" t="e">
        <f t="shared" si="0"/>
        <v>#NUM!</v>
      </c>
      <c r="K52" s="64"/>
      <c r="M52" s="11" t="e">
        <v>#N/A</v>
      </c>
      <c r="N52" s="12" t="e">
        <f>_xll.qlYieldTSDiscount(L$4,M52,,Triggers!RTDataTrigger)</f>
        <v>#NUM!</v>
      </c>
      <c r="O52" s="44"/>
      <c r="P52" s="33"/>
      <c r="Q52" s="49" t="e">
        <f t="shared" si="4"/>
        <v>#N/A</v>
      </c>
      <c r="R52" s="50" t="e">
        <f t="shared" si="1"/>
        <v>#NUM!</v>
      </c>
      <c r="T52" s="64"/>
      <c r="V52" s="11">
        <v>52588</v>
      </c>
      <c r="W52" s="12">
        <f>_xll.qlYieldTSDiscount(U$4,V52,,Triggers!RTDataTrigger)</f>
        <v>0.44356176065285824</v>
      </c>
      <c r="X52" s="44"/>
      <c r="Y52" s="33"/>
      <c r="Z52" s="49">
        <f t="shared" si="5"/>
        <v>52588</v>
      </c>
      <c r="AA52" s="50">
        <f t="shared" si="2"/>
        <v>0.44356176065285824</v>
      </c>
    </row>
    <row r="53" spans="2:27" x14ac:dyDescent="0.2">
      <c r="B53" s="64"/>
      <c r="D53" s="11" t="e">
        <v>#N/A</v>
      </c>
      <c r="E53" s="12" t="e">
        <f>_xll.qlYieldTSDiscount(C$4,D53,,Triggers!RTDataTrigger)</f>
        <v>#NUM!</v>
      </c>
      <c r="F53" s="44"/>
      <c r="G53" s="33"/>
      <c r="H53" s="49" t="e">
        <f t="shared" si="3"/>
        <v>#N/A</v>
      </c>
      <c r="I53" s="50" t="e">
        <f t="shared" si="0"/>
        <v>#NUM!</v>
      </c>
      <c r="K53" s="64"/>
      <c r="M53" s="11" t="e">
        <v>#N/A</v>
      </c>
      <c r="N53" s="12" t="e">
        <f>_xll.qlYieldTSDiscount(L$4,M53,,Triggers!RTDataTrigger)</f>
        <v>#NUM!</v>
      </c>
      <c r="O53" s="44"/>
      <c r="P53" s="33"/>
      <c r="Q53" s="49" t="e">
        <f t="shared" si="4"/>
        <v>#N/A</v>
      </c>
      <c r="R53" s="50" t="e">
        <f t="shared" si="1"/>
        <v>#NUM!</v>
      </c>
      <c r="T53" s="64"/>
      <c r="V53" s="11">
        <v>52954</v>
      </c>
      <c r="W53" s="12">
        <f>_xll.qlYieldTSDiscount(U$4,V53,,Triggers!RTDataTrigger)</f>
        <v>0.43075986595308025</v>
      </c>
      <c r="X53" s="44"/>
      <c r="Y53" s="33"/>
      <c r="Z53" s="49">
        <f t="shared" si="5"/>
        <v>52954</v>
      </c>
      <c r="AA53" s="50">
        <f t="shared" si="2"/>
        <v>0.43075986595308025</v>
      </c>
    </row>
    <row r="54" spans="2:27" x14ac:dyDescent="0.2">
      <c r="B54" s="64"/>
      <c r="D54" s="11" t="e">
        <v>#N/A</v>
      </c>
      <c r="E54" s="12" t="e">
        <f>_xll.qlYieldTSDiscount(C$4,D54,,Triggers!RTDataTrigger)</f>
        <v>#NUM!</v>
      </c>
      <c r="F54" s="44"/>
      <c r="G54" s="33"/>
      <c r="H54" s="49" t="e">
        <f t="shared" si="3"/>
        <v>#N/A</v>
      </c>
      <c r="I54" s="50" t="e">
        <f t="shared" si="0"/>
        <v>#NUM!</v>
      </c>
      <c r="K54" s="64"/>
      <c r="M54" s="11" t="e">
        <v>#N/A</v>
      </c>
      <c r="N54" s="12" t="e">
        <f>_xll.qlYieldTSDiscount(L$4,M54,,Triggers!RTDataTrigger)</f>
        <v>#NUM!</v>
      </c>
      <c r="O54" s="44"/>
      <c r="P54" s="33"/>
      <c r="Q54" s="49" t="e">
        <f t="shared" si="4"/>
        <v>#N/A</v>
      </c>
      <c r="R54" s="50" t="e">
        <f t="shared" si="1"/>
        <v>#NUM!</v>
      </c>
      <c r="T54" s="64"/>
      <c r="V54" s="11">
        <v>56606</v>
      </c>
      <c r="W54" s="12">
        <f>_xll.qlYieldTSDiscount(U$4,V54,,Triggers!RTDataTrigger)</f>
        <v>0.32367926119092078</v>
      </c>
      <c r="X54" s="44"/>
      <c r="Y54" s="33"/>
      <c r="Z54" s="49">
        <f t="shared" si="5"/>
        <v>56606</v>
      </c>
      <c r="AA54" s="50">
        <f t="shared" si="2"/>
        <v>0.32367926119092078</v>
      </c>
    </row>
    <row r="55" spans="2:27" x14ac:dyDescent="0.2">
      <c r="B55" s="64"/>
      <c r="D55" s="11" t="e">
        <v>#N/A</v>
      </c>
      <c r="E55" s="12" t="e">
        <f>_xll.qlYieldTSDiscount(C$4,D55,,Triggers!RTDataTrigger)</f>
        <v>#NUM!</v>
      </c>
      <c r="F55" s="44"/>
      <c r="G55" s="33"/>
      <c r="H55" s="49" t="e">
        <f t="shared" si="3"/>
        <v>#N/A</v>
      </c>
      <c r="I55" s="50" t="e">
        <f t="shared" si="0"/>
        <v>#NUM!</v>
      </c>
      <c r="K55" s="64"/>
      <c r="M55" s="11" t="e">
        <v>#N/A</v>
      </c>
      <c r="N55" s="12" t="e">
        <f>_xll.qlYieldTSDiscount(L$4,M55,,Triggers!RTDataTrigger)</f>
        <v>#NUM!</v>
      </c>
      <c r="O55" s="44"/>
      <c r="P55" s="33"/>
      <c r="Q55" s="49" t="e">
        <f t="shared" si="4"/>
        <v>#N/A</v>
      </c>
      <c r="R55" s="50" t="e">
        <f t="shared" si="1"/>
        <v>#NUM!</v>
      </c>
      <c r="T55" s="64"/>
      <c r="V55" s="11">
        <v>60259</v>
      </c>
      <c r="W55" s="12">
        <f>_xll.qlYieldTSDiscount(U$4,V55,,Triggers!RTDataTrigger)</f>
        <v>0.25106883577978484</v>
      </c>
      <c r="X55" s="44"/>
      <c r="Y55" s="33"/>
      <c r="Z55" s="49">
        <f t="shared" si="5"/>
        <v>60259</v>
      </c>
      <c r="AA55" s="50">
        <f t="shared" si="2"/>
        <v>0.25106883577978484</v>
      </c>
    </row>
    <row r="56" spans="2:27" x14ac:dyDescent="0.2">
      <c r="B56" s="64"/>
      <c r="D56" s="11" t="e">
        <v>#N/A</v>
      </c>
      <c r="E56" s="12" t="e">
        <f>_xll.qlYieldTSDiscount(C$4,D56,,Triggers!RTDataTrigger)</f>
        <v>#NUM!</v>
      </c>
      <c r="F56" s="44"/>
      <c r="G56" s="33"/>
      <c r="H56" s="49" t="e">
        <f t="shared" si="3"/>
        <v>#N/A</v>
      </c>
      <c r="I56" s="50" t="e">
        <f t="shared" si="0"/>
        <v>#NUM!</v>
      </c>
      <c r="K56" s="64"/>
      <c r="M56" s="11" t="e">
        <v>#N/A</v>
      </c>
      <c r="N56" s="12" t="e">
        <f>_xll.qlYieldTSDiscount(L$4,M56,,Triggers!RTDataTrigger)</f>
        <v>#NUM!</v>
      </c>
      <c r="O56" s="44"/>
      <c r="P56" s="33"/>
      <c r="Q56" s="49" t="e">
        <f t="shared" si="4"/>
        <v>#N/A</v>
      </c>
      <c r="R56" s="50" t="e">
        <f t="shared" si="1"/>
        <v>#NUM!</v>
      </c>
      <c r="T56" s="64"/>
      <c r="V56" s="11">
        <v>63912</v>
      </c>
      <c r="W56" s="12">
        <f>_xll.qlYieldTSDiscount(U$4,V56,,Triggers!RTDataTrigger)</f>
        <v>0.1964331041411356</v>
      </c>
      <c r="X56" s="44"/>
      <c r="Y56" s="33"/>
      <c r="Z56" s="49">
        <f t="shared" si="5"/>
        <v>63912</v>
      </c>
      <c r="AA56" s="50">
        <f t="shared" si="2"/>
        <v>0.1964331041411356</v>
      </c>
    </row>
    <row r="57" spans="2:27" x14ac:dyDescent="0.2">
      <c r="D57" s="11" t="e">
        <v>#N/A</v>
      </c>
      <c r="E57" s="12" t="e">
        <f>_xll.qlYieldTSDiscount(C$4,D57,,Triggers!RTDataTrigger)</f>
        <v>#NUM!</v>
      </c>
      <c r="F57" s="44"/>
      <c r="G57" s="33"/>
      <c r="H57" s="49" t="e">
        <f t="shared" si="3"/>
        <v>#N/A</v>
      </c>
      <c r="I57" s="50" t="e">
        <f t="shared" si="0"/>
        <v>#NUM!</v>
      </c>
      <c r="K57" s="64"/>
      <c r="M57" s="11" t="e">
        <v>#N/A</v>
      </c>
      <c r="N57" s="12" t="e">
        <f>_xll.qlYieldTSDiscount(L$4,M57,,Triggers!RTDataTrigger)</f>
        <v>#NUM!</v>
      </c>
      <c r="O57" s="44"/>
      <c r="P57" s="33"/>
      <c r="Q57" s="49" t="e">
        <f t="shared" si="4"/>
        <v>#N/A</v>
      </c>
      <c r="R57" s="50" t="e">
        <f t="shared" si="1"/>
        <v>#NUM!</v>
      </c>
      <c r="T57" s="64"/>
      <c r="V57" s="11" t="e">
        <v>#N/A</v>
      </c>
      <c r="W57" s="12" t="e">
        <f>_xll.qlYieldTSDiscount(U$4,V57,,Triggers!RTDataTrigger)</f>
        <v>#NUM!</v>
      </c>
      <c r="X57" s="44"/>
      <c r="Y57" s="33"/>
      <c r="Z57" s="49" t="e">
        <f t="shared" si="5"/>
        <v>#N/A</v>
      </c>
      <c r="AA57" s="50" t="e">
        <f t="shared" si="2"/>
        <v>#NUM!</v>
      </c>
    </row>
    <row r="58" spans="2:27" x14ac:dyDescent="0.2">
      <c r="D58" s="11" t="e">
        <v>#N/A</v>
      </c>
      <c r="E58" s="12" t="e">
        <f>_xll.qlYieldTSDiscount(C$4,D58,,Triggers!RTDataTrigger)</f>
        <v>#NUM!</v>
      </c>
      <c r="F58" s="44"/>
      <c r="G58" s="33"/>
      <c r="H58" s="49" t="e">
        <f t="shared" si="3"/>
        <v>#N/A</v>
      </c>
      <c r="I58" s="50" t="e">
        <f t="shared" si="0"/>
        <v>#NUM!</v>
      </c>
      <c r="K58" s="64"/>
      <c r="M58" s="11" t="e">
        <v>#N/A</v>
      </c>
      <c r="N58" s="12" t="e">
        <f>_xll.qlYieldTSDiscount(L$4,M58,,Triggers!RTDataTrigger)</f>
        <v>#NUM!</v>
      </c>
      <c r="O58" s="44"/>
      <c r="P58" s="33"/>
      <c r="Q58" s="49" t="e">
        <f t="shared" si="4"/>
        <v>#N/A</v>
      </c>
      <c r="R58" s="50" t="e">
        <f t="shared" si="1"/>
        <v>#NUM!</v>
      </c>
      <c r="T58" s="64"/>
      <c r="V58" s="11" t="e">
        <v>#N/A</v>
      </c>
      <c r="W58" s="12" t="e">
        <f>_xll.qlYieldTSDiscount(U$4,V58,,Triggers!RTDataTrigger)</f>
        <v>#NUM!</v>
      </c>
      <c r="X58" s="44"/>
      <c r="Y58" s="33"/>
      <c r="Z58" s="49" t="e">
        <f t="shared" si="5"/>
        <v>#N/A</v>
      </c>
      <c r="AA58" s="50" t="e">
        <f t="shared" si="2"/>
        <v>#NUM!</v>
      </c>
    </row>
    <row r="59" spans="2:27" x14ac:dyDescent="0.2">
      <c r="D59" s="11" t="e">
        <v>#N/A</v>
      </c>
      <c r="E59" s="12" t="e">
        <f>_xll.qlYieldTSDiscount(C$4,D59,,Triggers!RTDataTrigger)</f>
        <v>#NUM!</v>
      </c>
      <c r="F59" s="44"/>
      <c r="G59" s="33"/>
      <c r="H59" s="49" t="e">
        <f t="shared" si="3"/>
        <v>#N/A</v>
      </c>
      <c r="I59" s="50" t="e">
        <f t="shared" si="0"/>
        <v>#NUM!</v>
      </c>
      <c r="K59" s="64"/>
      <c r="M59" s="11" t="e">
        <v>#N/A</v>
      </c>
      <c r="N59" s="12" t="e">
        <f>_xll.qlYieldTSDiscount(L$4,M59,,Triggers!RTDataTrigger)</f>
        <v>#NUM!</v>
      </c>
      <c r="O59" s="44"/>
      <c r="P59" s="33"/>
      <c r="Q59" s="49" t="e">
        <f t="shared" si="4"/>
        <v>#N/A</v>
      </c>
      <c r="R59" s="50" t="e">
        <f t="shared" si="1"/>
        <v>#NUM!</v>
      </c>
      <c r="T59" s="64"/>
      <c r="V59" s="11" t="e">
        <v>#N/A</v>
      </c>
      <c r="W59" s="12" t="e">
        <f>_xll.qlYieldTSDiscount(U$4,V59,,Triggers!RTDataTrigger)</f>
        <v>#NUM!</v>
      </c>
      <c r="X59" s="44"/>
      <c r="Y59" s="33"/>
      <c r="Z59" s="49" t="e">
        <f t="shared" si="5"/>
        <v>#N/A</v>
      </c>
      <c r="AA59" s="50" t="e">
        <f t="shared" si="2"/>
        <v>#NUM!</v>
      </c>
    </row>
    <row r="60" spans="2:27" x14ac:dyDescent="0.2">
      <c r="D60" s="11" t="e">
        <v>#N/A</v>
      </c>
      <c r="E60" s="12" t="e">
        <f>_xll.qlYieldTSDiscount(C$4,D60,,Triggers!RTDataTrigger)</f>
        <v>#NUM!</v>
      </c>
      <c r="F60" s="44"/>
      <c r="G60" s="33"/>
      <c r="H60" s="49" t="e">
        <f t="shared" si="3"/>
        <v>#N/A</v>
      </c>
      <c r="I60" s="50" t="e">
        <f t="shared" si="0"/>
        <v>#NUM!</v>
      </c>
      <c r="K60" s="64"/>
      <c r="M60" s="11" t="e">
        <v>#N/A</v>
      </c>
      <c r="N60" s="12" t="e">
        <f>_xll.qlYieldTSDiscount(L$4,M60,,Triggers!RTDataTrigger)</f>
        <v>#NUM!</v>
      </c>
      <c r="O60" s="44"/>
      <c r="P60" s="33"/>
      <c r="Q60" s="49" t="e">
        <f t="shared" si="4"/>
        <v>#N/A</v>
      </c>
      <c r="R60" s="50" t="e">
        <f t="shared" si="1"/>
        <v>#NUM!</v>
      </c>
      <c r="T60" s="64"/>
      <c r="V60" s="11" t="e">
        <v>#N/A</v>
      </c>
      <c r="W60" s="12" t="e">
        <f>_xll.qlYieldTSDiscount(U$4,V60,,Triggers!RTDataTrigger)</f>
        <v>#NUM!</v>
      </c>
      <c r="X60" s="44"/>
      <c r="Y60" s="33"/>
      <c r="Z60" s="49" t="e">
        <f t="shared" si="5"/>
        <v>#N/A</v>
      </c>
      <c r="AA60" s="50" t="e">
        <f t="shared" si="2"/>
        <v>#NUM!</v>
      </c>
    </row>
    <row r="61" spans="2:27" x14ac:dyDescent="0.2">
      <c r="D61" s="11" t="e">
        <v>#N/A</v>
      </c>
      <c r="E61" s="12" t="e">
        <f>_xll.qlYieldTSDiscount(C$4,D61,,Triggers!RTDataTrigger)</f>
        <v>#NUM!</v>
      </c>
      <c r="F61" s="44"/>
      <c r="G61" s="33"/>
      <c r="H61" s="49" t="e">
        <f t="shared" si="3"/>
        <v>#N/A</v>
      </c>
      <c r="I61" s="50" t="e">
        <f t="shared" si="0"/>
        <v>#NUM!</v>
      </c>
      <c r="K61" s="64"/>
      <c r="M61" s="11" t="e">
        <v>#N/A</v>
      </c>
      <c r="N61" s="12" t="e">
        <f>_xll.qlYieldTSDiscount(L$4,M61,,Triggers!RTDataTrigger)</f>
        <v>#NUM!</v>
      </c>
      <c r="O61" s="44"/>
      <c r="P61" s="33"/>
      <c r="Q61" s="49" t="e">
        <f t="shared" si="4"/>
        <v>#N/A</v>
      </c>
      <c r="R61" s="50" t="e">
        <f t="shared" si="1"/>
        <v>#NUM!</v>
      </c>
      <c r="T61" s="64"/>
      <c r="V61" s="11" t="e">
        <v>#N/A</v>
      </c>
      <c r="W61" s="12" t="e">
        <f>_xll.qlYieldTSDiscount(U$4,V61,,Triggers!RTDataTrigger)</f>
        <v>#NUM!</v>
      </c>
      <c r="X61" s="44"/>
      <c r="Y61" s="33"/>
      <c r="Z61" s="49" t="e">
        <f t="shared" si="5"/>
        <v>#N/A</v>
      </c>
      <c r="AA61" s="50" t="e">
        <f t="shared" si="2"/>
        <v>#NUM!</v>
      </c>
    </row>
    <row r="62" spans="2:27" x14ac:dyDescent="0.2">
      <c r="D62" s="11" t="e">
        <v>#N/A</v>
      </c>
      <c r="E62" s="12" t="e">
        <f>_xll.qlYieldTSDiscount(C$4,D62,,Triggers!RTDataTrigger)</f>
        <v>#NUM!</v>
      </c>
      <c r="F62" s="44"/>
      <c r="G62" s="33"/>
      <c r="H62" s="49" t="e">
        <f t="shared" si="3"/>
        <v>#N/A</v>
      </c>
      <c r="I62" s="50" t="e">
        <f t="shared" si="0"/>
        <v>#NUM!</v>
      </c>
      <c r="K62" s="64"/>
      <c r="M62" s="11" t="e">
        <v>#N/A</v>
      </c>
      <c r="N62" s="12" t="e">
        <f>_xll.qlYieldTSDiscount(L$4,M62,,Triggers!RTDataTrigger)</f>
        <v>#NUM!</v>
      </c>
      <c r="O62" s="44"/>
      <c r="P62" s="33"/>
      <c r="Q62" s="49" t="e">
        <f t="shared" si="4"/>
        <v>#N/A</v>
      </c>
      <c r="R62" s="50" t="e">
        <f t="shared" si="1"/>
        <v>#NUM!</v>
      </c>
      <c r="T62" s="64"/>
      <c r="V62" s="11" t="e">
        <v>#N/A</v>
      </c>
      <c r="W62" s="12" t="e">
        <f>_xll.qlYieldTSDiscount(U$4,V62,,Triggers!RTDataTrigger)</f>
        <v>#NUM!</v>
      </c>
      <c r="X62" s="44"/>
      <c r="Y62" s="33"/>
      <c r="Z62" s="49" t="e">
        <f t="shared" si="5"/>
        <v>#N/A</v>
      </c>
      <c r="AA62" s="50" t="e">
        <f t="shared" si="2"/>
        <v>#NUM!</v>
      </c>
    </row>
    <row r="63" spans="2:27" x14ac:dyDescent="0.2">
      <c r="D63" s="11" t="e">
        <v>#N/A</v>
      </c>
      <c r="E63" s="12" t="e">
        <f>_xll.qlYieldTSDiscount(C$4,D63,,Triggers!RTDataTrigger)</f>
        <v>#NUM!</v>
      </c>
      <c r="F63" s="44"/>
      <c r="G63" s="33"/>
      <c r="H63" s="49" t="e">
        <f t="shared" si="3"/>
        <v>#N/A</v>
      </c>
      <c r="I63" s="50" t="e">
        <f t="shared" si="0"/>
        <v>#NUM!</v>
      </c>
      <c r="K63" s="64"/>
      <c r="M63" s="11" t="e">
        <v>#N/A</v>
      </c>
      <c r="N63" s="12" t="e">
        <f>_xll.qlYieldTSDiscount(L$4,M63,,Triggers!RTDataTrigger)</f>
        <v>#NUM!</v>
      </c>
      <c r="O63" s="44"/>
      <c r="P63" s="33"/>
      <c r="Q63" s="49" t="e">
        <f t="shared" si="4"/>
        <v>#N/A</v>
      </c>
      <c r="R63" s="50" t="e">
        <f t="shared" si="1"/>
        <v>#NUM!</v>
      </c>
      <c r="T63" s="64"/>
      <c r="V63" s="11" t="e">
        <v>#N/A</v>
      </c>
      <c r="W63" s="12" t="e">
        <f>_xll.qlYieldTSDiscount(U$4,V63,,Triggers!RTDataTrigger)</f>
        <v>#NUM!</v>
      </c>
      <c r="X63" s="44"/>
      <c r="Y63" s="33"/>
      <c r="Z63" s="49" t="e">
        <f t="shared" si="5"/>
        <v>#N/A</v>
      </c>
      <c r="AA63" s="50" t="e">
        <f t="shared" si="2"/>
        <v>#NUM!</v>
      </c>
    </row>
    <row r="64" spans="2:27" x14ac:dyDescent="0.2">
      <c r="D64" s="11" t="e">
        <v>#N/A</v>
      </c>
      <c r="E64" s="12" t="e">
        <f>_xll.qlYieldTSDiscount(C$4,D64,,Triggers!RTDataTrigger)</f>
        <v>#NUM!</v>
      </c>
      <c r="F64" s="44"/>
      <c r="G64" s="33"/>
      <c r="H64" s="49" t="e">
        <f t="shared" si="3"/>
        <v>#N/A</v>
      </c>
      <c r="I64" s="50" t="e">
        <f t="shared" si="0"/>
        <v>#NUM!</v>
      </c>
      <c r="K64" s="64"/>
      <c r="M64" s="11" t="e">
        <v>#N/A</v>
      </c>
      <c r="N64" s="12" t="e">
        <f>_xll.qlYieldTSDiscount(L$4,M64,,Triggers!RTDataTrigger)</f>
        <v>#NUM!</v>
      </c>
      <c r="O64" s="44"/>
      <c r="P64" s="33"/>
      <c r="Q64" s="49" t="e">
        <f t="shared" si="4"/>
        <v>#N/A</v>
      </c>
      <c r="R64" s="50" t="e">
        <f t="shared" si="1"/>
        <v>#NUM!</v>
      </c>
      <c r="T64" s="64"/>
      <c r="V64" s="11" t="e">
        <v>#N/A</v>
      </c>
      <c r="W64" s="12" t="e">
        <f>_xll.qlYieldTSDiscount(U$4,V64,,Triggers!RTDataTrigger)</f>
        <v>#NUM!</v>
      </c>
      <c r="X64" s="44"/>
      <c r="Y64" s="33"/>
      <c r="Z64" s="49" t="e">
        <f t="shared" si="5"/>
        <v>#N/A</v>
      </c>
      <c r="AA64" s="50" t="e">
        <f t="shared" si="2"/>
        <v>#NUM!</v>
      </c>
    </row>
    <row r="65" spans="4:27" x14ac:dyDescent="0.2">
      <c r="D65" s="11" t="e">
        <v>#N/A</v>
      </c>
      <c r="E65" s="12" t="e">
        <f>_xll.qlYieldTSDiscount(C$4,D65,,Triggers!RTDataTrigger)</f>
        <v>#NUM!</v>
      </c>
      <c r="F65" s="44"/>
      <c r="G65" s="33"/>
      <c r="H65" s="49" t="e">
        <f t="shared" si="3"/>
        <v>#N/A</v>
      </c>
      <c r="I65" s="50" t="e">
        <f t="shared" si="0"/>
        <v>#NUM!</v>
      </c>
      <c r="K65" s="64"/>
      <c r="M65" s="11" t="e">
        <v>#N/A</v>
      </c>
      <c r="N65" s="12" t="e">
        <f>_xll.qlYieldTSDiscount(L$4,M65,,Triggers!RTDataTrigger)</f>
        <v>#NUM!</v>
      </c>
      <c r="O65" s="44"/>
      <c r="P65" s="33"/>
      <c r="Q65" s="49" t="e">
        <f t="shared" si="4"/>
        <v>#N/A</v>
      </c>
      <c r="R65" s="50" t="e">
        <f t="shared" si="1"/>
        <v>#NUM!</v>
      </c>
      <c r="T65" s="64"/>
      <c r="V65" s="11" t="e">
        <v>#N/A</v>
      </c>
      <c r="W65" s="12" t="e">
        <f>_xll.qlYieldTSDiscount(U$4,V65,,Triggers!RTDataTrigger)</f>
        <v>#NUM!</v>
      </c>
      <c r="X65" s="44"/>
      <c r="Y65" s="33"/>
      <c r="Z65" s="49" t="e">
        <f t="shared" si="5"/>
        <v>#N/A</v>
      </c>
      <c r="AA65" s="50" t="e">
        <f t="shared" si="2"/>
        <v>#NUM!</v>
      </c>
    </row>
    <row r="66" spans="4:27" x14ac:dyDescent="0.2">
      <c r="D66" s="11" t="e">
        <v>#N/A</v>
      </c>
      <c r="E66" s="12" t="e">
        <f>_xll.qlYieldTSDiscount(C$4,D66,,Triggers!RTDataTrigger)</f>
        <v>#NUM!</v>
      </c>
      <c r="F66" s="44"/>
      <c r="G66" s="33"/>
      <c r="H66" s="49" t="e">
        <f t="shared" si="3"/>
        <v>#N/A</v>
      </c>
      <c r="I66" s="50" t="e">
        <f t="shared" si="0"/>
        <v>#NUM!</v>
      </c>
      <c r="K66" s="64"/>
      <c r="M66" s="11" t="e">
        <v>#N/A</v>
      </c>
      <c r="N66" s="12" t="e">
        <f>_xll.qlYieldTSDiscount(L$4,M66,,Triggers!RTDataTrigger)</f>
        <v>#NUM!</v>
      </c>
      <c r="O66" s="44"/>
      <c r="P66" s="33"/>
      <c r="Q66" s="49" t="e">
        <f t="shared" si="4"/>
        <v>#N/A</v>
      </c>
      <c r="R66" s="50" t="e">
        <f t="shared" si="1"/>
        <v>#NUM!</v>
      </c>
      <c r="T66" s="64"/>
      <c r="V66" s="11" t="e">
        <v>#N/A</v>
      </c>
      <c r="W66" s="12" t="e">
        <f>_xll.qlYieldTSDiscount(U$4,V66,,Triggers!RTDataTrigger)</f>
        <v>#NUM!</v>
      </c>
      <c r="X66" s="44"/>
      <c r="Y66" s="33"/>
      <c r="Z66" s="49" t="e">
        <f t="shared" si="5"/>
        <v>#N/A</v>
      </c>
      <c r="AA66" s="50" t="e">
        <f t="shared" si="2"/>
        <v>#NUM!</v>
      </c>
    </row>
    <row r="67" spans="4:27" x14ac:dyDescent="0.2">
      <c r="D67" s="11" t="e">
        <v>#N/A</v>
      </c>
      <c r="E67" s="12" t="e">
        <f>_xll.qlYieldTSDiscount(C$4,D67,,Triggers!RTDataTrigger)</f>
        <v>#NUM!</v>
      </c>
      <c r="F67" s="44"/>
      <c r="G67" s="33"/>
      <c r="H67" s="49" t="e">
        <f t="shared" si="3"/>
        <v>#N/A</v>
      </c>
      <c r="I67" s="50" t="e">
        <f t="shared" si="0"/>
        <v>#NUM!</v>
      </c>
      <c r="K67" s="64"/>
      <c r="M67" s="11" t="e">
        <v>#N/A</v>
      </c>
      <c r="N67" s="12" t="e">
        <f>_xll.qlYieldTSDiscount(L$4,M67,,Triggers!RTDataTrigger)</f>
        <v>#NUM!</v>
      </c>
      <c r="O67" s="44"/>
      <c r="P67" s="33"/>
      <c r="Q67" s="49" t="e">
        <f t="shared" si="4"/>
        <v>#N/A</v>
      </c>
      <c r="R67" s="50" t="e">
        <f t="shared" si="1"/>
        <v>#NUM!</v>
      </c>
      <c r="T67" s="64"/>
      <c r="V67" s="11" t="e">
        <v>#N/A</v>
      </c>
      <c r="W67" s="12" t="e">
        <f>_xll.qlYieldTSDiscount(U$4,V67,,Triggers!RTDataTrigger)</f>
        <v>#NUM!</v>
      </c>
      <c r="X67" s="44"/>
      <c r="Y67" s="33"/>
      <c r="Z67" s="49" t="e">
        <f t="shared" si="5"/>
        <v>#N/A</v>
      </c>
      <c r="AA67" s="50" t="e">
        <f t="shared" si="2"/>
        <v>#NUM!</v>
      </c>
    </row>
    <row r="68" spans="4:27" x14ac:dyDescent="0.2">
      <c r="D68" s="11" t="e">
        <v>#N/A</v>
      </c>
      <c r="E68" s="12" t="e">
        <f>_xll.qlYieldTSDiscount(C$4,D68,,Triggers!RTDataTrigger)</f>
        <v>#NUM!</v>
      </c>
      <c r="F68" s="44"/>
      <c r="G68" s="33"/>
      <c r="H68" s="49" t="e">
        <f t="shared" si="3"/>
        <v>#N/A</v>
      </c>
      <c r="I68" s="50" t="e">
        <f t="shared" si="3"/>
        <v>#NUM!</v>
      </c>
      <c r="K68" s="64"/>
      <c r="M68" s="11" t="e">
        <v>#N/A</v>
      </c>
      <c r="N68" s="12" t="e">
        <f>_xll.qlYieldTSDiscount(L$4,M68,,Triggers!RTDataTrigger)</f>
        <v>#NUM!</v>
      </c>
      <c r="O68" s="44"/>
      <c r="P68" s="33"/>
      <c r="Q68" s="49" t="e">
        <f t="shared" si="4"/>
        <v>#N/A</v>
      </c>
      <c r="R68" s="50" t="e">
        <f t="shared" si="4"/>
        <v>#NUM!</v>
      </c>
      <c r="T68" s="64"/>
      <c r="V68" s="11" t="e">
        <v>#N/A</v>
      </c>
      <c r="W68" s="12" t="e">
        <f>_xll.qlYieldTSDiscount(U$4,V68,,Triggers!RTDataTrigger)</f>
        <v>#NUM!</v>
      </c>
      <c r="X68" s="44"/>
      <c r="Y68" s="33"/>
      <c r="Z68" s="49" t="e">
        <f t="shared" si="5"/>
        <v>#N/A</v>
      </c>
      <c r="AA68" s="50" t="e">
        <f t="shared" si="5"/>
        <v>#NUM!</v>
      </c>
    </row>
    <row r="69" spans="4:27" x14ac:dyDescent="0.2">
      <c r="D69" s="11" t="e">
        <v>#N/A</v>
      </c>
      <c r="E69" s="12" t="e">
        <f>_xll.qlYieldTSDiscount(C$4,D69,,Triggers!RTDataTrigger)</f>
        <v>#NUM!</v>
      </c>
      <c r="F69" s="44"/>
      <c r="G69" s="33"/>
      <c r="H69" s="49" t="e">
        <f t="shared" ref="H69:I93" si="6">IF(ISBLANK(F69),D69,F69)</f>
        <v>#N/A</v>
      </c>
      <c r="I69" s="50" t="e">
        <f t="shared" si="6"/>
        <v>#NUM!</v>
      </c>
      <c r="K69" s="64"/>
      <c r="M69" s="11" t="e">
        <v>#N/A</v>
      </c>
      <c r="N69" s="12" t="e">
        <f>_xll.qlYieldTSDiscount(L$4,M69,,Triggers!RTDataTrigger)</f>
        <v>#NUM!</v>
      </c>
      <c r="O69" s="44"/>
      <c r="P69" s="33"/>
      <c r="Q69" s="49" t="e">
        <f t="shared" ref="Q69:R93" si="7">IF(ISBLANK(O69),M69,O69)</f>
        <v>#N/A</v>
      </c>
      <c r="R69" s="50" t="e">
        <f t="shared" si="7"/>
        <v>#NUM!</v>
      </c>
      <c r="T69" s="64"/>
      <c r="V69" s="11" t="e">
        <v>#N/A</v>
      </c>
      <c r="W69" s="12" t="e">
        <f>_xll.qlYieldTSDiscount(U$4,V69,,Triggers!RTDataTrigger)</f>
        <v>#NUM!</v>
      </c>
      <c r="X69" s="44"/>
      <c r="Y69" s="33"/>
      <c r="Z69" s="49" t="e">
        <f t="shared" ref="Z69:AA93" si="8">IF(ISBLANK(X69),V69,X69)</f>
        <v>#N/A</v>
      </c>
      <c r="AA69" s="50" t="e">
        <f t="shared" si="8"/>
        <v>#NUM!</v>
      </c>
    </row>
    <row r="70" spans="4:27" x14ac:dyDescent="0.2">
      <c r="D70" s="11" t="e">
        <v>#N/A</v>
      </c>
      <c r="E70" s="12" t="e">
        <f>_xll.qlYieldTSDiscount(C$4,D70,,Triggers!RTDataTrigger)</f>
        <v>#NUM!</v>
      </c>
      <c r="F70" s="44"/>
      <c r="G70" s="33"/>
      <c r="H70" s="49" t="e">
        <f t="shared" si="6"/>
        <v>#N/A</v>
      </c>
      <c r="I70" s="50" t="e">
        <f t="shared" si="6"/>
        <v>#NUM!</v>
      </c>
      <c r="M70" s="11" t="e">
        <v>#N/A</v>
      </c>
      <c r="N70" s="12" t="e">
        <f>_xll.qlYieldTSDiscount(L$4,M70,,Triggers!RTDataTrigger)</f>
        <v>#NUM!</v>
      </c>
      <c r="O70" s="44"/>
      <c r="P70" s="33"/>
      <c r="Q70" s="49" t="e">
        <f t="shared" si="7"/>
        <v>#N/A</v>
      </c>
      <c r="R70" s="50" t="e">
        <f t="shared" si="7"/>
        <v>#NUM!</v>
      </c>
      <c r="V70" s="11" t="e">
        <v>#N/A</v>
      </c>
      <c r="W70" s="12" t="e">
        <f>_xll.qlYieldTSDiscount(U$4,V70,,Triggers!RTDataTrigger)</f>
        <v>#NUM!</v>
      </c>
      <c r="X70" s="44"/>
      <c r="Y70" s="33"/>
      <c r="Z70" s="49" t="e">
        <f t="shared" si="8"/>
        <v>#N/A</v>
      </c>
      <c r="AA70" s="50" t="e">
        <f t="shared" si="8"/>
        <v>#NUM!</v>
      </c>
    </row>
    <row r="71" spans="4:27" x14ac:dyDescent="0.2">
      <c r="D71" s="11" t="e">
        <v>#N/A</v>
      </c>
      <c r="E71" s="12" t="e">
        <f>_xll.qlYieldTSDiscount(C$4,D71,,Triggers!RTDataTrigger)</f>
        <v>#NUM!</v>
      </c>
      <c r="F71" s="44"/>
      <c r="G71" s="33"/>
      <c r="H71" s="49" t="e">
        <f t="shared" si="6"/>
        <v>#N/A</v>
      </c>
      <c r="I71" s="50" t="e">
        <f t="shared" si="6"/>
        <v>#NUM!</v>
      </c>
      <c r="M71" s="11" t="e">
        <v>#N/A</v>
      </c>
      <c r="N71" s="12" t="e">
        <f>_xll.qlYieldTSDiscount(L$4,M71,,Triggers!RTDataTrigger)</f>
        <v>#NUM!</v>
      </c>
      <c r="O71" s="44"/>
      <c r="P71" s="33"/>
      <c r="Q71" s="49" t="e">
        <f t="shared" si="7"/>
        <v>#N/A</v>
      </c>
      <c r="R71" s="50" t="e">
        <f t="shared" si="7"/>
        <v>#NUM!</v>
      </c>
      <c r="V71" s="11" t="e">
        <v>#N/A</v>
      </c>
      <c r="W71" s="12" t="e">
        <f>_xll.qlYieldTSDiscount(U$4,V71,,Triggers!RTDataTrigger)</f>
        <v>#NUM!</v>
      </c>
      <c r="X71" s="44"/>
      <c r="Y71" s="33"/>
      <c r="Z71" s="49" t="e">
        <f t="shared" si="8"/>
        <v>#N/A</v>
      </c>
      <c r="AA71" s="50" t="e">
        <f t="shared" si="8"/>
        <v>#NUM!</v>
      </c>
    </row>
    <row r="72" spans="4:27" x14ac:dyDescent="0.2">
      <c r="D72" s="11" t="e">
        <v>#N/A</v>
      </c>
      <c r="E72" s="12" t="e">
        <f>_xll.qlYieldTSDiscount(C$4,D72,,Triggers!RTDataTrigger)</f>
        <v>#NUM!</v>
      </c>
      <c r="F72" s="44"/>
      <c r="G72" s="33"/>
      <c r="H72" s="49" t="e">
        <f t="shared" si="6"/>
        <v>#N/A</v>
      </c>
      <c r="I72" s="50" t="e">
        <f t="shared" si="6"/>
        <v>#NUM!</v>
      </c>
      <c r="M72" s="11" t="e">
        <v>#N/A</v>
      </c>
      <c r="N72" s="12" t="e">
        <f>_xll.qlYieldTSDiscount(L$4,M72,,Triggers!RTDataTrigger)</f>
        <v>#NUM!</v>
      </c>
      <c r="O72" s="44"/>
      <c r="P72" s="33"/>
      <c r="Q72" s="49" t="e">
        <f t="shared" si="7"/>
        <v>#N/A</v>
      </c>
      <c r="R72" s="50" t="e">
        <f t="shared" si="7"/>
        <v>#NUM!</v>
      </c>
      <c r="V72" s="11" t="e">
        <v>#N/A</v>
      </c>
      <c r="W72" s="12" t="e">
        <f>_xll.qlYieldTSDiscount(U$4,V72,,Triggers!RTDataTrigger)</f>
        <v>#NUM!</v>
      </c>
      <c r="X72" s="44"/>
      <c r="Y72" s="33"/>
      <c r="Z72" s="49" t="e">
        <f t="shared" si="8"/>
        <v>#N/A</v>
      </c>
      <c r="AA72" s="50" t="e">
        <f t="shared" si="8"/>
        <v>#NUM!</v>
      </c>
    </row>
    <row r="73" spans="4:27" x14ac:dyDescent="0.2">
      <c r="D73" s="11" t="e">
        <v>#N/A</v>
      </c>
      <c r="E73" s="12" t="e">
        <f>_xll.qlYieldTSDiscount(C$4,D73,,Triggers!RTDataTrigger)</f>
        <v>#NUM!</v>
      </c>
      <c r="F73" s="44"/>
      <c r="G73" s="33"/>
      <c r="H73" s="49" t="e">
        <f t="shared" si="6"/>
        <v>#N/A</v>
      </c>
      <c r="I73" s="50" t="e">
        <f t="shared" si="6"/>
        <v>#NUM!</v>
      </c>
      <c r="M73" s="11" t="e">
        <v>#N/A</v>
      </c>
      <c r="N73" s="12" t="e">
        <f>_xll.qlYieldTSDiscount(L$4,M73,,Triggers!RTDataTrigger)</f>
        <v>#NUM!</v>
      </c>
      <c r="O73" s="44"/>
      <c r="P73" s="33"/>
      <c r="Q73" s="49" t="e">
        <f t="shared" si="7"/>
        <v>#N/A</v>
      </c>
      <c r="R73" s="50" t="e">
        <f t="shared" si="7"/>
        <v>#NUM!</v>
      </c>
      <c r="V73" s="11" t="e">
        <v>#N/A</v>
      </c>
      <c r="W73" s="12" t="e">
        <f>_xll.qlYieldTSDiscount(U$4,V73,,Triggers!RTDataTrigger)</f>
        <v>#NUM!</v>
      </c>
      <c r="X73" s="44"/>
      <c r="Y73" s="33"/>
      <c r="Z73" s="49" t="e">
        <f t="shared" si="8"/>
        <v>#N/A</v>
      </c>
      <c r="AA73" s="50" t="e">
        <f t="shared" si="8"/>
        <v>#NUM!</v>
      </c>
    </row>
    <row r="74" spans="4:27" x14ac:dyDescent="0.2">
      <c r="D74" s="11" t="e">
        <v>#N/A</v>
      </c>
      <c r="E74" s="12" t="e">
        <f>_xll.qlYieldTSDiscount(C$4,D74,,Triggers!RTDataTrigger)</f>
        <v>#NUM!</v>
      </c>
      <c r="F74" s="44"/>
      <c r="G74" s="33"/>
      <c r="H74" s="49" t="e">
        <f t="shared" si="6"/>
        <v>#N/A</v>
      </c>
      <c r="I74" s="50" t="e">
        <f t="shared" si="6"/>
        <v>#NUM!</v>
      </c>
      <c r="M74" s="11" t="e">
        <v>#N/A</v>
      </c>
      <c r="N74" s="12" t="e">
        <f>_xll.qlYieldTSDiscount(L$4,M74,,Triggers!RTDataTrigger)</f>
        <v>#NUM!</v>
      </c>
      <c r="O74" s="44"/>
      <c r="P74" s="33"/>
      <c r="Q74" s="49" t="e">
        <f t="shared" si="7"/>
        <v>#N/A</v>
      </c>
      <c r="R74" s="50" t="e">
        <f t="shared" si="7"/>
        <v>#NUM!</v>
      </c>
      <c r="V74" s="11" t="e">
        <v>#N/A</v>
      </c>
      <c r="W74" s="12" t="e">
        <f>_xll.qlYieldTSDiscount(U$4,V74,,Triggers!RTDataTrigger)</f>
        <v>#NUM!</v>
      </c>
      <c r="X74" s="44"/>
      <c r="Y74" s="33"/>
      <c r="Z74" s="49" t="e">
        <f t="shared" si="8"/>
        <v>#N/A</v>
      </c>
      <c r="AA74" s="50" t="e">
        <f t="shared" si="8"/>
        <v>#NUM!</v>
      </c>
    </row>
    <row r="75" spans="4:27" x14ac:dyDescent="0.2">
      <c r="D75" s="11" t="e">
        <v>#N/A</v>
      </c>
      <c r="E75" s="12" t="e">
        <f>_xll.qlYieldTSDiscount(C$4,D75,,Triggers!RTDataTrigger)</f>
        <v>#NUM!</v>
      </c>
      <c r="F75" s="44"/>
      <c r="G75" s="33"/>
      <c r="H75" s="49" t="e">
        <f t="shared" si="6"/>
        <v>#N/A</v>
      </c>
      <c r="I75" s="50" t="e">
        <f t="shared" si="6"/>
        <v>#NUM!</v>
      </c>
      <c r="M75" s="11" t="e">
        <v>#N/A</v>
      </c>
      <c r="N75" s="12" t="e">
        <f>_xll.qlYieldTSDiscount(L$4,M75,,Triggers!RTDataTrigger)</f>
        <v>#NUM!</v>
      </c>
      <c r="O75" s="44"/>
      <c r="P75" s="33"/>
      <c r="Q75" s="49" t="e">
        <f t="shared" si="7"/>
        <v>#N/A</v>
      </c>
      <c r="R75" s="50" t="e">
        <f t="shared" si="7"/>
        <v>#NUM!</v>
      </c>
      <c r="V75" s="11" t="e">
        <v>#N/A</v>
      </c>
      <c r="W75" s="12" t="e">
        <f>_xll.qlYieldTSDiscount(U$4,V75,,Triggers!RTDataTrigger)</f>
        <v>#NUM!</v>
      </c>
      <c r="X75" s="44"/>
      <c r="Y75" s="33"/>
      <c r="Z75" s="49" t="e">
        <f t="shared" si="8"/>
        <v>#N/A</v>
      </c>
      <c r="AA75" s="50" t="e">
        <f t="shared" si="8"/>
        <v>#NUM!</v>
      </c>
    </row>
    <row r="76" spans="4:27" x14ac:dyDescent="0.2">
      <c r="D76" s="11" t="e">
        <v>#N/A</v>
      </c>
      <c r="E76" s="12" t="e">
        <f>_xll.qlYieldTSDiscount(C$4,D76,,Triggers!RTDataTrigger)</f>
        <v>#NUM!</v>
      </c>
      <c r="F76" s="44"/>
      <c r="G76" s="33"/>
      <c r="H76" s="49" t="e">
        <f t="shared" si="6"/>
        <v>#N/A</v>
      </c>
      <c r="I76" s="50" t="e">
        <f t="shared" si="6"/>
        <v>#NUM!</v>
      </c>
      <c r="M76" s="11" t="e">
        <v>#N/A</v>
      </c>
      <c r="N76" s="12" t="e">
        <f>_xll.qlYieldTSDiscount(L$4,M76,,Triggers!RTDataTrigger)</f>
        <v>#NUM!</v>
      </c>
      <c r="O76" s="44"/>
      <c r="P76" s="33"/>
      <c r="Q76" s="49" t="e">
        <f t="shared" si="7"/>
        <v>#N/A</v>
      </c>
      <c r="R76" s="50" t="e">
        <f t="shared" si="7"/>
        <v>#NUM!</v>
      </c>
      <c r="V76" s="11" t="e">
        <v>#N/A</v>
      </c>
      <c r="W76" s="12" t="e">
        <f>_xll.qlYieldTSDiscount(U$4,V76,,Triggers!RTDataTrigger)</f>
        <v>#NUM!</v>
      </c>
      <c r="X76" s="44"/>
      <c r="Y76" s="33"/>
      <c r="Z76" s="49" t="e">
        <f t="shared" si="8"/>
        <v>#N/A</v>
      </c>
      <c r="AA76" s="50" t="e">
        <f t="shared" si="8"/>
        <v>#NUM!</v>
      </c>
    </row>
    <row r="77" spans="4:27" x14ac:dyDescent="0.2">
      <c r="D77" s="11" t="e">
        <v>#N/A</v>
      </c>
      <c r="E77" s="12" t="e">
        <f>_xll.qlYieldTSDiscount(C$4,D77,,Triggers!RTDataTrigger)</f>
        <v>#NUM!</v>
      </c>
      <c r="F77" s="44"/>
      <c r="G77" s="33"/>
      <c r="H77" s="49" t="e">
        <f t="shared" si="6"/>
        <v>#N/A</v>
      </c>
      <c r="I77" s="50" t="e">
        <f t="shared" si="6"/>
        <v>#NUM!</v>
      </c>
      <c r="M77" s="11" t="e">
        <v>#N/A</v>
      </c>
      <c r="N77" s="12" t="e">
        <f>_xll.qlYieldTSDiscount(L$4,M77,,Triggers!RTDataTrigger)</f>
        <v>#NUM!</v>
      </c>
      <c r="O77" s="44"/>
      <c r="P77" s="33"/>
      <c r="Q77" s="49" t="e">
        <f t="shared" si="7"/>
        <v>#N/A</v>
      </c>
      <c r="R77" s="50" t="e">
        <f t="shared" si="7"/>
        <v>#NUM!</v>
      </c>
      <c r="V77" s="11" t="e">
        <v>#N/A</v>
      </c>
      <c r="W77" s="12" t="e">
        <f>_xll.qlYieldTSDiscount(U$4,V77,,Triggers!RTDataTrigger)</f>
        <v>#NUM!</v>
      </c>
      <c r="X77" s="44"/>
      <c r="Y77" s="33"/>
      <c r="Z77" s="49" t="e">
        <f t="shared" si="8"/>
        <v>#N/A</v>
      </c>
      <c r="AA77" s="50" t="e">
        <f t="shared" si="8"/>
        <v>#NUM!</v>
      </c>
    </row>
    <row r="78" spans="4:27" x14ac:dyDescent="0.2">
      <c r="D78" s="11" t="e">
        <v>#N/A</v>
      </c>
      <c r="E78" s="12" t="e">
        <f>_xll.qlYieldTSDiscount(C$4,D78,,Triggers!RTDataTrigger)</f>
        <v>#NUM!</v>
      </c>
      <c r="F78" s="44"/>
      <c r="G78" s="33"/>
      <c r="H78" s="49" t="e">
        <f t="shared" si="6"/>
        <v>#N/A</v>
      </c>
      <c r="I78" s="50" t="e">
        <f t="shared" si="6"/>
        <v>#NUM!</v>
      </c>
      <c r="M78" s="11" t="e">
        <v>#N/A</v>
      </c>
      <c r="N78" s="12" t="e">
        <f>_xll.qlYieldTSDiscount(L$4,M78,,Triggers!RTDataTrigger)</f>
        <v>#NUM!</v>
      </c>
      <c r="O78" s="44"/>
      <c r="P78" s="33"/>
      <c r="Q78" s="49" t="e">
        <f t="shared" si="7"/>
        <v>#N/A</v>
      </c>
      <c r="R78" s="50" t="e">
        <f t="shared" si="7"/>
        <v>#NUM!</v>
      </c>
      <c r="V78" s="11" t="e">
        <v>#N/A</v>
      </c>
      <c r="W78" s="12" t="e">
        <f>_xll.qlYieldTSDiscount(U$4,V78,,Triggers!RTDataTrigger)</f>
        <v>#NUM!</v>
      </c>
      <c r="X78" s="44"/>
      <c r="Y78" s="33"/>
      <c r="Z78" s="49" t="e">
        <f t="shared" si="8"/>
        <v>#N/A</v>
      </c>
      <c r="AA78" s="50" t="e">
        <f t="shared" si="8"/>
        <v>#NUM!</v>
      </c>
    </row>
    <row r="79" spans="4:27" x14ac:dyDescent="0.2">
      <c r="D79" s="11" t="e">
        <v>#N/A</v>
      </c>
      <c r="E79" s="12" t="e">
        <f>_xll.qlYieldTSDiscount(C$4,D79,,Triggers!RTDataTrigger)</f>
        <v>#NUM!</v>
      </c>
      <c r="F79" s="44"/>
      <c r="G79" s="33"/>
      <c r="H79" s="49" t="e">
        <f t="shared" si="6"/>
        <v>#N/A</v>
      </c>
      <c r="I79" s="50" t="e">
        <f t="shared" si="6"/>
        <v>#NUM!</v>
      </c>
      <c r="M79" s="11" t="e">
        <v>#N/A</v>
      </c>
      <c r="N79" s="12" t="e">
        <f>_xll.qlYieldTSDiscount(L$4,M79,,Triggers!RTDataTrigger)</f>
        <v>#NUM!</v>
      </c>
      <c r="O79" s="44"/>
      <c r="P79" s="33"/>
      <c r="Q79" s="49" t="e">
        <f t="shared" si="7"/>
        <v>#N/A</v>
      </c>
      <c r="R79" s="50" t="e">
        <f t="shared" si="7"/>
        <v>#NUM!</v>
      </c>
      <c r="V79" s="11" t="e">
        <v>#N/A</v>
      </c>
      <c r="W79" s="12" t="e">
        <f>_xll.qlYieldTSDiscount(U$4,V79,,Triggers!RTDataTrigger)</f>
        <v>#NUM!</v>
      </c>
      <c r="X79" s="44"/>
      <c r="Y79" s="33"/>
      <c r="Z79" s="49" t="e">
        <f t="shared" si="8"/>
        <v>#N/A</v>
      </c>
      <c r="AA79" s="50" t="e">
        <f t="shared" si="8"/>
        <v>#NUM!</v>
      </c>
    </row>
    <row r="80" spans="4:27" x14ac:dyDescent="0.2">
      <c r="D80" s="11" t="e">
        <v>#N/A</v>
      </c>
      <c r="E80" s="12" t="e">
        <f>_xll.qlYieldTSDiscount(C$4,D80,,Triggers!RTDataTrigger)</f>
        <v>#NUM!</v>
      </c>
      <c r="F80" s="44"/>
      <c r="G80" s="33"/>
      <c r="H80" s="49" t="e">
        <f t="shared" si="6"/>
        <v>#N/A</v>
      </c>
      <c r="I80" s="50" t="e">
        <f t="shared" si="6"/>
        <v>#NUM!</v>
      </c>
      <c r="M80" s="11" t="e">
        <v>#N/A</v>
      </c>
      <c r="N80" s="12" t="e">
        <f>_xll.qlYieldTSDiscount(L$4,M80,,Triggers!RTDataTrigger)</f>
        <v>#NUM!</v>
      </c>
      <c r="O80" s="44"/>
      <c r="P80" s="33"/>
      <c r="Q80" s="49" t="e">
        <f t="shared" si="7"/>
        <v>#N/A</v>
      </c>
      <c r="R80" s="50" t="e">
        <f t="shared" si="7"/>
        <v>#NUM!</v>
      </c>
      <c r="V80" s="11" t="e">
        <v>#N/A</v>
      </c>
      <c r="W80" s="12" t="e">
        <f>_xll.qlYieldTSDiscount(U$4,V80,,Triggers!RTDataTrigger)</f>
        <v>#NUM!</v>
      </c>
      <c r="X80" s="44"/>
      <c r="Y80" s="33"/>
      <c r="Z80" s="49" t="e">
        <f t="shared" si="8"/>
        <v>#N/A</v>
      </c>
      <c r="AA80" s="50" t="e">
        <f t="shared" si="8"/>
        <v>#NUM!</v>
      </c>
    </row>
    <row r="81" spans="4:27" x14ac:dyDescent="0.2">
      <c r="D81" s="11" t="e">
        <v>#N/A</v>
      </c>
      <c r="E81" s="12" t="e">
        <f>_xll.qlYieldTSDiscount(C$4,D81,,Triggers!RTDataTrigger)</f>
        <v>#NUM!</v>
      </c>
      <c r="F81" s="44"/>
      <c r="G81" s="33"/>
      <c r="H81" s="49" t="e">
        <f t="shared" si="6"/>
        <v>#N/A</v>
      </c>
      <c r="I81" s="50" t="e">
        <f t="shared" si="6"/>
        <v>#NUM!</v>
      </c>
      <c r="M81" s="11" t="e">
        <v>#N/A</v>
      </c>
      <c r="N81" s="12" t="e">
        <f>_xll.qlYieldTSDiscount(L$4,M81,,Triggers!RTDataTrigger)</f>
        <v>#NUM!</v>
      </c>
      <c r="O81" s="44"/>
      <c r="P81" s="33"/>
      <c r="Q81" s="49" t="e">
        <f t="shared" si="7"/>
        <v>#N/A</v>
      </c>
      <c r="R81" s="50" t="e">
        <f t="shared" si="7"/>
        <v>#NUM!</v>
      </c>
      <c r="V81" s="11" t="e">
        <v>#N/A</v>
      </c>
      <c r="W81" s="12" t="e">
        <f>_xll.qlYieldTSDiscount(U$4,V81,,Triggers!RTDataTrigger)</f>
        <v>#NUM!</v>
      </c>
      <c r="X81" s="44"/>
      <c r="Y81" s="33"/>
      <c r="Z81" s="49" t="e">
        <f t="shared" si="8"/>
        <v>#N/A</v>
      </c>
      <c r="AA81" s="50" t="e">
        <f t="shared" si="8"/>
        <v>#NUM!</v>
      </c>
    </row>
    <row r="82" spans="4:27" x14ac:dyDescent="0.2">
      <c r="D82" s="11" t="e">
        <v>#N/A</v>
      </c>
      <c r="E82" s="12" t="e">
        <f>_xll.qlYieldTSDiscount(C$4,D82,,Triggers!RTDataTrigger)</f>
        <v>#NUM!</v>
      </c>
      <c r="F82" s="44"/>
      <c r="G82" s="33"/>
      <c r="H82" s="49" t="e">
        <f t="shared" si="6"/>
        <v>#N/A</v>
      </c>
      <c r="I82" s="50" t="e">
        <f t="shared" si="6"/>
        <v>#NUM!</v>
      </c>
      <c r="M82" s="11" t="e">
        <v>#N/A</v>
      </c>
      <c r="N82" s="12" t="e">
        <f>_xll.qlYieldTSDiscount(L$4,M82,,Triggers!RTDataTrigger)</f>
        <v>#NUM!</v>
      </c>
      <c r="O82" s="44"/>
      <c r="P82" s="33"/>
      <c r="Q82" s="49" t="e">
        <f t="shared" si="7"/>
        <v>#N/A</v>
      </c>
      <c r="R82" s="50" t="e">
        <f t="shared" si="7"/>
        <v>#NUM!</v>
      </c>
      <c r="V82" s="11" t="e">
        <v>#N/A</v>
      </c>
      <c r="W82" s="12" t="e">
        <f>_xll.qlYieldTSDiscount(U$4,V82,,Triggers!RTDataTrigger)</f>
        <v>#NUM!</v>
      </c>
      <c r="X82" s="44"/>
      <c r="Y82" s="33"/>
      <c r="Z82" s="49" t="e">
        <f t="shared" si="8"/>
        <v>#N/A</v>
      </c>
      <c r="AA82" s="50" t="e">
        <f t="shared" si="8"/>
        <v>#NUM!</v>
      </c>
    </row>
    <row r="83" spans="4:27" x14ac:dyDescent="0.2">
      <c r="D83" s="11" t="e">
        <v>#N/A</v>
      </c>
      <c r="E83" s="12" t="e">
        <f>_xll.qlYieldTSDiscount(C$4,D83,,Triggers!RTDataTrigger)</f>
        <v>#NUM!</v>
      </c>
      <c r="F83" s="44"/>
      <c r="G83" s="33"/>
      <c r="H83" s="49" t="e">
        <f t="shared" si="6"/>
        <v>#N/A</v>
      </c>
      <c r="I83" s="50" t="e">
        <f t="shared" si="6"/>
        <v>#NUM!</v>
      </c>
      <c r="M83" s="11" t="e">
        <v>#N/A</v>
      </c>
      <c r="N83" s="12" t="e">
        <f>_xll.qlYieldTSDiscount(L$4,M83,,Triggers!RTDataTrigger)</f>
        <v>#NUM!</v>
      </c>
      <c r="O83" s="44"/>
      <c r="P83" s="33"/>
      <c r="Q83" s="49" t="e">
        <f t="shared" si="7"/>
        <v>#N/A</v>
      </c>
      <c r="R83" s="50" t="e">
        <f t="shared" si="7"/>
        <v>#NUM!</v>
      </c>
      <c r="V83" s="11" t="e">
        <v>#N/A</v>
      </c>
      <c r="W83" s="12" t="e">
        <f>_xll.qlYieldTSDiscount(U$4,V83,,Triggers!RTDataTrigger)</f>
        <v>#NUM!</v>
      </c>
      <c r="X83" s="44"/>
      <c r="Y83" s="33"/>
      <c r="Z83" s="49" t="e">
        <f t="shared" si="8"/>
        <v>#N/A</v>
      </c>
      <c r="AA83" s="50" t="e">
        <f t="shared" si="8"/>
        <v>#NUM!</v>
      </c>
    </row>
    <row r="84" spans="4:27" x14ac:dyDescent="0.2">
      <c r="D84" s="11" t="e">
        <v>#N/A</v>
      </c>
      <c r="E84" s="12" t="e">
        <f>_xll.qlYieldTSDiscount(C$4,D84,,Triggers!RTDataTrigger)</f>
        <v>#NUM!</v>
      </c>
      <c r="F84" s="44"/>
      <c r="G84" s="33"/>
      <c r="H84" s="49" t="e">
        <f t="shared" si="6"/>
        <v>#N/A</v>
      </c>
      <c r="I84" s="50" t="e">
        <f t="shared" si="6"/>
        <v>#NUM!</v>
      </c>
      <c r="M84" s="11" t="e">
        <v>#N/A</v>
      </c>
      <c r="N84" s="12" t="e">
        <f>_xll.qlYieldTSDiscount(L$4,M84,,Triggers!RTDataTrigger)</f>
        <v>#NUM!</v>
      </c>
      <c r="O84" s="44"/>
      <c r="P84" s="33"/>
      <c r="Q84" s="49" t="e">
        <f t="shared" si="7"/>
        <v>#N/A</v>
      </c>
      <c r="R84" s="50" t="e">
        <f t="shared" si="7"/>
        <v>#NUM!</v>
      </c>
      <c r="V84" s="11" t="e">
        <v>#N/A</v>
      </c>
      <c r="W84" s="12" t="e">
        <f>_xll.qlYieldTSDiscount(U$4,V84,,Triggers!RTDataTrigger)</f>
        <v>#NUM!</v>
      </c>
      <c r="X84" s="44"/>
      <c r="Y84" s="33"/>
      <c r="Z84" s="49" t="e">
        <f t="shared" si="8"/>
        <v>#N/A</v>
      </c>
      <c r="AA84" s="50" t="e">
        <f t="shared" si="8"/>
        <v>#NUM!</v>
      </c>
    </row>
    <row r="85" spans="4:27" x14ac:dyDescent="0.2">
      <c r="D85" s="11" t="e">
        <v>#N/A</v>
      </c>
      <c r="E85" s="12" t="e">
        <f>_xll.qlYieldTSDiscount(C$4,D85,,Triggers!RTDataTrigger)</f>
        <v>#NUM!</v>
      </c>
      <c r="F85" s="44"/>
      <c r="G85" s="33"/>
      <c r="H85" s="49" t="e">
        <f t="shared" si="6"/>
        <v>#N/A</v>
      </c>
      <c r="I85" s="50" t="e">
        <f t="shared" si="6"/>
        <v>#NUM!</v>
      </c>
      <c r="M85" s="11" t="e">
        <v>#N/A</v>
      </c>
      <c r="N85" s="12" t="e">
        <f>_xll.qlYieldTSDiscount(L$4,M85,,Triggers!RTDataTrigger)</f>
        <v>#NUM!</v>
      </c>
      <c r="O85" s="44"/>
      <c r="P85" s="33"/>
      <c r="Q85" s="49" t="e">
        <f t="shared" si="7"/>
        <v>#N/A</v>
      </c>
      <c r="R85" s="50" t="e">
        <f t="shared" si="7"/>
        <v>#NUM!</v>
      </c>
      <c r="V85" s="11" t="e">
        <v>#N/A</v>
      </c>
      <c r="W85" s="12" t="e">
        <f>_xll.qlYieldTSDiscount(U$4,V85,,Triggers!RTDataTrigger)</f>
        <v>#NUM!</v>
      </c>
      <c r="X85" s="44"/>
      <c r="Y85" s="33"/>
      <c r="Z85" s="49" t="e">
        <f t="shared" si="8"/>
        <v>#N/A</v>
      </c>
      <c r="AA85" s="50" t="e">
        <f t="shared" si="8"/>
        <v>#NUM!</v>
      </c>
    </row>
    <row r="86" spans="4:27" x14ac:dyDescent="0.2">
      <c r="D86" s="11" t="e">
        <v>#N/A</v>
      </c>
      <c r="E86" s="12" t="e">
        <f>_xll.qlYieldTSDiscount(C$4,D86,,Triggers!RTDataTrigger)</f>
        <v>#NUM!</v>
      </c>
      <c r="F86" s="44"/>
      <c r="G86" s="33"/>
      <c r="H86" s="49" t="e">
        <f t="shared" si="6"/>
        <v>#N/A</v>
      </c>
      <c r="I86" s="50" t="e">
        <f t="shared" si="6"/>
        <v>#NUM!</v>
      </c>
      <c r="M86" s="11" t="e">
        <v>#N/A</v>
      </c>
      <c r="N86" s="12" t="e">
        <f>_xll.qlYieldTSDiscount(L$4,M86,,Triggers!RTDataTrigger)</f>
        <v>#NUM!</v>
      </c>
      <c r="O86" s="44"/>
      <c r="P86" s="33"/>
      <c r="Q86" s="49" t="e">
        <f t="shared" si="7"/>
        <v>#N/A</v>
      </c>
      <c r="R86" s="50" t="e">
        <f t="shared" si="7"/>
        <v>#NUM!</v>
      </c>
      <c r="V86" s="11" t="e">
        <v>#N/A</v>
      </c>
      <c r="W86" s="12" t="e">
        <f>_xll.qlYieldTSDiscount(U$4,V86,,Triggers!RTDataTrigger)</f>
        <v>#NUM!</v>
      </c>
      <c r="X86" s="44"/>
      <c r="Y86" s="33"/>
      <c r="Z86" s="49" t="e">
        <f t="shared" si="8"/>
        <v>#N/A</v>
      </c>
      <c r="AA86" s="50" t="e">
        <f t="shared" si="8"/>
        <v>#NUM!</v>
      </c>
    </row>
    <row r="87" spans="4:27" x14ac:dyDescent="0.2">
      <c r="D87" s="11" t="e">
        <v>#N/A</v>
      </c>
      <c r="E87" s="12" t="e">
        <f>_xll.qlYieldTSDiscount(C$4,D87,,Triggers!RTDataTrigger)</f>
        <v>#NUM!</v>
      </c>
      <c r="F87" s="44"/>
      <c r="G87" s="33"/>
      <c r="H87" s="49" t="e">
        <f t="shared" si="6"/>
        <v>#N/A</v>
      </c>
      <c r="I87" s="50" t="e">
        <f t="shared" si="6"/>
        <v>#NUM!</v>
      </c>
      <c r="M87" s="11" t="e">
        <v>#N/A</v>
      </c>
      <c r="N87" s="12" t="e">
        <f>_xll.qlYieldTSDiscount(L$4,M87,,Triggers!RTDataTrigger)</f>
        <v>#NUM!</v>
      </c>
      <c r="O87" s="44"/>
      <c r="P87" s="33"/>
      <c r="Q87" s="49" t="e">
        <f t="shared" si="7"/>
        <v>#N/A</v>
      </c>
      <c r="R87" s="50" t="e">
        <f t="shared" si="7"/>
        <v>#NUM!</v>
      </c>
      <c r="V87" s="11" t="e">
        <v>#N/A</v>
      </c>
      <c r="W87" s="12" t="e">
        <f>_xll.qlYieldTSDiscount(U$4,V87,,Triggers!RTDataTrigger)</f>
        <v>#NUM!</v>
      </c>
      <c r="X87" s="44"/>
      <c r="Y87" s="33"/>
      <c r="Z87" s="49" t="e">
        <f t="shared" si="8"/>
        <v>#N/A</v>
      </c>
      <c r="AA87" s="50" t="e">
        <f t="shared" si="8"/>
        <v>#NUM!</v>
      </c>
    </row>
    <row r="88" spans="4:27" x14ac:dyDescent="0.2">
      <c r="D88" s="11" t="e">
        <v>#N/A</v>
      </c>
      <c r="E88" s="12" t="e">
        <f>_xll.qlYieldTSDiscount(C$4,D88,,Triggers!RTDataTrigger)</f>
        <v>#NUM!</v>
      </c>
      <c r="F88" s="44"/>
      <c r="G88" s="33"/>
      <c r="H88" s="49" t="e">
        <f t="shared" si="6"/>
        <v>#N/A</v>
      </c>
      <c r="I88" s="50" t="e">
        <f t="shared" si="6"/>
        <v>#NUM!</v>
      </c>
      <c r="M88" s="11" t="e">
        <v>#N/A</v>
      </c>
      <c r="N88" s="12" t="e">
        <f>_xll.qlYieldTSDiscount(L$4,M88,,Triggers!RTDataTrigger)</f>
        <v>#NUM!</v>
      </c>
      <c r="O88" s="44"/>
      <c r="P88" s="33"/>
      <c r="Q88" s="49" t="e">
        <f t="shared" si="7"/>
        <v>#N/A</v>
      </c>
      <c r="R88" s="50" t="e">
        <f t="shared" si="7"/>
        <v>#NUM!</v>
      </c>
      <c r="V88" s="11" t="e">
        <v>#N/A</v>
      </c>
      <c r="W88" s="12" t="e">
        <f>_xll.qlYieldTSDiscount(U$4,V88,,Triggers!RTDataTrigger)</f>
        <v>#NUM!</v>
      </c>
      <c r="X88" s="44"/>
      <c r="Y88" s="33"/>
      <c r="Z88" s="49" t="e">
        <f t="shared" si="8"/>
        <v>#N/A</v>
      </c>
      <c r="AA88" s="50" t="e">
        <f t="shared" si="8"/>
        <v>#NUM!</v>
      </c>
    </row>
    <row r="89" spans="4:27" x14ac:dyDescent="0.2">
      <c r="D89" s="11" t="e">
        <v>#N/A</v>
      </c>
      <c r="E89" s="12" t="e">
        <f>_xll.qlYieldTSDiscount(C$4,D89,,Triggers!RTDataTrigger)</f>
        <v>#NUM!</v>
      </c>
      <c r="F89" s="44"/>
      <c r="G89" s="33"/>
      <c r="H89" s="49" t="e">
        <f t="shared" si="6"/>
        <v>#N/A</v>
      </c>
      <c r="I89" s="50" t="e">
        <f t="shared" si="6"/>
        <v>#NUM!</v>
      </c>
      <c r="M89" s="11" t="e">
        <v>#N/A</v>
      </c>
      <c r="N89" s="12" t="e">
        <f>_xll.qlYieldTSDiscount(L$4,M89,,Triggers!RTDataTrigger)</f>
        <v>#NUM!</v>
      </c>
      <c r="O89" s="44"/>
      <c r="P89" s="33"/>
      <c r="Q89" s="49" t="e">
        <f t="shared" si="7"/>
        <v>#N/A</v>
      </c>
      <c r="R89" s="50" t="e">
        <f t="shared" si="7"/>
        <v>#NUM!</v>
      </c>
      <c r="V89" s="11" t="e">
        <v>#N/A</v>
      </c>
      <c r="W89" s="12" t="e">
        <f>_xll.qlYieldTSDiscount(U$4,V89,,Triggers!RTDataTrigger)</f>
        <v>#NUM!</v>
      </c>
      <c r="X89" s="44"/>
      <c r="Y89" s="33"/>
      <c r="Z89" s="49" t="e">
        <f t="shared" si="8"/>
        <v>#N/A</v>
      </c>
      <c r="AA89" s="50" t="e">
        <f t="shared" si="8"/>
        <v>#NUM!</v>
      </c>
    </row>
    <row r="90" spans="4:27" x14ac:dyDescent="0.2">
      <c r="D90" s="11" t="e">
        <v>#N/A</v>
      </c>
      <c r="E90" s="12" t="e">
        <f>_xll.qlYieldTSDiscount(C$4,D90,,Triggers!RTDataTrigger)</f>
        <v>#NUM!</v>
      </c>
      <c r="F90" s="44"/>
      <c r="G90" s="33"/>
      <c r="H90" s="49" t="e">
        <f t="shared" si="6"/>
        <v>#N/A</v>
      </c>
      <c r="I90" s="50" t="e">
        <f t="shared" si="6"/>
        <v>#NUM!</v>
      </c>
      <c r="M90" s="11" t="e">
        <v>#N/A</v>
      </c>
      <c r="N90" s="12" t="e">
        <f>_xll.qlYieldTSDiscount(L$4,M90,,Triggers!RTDataTrigger)</f>
        <v>#NUM!</v>
      </c>
      <c r="O90" s="44"/>
      <c r="P90" s="33"/>
      <c r="Q90" s="49" t="e">
        <f t="shared" si="7"/>
        <v>#N/A</v>
      </c>
      <c r="R90" s="50" t="e">
        <f t="shared" si="7"/>
        <v>#NUM!</v>
      </c>
      <c r="V90" s="11" t="e">
        <v>#N/A</v>
      </c>
      <c r="W90" s="12" t="e">
        <f>_xll.qlYieldTSDiscount(U$4,V90,,Triggers!RTDataTrigger)</f>
        <v>#NUM!</v>
      </c>
      <c r="X90" s="44"/>
      <c r="Y90" s="33"/>
      <c r="Z90" s="49" t="e">
        <f t="shared" si="8"/>
        <v>#N/A</v>
      </c>
      <c r="AA90" s="50" t="e">
        <f t="shared" si="8"/>
        <v>#NUM!</v>
      </c>
    </row>
    <row r="91" spans="4:27" x14ac:dyDescent="0.2">
      <c r="D91" s="11" t="e">
        <v>#N/A</v>
      </c>
      <c r="E91" s="12" t="e">
        <f>_xll.qlYieldTSDiscount(C$4,D91,,Triggers!RTDataTrigger)</f>
        <v>#NUM!</v>
      </c>
      <c r="F91" s="44"/>
      <c r="G91" s="33"/>
      <c r="H91" s="49" t="e">
        <f t="shared" si="6"/>
        <v>#N/A</v>
      </c>
      <c r="I91" s="50" t="e">
        <f t="shared" si="6"/>
        <v>#NUM!</v>
      </c>
      <c r="M91" s="11" t="e">
        <v>#N/A</v>
      </c>
      <c r="N91" s="12" t="e">
        <f>_xll.qlYieldTSDiscount(L$4,M91,,Triggers!RTDataTrigger)</f>
        <v>#NUM!</v>
      </c>
      <c r="O91" s="44"/>
      <c r="P91" s="33"/>
      <c r="Q91" s="49" t="e">
        <f t="shared" si="7"/>
        <v>#N/A</v>
      </c>
      <c r="R91" s="50" t="e">
        <f t="shared" si="7"/>
        <v>#NUM!</v>
      </c>
      <c r="V91" s="11" t="e">
        <v>#N/A</v>
      </c>
      <c r="W91" s="12" t="e">
        <f>_xll.qlYieldTSDiscount(U$4,V91,,Triggers!RTDataTrigger)</f>
        <v>#NUM!</v>
      </c>
      <c r="X91" s="44"/>
      <c r="Y91" s="33"/>
      <c r="Z91" s="49" t="e">
        <f t="shared" si="8"/>
        <v>#N/A</v>
      </c>
      <c r="AA91" s="50" t="e">
        <f t="shared" si="8"/>
        <v>#NUM!</v>
      </c>
    </row>
    <row r="92" spans="4:27" x14ac:dyDescent="0.2">
      <c r="D92" s="11" t="e">
        <v>#N/A</v>
      </c>
      <c r="E92" s="12" t="e">
        <f>_xll.qlYieldTSDiscount(C$4,D92,,Triggers!RTDataTrigger)</f>
        <v>#NUM!</v>
      </c>
      <c r="F92" s="44"/>
      <c r="G92" s="33"/>
      <c r="H92" s="49" t="e">
        <f t="shared" si="6"/>
        <v>#N/A</v>
      </c>
      <c r="I92" s="50" t="e">
        <f t="shared" si="6"/>
        <v>#NUM!</v>
      </c>
      <c r="M92" s="11" t="e">
        <v>#N/A</v>
      </c>
      <c r="N92" s="12" t="e">
        <f>_xll.qlYieldTSDiscount(L$4,M92,,Triggers!RTDataTrigger)</f>
        <v>#NUM!</v>
      </c>
      <c r="O92" s="44"/>
      <c r="P92" s="33"/>
      <c r="Q92" s="49" t="e">
        <f t="shared" si="7"/>
        <v>#N/A</v>
      </c>
      <c r="R92" s="50" t="e">
        <f t="shared" si="7"/>
        <v>#NUM!</v>
      </c>
      <c r="V92" s="11" t="e">
        <v>#N/A</v>
      </c>
      <c r="W92" s="12" t="e">
        <f>_xll.qlYieldTSDiscount(U$4,V92,,Triggers!RTDataTrigger)</f>
        <v>#NUM!</v>
      </c>
      <c r="X92" s="44"/>
      <c r="Y92" s="33"/>
      <c r="Z92" s="49" t="e">
        <f t="shared" si="8"/>
        <v>#N/A</v>
      </c>
      <c r="AA92" s="50" t="e">
        <f t="shared" si="8"/>
        <v>#NUM!</v>
      </c>
    </row>
    <row r="93" spans="4:27" x14ac:dyDescent="0.2">
      <c r="D93" s="13" t="e">
        <v>#N/A</v>
      </c>
      <c r="E93" s="14" t="e">
        <f>_xll.qlYieldTSDiscount(C$4,D93,,Triggers!RTDataTrigger)</f>
        <v>#NUM!</v>
      </c>
      <c r="F93" s="45"/>
      <c r="G93" s="46"/>
      <c r="H93" s="51" t="e">
        <f t="shared" si="6"/>
        <v>#N/A</v>
      </c>
      <c r="I93" s="52" t="e">
        <f t="shared" si="6"/>
        <v>#NUM!</v>
      </c>
      <c r="M93" s="13" t="e">
        <v>#N/A</v>
      </c>
      <c r="N93" s="14" t="e">
        <f>_xll.qlYieldTSDiscount(L$4,M93,,Triggers!RTDataTrigger)</f>
        <v>#NUM!</v>
      </c>
      <c r="O93" s="45"/>
      <c r="P93" s="46"/>
      <c r="Q93" s="51" t="e">
        <f t="shared" si="7"/>
        <v>#N/A</v>
      </c>
      <c r="R93" s="52" t="e">
        <f t="shared" si="7"/>
        <v>#NUM!</v>
      </c>
      <c r="V93" s="13" t="e">
        <v>#N/A</v>
      </c>
      <c r="W93" s="14" t="e">
        <f>_xll.qlYieldTSDiscount(U$4,V93,,Triggers!RTDataTrigger)</f>
        <v>#NUM!</v>
      </c>
      <c r="X93" s="45"/>
      <c r="Y93" s="46"/>
      <c r="Z93" s="51" t="e">
        <f t="shared" si="8"/>
        <v>#N/A</v>
      </c>
      <c r="AA93" s="52" t="e">
        <f t="shared" si="8"/>
        <v>#NUM!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4" r:id="rId4" name="Button 4">
              <controlPr defaultSize="0" print="0" autoFill="0" autoPict="0" macro="[0]!rtRun">
                <anchor moveWithCells="1" sizeWithCells="1">
                  <from>
                    <xdr:col>1</xdr:col>
                    <xdr:colOff>38100</xdr:colOff>
                    <xdr:row>17</xdr:row>
                    <xdr:rowOff>19050</xdr:rowOff>
                  </from>
                  <to>
                    <xdr:col>1</xdr:col>
                    <xdr:colOff>952500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5" name="Button 5">
              <controlPr defaultSize="0" print="0" autoFill="0" autoPict="0" macro="[0]!rtFreeze">
                <anchor moveWithCells="1" sizeWithCells="1">
                  <from>
                    <xdr:col>1</xdr:col>
                    <xdr:colOff>38100</xdr:colOff>
                    <xdr:row>18</xdr:row>
                    <xdr:rowOff>123825</xdr:rowOff>
                  </from>
                  <to>
                    <xdr:col>1</xdr:col>
                    <xdr:colOff>952500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59999389629810485"/>
  </sheetPr>
  <dimension ref="B2:AA93"/>
  <sheetViews>
    <sheetView showGridLines="0" zoomScaleNormal="100" workbookViewId="0"/>
  </sheetViews>
  <sheetFormatPr defaultRowHeight="11.25" outlineLevelCol="1" x14ac:dyDescent="0.2"/>
  <cols>
    <col min="1" max="1" width="3.83203125" customWidth="1"/>
    <col min="2" max="2" width="16.83203125" customWidth="1"/>
    <col min="3" max="3" width="20.83203125" customWidth="1"/>
    <col min="4" max="7" width="10.83203125" hidden="1" customWidth="1" outlineLevel="1"/>
    <col min="8" max="8" width="10.83203125" customWidth="1" collapsed="1"/>
    <col min="9" max="9" width="10.83203125" customWidth="1"/>
    <col min="10" max="10" width="5.83203125" customWidth="1"/>
    <col min="11" max="11" width="16.83203125" customWidth="1"/>
    <col min="12" max="12" width="20.83203125" customWidth="1"/>
    <col min="13" max="16" width="10.83203125" hidden="1" customWidth="1" outlineLevel="1"/>
    <col min="17" max="17" width="10.83203125" customWidth="1" collapsed="1"/>
    <col min="18" max="18" width="10.83203125" customWidth="1"/>
    <col min="20" max="20" width="16.83203125" customWidth="1"/>
    <col min="21" max="21" width="20.83203125" customWidth="1"/>
    <col min="22" max="25" width="10.83203125" hidden="1" customWidth="1" outlineLevel="1"/>
    <col min="26" max="26" width="10.83203125" customWidth="1" collapsed="1"/>
    <col min="27" max="27" width="10.83203125" customWidth="1"/>
  </cols>
  <sheetData>
    <row r="2" spans="2:27" x14ac:dyDescent="0.2">
      <c r="D2" s="326" t="s">
        <v>141</v>
      </c>
      <c r="E2" s="327"/>
      <c r="F2" s="326" t="s">
        <v>75</v>
      </c>
      <c r="G2" s="327"/>
      <c r="H2" s="326" t="s">
        <v>142</v>
      </c>
      <c r="I2" s="327"/>
      <c r="M2" s="326" t="s">
        <v>141</v>
      </c>
      <c r="N2" s="327"/>
      <c r="O2" s="326" t="s">
        <v>75</v>
      </c>
      <c r="P2" s="327"/>
      <c r="Q2" s="326" t="s">
        <v>142</v>
      </c>
      <c r="R2" s="327"/>
      <c r="V2" s="326" t="s">
        <v>141</v>
      </c>
      <c r="W2" s="327"/>
      <c r="X2" s="326" t="s">
        <v>75</v>
      </c>
      <c r="Y2" s="327"/>
      <c r="Z2" s="326" t="s">
        <v>142</v>
      </c>
      <c r="AA2" s="327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223</v>
      </c>
      <c r="D4" s="29">
        <f t="array" ref="D4:D93">CHOOSE(C7,_xll.qlPiecewiseYieldCurveDates(C5),_xll.qlInterpolatedYieldCurveDates(C5))</f>
        <v>41996</v>
      </c>
      <c r="E4" s="34">
        <f>_xll.qlYieldTSDiscount(C$4,D4,,Triggers!RTDataTrigger)</f>
        <v>1</v>
      </c>
      <c r="F4" s="43"/>
      <c r="G4" s="32"/>
      <c r="H4" s="47">
        <f>IF(ISBLANK(F4),D4,F4)</f>
        <v>41996</v>
      </c>
      <c r="I4" s="48">
        <f t="shared" ref="I4:I67" si="0">IF(ISBLANK(G4),E4,G4)</f>
        <v>1</v>
      </c>
      <c r="K4" s="36" t="s">
        <v>10</v>
      </c>
      <c r="L4" s="40" t="s">
        <v>224</v>
      </c>
      <c r="M4" s="29">
        <f t="array" ref="M4:M93">CHOOSE(L7,_xll.qlPiecewiseYieldCurveDates(L5),_xll.qlInterpolatedYieldCurveDates(L5))</f>
        <v>41996</v>
      </c>
      <c r="N4" s="34">
        <f>_xll.qlYieldTSDiscount(L$4,M4,,Triggers!RTDataTrigger)</f>
        <v>1</v>
      </c>
      <c r="O4" s="43"/>
      <c r="P4" s="32"/>
      <c r="Q4" s="47">
        <f>IF(ISBLANK(O4),M4,O4)</f>
        <v>41996</v>
      </c>
      <c r="R4" s="48">
        <f t="shared" ref="R4:R67" si="1">IF(ISBLANK(P4),N4,P4)</f>
        <v>1</v>
      </c>
      <c r="T4" s="36" t="s">
        <v>10</v>
      </c>
      <c r="U4" s="40" t="s">
        <v>225</v>
      </c>
      <c r="V4" s="29">
        <f t="array" ref="V4:V93">CHOOSE(U7,_xll.qlPiecewiseYieldCurveDates(U5),_xll.qlInterpolatedYieldCurveDates(U5))</f>
        <v>41996</v>
      </c>
      <c r="W4" s="34">
        <f>_xll.qlYieldTSDiscount(U$4,V4,,Triggers!RTDataTrigger)</f>
        <v>1</v>
      </c>
      <c r="X4" s="43"/>
      <c r="Y4" s="32"/>
      <c r="Z4" s="47">
        <f>IF(ISBLANK(X4),V4,X4)</f>
        <v>41996</v>
      </c>
      <c r="AA4" s="48">
        <f t="shared" ref="AA4:AA67" si="2">IF(ISBLANK(Y4),W4,Y4)</f>
        <v>1</v>
      </c>
    </row>
    <row r="5" spans="2:27" x14ac:dyDescent="0.2">
      <c r="B5" s="37" t="s">
        <v>16</v>
      </c>
      <c r="C5" s="23" t="str">
        <f>_xll.qlHandleCurrentLink(C4,ObjectsTrigger)</f>
        <v>_SEKYCON</v>
      </c>
      <c r="D5" s="11">
        <v>42027</v>
      </c>
      <c r="E5" s="35">
        <f>_xll.qlYieldTSDiscount(C$4,D5,,Triggers!RTDataTrigger)</f>
        <v>0.99991389630337391</v>
      </c>
      <c r="F5" s="44"/>
      <c r="G5" s="33"/>
      <c r="H5" s="49">
        <f t="shared" ref="H5:I68" si="3">IF(ISBLANK(F5),D5,F5)</f>
        <v>42027</v>
      </c>
      <c r="I5" s="50">
        <f t="shared" si="0"/>
        <v>0.99991389630337391</v>
      </c>
      <c r="K5" s="37" t="s">
        <v>16</v>
      </c>
      <c r="L5" s="23" t="str">
        <f>_xll.qlHandleCurrentLink(L4,ObjectsTrigger)</f>
        <v>_SEKYC3M</v>
      </c>
      <c r="M5" s="11">
        <v>42027</v>
      </c>
      <c r="N5" s="35">
        <f>_xll.qlYieldTSDiscount(L$4,M5,,Triggers!RTDataTrigger)</f>
        <v>0.9997726322634658</v>
      </c>
      <c r="O5" s="44"/>
      <c r="P5" s="33"/>
      <c r="Q5" s="49">
        <f t="shared" ref="Q5:R68" si="4">IF(ISBLANK(O5),M5,O5)</f>
        <v>42027</v>
      </c>
      <c r="R5" s="50">
        <f t="shared" si="1"/>
        <v>0.9997726322634658</v>
      </c>
      <c r="T5" s="37" t="s">
        <v>16</v>
      </c>
      <c r="U5" s="23" t="str">
        <f>_xll.qlHandleCurrentLink(U4,ObjectsTrigger)</f>
        <v>_SEKYCSTD</v>
      </c>
      <c r="V5" s="11">
        <v>42003</v>
      </c>
      <c r="W5" s="35">
        <f>_xll.qlYieldTSDiscount(U$4,V5,,Triggers!RTDataTrigger)</f>
        <v>0.99998016706001991</v>
      </c>
      <c r="X5" s="44"/>
      <c r="Y5" s="33"/>
      <c r="Z5" s="49">
        <f t="shared" ref="Z5:AA68" si="5">IF(ISBLANK(X5),V5,X5)</f>
        <v>42003</v>
      </c>
      <c r="AA5" s="50">
        <f t="shared" si="2"/>
        <v>0.99998016706001991</v>
      </c>
    </row>
    <row r="6" spans="2:27" x14ac:dyDescent="0.2">
      <c r="B6" s="37" t="s">
        <v>133</v>
      </c>
      <c r="C6" s="27" t="str">
        <f>_xll.ohObjectClassName(C5)</f>
        <v>qlPiecewiseYieldCurve</v>
      </c>
      <c r="D6" s="11">
        <v>42058</v>
      </c>
      <c r="E6" s="35">
        <f>_xll.qlYieldTSDiscount(C$4,D6,,Triggers!RTDataTrigger)</f>
        <v>0.99987085001520626</v>
      </c>
      <c r="F6" s="44"/>
      <c r="G6" s="33"/>
      <c r="H6" s="49">
        <f t="shared" si="3"/>
        <v>42058</v>
      </c>
      <c r="I6" s="50">
        <f t="shared" si="0"/>
        <v>0.99987085001520626</v>
      </c>
      <c r="K6" s="37" t="s">
        <v>133</v>
      </c>
      <c r="L6" s="27" t="str">
        <f>_xll.ohObjectClassName(L5)</f>
        <v>qlPiecewiseYieldCurve</v>
      </c>
      <c r="M6" s="11">
        <v>42058</v>
      </c>
      <c r="N6" s="35">
        <f>_xll.qlYieldTSDiscount(L$4,M6,,Triggers!RTDataTrigger)</f>
        <v>0.99954726062143662</v>
      </c>
      <c r="O6" s="44"/>
      <c r="P6" s="33"/>
      <c r="Q6" s="49">
        <f t="shared" si="4"/>
        <v>42058</v>
      </c>
      <c r="R6" s="50">
        <f t="shared" si="1"/>
        <v>0.99954726062143662</v>
      </c>
      <c r="T6" s="37" t="s">
        <v>133</v>
      </c>
      <c r="U6" s="27" t="str">
        <f>_xll.ohObjectClassName(U5)</f>
        <v>qlPiecewiseYieldCurve</v>
      </c>
      <c r="V6" s="11">
        <v>42027</v>
      </c>
      <c r="W6" s="35">
        <f>_xll.qlYieldTSDiscount(U$4,V6,,Triggers!RTDataTrigger)</f>
        <v>0.99985449339747468</v>
      </c>
      <c r="X6" s="44"/>
      <c r="Y6" s="33"/>
      <c r="Z6" s="49">
        <f t="shared" si="5"/>
        <v>42027</v>
      </c>
      <c r="AA6" s="50">
        <f t="shared" si="2"/>
        <v>0.99985449339747468</v>
      </c>
    </row>
    <row r="7" spans="2:27" x14ac:dyDescent="0.2">
      <c r="B7" s="38" t="s">
        <v>134</v>
      </c>
      <c r="C7" s="26">
        <f>MATCH(C6,{"qlPiecewiseYieldCurve","qlInterpolatedYieldCurve"})</f>
        <v>1</v>
      </c>
      <c r="D7" s="11">
        <v>42086</v>
      </c>
      <c r="E7" s="35">
        <f>_xll.qlYieldTSDiscount(C$4,D7,,Triggers!RTDataTrigger)</f>
        <v>0.99983752640195966</v>
      </c>
      <c r="F7" s="44"/>
      <c r="G7" s="33"/>
      <c r="H7" s="49">
        <f t="shared" si="3"/>
        <v>42086</v>
      </c>
      <c r="I7" s="50">
        <f t="shared" si="0"/>
        <v>0.99983752640195966</v>
      </c>
      <c r="K7" s="38" t="s">
        <v>134</v>
      </c>
      <c r="L7" s="26">
        <f>MATCH(L6,{"qlPiecewiseYieldCurve","qlInterpolatedYieldCurve"})</f>
        <v>1</v>
      </c>
      <c r="M7" s="11">
        <v>42086</v>
      </c>
      <c r="N7" s="35">
        <f>_xll.qlYieldTSDiscount(L$4,M7,,Triggers!RTDataTrigger)</f>
        <v>0.99935291898495737</v>
      </c>
      <c r="O7" s="44"/>
      <c r="P7" s="33"/>
      <c r="Q7" s="49">
        <f t="shared" si="4"/>
        <v>42086</v>
      </c>
      <c r="R7" s="50">
        <f t="shared" si="1"/>
        <v>0.99935291898495737</v>
      </c>
      <c r="T7" s="38" t="s">
        <v>134</v>
      </c>
      <c r="U7" s="26">
        <f>MATCH(U6,{"qlPiecewiseYieldCurve","qlInterpolatedYieldCurve"})</f>
        <v>1</v>
      </c>
      <c r="V7" s="11">
        <v>42058</v>
      </c>
      <c r="W7" s="35">
        <f>_xll.qlYieldTSDiscount(U$4,V7,,Triggers!RTDataTrigger)</f>
        <v>0.99963846408882118</v>
      </c>
      <c r="X7" s="44"/>
      <c r="Y7" s="33"/>
      <c r="Z7" s="49">
        <f t="shared" si="5"/>
        <v>42058</v>
      </c>
      <c r="AA7" s="50">
        <f t="shared" si="2"/>
        <v>0.99963846408882118</v>
      </c>
    </row>
    <row r="8" spans="2:27" x14ac:dyDescent="0.2">
      <c r="B8" s="36" t="s">
        <v>4</v>
      </c>
      <c r="C8" s="40" t="s">
        <v>222</v>
      </c>
      <c r="D8" s="11">
        <v>42178</v>
      </c>
      <c r="E8" s="35">
        <f>_xll.qlYieldTSDiscount(C$4,D8,,Triggers!RTDataTrigger)</f>
        <v>0.99974728610267827</v>
      </c>
      <c r="F8" s="44"/>
      <c r="G8" s="33"/>
      <c r="H8" s="49">
        <f t="shared" si="3"/>
        <v>42178</v>
      </c>
      <c r="I8" s="50">
        <f t="shared" si="0"/>
        <v>0.99974728610267827</v>
      </c>
      <c r="K8" s="36" t="s">
        <v>4</v>
      </c>
      <c r="L8" s="40" t="s">
        <v>222</v>
      </c>
      <c r="M8" s="11">
        <v>42173</v>
      </c>
      <c r="N8" s="35">
        <f>_xll.qlYieldTSDiscount(L$4,M8,,Triggers!RTDataTrigger)</f>
        <v>0.99878712226968647</v>
      </c>
      <c r="O8" s="44"/>
      <c r="P8" s="33"/>
      <c r="Q8" s="49">
        <f t="shared" si="4"/>
        <v>42173</v>
      </c>
      <c r="R8" s="50">
        <f t="shared" si="1"/>
        <v>0.99878712226968647</v>
      </c>
      <c r="T8" s="36" t="s">
        <v>4</v>
      </c>
      <c r="U8" s="40" t="s">
        <v>222</v>
      </c>
      <c r="V8" s="11">
        <v>42086</v>
      </c>
      <c r="W8" s="35">
        <f>_xll.qlYieldTSDiscount(U$4,V8,,Triggers!RTDataTrigger)</f>
        <v>0.99935291898495726</v>
      </c>
      <c r="X8" s="44"/>
      <c r="Y8" s="33"/>
      <c r="Z8" s="49">
        <f t="shared" si="5"/>
        <v>42086</v>
      </c>
      <c r="AA8" s="50">
        <f t="shared" si="2"/>
        <v>0.99935291898495726</v>
      </c>
    </row>
    <row r="9" spans="2:27" x14ac:dyDescent="0.2">
      <c r="B9" s="37" t="s">
        <v>5</v>
      </c>
      <c r="C9" s="305" t="str">
        <f>C4&amp;"_"</f>
        <v>SEKON_</v>
      </c>
      <c r="D9" s="11">
        <v>42270</v>
      </c>
      <c r="E9" s="35">
        <f>_xll.qlYieldTSDiscount(C$4,D9,,Triggers!RTDataTrigger)</f>
        <v>0.99969564821376156</v>
      </c>
      <c r="F9" s="44"/>
      <c r="G9" s="33"/>
      <c r="H9" s="49">
        <f t="shared" si="3"/>
        <v>42270</v>
      </c>
      <c r="I9" s="50">
        <f t="shared" si="0"/>
        <v>0.99969564821376156</v>
      </c>
      <c r="K9" s="37" t="s">
        <v>5</v>
      </c>
      <c r="L9" s="305" t="str">
        <f>L4&amp;"_"</f>
        <v>SEK3M_</v>
      </c>
      <c r="M9" s="11">
        <v>42264</v>
      </c>
      <c r="N9" s="35">
        <f>_xll.qlYieldTSDiscount(L$4,M9,,Triggers!RTDataTrigger)</f>
        <v>0.99820677694499382</v>
      </c>
      <c r="O9" s="44"/>
      <c r="P9" s="33"/>
      <c r="Q9" s="49">
        <f t="shared" si="4"/>
        <v>42264</v>
      </c>
      <c r="R9" s="50">
        <f t="shared" si="1"/>
        <v>0.99820677694499382</v>
      </c>
      <c r="T9" s="37" t="s">
        <v>5</v>
      </c>
      <c r="U9" s="305" t="str">
        <f>U4&amp;"_"</f>
        <v>SEKSTD_</v>
      </c>
      <c r="V9" s="11">
        <v>42173</v>
      </c>
      <c r="W9" s="35">
        <f>_xll.qlYieldTSDiscount(U$4,V9,,Triggers!RTDataTrigger)</f>
        <v>0.99880964425180352</v>
      </c>
      <c r="X9" s="44"/>
      <c r="Y9" s="33"/>
      <c r="Z9" s="49">
        <f t="shared" si="5"/>
        <v>42173</v>
      </c>
      <c r="AA9" s="50">
        <f t="shared" si="2"/>
        <v>0.99880964425180352</v>
      </c>
    </row>
    <row r="10" spans="2:27" x14ac:dyDescent="0.2">
      <c r="B10" s="37" t="s">
        <v>6</v>
      </c>
      <c r="C10" s="305" t="s">
        <v>11</v>
      </c>
      <c r="D10" s="11">
        <v>42361</v>
      </c>
      <c r="E10" s="35">
        <f>_xll.qlYieldTSDiscount(C$4,D10,,Triggers!RTDataTrigger)</f>
        <v>0.99964526477037219</v>
      </c>
      <c r="F10" s="44"/>
      <c r="G10" s="33"/>
      <c r="H10" s="49">
        <f t="shared" si="3"/>
        <v>42361</v>
      </c>
      <c r="I10" s="50">
        <f t="shared" si="0"/>
        <v>0.99964526477037219</v>
      </c>
      <c r="K10" s="37" t="s">
        <v>6</v>
      </c>
      <c r="L10" s="305" t="s">
        <v>11</v>
      </c>
      <c r="M10" s="11">
        <v>42354</v>
      </c>
      <c r="N10" s="35">
        <f>_xll.qlYieldTSDiscount(L$4,M10,,Triggers!RTDataTrigger)</f>
        <v>0.99763311050794845</v>
      </c>
      <c r="O10" s="44"/>
      <c r="P10" s="33"/>
      <c r="Q10" s="49">
        <f t="shared" si="4"/>
        <v>42354</v>
      </c>
      <c r="R10" s="50">
        <f t="shared" si="1"/>
        <v>0.99763311050794845</v>
      </c>
      <c r="T10" s="37" t="s">
        <v>6</v>
      </c>
      <c r="U10" s="305" t="s">
        <v>58</v>
      </c>
      <c r="V10" s="11">
        <v>42264</v>
      </c>
      <c r="W10" s="35">
        <f>_xll.qlYieldTSDiscount(U$4,V10,,Triggers!RTDataTrigger)</f>
        <v>0.99822869339416664</v>
      </c>
      <c r="X10" s="44"/>
      <c r="Y10" s="33"/>
      <c r="Z10" s="49">
        <f t="shared" si="5"/>
        <v>42264</v>
      </c>
      <c r="AA10" s="50">
        <f t="shared" si="2"/>
        <v>0.99822869339416664</v>
      </c>
    </row>
    <row r="11" spans="2:27" x14ac:dyDescent="0.2">
      <c r="B11" s="37" t="s">
        <v>7</v>
      </c>
      <c r="C11" s="305" t="s">
        <v>12</v>
      </c>
      <c r="D11" s="11">
        <v>42727</v>
      </c>
      <c r="E11" s="35">
        <f>_xll.qlYieldTSDiscount(C$4,D11,,Triggers!RTDataTrigger)</f>
        <v>0.99868124414708581</v>
      </c>
      <c r="F11" s="44"/>
      <c r="G11" s="33"/>
      <c r="H11" s="49">
        <f t="shared" si="3"/>
        <v>42727</v>
      </c>
      <c r="I11" s="50">
        <f t="shared" si="0"/>
        <v>0.99868124414708581</v>
      </c>
      <c r="K11" s="37" t="s">
        <v>7</v>
      </c>
      <c r="L11" s="305" t="s">
        <v>12</v>
      </c>
      <c r="M11" s="11">
        <v>42445</v>
      </c>
      <c r="N11" s="35">
        <f>_xll.qlYieldTSDiscount(L$4,M11,,Triggers!RTDataTrigger)</f>
        <v>0.99701565317496132</v>
      </c>
      <c r="O11" s="44"/>
      <c r="P11" s="33"/>
      <c r="Q11" s="49">
        <f t="shared" si="4"/>
        <v>42445</v>
      </c>
      <c r="R11" s="50">
        <f t="shared" si="1"/>
        <v>0.99701565317496132</v>
      </c>
      <c r="T11" s="37" t="s">
        <v>7</v>
      </c>
      <c r="U11" s="305" t="s">
        <v>46</v>
      </c>
      <c r="V11" s="11">
        <v>42354</v>
      </c>
      <c r="W11" s="35">
        <f>_xll.qlYieldTSDiscount(U$4,V11,,Triggers!RTDataTrigger)</f>
        <v>0.99765493762259727</v>
      </c>
      <c r="X11" s="44"/>
      <c r="Y11" s="33"/>
      <c r="Z11" s="49">
        <f t="shared" si="5"/>
        <v>42354</v>
      </c>
      <c r="AA11" s="50">
        <f t="shared" si="2"/>
        <v>0.99765493762259727</v>
      </c>
    </row>
    <row r="12" spans="2:27" x14ac:dyDescent="0.2">
      <c r="B12" s="37" t="s">
        <v>8</v>
      </c>
      <c r="C12" s="305" t="s">
        <v>13</v>
      </c>
      <c r="D12" s="11">
        <v>43096</v>
      </c>
      <c r="E12" s="35">
        <f>_xll.qlYieldTSDiscount(C$4,D12,,Triggers!RTDataTrigger)</f>
        <v>0.99512183194230242</v>
      </c>
      <c r="F12" s="44"/>
      <c r="G12" s="33"/>
      <c r="H12" s="49">
        <f t="shared" si="3"/>
        <v>43096</v>
      </c>
      <c r="I12" s="50">
        <f t="shared" si="0"/>
        <v>0.99512183194230242</v>
      </c>
      <c r="K12" s="37" t="s">
        <v>8</v>
      </c>
      <c r="L12" s="305" t="s">
        <v>13</v>
      </c>
      <c r="M12" s="11">
        <v>42537</v>
      </c>
      <c r="N12" s="35">
        <f>_xll.qlYieldTSDiscount(L$4,M12,,Triggers!RTDataTrigger)</f>
        <v>0.9963154648066388</v>
      </c>
      <c r="O12" s="44"/>
      <c r="P12" s="33"/>
      <c r="Q12" s="49">
        <f t="shared" si="4"/>
        <v>42537</v>
      </c>
      <c r="R12" s="50">
        <f t="shared" si="1"/>
        <v>0.9963154648066388</v>
      </c>
      <c r="T12" s="37" t="s">
        <v>8</v>
      </c>
      <c r="U12" s="305" t="s">
        <v>13</v>
      </c>
      <c r="V12" s="11">
        <v>42445</v>
      </c>
      <c r="W12" s="35">
        <f>_xll.qlYieldTSDiscount(U$4,V12,,Triggers!RTDataTrigger)</f>
        <v>0.99703746678041527</v>
      </c>
      <c r="X12" s="44"/>
      <c r="Y12" s="33"/>
      <c r="Z12" s="49">
        <f t="shared" si="5"/>
        <v>42445</v>
      </c>
      <c r="AA12" s="50">
        <f t="shared" si="2"/>
        <v>0.99703746678041527</v>
      </c>
    </row>
    <row r="13" spans="2:27" x14ac:dyDescent="0.2">
      <c r="B13" s="38" t="s">
        <v>9</v>
      </c>
      <c r="C13" s="42">
        <v>5</v>
      </c>
      <c r="D13" s="11">
        <v>43461</v>
      </c>
      <c r="E13" s="35">
        <f>_xll.qlYieldTSDiscount(C$4,D13,,Triggers!RTDataTrigger)</f>
        <v>0.98946463817947372</v>
      </c>
      <c r="F13" s="44"/>
      <c r="G13" s="33"/>
      <c r="H13" s="49">
        <f t="shared" si="3"/>
        <v>43461</v>
      </c>
      <c r="I13" s="50">
        <f t="shared" si="0"/>
        <v>0.98946463817947372</v>
      </c>
      <c r="K13" s="38" t="s">
        <v>9</v>
      </c>
      <c r="L13" s="42">
        <v>5</v>
      </c>
      <c r="M13" s="11">
        <v>42628</v>
      </c>
      <c r="N13" s="35">
        <f>_xll.qlYieldTSDiscount(L$4,M13,,Triggers!RTDataTrigger)</f>
        <v>0.99548398205724287</v>
      </c>
      <c r="O13" s="44"/>
      <c r="P13" s="33"/>
      <c r="Q13" s="49">
        <f t="shared" si="4"/>
        <v>42628</v>
      </c>
      <c r="R13" s="50">
        <f t="shared" si="1"/>
        <v>0.99548398205724287</v>
      </c>
      <c r="T13" s="38" t="s">
        <v>9</v>
      </c>
      <c r="U13" s="42">
        <v>5</v>
      </c>
      <c r="V13" s="11">
        <v>42537</v>
      </c>
      <c r="W13" s="35">
        <f>_xll.qlYieldTSDiscount(U$4,V13,,Triggers!RTDataTrigger)</f>
        <v>0.9963372630928562</v>
      </c>
      <c r="X13" s="44"/>
      <c r="Y13" s="33"/>
      <c r="Z13" s="49">
        <f t="shared" si="5"/>
        <v>42537</v>
      </c>
      <c r="AA13" s="50">
        <f t="shared" si="2"/>
        <v>0.9963372630928562</v>
      </c>
    </row>
    <row r="14" spans="2:27" x14ac:dyDescent="0.2">
      <c r="B14" s="37" t="s">
        <v>17</v>
      </c>
      <c r="C14" s="28">
        <f>COUNT(H4:H93)</f>
        <v>21</v>
      </c>
      <c r="D14" s="11">
        <v>43822</v>
      </c>
      <c r="E14" s="35">
        <f>_xll.qlYieldTSDiscount(C$4,D14,,Triggers!RTDataTrigger)</f>
        <v>0.97770609506489614</v>
      </c>
      <c r="F14" s="44"/>
      <c r="G14" s="33"/>
      <c r="H14" s="49">
        <f t="shared" si="3"/>
        <v>43822</v>
      </c>
      <c r="I14" s="50">
        <f t="shared" si="0"/>
        <v>0.97770609506489614</v>
      </c>
      <c r="K14" s="37" t="s">
        <v>17</v>
      </c>
      <c r="L14" s="28">
        <f>COUNT(Q4:Q93)</f>
        <v>24</v>
      </c>
      <c r="M14" s="11">
        <v>42727</v>
      </c>
      <c r="N14" s="35">
        <f>_xll.qlYieldTSDiscount(L$4,M14,,Triggers!RTDataTrigger)</f>
        <v>0.99422024562554079</v>
      </c>
      <c r="O14" s="44"/>
      <c r="P14" s="33"/>
      <c r="Q14" s="49">
        <f t="shared" si="4"/>
        <v>42727</v>
      </c>
      <c r="R14" s="50">
        <f t="shared" si="1"/>
        <v>0.99422024562554079</v>
      </c>
      <c r="T14" s="37" t="s">
        <v>17</v>
      </c>
      <c r="U14" s="28">
        <f>COUNT(Z4:Z93)</f>
        <v>25</v>
      </c>
      <c r="V14" s="11">
        <v>42628</v>
      </c>
      <c r="W14" s="35">
        <f>_xll.qlYieldTSDiscount(U$4,V14,,Triggers!RTDataTrigger)</f>
        <v>0.99550550072851285</v>
      </c>
      <c r="X14" s="44"/>
      <c r="Y14" s="33"/>
      <c r="Z14" s="49">
        <f t="shared" si="5"/>
        <v>42628</v>
      </c>
      <c r="AA14" s="50">
        <f t="shared" si="2"/>
        <v>0.99550550072851285</v>
      </c>
    </row>
    <row r="15" spans="2:27" x14ac:dyDescent="0.2">
      <c r="B15" s="38" t="s">
        <v>18</v>
      </c>
      <c r="C15" s="15">
        <f>GetNow(_xll.xlPushShmLiborCurveName(C8,C9,H4:INDEX(H4:H93,C14),I4:INDEX(I4:I93,C14),C10,C11,C12,C13+0*TYPE(ManualTrigger)))</f>
        <v>41992.735532407409</v>
      </c>
      <c r="D15" s="11">
        <v>44188</v>
      </c>
      <c r="E15" s="35">
        <f>_xll.qlYieldTSDiscount(C$4,D15,,Triggers!RTDataTrigger)</f>
        <v>0.96452281396861594</v>
      </c>
      <c r="F15" s="44"/>
      <c r="G15" s="33"/>
      <c r="H15" s="49">
        <f t="shared" si="3"/>
        <v>44188</v>
      </c>
      <c r="I15" s="50">
        <f t="shared" si="0"/>
        <v>0.96452281396861594</v>
      </c>
      <c r="K15" s="38" t="s">
        <v>18</v>
      </c>
      <c r="L15" s="15">
        <f>GetNow(_xll.xlPushShmLiborCurveName(L8,L9,Q4:INDEX(Q4:Q93,L14),R4:INDEX(R4:R93,L14),L10,L11,L12,L13+0*TYPE(ManualTrigger)))</f>
        <v>41992.735532407409</v>
      </c>
      <c r="M15" s="11">
        <v>43096</v>
      </c>
      <c r="N15" s="35">
        <f>_xll.qlYieldTSDiscount(L$4,M15,,Triggers!RTDataTrigger)</f>
        <v>0.98818442810249318</v>
      </c>
      <c r="O15" s="44"/>
      <c r="P15" s="33"/>
      <c r="Q15" s="49">
        <f t="shared" si="4"/>
        <v>43096</v>
      </c>
      <c r="R15" s="50">
        <f t="shared" si="1"/>
        <v>0.98818442810249318</v>
      </c>
      <c r="T15" s="38" t="s">
        <v>18</v>
      </c>
      <c r="U15" s="15">
        <f>GetNow(_xll.xlPushShmLiborCurveName(U8,U9,Z4:INDEX(Z4:Z93,U14),AA4:INDEX(AA4:AA93,U14),U10,U11,U12,U13+0*TYPE(ManualTrigger)))</f>
        <v>41992.735532407409</v>
      </c>
      <c r="V15" s="11">
        <v>42727</v>
      </c>
      <c r="W15" s="35">
        <f>_xll.qlYieldTSDiscount(U$4,V15,,Triggers!RTDataTrigger)</f>
        <v>0.99422368883675094</v>
      </c>
      <c r="X15" s="44"/>
      <c r="Y15" s="33"/>
      <c r="Z15" s="49">
        <f t="shared" si="5"/>
        <v>42727</v>
      </c>
      <c r="AA15" s="50">
        <f t="shared" si="2"/>
        <v>0.99422368883675094</v>
      </c>
    </row>
    <row r="16" spans="2:27" x14ac:dyDescent="0.2">
      <c r="D16" s="11">
        <v>44553</v>
      </c>
      <c r="E16" s="35">
        <f>_xll.qlYieldTSDiscount(C$4,D16,,Triggers!RTDataTrigger)</f>
        <v>0.94901074829297427</v>
      </c>
      <c r="F16" s="44"/>
      <c r="G16" s="33"/>
      <c r="H16" s="49">
        <f t="shared" si="3"/>
        <v>44553</v>
      </c>
      <c r="I16" s="50">
        <f t="shared" si="0"/>
        <v>0.94901074829297427</v>
      </c>
      <c r="M16" s="11">
        <v>43461</v>
      </c>
      <c r="N16" s="35">
        <f>_xll.qlYieldTSDiscount(L$4,M16,,Triggers!RTDataTrigger)</f>
        <v>0.97897203242406738</v>
      </c>
      <c r="O16" s="44"/>
      <c r="P16" s="33"/>
      <c r="Q16" s="49">
        <f t="shared" si="4"/>
        <v>43461</v>
      </c>
      <c r="R16" s="50">
        <f t="shared" si="1"/>
        <v>0.97897203242406738</v>
      </c>
      <c r="V16" s="11">
        <v>43096</v>
      </c>
      <c r="W16" s="35">
        <f>_xll.qlYieldTSDiscount(U$4,V16,,Triggers!RTDataTrigger)</f>
        <v>0.98818556249117373</v>
      </c>
      <c r="X16" s="44"/>
      <c r="Y16" s="33"/>
      <c r="Z16" s="49">
        <f t="shared" si="5"/>
        <v>43096</v>
      </c>
      <c r="AA16" s="50">
        <f t="shared" si="2"/>
        <v>0.98818556249117373</v>
      </c>
    </row>
    <row r="17" spans="2:27" x14ac:dyDescent="0.2">
      <c r="D17" s="11">
        <v>44918</v>
      </c>
      <c r="E17" s="35">
        <f>_xll.qlYieldTSDiscount(C$4,D17,,Triggers!RTDataTrigger)</f>
        <v>0.932044143184934</v>
      </c>
      <c r="F17" s="44"/>
      <c r="G17" s="33"/>
      <c r="H17" s="49">
        <f t="shared" si="3"/>
        <v>44918</v>
      </c>
      <c r="I17" s="50">
        <f t="shared" si="0"/>
        <v>0.932044143184934</v>
      </c>
      <c r="M17" s="11">
        <v>43822</v>
      </c>
      <c r="N17" s="35">
        <f>_xll.qlYieldTSDiscount(L$4,M17,,Triggers!RTDataTrigger)</f>
        <v>0.96654713361623479</v>
      </c>
      <c r="O17" s="44"/>
      <c r="P17" s="33"/>
      <c r="Q17" s="49">
        <f t="shared" si="4"/>
        <v>43822</v>
      </c>
      <c r="R17" s="50">
        <f t="shared" si="1"/>
        <v>0.96654713361623479</v>
      </c>
      <c r="V17" s="11">
        <v>43461</v>
      </c>
      <c r="W17" s="35">
        <f>_xll.qlYieldTSDiscount(U$4,V17,,Triggers!RTDataTrigger)</f>
        <v>0.97895923282632935</v>
      </c>
      <c r="X17" s="44"/>
      <c r="Y17" s="33"/>
      <c r="Z17" s="49">
        <f t="shared" si="5"/>
        <v>43461</v>
      </c>
      <c r="AA17" s="50">
        <f t="shared" si="2"/>
        <v>0.97895923282632935</v>
      </c>
    </row>
    <row r="18" spans="2:27" x14ac:dyDescent="0.2">
      <c r="D18" s="11">
        <v>45287</v>
      </c>
      <c r="E18" s="35">
        <f>_xll.qlYieldTSDiscount(C$4,D18,,Triggers!RTDataTrigger)</f>
        <v>0.91390976038565452</v>
      </c>
      <c r="F18" s="44"/>
      <c r="G18" s="33"/>
      <c r="H18" s="49">
        <f t="shared" si="3"/>
        <v>45287</v>
      </c>
      <c r="I18" s="50">
        <f t="shared" si="0"/>
        <v>0.91390976038565452</v>
      </c>
      <c r="K18" s="64"/>
      <c r="M18" s="11">
        <v>44188</v>
      </c>
      <c r="N18" s="35">
        <f>_xll.qlYieldTSDiscount(L$4,M18,,Triggers!RTDataTrigger)</f>
        <v>0.95100802622693636</v>
      </c>
      <c r="O18" s="44"/>
      <c r="P18" s="33"/>
      <c r="Q18" s="49">
        <f t="shared" si="4"/>
        <v>44188</v>
      </c>
      <c r="R18" s="50">
        <f t="shared" si="1"/>
        <v>0.95100802622693636</v>
      </c>
      <c r="T18" s="64"/>
      <c r="V18" s="11">
        <v>43822</v>
      </c>
      <c r="W18" s="35">
        <f>_xll.qlYieldTSDiscount(U$4,V18,,Triggers!RTDataTrigger)</f>
        <v>0.96650508894469178</v>
      </c>
      <c r="X18" s="44"/>
      <c r="Y18" s="33"/>
      <c r="Z18" s="49">
        <f t="shared" si="5"/>
        <v>43822</v>
      </c>
      <c r="AA18" s="50">
        <f t="shared" si="2"/>
        <v>0.96650508894469178</v>
      </c>
    </row>
    <row r="19" spans="2:27" x14ac:dyDescent="0.2">
      <c r="B19" s="64"/>
      <c r="D19" s="11">
        <v>45649</v>
      </c>
      <c r="E19" s="35">
        <f>_xll.qlYieldTSDiscount(C$4,D19,,Triggers!RTDataTrigger)</f>
        <v>0.89549725239489686</v>
      </c>
      <c r="F19" s="44"/>
      <c r="G19" s="33"/>
      <c r="H19" s="49">
        <f t="shared" si="3"/>
        <v>45649</v>
      </c>
      <c r="I19" s="50">
        <f t="shared" si="0"/>
        <v>0.89549725239489686</v>
      </c>
      <c r="K19" s="64"/>
      <c r="M19" s="11">
        <v>44553</v>
      </c>
      <c r="N19" s="35">
        <f>_xll.qlYieldTSDiscount(L$4,M19,,Triggers!RTDataTrigger)</f>
        <v>0.9333950160761747</v>
      </c>
      <c r="O19" s="44"/>
      <c r="P19" s="33"/>
      <c r="Q19" s="49">
        <f t="shared" si="4"/>
        <v>44553</v>
      </c>
      <c r="R19" s="50">
        <f t="shared" si="1"/>
        <v>0.9333950160761747</v>
      </c>
      <c r="T19" s="64"/>
      <c r="V19" s="11">
        <v>44188</v>
      </c>
      <c r="W19" s="35">
        <f>_xll.qlYieldTSDiscount(U$4,V19,,Triggers!RTDataTrigger)</f>
        <v>0.9509299543937797</v>
      </c>
      <c r="X19" s="44"/>
      <c r="Y19" s="33"/>
      <c r="Z19" s="49">
        <f t="shared" si="5"/>
        <v>44188</v>
      </c>
      <c r="AA19" s="50">
        <f t="shared" si="2"/>
        <v>0.9509299543937797</v>
      </c>
    </row>
    <row r="20" spans="2:27" x14ac:dyDescent="0.2">
      <c r="B20" s="64" t="b">
        <v>1</v>
      </c>
      <c r="D20" s="11">
        <v>46379</v>
      </c>
      <c r="E20" s="35">
        <f>_xll.qlYieldTSDiscount(C$4,D20,,Triggers!RTDataTrigger)</f>
        <v>0.85721055805076707</v>
      </c>
      <c r="F20" s="44"/>
      <c r="G20" s="33"/>
      <c r="H20" s="49">
        <f t="shared" si="3"/>
        <v>46379</v>
      </c>
      <c r="I20" s="50">
        <f t="shared" si="0"/>
        <v>0.85721055805076707</v>
      </c>
      <c r="K20" s="64"/>
      <c r="M20" s="11">
        <v>44918</v>
      </c>
      <c r="N20" s="35">
        <f>_xll.qlYieldTSDiscount(L$4,M20,,Triggers!RTDataTrigger)</f>
        <v>0.91445941419841459</v>
      </c>
      <c r="O20" s="44"/>
      <c r="P20" s="33"/>
      <c r="Q20" s="49">
        <f t="shared" si="4"/>
        <v>44918</v>
      </c>
      <c r="R20" s="50">
        <f t="shared" si="1"/>
        <v>0.91445941419841459</v>
      </c>
      <c r="T20" s="64"/>
      <c r="V20" s="11">
        <v>44553</v>
      </c>
      <c r="W20" s="35">
        <f>_xll.qlYieldTSDiscount(U$4,V20,,Triggers!RTDataTrigger)</f>
        <v>0.93326283298631929</v>
      </c>
      <c r="X20" s="44"/>
      <c r="Y20" s="33"/>
      <c r="Z20" s="49">
        <f t="shared" si="5"/>
        <v>44553</v>
      </c>
      <c r="AA20" s="50">
        <f t="shared" si="2"/>
        <v>0.93326283298631929</v>
      </c>
    </row>
    <row r="21" spans="2:27" x14ac:dyDescent="0.2">
      <c r="B21" s="64"/>
      <c r="D21" s="11">
        <v>47479</v>
      </c>
      <c r="E21" s="35">
        <f>_xll.qlYieldTSDiscount(C$4,D21,,Triggers!RTDataTrigger)</f>
        <v>0.79887692872472915</v>
      </c>
      <c r="F21" s="44"/>
      <c r="G21" s="33"/>
      <c r="H21" s="49">
        <f t="shared" si="3"/>
        <v>47479</v>
      </c>
      <c r="I21" s="50">
        <f t="shared" si="0"/>
        <v>0.79887692872472915</v>
      </c>
      <c r="K21" s="64"/>
      <c r="M21" s="11">
        <v>45287</v>
      </c>
      <c r="N21" s="35">
        <f>_xll.qlYieldTSDiscount(L$4,M21,,Triggers!RTDataTrigger)</f>
        <v>0.89478554123395571</v>
      </c>
      <c r="O21" s="44"/>
      <c r="P21" s="33"/>
      <c r="Q21" s="49">
        <f t="shared" si="4"/>
        <v>45287</v>
      </c>
      <c r="R21" s="50">
        <f t="shared" si="1"/>
        <v>0.89478554123395571</v>
      </c>
      <c r="T21" s="64"/>
      <c r="V21" s="11">
        <v>44918</v>
      </c>
      <c r="W21" s="35">
        <f>_xll.qlYieldTSDiscount(U$4,V21,,Triggers!RTDataTrigger)</f>
        <v>0.91426163928840387</v>
      </c>
      <c r="X21" s="44"/>
      <c r="Y21" s="33"/>
      <c r="Z21" s="49">
        <f t="shared" si="5"/>
        <v>44918</v>
      </c>
      <c r="AA21" s="50">
        <f t="shared" si="2"/>
        <v>0.91426163928840387</v>
      </c>
    </row>
    <row r="22" spans="2:27" x14ac:dyDescent="0.2">
      <c r="B22" s="64"/>
      <c r="D22" s="11">
        <v>49305</v>
      </c>
      <c r="E22" s="35">
        <f>_xll.qlYieldTSDiscount(C$4,D22,,Triggers!RTDataTrigger)</f>
        <v>0.70915639774876615</v>
      </c>
      <c r="F22" s="44"/>
      <c r="G22" s="33"/>
      <c r="H22" s="49">
        <f t="shared" si="3"/>
        <v>49305</v>
      </c>
      <c r="I22" s="50">
        <f t="shared" si="0"/>
        <v>0.70915639774876615</v>
      </c>
      <c r="K22" s="64"/>
      <c r="M22" s="11">
        <v>45649</v>
      </c>
      <c r="N22" s="35">
        <f>_xll.qlYieldTSDiscount(L$4,M22,,Triggers!RTDataTrigger)</f>
        <v>0.87479933650172037</v>
      </c>
      <c r="O22" s="44"/>
      <c r="P22" s="33"/>
      <c r="Q22" s="49">
        <f t="shared" si="4"/>
        <v>45649</v>
      </c>
      <c r="R22" s="50">
        <f t="shared" si="1"/>
        <v>0.87479933650172037</v>
      </c>
      <c r="T22" s="64"/>
      <c r="V22" s="11">
        <v>45287</v>
      </c>
      <c r="W22" s="35">
        <f>_xll.qlYieldTSDiscount(U$4,V22,,Triggers!RTDataTrigger)</f>
        <v>0.89451498986823719</v>
      </c>
      <c r="X22" s="44"/>
      <c r="Y22" s="33"/>
      <c r="Z22" s="49">
        <f t="shared" si="5"/>
        <v>45287</v>
      </c>
      <c r="AA22" s="50">
        <f t="shared" si="2"/>
        <v>0.89451498986823719</v>
      </c>
    </row>
    <row r="23" spans="2:27" x14ac:dyDescent="0.2">
      <c r="B23" s="64"/>
      <c r="D23" s="11">
        <v>51127</v>
      </c>
      <c r="E23" s="35">
        <f>_xll.qlYieldTSDiscount(C$4,D23,,Triggers!RTDataTrigger)</f>
        <v>0.63723294665694952</v>
      </c>
      <c r="F23" s="44"/>
      <c r="G23" s="33"/>
      <c r="H23" s="49">
        <f t="shared" si="3"/>
        <v>51127</v>
      </c>
      <c r="I23" s="50">
        <f t="shared" si="0"/>
        <v>0.63723294665694952</v>
      </c>
      <c r="K23" s="64"/>
      <c r="M23" s="11">
        <v>46379</v>
      </c>
      <c r="N23" s="35">
        <f>_xll.qlYieldTSDiscount(L$4,M23,,Triggers!RTDataTrigger)</f>
        <v>0.83392709154326072</v>
      </c>
      <c r="O23" s="44"/>
      <c r="P23" s="33"/>
      <c r="Q23" s="49">
        <f t="shared" si="4"/>
        <v>46379</v>
      </c>
      <c r="R23" s="50">
        <f t="shared" si="1"/>
        <v>0.83392709154326072</v>
      </c>
      <c r="T23" s="64"/>
      <c r="V23" s="11">
        <v>45649</v>
      </c>
      <c r="W23" s="35">
        <f>_xll.qlYieldTSDiscount(U$4,V23,,Triggers!RTDataTrigger)</f>
        <v>0.87445025023142808</v>
      </c>
      <c r="X23" s="44"/>
      <c r="Y23" s="33"/>
      <c r="Z23" s="49">
        <f t="shared" si="5"/>
        <v>45649</v>
      </c>
      <c r="AA23" s="50">
        <f t="shared" si="2"/>
        <v>0.87445025023142808</v>
      </c>
    </row>
    <row r="24" spans="2:27" x14ac:dyDescent="0.2">
      <c r="B24" s="64"/>
      <c r="D24" s="11">
        <v>52954</v>
      </c>
      <c r="E24" s="35">
        <f>_xll.qlYieldTSDiscount(C$4,D24,,Triggers!RTDataTrigger)</f>
        <v>0.57768067431913739</v>
      </c>
      <c r="F24" s="44"/>
      <c r="G24" s="33"/>
      <c r="H24" s="49">
        <f t="shared" si="3"/>
        <v>52954</v>
      </c>
      <c r="I24" s="50">
        <f t="shared" si="0"/>
        <v>0.57768067431913739</v>
      </c>
      <c r="K24" s="64"/>
      <c r="M24" s="11">
        <v>47479</v>
      </c>
      <c r="N24" s="35">
        <f>_xll.qlYieldTSDiscount(L$4,M24,,Triggers!RTDataTrigger)</f>
        <v>0.77254322506204187</v>
      </c>
      <c r="O24" s="44"/>
      <c r="P24" s="33"/>
      <c r="Q24" s="49">
        <f t="shared" si="4"/>
        <v>47479</v>
      </c>
      <c r="R24" s="50">
        <f t="shared" si="1"/>
        <v>0.77254322506204187</v>
      </c>
      <c r="T24" s="64"/>
      <c r="V24" s="11">
        <v>46379</v>
      </c>
      <c r="W24" s="35">
        <f>_xll.qlYieldTSDiscount(U$4,V24,,Triggers!RTDataTrigger)</f>
        <v>0.83340012194353719</v>
      </c>
      <c r="X24" s="44"/>
      <c r="Y24" s="33"/>
      <c r="Z24" s="49">
        <f t="shared" si="5"/>
        <v>46379</v>
      </c>
      <c r="AA24" s="50">
        <f t="shared" si="2"/>
        <v>0.83340012194353719</v>
      </c>
    </row>
    <row r="25" spans="2:27" x14ac:dyDescent="0.2">
      <c r="B25" s="64"/>
      <c r="D25" s="11" t="e">
        <v>#N/A</v>
      </c>
      <c r="E25" s="35" t="e">
        <f>_xll.qlYieldTSDiscount(C$4,D25,,Triggers!RTDataTrigger)</f>
        <v>#NUM!</v>
      </c>
      <c r="F25" s="44"/>
      <c r="G25" s="33"/>
      <c r="H25" s="49" t="e">
        <f t="shared" si="3"/>
        <v>#N/A</v>
      </c>
      <c r="I25" s="50" t="e">
        <f t="shared" si="0"/>
        <v>#NUM!</v>
      </c>
      <c r="K25" s="64"/>
      <c r="M25" s="11">
        <v>49305</v>
      </c>
      <c r="N25" s="35">
        <f>_xll.qlYieldTSDiscount(L$4,M25,,Triggers!RTDataTrigger)</f>
        <v>0.68022058566898502</v>
      </c>
      <c r="O25" s="44"/>
      <c r="P25" s="33"/>
      <c r="Q25" s="49">
        <f t="shared" si="4"/>
        <v>49305</v>
      </c>
      <c r="R25" s="50">
        <f t="shared" si="1"/>
        <v>0.68022058566898502</v>
      </c>
      <c r="T25" s="64"/>
      <c r="V25" s="11">
        <v>47479</v>
      </c>
      <c r="W25" s="35">
        <f>_xll.qlYieldTSDiscount(U$4,V25,,Triggers!RTDataTrigger)</f>
        <v>0.77171810102881622</v>
      </c>
      <c r="X25" s="44"/>
      <c r="Y25" s="33"/>
      <c r="Z25" s="49">
        <f t="shared" si="5"/>
        <v>47479</v>
      </c>
      <c r="AA25" s="50">
        <f t="shared" si="2"/>
        <v>0.77171810102881622</v>
      </c>
    </row>
    <row r="26" spans="2:27" x14ac:dyDescent="0.2">
      <c r="B26" s="64"/>
      <c r="D26" s="11" t="e">
        <v>#N/A</v>
      </c>
      <c r="E26" s="35" t="e">
        <f>_xll.qlYieldTSDiscount(C$4,D26,,Triggers!RTDataTrigger)</f>
        <v>#NUM!</v>
      </c>
      <c r="F26" s="44"/>
      <c r="G26" s="33"/>
      <c r="H26" s="49" t="e">
        <f t="shared" si="3"/>
        <v>#N/A</v>
      </c>
      <c r="I26" s="50" t="e">
        <f t="shared" si="0"/>
        <v>#NUM!</v>
      </c>
      <c r="K26" s="64"/>
      <c r="M26" s="11">
        <v>51127</v>
      </c>
      <c r="N26" s="35">
        <f>_xll.qlYieldTSDiscount(L$4,M26,,Triggers!RTDataTrigger)</f>
        <v>0.60787346576737633</v>
      </c>
      <c r="O26" s="44"/>
      <c r="P26" s="33"/>
      <c r="Q26" s="49">
        <f t="shared" si="4"/>
        <v>51127</v>
      </c>
      <c r="R26" s="50">
        <f t="shared" si="1"/>
        <v>0.60787346576737633</v>
      </c>
      <c r="T26" s="64"/>
      <c r="V26" s="11">
        <v>49305</v>
      </c>
      <c r="W26" s="35">
        <f>_xll.qlYieldTSDiscount(U$4,V26,,Triggers!RTDataTrigger)</f>
        <v>0.67887788356154777</v>
      </c>
      <c r="X26" s="44"/>
      <c r="Y26" s="33"/>
      <c r="Z26" s="49">
        <f t="shared" si="5"/>
        <v>49305</v>
      </c>
      <c r="AA26" s="50">
        <f t="shared" si="2"/>
        <v>0.67887788356154777</v>
      </c>
    </row>
    <row r="27" spans="2:27" x14ac:dyDescent="0.2">
      <c r="B27" s="64"/>
      <c r="D27" s="11" t="e">
        <v>#N/A</v>
      </c>
      <c r="E27" s="35" t="e">
        <f>_xll.qlYieldTSDiscount(C$4,D27,,Triggers!RTDataTrigger)</f>
        <v>#NUM!</v>
      </c>
      <c r="F27" s="44"/>
      <c r="G27" s="33"/>
      <c r="H27" s="49" t="e">
        <f t="shared" si="3"/>
        <v>#N/A</v>
      </c>
      <c r="I27" s="50" t="e">
        <f t="shared" si="0"/>
        <v>#NUM!</v>
      </c>
      <c r="K27" s="64"/>
      <c r="M27" s="11">
        <v>52954</v>
      </c>
      <c r="N27" s="35">
        <f>_xll.qlYieldTSDiscount(L$4,M27,,Triggers!RTDataTrigger)</f>
        <v>0.54797198999539554</v>
      </c>
      <c r="O27" s="44"/>
      <c r="P27" s="33"/>
      <c r="Q27" s="49">
        <f t="shared" si="4"/>
        <v>52954</v>
      </c>
      <c r="R27" s="50">
        <f t="shared" si="1"/>
        <v>0.54797198999539554</v>
      </c>
      <c r="T27" s="64"/>
      <c r="V27" s="11">
        <v>51127</v>
      </c>
      <c r="W27" s="35">
        <f>_xll.qlYieldTSDiscount(U$4,V27,,Triggers!RTDataTrigger)</f>
        <v>0.60634862964521452</v>
      </c>
      <c r="X27" s="44"/>
      <c r="Y27" s="33"/>
      <c r="Z27" s="49">
        <f t="shared" si="5"/>
        <v>51127</v>
      </c>
      <c r="AA27" s="50">
        <f t="shared" si="2"/>
        <v>0.60634862964521452</v>
      </c>
    </row>
    <row r="28" spans="2:27" x14ac:dyDescent="0.2">
      <c r="B28" s="64"/>
      <c r="D28" s="11" t="e">
        <v>#N/A</v>
      </c>
      <c r="E28" s="35" t="e">
        <f>_xll.qlYieldTSDiscount(C$4,D28,,Triggers!RTDataTrigger)</f>
        <v>#NUM!</v>
      </c>
      <c r="F28" s="44"/>
      <c r="G28" s="33"/>
      <c r="H28" s="49" t="e">
        <f t="shared" si="3"/>
        <v>#N/A</v>
      </c>
      <c r="I28" s="50" t="e">
        <f t="shared" si="0"/>
        <v>#NUM!</v>
      </c>
      <c r="K28" s="64"/>
      <c r="M28" s="11" t="e">
        <v>#N/A</v>
      </c>
      <c r="N28" s="35" t="e">
        <f>_xll.qlYieldTSDiscount(L$4,M28,,Triggers!RTDataTrigger)</f>
        <v>#NUM!</v>
      </c>
      <c r="O28" s="44"/>
      <c r="P28" s="33"/>
      <c r="Q28" s="49" t="e">
        <f t="shared" si="4"/>
        <v>#N/A</v>
      </c>
      <c r="R28" s="50" t="e">
        <f t="shared" si="1"/>
        <v>#NUM!</v>
      </c>
      <c r="T28" s="64"/>
      <c r="V28" s="11">
        <v>52954</v>
      </c>
      <c r="W28" s="35">
        <f>_xll.qlYieldTSDiscount(U$4,V28,,Triggers!RTDataTrigger)</f>
        <v>0.54649655994560609</v>
      </c>
      <c r="X28" s="44"/>
      <c r="Y28" s="33"/>
      <c r="Z28" s="49">
        <f t="shared" si="5"/>
        <v>52954</v>
      </c>
      <c r="AA28" s="50">
        <f t="shared" si="2"/>
        <v>0.54649655994560609</v>
      </c>
    </row>
    <row r="29" spans="2:27" x14ac:dyDescent="0.2">
      <c r="B29" s="64"/>
      <c r="D29" s="11" t="e">
        <v>#N/A</v>
      </c>
      <c r="E29" s="35" t="e">
        <f>_xll.qlYieldTSDiscount(C$4,D29,,Triggers!RTDataTrigger)</f>
        <v>#NUM!</v>
      </c>
      <c r="F29" s="44"/>
      <c r="G29" s="33"/>
      <c r="H29" s="49" t="e">
        <f t="shared" si="3"/>
        <v>#N/A</v>
      </c>
      <c r="I29" s="50" t="e">
        <f t="shared" si="0"/>
        <v>#NUM!</v>
      </c>
      <c r="K29" s="64"/>
      <c r="M29" s="11" t="e">
        <v>#N/A</v>
      </c>
      <c r="N29" s="35" t="e">
        <f>_xll.qlYieldTSDiscount(L$4,M29,,Triggers!RTDataTrigger)</f>
        <v>#NUM!</v>
      </c>
      <c r="O29" s="44"/>
      <c r="P29" s="33"/>
      <c r="Q29" s="49" t="e">
        <f t="shared" si="4"/>
        <v>#N/A</v>
      </c>
      <c r="R29" s="50" t="e">
        <f t="shared" si="1"/>
        <v>#NUM!</v>
      </c>
      <c r="T29" s="64"/>
      <c r="V29" s="11" t="e">
        <v>#N/A</v>
      </c>
      <c r="W29" s="35" t="e">
        <f>_xll.qlYieldTSDiscount(U$4,V29,,Triggers!RTDataTrigger)</f>
        <v>#NUM!</v>
      </c>
      <c r="X29" s="44"/>
      <c r="Y29" s="33"/>
      <c r="Z29" s="49" t="e">
        <f t="shared" si="5"/>
        <v>#N/A</v>
      </c>
      <c r="AA29" s="50" t="e">
        <f t="shared" si="2"/>
        <v>#NUM!</v>
      </c>
    </row>
    <row r="30" spans="2:27" x14ac:dyDescent="0.2">
      <c r="B30" s="64"/>
      <c r="D30" s="11" t="e">
        <v>#N/A</v>
      </c>
      <c r="E30" s="35" t="e">
        <f>_xll.qlYieldTSDiscount(C$4,D30,,Triggers!RTDataTrigger)</f>
        <v>#NUM!</v>
      </c>
      <c r="F30" s="44"/>
      <c r="G30" s="33"/>
      <c r="H30" s="49" t="e">
        <f t="shared" si="3"/>
        <v>#N/A</v>
      </c>
      <c r="I30" s="50" t="e">
        <f t="shared" si="0"/>
        <v>#NUM!</v>
      </c>
      <c r="K30" s="64"/>
      <c r="M30" s="11" t="e">
        <v>#N/A</v>
      </c>
      <c r="N30" s="35" t="e">
        <f>_xll.qlYieldTSDiscount(L$4,M30,,Triggers!RTDataTrigger)</f>
        <v>#NUM!</v>
      </c>
      <c r="O30" s="44"/>
      <c r="P30" s="33"/>
      <c r="Q30" s="49" t="e">
        <f t="shared" si="4"/>
        <v>#N/A</v>
      </c>
      <c r="R30" s="50" t="e">
        <f t="shared" si="1"/>
        <v>#NUM!</v>
      </c>
      <c r="T30" s="64"/>
      <c r="V30" s="11" t="e">
        <v>#N/A</v>
      </c>
      <c r="W30" s="35" t="e">
        <f>_xll.qlYieldTSDiscount(U$4,V30,,Triggers!RTDataTrigger)</f>
        <v>#NUM!</v>
      </c>
      <c r="X30" s="44"/>
      <c r="Y30" s="33"/>
      <c r="Z30" s="49" t="e">
        <f t="shared" si="5"/>
        <v>#N/A</v>
      </c>
      <c r="AA30" s="50" t="e">
        <f t="shared" si="2"/>
        <v>#NUM!</v>
      </c>
    </row>
    <row r="31" spans="2:27" x14ac:dyDescent="0.2">
      <c r="B31" s="64"/>
      <c r="D31" s="11" t="e">
        <v>#N/A</v>
      </c>
      <c r="E31" s="35" t="e">
        <f>_xll.qlYieldTSDiscount(C$4,D31,,Triggers!RTDataTrigger)</f>
        <v>#NUM!</v>
      </c>
      <c r="F31" s="44"/>
      <c r="G31" s="33"/>
      <c r="H31" s="49" t="e">
        <f t="shared" si="3"/>
        <v>#N/A</v>
      </c>
      <c r="I31" s="50" t="e">
        <f t="shared" si="0"/>
        <v>#NUM!</v>
      </c>
      <c r="K31" s="64"/>
      <c r="M31" s="11" t="e">
        <v>#N/A</v>
      </c>
      <c r="N31" s="35" t="e">
        <f>_xll.qlYieldTSDiscount(L$4,M31,,Triggers!RTDataTrigger)</f>
        <v>#NUM!</v>
      </c>
      <c r="O31" s="44"/>
      <c r="P31" s="33"/>
      <c r="Q31" s="49" t="e">
        <f t="shared" si="4"/>
        <v>#N/A</v>
      </c>
      <c r="R31" s="50" t="e">
        <f t="shared" si="1"/>
        <v>#NUM!</v>
      </c>
      <c r="T31" s="64"/>
      <c r="V31" s="11" t="e">
        <v>#N/A</v>
      </c>
      <c r="W31" s="35" t="e">
        <f>_xll.qlYieldTSDiscount(U$4,V31,,Triggers!RTDataTrigger)</f>
        <v>#NUM!</v>
      </c>
      <c r="X31" s="44"/>
      <c r="Y31" s="33"/>
      <c r="Z31" s="49" t="e">
        <f t="shared" si="5"/>
        <v>#N/A</v>
      </c>
      <c r="AA31" s="50" t="e">
        <f t="shared" si="2"/>
        <v>#NUM!</v>
      </c>
    </row>
    <row r="32" spans="2:27" x14ac:dyDescent="0.2">
      <c r="B32" s="64"/>
      <c r="D32" s="11" t="e">
        <v>#N/A</v>
      </c>
      <c r="E32" s="35" t="e">
        <f>_xll.qlYieldTSDiscount(C$4,D32,,Triggers!RTDataTrigger)</f>
        <v>#NUM!</v>
      </c>
      <c r="F32" s="44"/>
      <c r="G32" s="33"/>
      <c r="H32" s="49" t="e">
        <f t="shared" si="3"/>
        <v>#N/A</v>
      </c>
      <c r="I32" s="50" t="e">
        <f t="shared" si="0"/>
        <v>#NUM!</v>
      </c>
      <c r="K32" s="64"/>
      <c r="M32" s="11" t="e">
        <v>#N/A</v>
      </c>
      <c r="N32" s="35" t="e">
        <f>_xll.qlYieldTSDiscount(L$4,M32,,Triggers!RTDataTrigger)</f>
        <v>#NUM!</v>
      </c>
      <c r="O32" s="44"/>
      <c r="P32" s="33"/>
      <c r="Q32" s="49" t="e">
        <f t="shared" si="4"/>
        <v>#N/A</v>
      </c>
      <c r="R32" s="50" t="e">
        <f t="shared" si="1"/>
        <v>#NUM!</v>
      </c>
      <c r="T32" s="64"/>
      <c r="V32" s="11" t="e">
        <v>#N/A</v>
      </c>
      <c r="W32" s="35" t="e">
        <f>_xll.qlYieldTSDiscount(U$4,V32,,Triggers!RTDataTrigger)</f>
        <v>#NUM!</v>
      </c>
      <c r="X32" s="44"/>
      <c r="Y32" s="33"/>
      <c r="Z32" s="49" t="e">
        <f t="shared" si="5"/>
        <v>#N/A</v>
      </c>
      <c r="AA32" s="50" t="e">
        <f t="shared" si="2"/>
        <v>#NUM!</v>
      </c>
    </row>
    <row r="33" spans="2:27" x14ac:dyDescent="0.2">
      <c r="B33" s="64"/>
      <c r="D33" s="11" t="e">
        <v>#N/A</v>
      </c>
      <c r="E33" s="35" t="e">
        <f>_xll.qlYieldTSDiscount(C$4,D33,,Triggers!RTDataTrigger)</f>
        <v>#NUM!</v>
      </c>
      <c r="F33" s="44"/>
      <c r="G33" s="33"/>
      <c r="H33" s="49" t="e">
        <f t="shared" si="3"/>
        <v>#N/A</v>
      </c>
      <c r="I33" s="50" t="e">
        <f t="shared" si="0"/>
        <v>#NUM!</v>
      </c>
      <c r="K33" s="64"/>
      <c r="M33" s="11" t="e">
        <v>#N/A</v>
      </c>
      <c r="N33" s="35" t="e">
        <f>_xll.qlYieldTSDiscount(L$4,M33,,Triggers!RTDataTrigger)</f>
        <v>#NUM!</v>
      </c>
      <c r="O33" s="44"/>
      <c r="P33" s="33"/>
      <c r="Q33" s="49" t="e">
        <f t="shared" si="4"/>
        <v>#N/A</v>
      </c>
      <c r="R33" s="50" t="e">
        <f t="shared" si="1"/>
        <v>#NUM!</v>
      </c>
      <c r="T33" s="64"/>
      <c r="V33" s="11" t="e">
        <v>#N/A</v>
      </c>
      <c r="W33" s="35" t="e">
        <f>_xll.qlYieldTSDiscount(U$4,V33,,Triggers!RTDataTrigger)</f>
        <v>#NUM!</v>
      </c>
      <c r="X33" s="44"/>
      <c r="Y33" s="33"/>
      <c r="Z33" s="49" t="e">
        <f t="shared" si="5"/>
        <v>#N/A</v>
      </c>
      <c r="AA33" s="50" t="e">
        <f t="shared" si="2"/>
        <v>#NUM!</v>
      </c>
    </row>
    <row r="34" spans="2:27" x14ac:dyDescent="0.2">
      <c r="B34" s="64"/>
      <c r="D34" s="11" t="e">
        <v>#N/A</v>
      </c>
      <c r="E34" s="35" t="e">
        <f>_xll.qlYieldTSDiscount(C$4,D34,,Triggers!RTDataTrigger)</f>
        <v>#NUM!</v>
      </c>
      <c r="F34" s="44"/>
      <c r="G34" s="33"/>
      <c r="H34" s="49" t="e">
        <f t="shared" si="3"/>
        <v>#N/A</v>
      </c>
      <c r="I34" s="50" t="e">
        <f t="shared" si="0"/>
        <v>#NUM!</v>
      </c>
      <c r="K34" s="64"/>
      <c r="M34" s="11" t="e">
        <v>#N/A</v>
      </c>
      <c r="N34" s="35" t="e">
        <f>_xll.qlYieldTSDiscount(L$4,M34,,Triggers!RTDataTrigger)</f>
        <v>#NUM!</v>
      </c>
      <c r="O34" s="44"/>
      <c r="P34" s="33"/>
      <c r="Q34" s="49" t="e">
        <f t="shared" si="4"/>
        <v>#N/A</v>
      </c>
      <c r="R34" s="50" t="e">
        <f t="shared" si="1"/>
        <v>#NUM!</v>
      </c>
      <c r="T34" s="64"/>
      <c r="V34" s="11" t="e">
        <v>#N/A</v>
      </c>
      <c r="W34" s="35" t="e">
        <f>_xll.qlYieldTSDiscount(U$4,V34,,Triggers!RTDataTrigger)</f>
        <v>#NUM!</v>
      </c>
      <c r="X34" s="44"/>
      <c r="Y34" s="33"/>
      <c r="Z34" s="49" t="e">
        <f t="shared" si="5"/>
        <v>#N/A</v>
      </c>
      <c r="AA34" s="50" t="e">
        <f t="shared" si="2"/>
        <v>#NUM!</v>
      </c>
    </row>
    <row r="35" spans="2:27" x14ac:dyDescent="0.2">
      <c r="B35" s="64"/>
      <c r="D35" s="11" t="e">
        <v>#N/A</v>
      </c>
      <c r="E35" s="35" t="e">
        <f>_xll.qlYieldTSDiscount(C$4,D35,,Triggers!RTDataTrigger)</f>
        <v>#NUM!</v>
      </c>
      <c r="F35" s="44"/>
      <c r="G35" s="33"/>
      <c r="H35" s="49" t="e">
        <f t="shared" si="3"/>
        <v>#N/A</v>
      </c>
      <c r="I35" s="50" t="e">
        <f t="shared" si="0"/>
        <v>#NUM!</v>
      </c>
      <c r="K35" s="64"/>
      <c r="M35" s="11" t="e">
        <v>#N/A</v>
      </c>
      <c r="N35" s="35" t="e">
        <f>_xll.qlYieldTSDiscount(L$4,M35,,Triggers!RTDataTrigger)</f>
        <v>#NUM!</v>
      </c>
      <c r="O35" s="44"/>
      <c r="P35" s="33"/>
      <c r="Q35" s="49" t="e">
        <f t="shared" si="4"/>
        <v>#N/A</v>
      </c>
      <c r="R35" s="50" t="e">
        <f t="shared" si="1"/>
        <v>#NUM!</v>
      </c>
      <c r="T35" s="64"/>
      <c r="V35" s="11" t="e">
        <v>#N/A</v>
      </c>
      <c r="W35" s="35" t="e">
        <f>_xll.qlYieldTSDiscount(U$4,V35,,Triggers!RTDataTrigger)</f>
        <v>#NUM!</v>
      </c>
      <c r="X35" s="44"/>
      <c r="Y35" s="33"/>
      <c r="Z35" s="49" t="e">
        <f t="shared" si="5"/>
        <v>#N/A</v>
      </c>
      <c r="AA35" s="50" t="e">
        <f t="shared" si="2"/>
        <v>#NUM!</v>
      </c>
    </row>
    <row r="36" spans="2:27" x14ac:dyDescent="0.2">
      <c r="B36" s="64"/>
      <c r="D36" s="11" t="e">
        <v>#N/A</v>
      </c>
      <c r="E36" s="35" t="e">
        <f>_xll.qlYieldTSDiscount(C$4,D36,,Triggers!RTDataTrigger)</f>
        <v>#NUM!</v>
      </c>
      <c r="F36" s="44"/>
      <c r="G36" s="33"/>
      <c r="H36" s="49" t="e">
        <f t="shared" si="3"/>
        <v>#N/A</v>
      </c>
      <c r="I36" s="50" t="e">
        <f t="shared" si="0"/>
        <v>#NUM!</v>
      </c>
      <c r="K36" s="64"/>
      <c r="M36" s="11" t="e">
        <v>#N/A</v>
      </c>
      <c r="N36" s="35" t="e">
        <f>_xll.qlYieldTSDiscount(L$4,M36,,Triggers!RTDataTrigger)</f>
        <v>#NUM!</v>
      </c>
      <c r="O36" s="44"/>
      <c r="P36" s="33"/>
      <c r="Q36" s="49" t="e">
        <f t="shared" si="4"/>
        <v>#N/A</v>
      </c>
      <c r="R36" s="50" t="e">
        <f t="shared" si="1"/>
        <v>#NUM!</v>
      </c>
      <c r="T36" s="64"/>
      <c r="V36" s="11" t="e">
        <v>#N/A</v>
      </c>
      <c r="W36" s="35" t="e">
        <f>_xll.qlYieldTSDiscount(U$4,V36,,Triggers!RTDataTrigger)</f>
        <v>#NUM!</v>
      </c>
      <c r="X36" s="44"/>
      <c r="Y36" s="33"/>
      <c r="Z36" s="49" t="e">
        <f t="shared" si="5"/>
        <v>#N/A</v>
      </c>
      <c r="AA36" s="50" t="e">
        <f t="shared" si="2"/>
        <v>#NUM!</v>
      </c>
    </row>
    <row r="37" spans="2:27" x14ac:dyDescent="0.2">
      <c r="B37" s="64"/>
      <c r="D37" s="11" t="e">
        <v>#N/A</v>
      </c>
      <c r="E37" s="35" t="e">
        <f>_xll.qlYieldTSDiscount(C$4,D37,,Triggers!RTDataTrigger)</f>
        <v>#NUM!</v>
      </c>
      <c r="F37" s="44"/>
      <c r="G37" s="33"/>
      <c r="H37" s="49" t="e">
        <f t="shared" si="3"/>
        <v>#N/A</v>
      </c>
      <c r="I37" s="50" t="e">
        <f t="shared" si="0"/>
        <v>#NUM!</v>
      </c>
      <c r="K37" s="64"/>
      <c r="M37" s="11" t="e">
        <v>#N/A</v>
      </c>
      <c r="N37" s="35" t="e">
        <f>_xll.qlYieldTSDiscount(L$4,M37,,Triggers!RTDataTrigger)</f>
        <v>#NUM!</v>
      </c>
      <c r="O37" s="44"/>
      <c r="P37" s="33"/>
      <c r="Q37" s="49" t="e">
        <f t="shared" si="4"/>
        <v>#N/A</v>
      </c>
      <c r="R37" s="50" t="e">
        <f t="shared" si="1"/>
        <v>#NUM!</v>
      </c>
      <c r="T37" s="64"/>
      <c r="V37" s="11" t="e">
        <v>#N/A</v>
      </c>
      <c r="W37" s="35" t="e">
        <f>_xll.qlYieldTSDiscount(U$4,V37,,Triggers!RTDataTrigger)</f>
        <v>#NUM!</v>
      </c>
      <c r="X37" s="44"/>
      <c r="Y37" s="33"/>
      <c r="Z37" s="49" t="e">
        <f t="shared" si="5"/>
        <v>#N/A</v>
      </c>
      <c r="AA37" s="50" t="e">
        <f t="shared" si="2"/>
        <v>#NUM!</v>
      </c>
    </row>
    <row r="38" spans="2:27" x14ac:dyDescent="0.2">
      <c r="B38" s="64"/>
      <c r="D38" s="11" t="e">
        <v>#N/A</v>
      </c>
      <c r="E38" s="35" t="e">
        <f>_xll.qlYieldTSDiscount(C$4,D38,,Triggers!RTDataTrigger)</f>
        <v>#NUM!</v>
      </c>
      <c r="F38" s="44"/>
      <c r="G38" s="33"/>
      <c r="H38" s="49" t="e">
        <f t="shared" si="3"/>
        <v>#N/A</v>
      </c>
      <c r="I38" s="50" t="e">
        <f t="shared" si="0"/>
        <v>#NUM!</v>
      </c>
      <c r="K38" s="64"/>
      <c r="M38" s="11" t="e">
        <v>#N/A</v>
      </c>
      <c r="N38" s="35" t="e">
        <f>_xll.qlYieldTSDiscount(L$4,M38,,Triggers!RTDataTrigger)</f>
        <v>#NUM!</v>
      </c>
      <c r="O38" s="44"/>
      <c r="P38" s="33"/>
      <c r="Q38" s="49" t="e">
        <f t="shared" si="4"/>
        <v>#N/A</v>
      </c>
      <c r="R38" s="50" t="e">
        <f t="shared" si="1"/>
        <v>#NUM!</v>
      </c>
      <c r="T38" s="64"/>
      <c r="V38" s="11" t="e">
        <v>#N/A</v>
      </c>
      <c r="W38" s="35" t="e">
        <f>_xll.qlYieldTSDiscount(U$4,V38,,Triggers!RTDataTrigger)</f>
        <v>#NUM!</v>
      </c>
      <c r="X38" s="44"/>
      <c r="Y38" s="33"/>
      <c r="Z38" s="49" t="e">
        <f t="shared" si="5"/>
        <v>#N/A</v>
      </c>
      <c r="AA38" s="50" t="e">
        <f t="shared" si="2"/>
        <v>#NUM!</v>
      </c>
    </row>
    <row r="39" spans="2:27" x14ac:dyDescent="0.2">
      <c r="B39" s="64"/>
      <c r="D39" s="11" t="e">
        <v>#N/A</v>
      </c>
      <c r="E39" s="35" t="e">
        <f>_xll.qlYieldTSDiscount(C$4,D39,,Triggers!RTDataTrigger)</f>
        <v>#NUM!</v>
      </c>
      <c r="F39" s="44"/>
      <c r="G39" s="33"/>
      <c r="H39" s="49" t="e">
        <f t="shared" si="3"/>
        <v>#N/A</v>
      </c>
      <c r="I39" s="50" t="e">
        <f t="shared" si="0"/>
        <v>#NUM!</v>
      </c>
      <c r="K39" s="64"/>
      <c r="M39" s="11" t="e">
        <v>#N/A</v>
      </c>
      <c r="N39" s="35" t="e">
        <f>_xll.qlYieldTSDiscount(L$4,M39,,Triggers!RTDataTrigger)</f>
        <v>#NUM!</v>
      </c>
      <c r="O39" s="44"/>
      <c r="P39" s="33"/>
      <c r="Q39" s="49" t="e">
        <f t="shared" si="4"/>
        <v>#N/A</v>
      </c>
      <c r="R39" s="50" t="e">
        <f t="shared" si="1"/>
        <v>#NUM!</v>
      </c>
      <c r="T39" s="64"/>
      <c r="V39" s="11" t="e">
        <v>#N/A</v>
      </c>
      <c r="W39" s="35" t="e">
        <f>_xll.qlYieldTSDiscount(U$4,V39,,Triggers!RTDataTrigger)</f>
        <v>#NUM!</v>
      </c>
      <c r="X39" s="44"/>
      <c r="Y39" s="33"/>
      <c r="Z39" s="49" t="e">
        <f t="shared" si="5"/>
        <v>#N/A</v>
      </c>
      <c r="AA39" s="50" t="e">
        <f t="shared" si="2"/>
        <v>#NUM!</v>
      </c>
    </row>
    <row r="40" spans="2:27" x14ac:dyDescent="0.2">
      <c r="B40" s="64"/>
      <c r="D40" s="11" t="e">
        <v>#N/A</v>
      </c>
      <c r="E40" s="35" t="e">
        <f>_xll.qlYieldTSDiscount(C$4,D40,,Triggers!RTDataTrigger)</f>
        <v>#NUM!</v>
      </c>
      <c r="F40" s="44"/>
      <c r="G40" s="33"/>
      <c r="H40" s="49" t="e">
        <f t="shared" si="3"/>
        <v>#N/A</v>
      </c>
      <c r="I40" s="50" t="e">
        <f t="shared" si="0"/>
        <v>#NUM!</v>
      </c>
      <c r="K40" s="64"/>
      <c r="M40" s="11" t="e">
        <v>#N/A</v>
      </c>
      <c r="N40" s="35" t="e">
        <f>_xll.qlYieldTSDiscount(L$4,M40,,Triggers!RTDataTrigger)</f>
        <v>#NUM!</v>
      </c>
      <c r="O40" s="44"/>
      <c r="P40" s="33"/>
      <c r="Q40" s="49" t="e">
        <f t="shared" si="4"/>
        <v>#N/A</v>
      </c>
      <c r="R40" s="50" t="e">
        <f t="shared" si="1"/>
        <v>#NUM!</v>
      </c>
      <c r="T40" s="64"/>
      <c r="V40" s="11" t="e">
        <v>#N/A</v>
      </c>
      <c r="W40" s="35" t="e">
        <f>_xll.qlYieldTSDiscount(U$4,V40,,Triggers!RTDataTrigger)</f>
        <v>#NUM!</v>
      </c>
      <c r="X40" s="44"/>
      <c r="Y40" s="33"/>
      <c r="Z40" s="49" t="e">
        <f t="shared" si="5"/>
        <v>#N/A</v>
      </c>
      <c r="AA40" s="50" t="e">
        <f t="shared" si="2"/>
        <v>#NUM!</v>
      </c>
    </row>
    <row r="41" spans="2:27" x14ac:dyDescent="0.2">
      <c r="B41" s="64"/>
      <c r="D41" s="11" t="e">
        <v>#N/A</v>
      </c>
      <c r="E41" s="35" t="e">
        <f>_xll.qlYieldTSDiscount(C$4,D41,,Triggers!RTDataTrigger)</f>
        <v>#NUM!</v>
      </c>
      <c r="F41" s="44"/>
      <c r="G41" s="33"/>
      <c r="H41" s="49" t="e">
        <f t="shared" si="3"/>
        <v>#N/A</v>
      </c>
      <c r="I41" s="50" t="e">
        <f t="shared" si="0"/>
        <v>#NUM!</v>
      </c>
      <c r="K41" s="64"/>
      <c r="M41" s="11" t="e">
        <v>#N/A</v>
      </c>
      <c r="N41" s="35" t="e">
        <f>_xll.qlYieldTSDiscount(L$4,M41,,Triggers!RTDataTrigger)</f>
        <v>#NUM!</v>
      </c>
      <c r="O41" s="44"/>
      <c r="P41" s="33"/>
      <c r="Q41" s="49" t="e">
        <f t="shared" si="4"/>
        <v>#N/A</v>
      </c>
      <c r="R41" s="50" t="e">
        <f t="shared" si="1"/>
        <v>#NUM!</v>
      </c>
      <c r="T41" s="64"/>
      <c r="V41" s="11" t="e">
        <v>#N/A</v>
      </c>
      <c r="W41" s="35" t="e">
        <f>_xll.qlYieldTSDiscount(U$4,V41,,Triggers!RTDataTrigger)</f>
        <v>#NUM!</v>
      </c>
      <c r="X41" s="44"/>
      <c r="Y41" s="33"/>
      <c r="Z41" s="49" t="e">
        <f t="shared" si="5"/>
        <v>#N/A</v>
      </c>
      <c r="AA41" s="50" t="e">
        <f t="shared" si="2"/>
        <v>#NUM!</v>
      </c>
    </row>
    <row r="42" spans="2:27" x14ac:dyDescent="0.2">
      <c r="B42" s="64"/>
      <c r="D42" s="11" t="e">
        <v>#N/A</v>
      </c>
      <c r="E42" s="35" t="e">
        <f>_xll.qlYieldTSDiscount(C$4,D42,,Triggers!RTDataTrigger)</f>
        <v>#NUM!</v>
      </c>
      <c r="F42" s="44"/>
      <c r="G42" s="33"/>
      <c r="H42" s="49" t="e">
        <f t="shared" si="3"/>
        <v>#N/A</v>
      </c>
      <c r="I42" s="50" t="e">
        <f t="shared" si="0"/>
        <v>#NUM!</v>
      </c>
      <c r="K42" s="64"/>
      <c r="M42" s="11" t="e">
        <v>#N/A</v>
      </c>
      <c r="N42" s="35" t="e">
        <f>_xll.qlYieldTSDiscount(L$4,M42,,Triggers!RTDataTrigger)</f>
        <v>#NUM!</v>
      </c>
      <c r="O42" s="44"/>
      <c r="P42" s="33"/>
      <c r="Q42" s="49" t="e">
        <f t="shared" si="4"/>
        <v>#N/A</v>
      </c>
      <c r="R42" s="50" t="e">
        <f t="shared" si="1"/>
        <v>#NUM!</v>
      </c>
      <c r="T42" s="64"/>
      <c r="V42" s="11" t="e">
        <v>#N/A</v>
      </c>
      <c r="W42" s="35" t="e">
        <f>_xll.qlYieldTSDiscount(U$4,V42,,Triggers!RTDataTrigger)</f>
        <v>#NUM!</v>
      </c>
      <c r="X42" s="44"/>
      <c r="Y42" s="33"/>
      <c r="Z42" s="49" t="e">
        <f t="shared" si="5"/>
        <v>#N/A</v>
      </c>
      <c r="AA42" s="50" t="e">
        <f t="shared" si="2"/>
        <v>#NUM!</v>
      </c>
    </row>
    <row r="43" spans="2:27" x14ac:dyDescent="0.2">
      <c r="B43" s="64"/>
      <c r="D43" s="11" t="e">
        <v>#N/A</v>
      </c>
      <c r="E43" s="35" t="e">
        <f>_xll.qlYieldTSDiscount(C$4,D43,,Triggers!RTDataTrigger)</f>
        <v>#NUM!</v>
      </c>
      <c r="F43" s="44"/>
      <c r="G43" s="33"/>
      <c r="H43" s="49" t="e">
        <f t="shared" si="3"/>
        <v>#N/A</v>
      </c>
      <c r="I43" s="50" t="e">
        <f t="shared" si="0"/>
        <v>#NUM!</v>
      </c>
      <c r="K43" s="64"/>
      <c r="M43" s="11" t="e">
        <v>#N/A</v>
      </c>
      <c r="N43" s="35" t="e">
        <f>_xll.qlYieldTSDiscount(L$4,M43,,Triggers!RTDataTrigger)</f>
        <v>#NUM!</v>
      </c>
      <c r="O43" s="44"/>
      <c r="P43" s="33"/>
      <c r="Q43" s="49" t="e">
        <f t="shared" si="4"/>
        <v>#N/A</v>
      </c>
      <c r="R43" s="50" t="e">
        <f t="shared" si="1"/>
        <v>#NUM!</v>
      </c>
      <c r="T43" s="64"/>
      <c r="V43" s="11" t="e">
        <v>#N/A</v>
      </c>
      <c r="W43" s="35" t="e">
        <f>_xll.qlYieldTSDiscount(U$4,V43,,Triggers!RTDataTrigger)</f>
        <v>#NUM!</v>
      </c>
      <c r="X43" s="44"/>
      <c r="Y43" s="33"/>
      <c r="Z43" s="49" t="e">
        <f t="shared" si="5"/>
        <v>#N/A</v>
      </c>
      <c r="AA43" s="50" t="e">
        <f t="shared" si="2"/>
        <v>#NUM!</v>
      </c>
    </row>
    <row r="44" spans="2:27" x14ac:dyDescent="0.2">
      <c r="B44" s="64"/>
      <c r="D44" s="11" t="e">
        <v>#N/A</v>
      </c>
      <c r="E44" s="35" t="e">
        <f>_xll.qlYieldTSDiscount(C$4,D44,,Triggers!RTDataTrigger)</f>
        <v>#NUM!</v>
      </c>
      <c r="F44" s="44"/>
      <c r="G44" s="33"/>
      <c r="H44" s="49" t="e">
        <f t="shared" si="3"/>
        <v>#N/A</v>
      </c>
      <c r="I44" s="50" t="e">
        <f t="shared" si="0"/>
        <v>#NUM!</v>
      </c>
      <c r="K44" s="64"/>
      <c r="M44" s="11" t="e">
        <v>#N/A</v>
      </c>
      <c r="N44" s="35" t="e">
        <f>_xll.qlYieldTSDiscount(L$4,M44,,Triggers!RTDataTrigger)</f>
        <v>#NUM!</v>
      </c>
      <c r="O44" s="44"/>
      <c r="P44" s="33"/>
      <c r="Q44" s="49" t="e">
        <f t="shared" si="4"/>
        <v>#N/A</v>
      </c>
      <c r="R44" s="50" t="e">
        <f t="shared" si="1"/>
        <v>#NUM!</v>
      </c>
      <c r="T44" s="64"/>
      <c r="V44" s="11" t="e">
        <v>#N/A</v>
      </c>
      <c r="W44" s="35" t="e">
        <f>_xll.qlYieldTSDiscount(U$4,V44,,Triggers!RTDataTrigger)</f>
        <v>#NUM!</v>
      </c>
      <c r="X44" s="44"/>
      <c r="Y44" s="33"/>
      <c r="Z44" s="49" t="e">
        <f t="shared" si="5"/>
        <v>#N/A</v>
      </c>
      <c r="AA44" s="50" t="e">
        <f t="shared" si="2"/>
        <v>#NUM!</v>
      </c>
    </row>
    <row r="45" spans="2:27" x14ac:dyDescent="0.2">
      <c r="B45" s="64"/>
      <c r="D45" s="11" t="e">
        <v>#N/A</v>
      </c>
      <c r="E45" s="35" t="e">
        <f>_xll.qlYieldTSDiscount(C$4,D45,,Triggers!RTDataTrigger)</f>
        <v>#NUM!</v>
      </c>
      <c r="F45" s="44"/>
      <c r="G45" s="33"/>
      <c r="H45" s="49" t="e">
        <f t="shared" si="3"/>
        <v>#N/A</v>
      </c>
      <c r="I45" s="50" t="e">
        <f t="shared" si="0"/>
        <v>#NUM!</v>
      </c>
      <c r="K45" s="64"/>
      <c r="M45" s="11" t="e">
        <v>#N/A</v>
      </c>
      <c r="N45" s="35" t="e">
        <f>_xll.qlYieldTSDiscount(L$4,M45,,Triggers!RTDataTrigger)</f>
        <v>#NUM!</v>
      </c>
      <c r="O45" s="44"/>
      <c r="P45" s="33"/>
      <c r="Q45" s="49" t="e">
        <f t="shared" si="4"/>
        <v>#N/A</v>
      </c>
      <c r="R45" s="50" t="e">
        <f t="shared" si="1"/>
        <v>#NUM!</v>
      </c>
      <c r="T45" s="64"/>
      <c r="V45" s="11" t="e">
        <v>#N/A</v>
      </c>
      <c r="W45" s="35" t="e">
        <f>_xll.qlYieldTSDiscount(U$4,V45,,Triggers!RTDataTrigger)</f>
        <v>#NUM!</v>
      </c>
      <c r="X45" s="44"/>
      <c r="Y45" s="33"/>
      <c r="Z45" s="49" t="e">
        <f t="shared" si="5"/>
        <v>#N/A</v>
      </c>
      <c r="AA45" s="50" t="e">
        <f t="shared" si="2"/>
        <v>#NUM!</v>
      </c>
    </row>
    <row r="46" spans="2:27" x14ac:dyDescent="0.2">
      <c r="B46" s="64"/>
      <c r="D46" s="11" t="e">
        <v>#N/A</v>
      </c>
      <c r="E46" s="12" t="e">
        <f>_xll.qlYieldTSDiscount(C$4,D46,,Triggers!RTDataTrigger)</f>
        <v>#NUM!</v>
      </c>
      <c r="F46" s="44"/>
      <c r="G46" s="33"/>
      <c r="H46" s="49" t="e">
        <f t="shared" si="3"/>
        <v>#N/A</v>
      </c>
      <c r="I46" s="50" t="e">
        <f t="shared" si="0"/>
        <v>#NUM!</v>
      </c>
      <c r="K46" s="64"/>
      <c r="M46" s="11" t="e">
        <v>#N/A</v>
      </c>
      <c r="N46" s="12" t="e">
        <f>_xll.qlYieldTSDiscount(L$4,M46,,Triggers!RTDataTrigger)</f>
        <v>#NUM!</v>
      </c>
      <c r="O46" s="44"/>
      <c r="P46" s="33"/>
      <c r="Q46" s="49" t="e">
        <f t="shared" si="4"/>
        <v>#N/A</v>
      </c>
      <c r="R46" s="50" t="e">
        <f t="shared" si="1"/>
        <v>#NUM!</v>
      </c>
      <c r="T46" s="64"/>
      <c r="V46" s="11" t="e">
        <v>#N/A</v>
      </c>
      <c r="W46" s="12" t="e">
        <f>_xll.qlYieldTSDiscount(U$4,V46,,Triggers!RTDataTrigger)</f>
        <v>#NUM!</v>
      </c>
      <c r="X46" s="44"/>
      <c r="Y46" s="33"/>
      <c r="Z46" s="49" t="e">
        <f t="shared" si="5"/>
        <v>#N/A</v>
      </c>
      <c r="AA46" s="50" t="e">
        <f t="shared" si="2"/>
        <v>#NUM!</v>
      </c>
    </row>
    <row r="47" spans="2:27" x14ac:dyDescent="0.2">
      <c r="B47" s="64"/>
      <c r="D47" s="11" t="e">
        <v>#N/A</v>
      </c>
      <c r="E47" s="12" t="e">
        <f>_xll.qlYieldTSDiscount(C$4,D47,,Triggers!RTDataTrigger)</f>
        <v>#NUM!</v>
      </c>
      <c r="F47" s="44"/>
      <c r="G47" s="33"/>
      <c r="H47" s="49" t="e">
        <f t="shared" si="3"/>
        <v>#N/A</v>
      </c>
      <c r="I47" s="50" t="e">
        <f t="shared" si="0"/>
        <v>#NUM!</v>
      </c>
      <c r="K47" s="64"/>
      <c r="M47" s="11" t="e">
        <v>#N/A</v>
      </c>
      <c r="N47" s="12" t="e">
        <f>_xll.qlYieldTSDiscount(L$4,M47,,Triggers!RTDataTrigger)</f>
        <v>#NUM!</v>
      </c>
      <c r="O47" s="44"/>
      <c r="P47" s="33"/>
      <c r="Q47" s="49" t="e">
        <f t="shared" si="4"/>
        <v>#N/A</v>
      </c>
      <c r="R47" s="50" t="e">
        <f t="shared" si="1"/>
        <v>#NUM!</v>
      </c>
      <c r="T47" s="64"/>
      <c r="V47" s="11" t="e">
        <v>#N/A</v>
      </c>
      <c r="W47" s="12" t="e">
        <f>_xll.qlYieldTSDiscount(U$4,V47,,Triggers!RTDataTrigger)</f>
        <v>#NUM!</v>
      </c>
      <c r="X47" s="44"/>
      <c r="Y47" s="33"/>
      <c r="Z47" s="49" t="e">
        <f t="shared" si="5"/>
        <v>#N/A</v>
      </c>
      <c r="AA47" s="50" t="e">
        <f t="shared" si="2"/>
        <v>#NUM!</v>
      </c>
    </row>
    <row r="48" spans="2:27" x14ac:dyDescent="0.2">
      <c r="B48" s="64"/>
      <c r="D48" s="11" t="e">
        <v>#N/A</v>
      </c>
      <c r="E48" s="12" t="e">
        <f>_xll.qlYieldTSDiscount(C$4,D48,,Triggers!RTDataTrigger)</f>
        <v>#NUM!</v>
      </c>
      <c r="F48" s="44"/>
      <c r="G48" s="33"/>
      <c r="H48" s="49" t="e">
        <f t="shared" si="3"/>
        <v>#N/A</v>
      </c>
      <c r="I48" s="50" t="e">
        <f t="shared" si="0"/>
        <v>#NUM!</v>
      </c>
      <c r="K48" s="64"/>
      <c r="M48" s="11" t="e">
        <v>#N/A</v>
      </c>
      <c r="N48" s="12" t="e">
        <f>_xll.qlYieldTSDiscount(L$4,M48,,Triggers!RTDataTrigger)</f>
        <v>#NUM!</v>
      </c>
      <c r="O48" s="44"/>
      <c r="P48" s="33"/>
      <c r="Q48" s="49" t="e">
        <f t="shared" si="4"/>
        <v>#N/A</v>
      </c>
      <c r="R48" s="50" t="e">
        <f t="shared" si="1"/>
        <v>#NUM!</v>
      </c>
      <c r="T48" s="64"/>
      <c r="V48" s="11" t="e">
        <v>#N/A</v>
      </c>
      <c r="W48" s="12" t="e">
        <f>_xll.qlYieldTSDiscount(U$4,V48,,Triggers!RTDataTrigger)</f>
        <v>#NUM!</v>
      </c>
      <c r="X48" s="44"/>
      <c r="Y48" s="33"/>
      <c r="Z48" s="49" t="e">
        <f t="shared" si="5"/>
        <v>#N/A</v>
      </c>
      <c r="AA48" s="50" t="e">
        <f t="shared" si="2"/>
        <v>#NUM!</v>
      </c>
    </row>
    <row r="49" spans="2:27" x14ac:dyDescent="0.2">
      <c r="B49" s="64"/>
      <c r="D49" s="11" t="e">
        <v>#N/A</v>
      </c>
      <c r="E49" s="12" t="e">
        <f>_xll.qlYieldTSDiscount(C$4,D49,,Triggers!RTDataTrigger)</f>
        <v>#NUM!</v>
      </c>
      <c r="F49" s="44"/>
      <c r="G49" s="33"/>
      <c r="H49" s="49" t="e">
        <f t="shared" si="3"/>
        <v>#N/A</v>
      </c>
      <c r="I49" s="50" t="e">
        <f t="shared" si="0"/>
        <v>#NUM!</v>
      </c>
      <c r="K49" s="64"/>
      <c r="M49" s="11" t="e">
        <v>#N/A</v>
      </c>
      <c r="N49" s="12" t="e">
        <f>_xll.qlYieldTSDiscount(L$4,M49,,Triggers!RTDataTrigger)</f>
        <v>#NUM!</v>
      </c>
      <c r="O49" s="44"/>
      <c r="P49" s="33"/>
      <c r="Q49" s="49" t="e">
        <f t="shared" si="4"/>
        <v>#N/A</v>
      </c>
      <c r="R49" s="50" t="e">
        <f t="shared" si="1"/>
        <v>#NUM!</v>
      </c>
      <c r="T49" s="64"/>
      <c r="V49" s="11" t="e">
        <v>#N/A</v>
      </c>
      <c r="W49" s="12" t="e">
        <f>_xll.qlYieldTSDiscount(U$4,V49,,Triggers!RTDataTrigger)</f>
        <v>#NUM!</v>
      </c>
      <c r="X49" s="44"/>
      <c r="Y49" s="33"/>
      <c r="Z49" s="49" t="e">
        <f t="shared" si="5"/>
        <v>#N/A</v>
      </c>
      <c r="AA49" s="50" t="e">
        <f t="shared" si="2"/>
        <v>#NUM!</v>
      </c>
    </row>
    <row r="50" spans="2:27" x14ac:dyDescent="0.2">
      <c r="B50" s="64"/>
      <c r="D50" s="11" t="e">
        <v>#N/A</v>
      </c>
      <c r="E50" s="12" t="e">
        <f>_xll.qlYieldTSDiscount(C$4,D50,,Triggers!RTDataTrigger)</f>
        <v>#NUM!</v>
      </c>
      <c r="F50" s="44"/>
      <c r="G50" s="33"/>
      <c r="H50" s="49" t="e">
        <f t="shared" si="3"/>
        <v>#N/A</v>
      </c>
      <c r="I50" s="50" t="e">
        <f t="shared" si="0"/>
        <v>#NUM!</v>
      </c>
      <c r="K50" s="64"/>
      <c r="M50" s="11" t="e">
        <v>#N/A</v>
      </c>
      <c r="N50" s="12" t="e">
        <f>_xll.qlYieldTSDiscount(L$4,M50,,Triggers!RTDataTrigger)</f>
        <v>#NUM!</v>
      </c>
      <c r="O50" s="44"/>
      <c r="P50" s="33"/>
      <c r="Q50" s="49" t="e">
        <f t="shared" si="4"/>
        <v>#N/A</v>
      </c>
      <c r="R50" s="50" t="e">
        <f t="shared" si="1"/>
        <v>#NUM!</v>
      </c>
      <c r="T50" s="64"/>
      <c r="V50" s="11" t="e">
        <v>#N/A</v>
      </c>
      <c r="W50" s="12" t="e">
        <f>_xll.qlYieldTSDiscount(U$4,V50,,Triggers!RTDataTrigger)</f>
        <v>#NUM!</v>
      </c>
      <c r="X50" s="44"/>
      <c r="Y50" s="33"/>
      <c r="Z50" s="49" t="e">
        <f t="shared" si="5"/>
        <v>#N/A</v>
      </c>
      <c r="AA50" s="50" t="e">
        <f t="shared" si="2"/>
        <v>#NUM!</v>
      </c>
    </row>
    <row r="51" spans="2:27" x14ac:dyDescent="0.2">
      <c r="B51" s="64"/>
      <c r="D51" s="11" t="e">
        <v>#N/A</v>
      </c>
      <c r="E51" s="12" t="e">
        <f>_xll.qlYieldTSDiscount(C$4,D51,,Triggers!RTDataTrigger)</f>
        <v>#NUM!</v>
      </c>
      <c r="F51" s="44"/>
      <c r="G51" s="33"/>
      <c r="H51" s="49" t="e">
        <f t="shared" si="3"/>
        <v>#N/A</v>
      </c>
      <c r="I51" s="50" t="e">
        <f t="shared" si="0"/>
        <v>#NUM!</v>
      </c>
      <c r="K51" s="64"/>
      <c r="M51" s="11" t="e">
        <v>#N/A</v>
      </c>
      <c r="N51" s="12" t="e">
        <f>_xll.qlYieldTSDiscount(L$4,M51,,Triggers!RTDataTrigger)</f>
        <v>#NUM!</v>
      </c>
      <c r="O51" s="44"/>
      <c r="P51" s="33"/>
      <c r="Q51" s="49" t="e">
        <f t="shared" si="4"/>
        <v>#N/A</v>
      </c>
      <c r="R51" s="50" t="e">
        <f t="shared" si="1"/>
        <v>#NUM!</v>
      </c>
      <c r="T51" s="64"/>
      <c r="V51" s="11" t="e">
        <v>#N/A</v>
      </c>
      <c r="W51" s="12" t="e">
        <f>_xll.qlYieldTSDiscount(U$4,V51,,Triggers!RTDataTrigger)</f>
        <v>#NUM!</v>
      </c>
      <c r="X51" s="44"/>
      <c r="Y51" s="33"/>
      <c r="Z51" s="49" t="e">
        <f t="shared" si="5"/>
        <v>#N/A</v>
      </c>
      <c r="AA51" s="50" t="e">
        <f t="shared" si="2"/>
        <v>#NUM!</v>
      </c>
    </row>
    <row r="52" spans="2:27" x14ac:dyDescent="0.2">
      <c r="B52" s="64"/>
      <c r="D52" s="11" t="e">
        <v>#N/A</v>
      </c>
      <c r="E52" s="12" t="e">
        <f>_xll.qlYieldTSDiscount(C$4,D52,,Triggers!RTDataTrigger)</f>
        <v>#NUM!</v>
      </c>
      <c r="F52" s="44"/>
      <c r="G52" s="33"/>
      <c r="H52" s="49" t="e">
        <f t="shared" si="3"/>
        <v>#N/A</v>
      </c>
      <c r="I52" s="50" t="e">
        <f t="shared" si="0"/>
        <v>#NUM!</v>
      </c>
      <c r="K52" s="64"/>
      <c r="M52" s="11" t="e">
        <v>#N/A</v>
      </c>
      <c r="N52" s="12" t="e">
        <f>_xll.qlYieldTSDiscount(L$4,M52,,Triggers!RTDataTrigger)</f>
        <v>#NUM!</v>
      </c>
      <c r="O52" s="44"/>
      <c r="P52" s="33"/>
      <c r="Q52" s="49" t="e">
        <f t="shared" si="4"/>
        <v>#N/A</v>
      </c>
      <c r="R52" s="50" t="e">
        <f t="shared" si="1"/>
        <v>#NUM!</v>
      </c>
      <c r="T52" s="64"/>
      <c r="V52" s="11" t="e">
        <v>#N/A</v>
      </c>
      <c r="W52" s="12" t="e">
        <f>_xll.qlYieldTSDiscount(U$4,V52,,Triggers!RTDataTrigger)</f>
        <v>#NUM!</v>
      </c>
      <c r="X52" s="44"/>
      <c r="Y52" s="33"/>
      <c r="Z52" s="49" t="e">
        <f t="shared" si="5"/>
        <v>#N/A</v>
      </c>
      <c r="AA52" s="50" t="e">
        <f t="shared" si="2"/>
        <v>#NUM!</v>
      </c>
    </row>
    <row r="53" spans="2:27" x14ac:dyDescent="0.2">
      <c r="B53" s="64"/>
      <c r="D53" s="11" t="e">
        <v>#N/A</v>
      </c>
      <c r="E53" s="12" t="e">
        <f>_xll.qlYieldTSDiscount(C$4,D53,,Triggers!RTDataTrigger)</f>
        <v>#NUM!</v>
      </c>
      <c r="F53" s="44"/>
      <c r="G53" s="33"/>
      <c r="H53" s="49" t="e">
        <f t="shared" si="3"/>
        <v>#N/A</v>
      </c>
      <c r="I53" s="50" t="e">
        <f t="shared" si="0"/>
        <v>#NUM!</v>
      </c>
      <c r="K53" s="64"/>
      <c r="M53" s="11" t="e">
        <v>#N/A</v>
      </c>
      <c r="N53" s="12" t="e">
        <f>_xll.qlYieldTSDiscount(L$4,M53,,Triggers!RTDataTrigger)</f>
        <v>#NUM!</v>
      </c>
      <c r="O53" s="44"/>
      <c r="P53" s="33"/>
      <c r="Q53" s="49" t="e">
        <f t="shared" si="4"/>
        <v>#N/A</v>
      </c>
      <c r="R53" s="50" t="e">
        <f t="shared" si="1"/>
        <v>#NUM!</v>
      </c>
      <c r="T53" s="64"/>
      <c r="V53" s="11" t="e">
        <v>#N/A</v>
      </c>
      <c r="W53" s="12" t="e">
        <f>_xll.qlYieldTSDiscount(U$4,V53,,Triggers!RTDataTrigger)</f>
        <v>#NUM!</v>
      </c>
      <c r="X53" s="44"/>
      <c r="Y53" s="33"/>
      <c r="Z53" s="49" t="e">
        <f t="shared" si="5"/>
        <v>#N/A</v>
      </c>
      <c r="AA53" s="50" t="e">
        <f t="shared" si="2"/>
        <v>#NUM!</v>
      </c>
    </row>
    <row r="54" spans="2:27" x14ac:dyDescent="0.2">
      <c r="B54" s="64"/>
      <c r="D54" s="11" t="e">
        <v>#N/A</v>
      </c>
      <c r="E54" s="12" t="e">
        <f>_xll.qlYieldTSDiscount(C$4,D54,,Triggers!RTDataTrigger)</f>
        <v>#NUM!</v>
      </c>
      <c r="F54" s="44"/>
      <c r="G54" s="33"/>
      <c r="H54" s="49" t="e">
        <f t="shared" si="3"/>
        <v>#N/A</v>
      </c>
      <c r="I54" s="50" t="e">
        <f t="shared" si="0"/>
        <v>#NUM!</v>
      </c>
      <c r="K54" s="64"/>
      <c r="M54" s="11" t="e">
        <v>#N/A</v>
      </c>
      <c r="N54" s="12" t="e">
        <f>_xll.qlYieldTSDiscount(L$4,M54,,Triggers!RTDataTrigger)</f>
        <v>#NUM!</v>
      </c>
      <c r="O54" s="44"/>
      <c r="P54" s="33"/>
      <c r="Q54" s="49" t="e">
        <f t="shared" si="4"/>
        <v>#N/A</v>
      </c>
      <c r="R54" s="50" t="e">
        <f t="shared" si="1"/>
        <v>#NUM!</v>
      </c>
      <c r="T54" s="64"/>
      <c r="V54" s="11" t="e">
        <v>#N/A</v>
      </c>
      <c r="W54" s="12" t="e">
        <f>_xll.qlYieldTSDiscount(U$4,V54,,Triggers!RTDataTrigger)</f>
        <v>#NUM!</v>
      </c>
      <c r="X54" s="44"/>
      <c r="Y54" s="33"/>
      <c r="Z54" s="49" t="e">
        <f t="shared" si="5"/>
        <v>#N/A</v>
      </c>
      <c r="AA54" s="50" t="e">
        <f t="shared" si="2"/>
        <v>#NUM!</v>
      </c>
    </row>
    <row r="55" spans="2:27" x14ac:dyDescent="0.2">
      <c r="B55" s="64"/>
      <c r="D55" s="11" t="e">
        <v>#N/A</v>
      </c>
      <c r="E55" s="12" t="e">
        <f>_xll.qlYieldTSDiscount(C$4,D55,,Triggers!RTDataTrigger)</f>
        <v>#NUM!</v>
      </c>
      <c r="F55" s="44"/>
      <c r="G55" s="33"/>
      <c r="H55" s="49" t="e">
        <f t="shared" si="3"/>
        <v>#N/A</v>
      </c>
      <c r="I55" s="50" t="e">
        <f t="shared" si="0"/>
        <v>#NUM!</v>
      </c>
      <c r="K55" s="64"/>
      <c r="M55" s="11" t="e">
        <v>#N/A</v>
      </c>
      <c r="N55" s="12" t="e">
        <f>_xll.qlYieldTSDiscount(L$4,M55,,Triggers!RTDataTrigger)</f>
        <v>#NUM!</v>
      </c>
      <c r="O55" s="44"/>
      <c r="P55" s="33"/>
      <c r="Q55" s="49" t="e">
        <f t="shared" si="4"/>
        <v>#N/A</v>
      </c>
      <c r="R55" s="50" t="e">
        <f t="shared" si="1"/>
        <v>#NUM!</v>
      </c>
      <c r="T55" s="64"/>
      <c r="V55" s="11" t="e">
        <v>#N/A</v>
      </c>
      <c r="W55" s="12" t="e">
        <f>_xll.qlYieldTSDiscount(U$4,V55,,Triggers!RTDataTrigger)</f>
        <v>#NUM!</v>
      </c>
      <c r="X55" s="44"/>
      <c r="Y55" s="33"/>
      <c r="Z55" s="49" t="e">
        <f t="shared" si="5"/>
        <v>#N/A</v>
      </c>
      <c r="AA55" s="50" t="e">
        <f t="shared" si="2"/>
        <v>#NUM!</v>
      </c>
    </row>
    <row r="56" spans="2:27" x14ac:dyDescent="0.2">
      <c r="B56" s="64"/>
      <c r="D56" s="11" t="e">
        <v>#N/A</v>
      </c>
      <c r="E56" s="12" t="e">
        <f>_xll.qlYieldTSDiscount(C$4,D56,,Triggers!RTDataTrigger)</f>
        <v>#NUM!</v>
      </c>
      <c r="F56" s="44"/>
      <c r="G56" s="33"/>
      <c r="H56" s="49" t="e">
        <f t="shared" si="3"/>
        <v>#N/A</v>
      </c>
      <c r="I56" s="50" t="e">
        <f t="shared" si="0"/>
        <v>#NUM!</v>
      </c>
      <c r="K56" s="64"/>
      <c r="M56" s="11" t="e">
        <v>#N/A</v>
      </c>
      <c r="N56" s="12" t="e">
        <f>_xll.qlYieldTSDiscount(L$4,M56,,Triggers!RTDataTrigger)</f>
        <v>#NUM!</v>
      </c>
      <c r="O56" s="44"/>
      <c r="P56" s="33"/>
      <c r="Q56" s="49" t="e">
        <f t="shared" si="4"/>
        <v>#N/A</v>
      </c>
      <c r="R56" s="50" t="e">
        <f t="shared" si="1"/>
        <v>#NUM!</v>
      </c>
      <c r="T56" s="64"/>
      <c r="V56" s="11" t="e">
        <v>#N/A</v>
      </c>
      <c r="W56" s="12" t="e">
        <f>_xll.qlYieldTSDiscount(U$4,V56,,Triggers!RTDataTrigger)</f>
        <v>#NUM!</v>
      </c>
      <c r="X56" s="44"/>
      <c r="Y56" s="33"/>
      <c r="Z56" s="49" t="e">
        <f t="shared" si="5"/>
        <v>#N/A</v>
      </c>
      <c r="AA56" s="50" t="e">
        <f t="shared" si="2"/>
        <v>#NUM!</v>
      </c>
    </row>
    <row r="57" spans="2:27" x14ac:dyDescent="0.2">
      <c r="D57" s="11" t="e">
        <v>#N/A</v>
      </c>
      <c r="E57" s="12" t="e">
        <f>_xll.qlYieldTSDiscount(C$4,D57,,Triggers!RTDataTrigger)</f>
        <v>#NUM!</v>
      </c>
      <c r="F57" s="44"/>
      <c r="G57" s="33"/>
      <c r="H57" s="49" t="e">
        <f t="shared" si="3"/>
        <v>#N/A</v>
      </c>
      <c r="I57" s="50" t="e">
        <f t="shared" si="0"/>
        <v>#NUM!</v>
      </c>
      <c r="K57" s="64"/>
      <c r="M57" s="11" t="e">
        <v>#N/A</v>
      </c>
      <c r="N57" s="12" t="e">
        <f>_xll.qlYieldTSDiscount(L$4,M57,,Triggers!RTDataTrigger)</f>
        <v>#NUM!</v>
      </c>
      <c r="O57" s="44"/>
      <c r="P57" s="33"/>
      <c r="Q57" s="49" t="e">
        <f t="shared" si="4"/>
        <v>#N/A</v>
      </c>
      <c r="R57" s="50" t="e">
        <f t="shared" si="1"/>
        <v>#NUM!</v>
      </c>
      <c r="T57" s="64"/>
      <c r="V57" s="11" t="e">
        <v>#N/A</v>
      </c>
      <c r="W57" s="12" t="e">
        <f>_xll.qlYieldTSDiscount(U$4,V57,,Triggers!RTDataTrigger)</f>
        <v>#NUM!</v>
      </c>
      <c r="X57" s="44"/>
      <c r="Y57" s="33"/>
      <c r="Z57" s="49" t="e">
        <f t="shared" si="5"/>
        <v>#N/A</v>
      </c>
      <c r="AA57" s="50" t="e">
        <f t="shared" si="2"/>
        <v>#NUM!</v>
      </c>
    </row>
    <row r="58" spans="2:27" x14ac:dyDescent="0.2">
      <c r="D58" s="11" t="e">
        <v>#N/A</v>
      </c>
      <c r="E58" s="12" t="e">
        <f>_xll.qlYieldTSDiscount(C$4,D58,,Triggers!RTDataTrigger)</f>
        <v>#NUM!</v>
      </c>
      <c r="F58" s="44"/>
      <c r="G58" s="33"/>
      <c r="H58" s="49" t="e">
        <f t="shared" si="3"/>
        <v>#N/A</v>
      </c>
      <c r="I58" s="50" t="e">
        <f t="shared" si="0"/>
        <v>#NUM!</v>
      </c>
      <c r="K58" s="64"/>
      <c r="M58" s="11" t="e">
        <v>#N/A</v>
      </c>
      <c r="N58" s="12" t="e">
        <f>_xll.qlYieldTSDiscount(L$4,M58,,Triggers!RTDataTrigger)</f>
        <v>#NUM!</v>
      </c>
      <c r="O58" s="44"/>
      <c r="P58" s="33"/>
      <c r="Q58" s="49" t="e">
        <f t="shared" si="4"/>
        <v>#N/A</v>
      </c>
      <c r="R58" s="50" t="e">
        <f t="shared" si="1"/>
        <v>#NUM!</v>
      </c>
      <c r="T58" s="64"/>
      <c r="V58" s="11" t="e">
        <v>#N/A</v>
      </c>
      <c r="W58" s="12" t="e">
        <f>_xll.qlYieldTSDiscount(U$4,V58,,Triggers!RTDataTrigger)</f>
        <v>#NUM!</v>
      </c>
      <c r="X58" s="44"/>
      <c r="Y58" s="33"/>
      <c r="Z58" s="49" t="e">
        <f t="shared" si="5"/>
        <v>#N/A</v>
      </c>
      <c r="AA58" s="50" t="e">
        <f t="shared" si="2"/>
        <v>#NUM!</v>
      </c>
    </row>
    <row r="59" spans="2:27" x14ac:dyDescent="0.2">
      <c r="D59" s="11" t="e">
        <v>#N/A</v>
      </c>
      <c r="E59" s="12" t="e">
        <f>_xll.qlYieldTSDiscount(C$4,D59,,Triggers!RTDataTrigger)</f>
        <v>#NUM!</v>
      </c>
      <c r="F59" s="44"/>
      <c r="G59" s="33"/>
      <c r="H59" s="49" t="e">
        <f t="shared" si="3"/>
        <v>#N/A</v>
      </c>
      <c r="I59" s="50" t="e">
        <f t="shared" si="0"/>
        <v>#NUM!</v>
      </c>
      <c r="K59" s="64"/>
      <c r="M59" s="11" t="e">
        <v>#N/A</v>
      </c>
      <c r="N59" s="12" t="e">
        <f>_xll.qlYieldTSDiscount(L$4,M59,,Triggers!RTDataTrigger)</f>
        <v>#NUM!</v>
      </c>
      <c r="O59" s="44"/>
      <c r="P59" s="33"/>
      <c r="Q59" s="49" t="e">
        <f t="shared" si="4"/>
        <v>#N/A</v>
      </c>
      <c r="R59" s="50" t="e">
        <f t="shared" si="1"/>
        <v>#NUM!</v>
      </c>
      <c r="T59" s="64"/>
      <c r="V59" s="11" t="e">
        <v>#N/A</v>
      </c>
      <c r="W59" s="12" t="e">
        <f>_xll.qlYieldTSDiscount(U$4,V59,,Triggers!RTDataTrigger)</f>
        <v>#NUM!</v>
      </c>
      <c r="X59" s="44"/>
      <c r="Y59" s="33"/>
      <c r="Z59" s="49" t="e">
        <f t="shared" si="5"/>
        <v>#N/A</v>
      </c>
      <c r="AA59" s="50" t="e">
        <f t="shared" si="2"/>
        <v>#NUM!</v>
      </c>
    </row>
    <row r="60" spans="2:27" x14ac:dyDescent="0.2">
      <c r="D60" s="11" t="e">
        <v>#N/A</v>
      </c>
      <c r="E60" s="12" t="e">
        <f>_xll.qlYieldTSDiscount(C$4,D60,,Triggers!RTDataTrigger)</f>
        <v>#NUM!</v>
      </c>
      <c r="F60" s="44"/>
      <c r="G60" s="33"/>
      <c r="H60" s="49" t="e">
        <f t="shared" si="3"/>
        <v>#N/A</v>
      </c>
      <c r="I60" s="50" t="e">
        <f t="shared" si="0"/>
        <v>#NUM!</v>
      </c>
      <c r="K60" s="64"/>
      <c r="M60" s="11" t="e">
        <v>#N/A</v>
      </c>
      <c r="N60" s="12" t="e">
        <f>_xll.qlYieldTSDiscount(L$4,M60,,Triggers!RTDataTrigger)</f>
        <v>#NUM!</v>
      </c>
      <c r="O60" s="44"/>
      <c r="P60" s="33"/>
      <c r="Q60" s="49" t="e">
        <f t="shared" si="4"/>
        <v>#N/A</v>
      </c>
      <c r="R60" s="50" t="e">
        <f t="shared" si="1"/>
        <v>#NUM!</v>
      </c>
      <c r="T60" s="64"/>
      <c r="V60" s="11" t="e">
        <v>#N/A</v>
      </c>
      <c r="W60" s="12" t="e">
        <f>_xll.qlYieldTSDiscount(U$4,V60,,Triggers!RTDataTrigger)</f>
        <v>#NUM!</v>
      </c>
      <c r="X60" s="44"/>
      <c r="Y60" s="33"/>
      <c r="Z60" s="49" t="e">
        <f t="shared" si="5"/>
        <v>#N/A</v>
      </c>
      <c r="AA60" s="50" t="e">
        <f t="shared" si="2"/>
        <v>#NUM!</v>
      </c>
    </row>
    <row r="61" spans="2:27" x14ac:dyDescent="0.2">
      <c r="D61" s="11" t="e">
        <v>#N/A</v>
      </c>
      <c r="E61" s="12" t="e">
        <f>_xll.qlYieldTSDiscount(C$4,D61,,Triggers!RTDataTrigger)</f>
        <v>#NUM!</v>
      </c>
      <c r="F61" s="44"/>
      <c r="G61" s="33"/>
      <c r="H61" s="49" t="e">
        <f t="shared" si="3"/>
        <v>#N/A</v>
      </c>
      <c r="I61" s="50" t="e">
        <f t="shared" si="0"/>
        <v>#NUM!</v>
      </c>
      <c r="K61" s="64"/>
      <c r="M61" s="11" t="e">
        <v>#N/A</v>
      </c>
      <c r="N61" s="12" t="e">
        <f>_xll.qlYieldTSDiscount(L$4,M61,,Triggers!RTDataTrigger)</f>
        <v>#NUM!</v>
      </c>
      <c r="O61" s="44"/>
      <c r="P61" s="33"/>
      <c r="Q61" s="49" t="e">
        <f t="shared" si="4"/>
        <v>#N/A</v>
      </c>
      <c r="R61" s="50" t="e">
        <f t="shared" si="1"/>
        <v>#NUM!</v>
      </c>
      <c r="T61" s="64"/>
      <c r="V61" s="11" t="e">
        <v>#N/A</v>
      </c>
      <c r="W61" s="12" t="e">
        <f>_xll.qlYieldTSDiscount(U$4,V61,,Triggers!RTDataTrigger)</f>
        <v>#NUM!</v>
      </c>
      <c r="X61" s="44"/>
      <c r="Y61" s="33"/>
      <c r="Z61" s="49" t="e">
        <f t="shared" si="5"/>
        <v>#N/A</v>
      </c>
      <c r="AA61" s="50" t="e">
        <f t="shared" si="2"/>
        <v>#NUM!</v>
      </c>
    </row>
    <row r="62" spans="2:27" x14ac:dyDescent="0.2">
      <c r="D62" s="11" t="e">
        <v>#N/A</v>
      </c>
      <c r="E62" s="12" t="e">
        <f>_xll.qlYieldTSDiscount(C$4,D62,,Triggers!RTDataTrigger)</f>
        <v>#NUM!</v>
      </c>
      <c r="F62" s="44"/>
      <c r="G62" s="33"/>
      <c r="H62" s="49" t="e">
        <f t="shared" si="3"/>
        <v>#N/A</v>
      </c>
      <c r="I62" s="50" t="e">
        <f t="shared" si="0"/>
        <v>#NUM!</v>
      </c>
      <c r="K62" s="64"/>
      <c r="M62" s="11" t="e">
        <v>#N/A</v>
      </c>
      <c r="N62" s="12" t="e">
        <f>_xll.qlYieldTSDiscount(L$4,M62,,Triggers!RTDataTrigger)</f>
        <v>#NUM!</v>
      </c>
      <c r="O62" s="44"/>
      <c r="P62" s="33"/>
      <c r="Q62" s="49" t="e">
        <f t="shared" si="4"/>
        <v>#N/A</v>
      </c>
      <c r="R62" s="50" t="e">
        <f t="shared" si="1"/>
        <v>#NUM!</v>
      </c>
      <c r="T62" s="64"/>
      <c r="V62" s="11" t="e">
        <v>#N/A</v>
      </c>
      <c r="W62" s="12" t="e">
        <f>_xll.qlYieldTSDiscount(U$4,V62,,Triggers!RTDataTrigger)</f>
        <v>#NUM!</v>
      </c>
      <c r="X62" s="44"/>
      <c r="Y62" s="33"/>
      <c r="Z62" s="49" t="e">
        <f t="shared" si="5"/>
        <v>#N/A</v>
      </c>
      <c r="AA62" s="50" t="e">
        <f t="shared" si="2"/>
        <v>#NUM!</v>
      </c>
    </row>
    <row r="63" spans="2:27" x14ac:dyDescent="0.2">
      <c r="D63" s="11" t="e">
        <v>#N/A</v>
      </c>
      <c r="E63" s="12" t="e">
        <f>_xll.qlYieldTSDiscount(C$4,D63,,Triggers!RTDataTrigger)</f>
        <v>#NUM!</v>
      </c>
      <c r="F63" s="44"/>
      <c r="G63" s="33"/>
      <c r="H63" s="49" t="e">
        <f t="shared" si="3"/>
        <v>#N/A</v>
      </c>
      <c r="I63" s="50" t="e">
        <f t="shared" si="0"/>
        <v>#NUM!</v>
      </c>
      <c r="K63" s="64"/>
      <c r="M63" s="11" t="e">
        <v>#N/A</v>
      </c>
      <c r="N63" s="12" t="e">
        <f>_xll.qlYieldTSDiscount(L$4,M63,,Triggers!RTDataTrigger)</f>
        <v>#NUM!</v>
      </c>
      <c r="O63" s="44"/>
      <c r="P63" s="33"/>
      <c r="Q63" s="49" t="e">
        <f t="shared" si="4"/>
        <v>#N/A</v>
      </c>
      <c r="R63" s="50" t="e">
        <f t="shared" si="1"/>
        <v>#NUM!</v>
      </c>
      <c r="T63" s="64"/>
      <c r="V63" s="11" t="e">
        <v>#N/A</v>
      </c>
      <c r="W63" s="12" t="e">
        <f>_xll.qlYieldTSDiscount(U$4,V63,,Triggers!RTDataTrigger)</f>
        <v>#NUM!</v>
      </c>
      <c r="X63" s="44"/>
      <c r="Y63" s="33"/>
      <c r="Z63" s="49" t="e">
        <f t="shared" si="5"/>
        <v>#N/A</v>
      </c>
      <c r="AA63" s="50" t="e">
        <f t="shared" si="2"/>
        <v>#NUM!</v>
      </c>
    </row>
    <row r="64" spans="2:27" x14ac:dyDescent="0.2">
      <c r="D64" s="11" t="e">
        <v>#N/A</v>
      </c>
      <c r="E64" s="12" t="e">
        <f>_xll.qlYieldTSDiscount(C$4,D64,,Triggers!RTDataTrigger)</f>
        <v>#NUM!</v>
      </c>
      <c r="F64" s="44"/>
      <c r="G64" s="33"/>
      <c r="H64" s="49" t="e">
        <f t="shared" si="3"/>
        <v>#N/A</v>
      </c>
      <c r="I64" s="50" t="e">
        <f t="shared" si="0"/>
        <v>#NUM!</v>
      </c>
      <c r="K64" s="64"/>
      <c r="M64" s="11" t="e">
        <v>#N/A</v>
      </c>
      <c r="N64" s="12" t="e">
        <f>_xll.qlYieldTSDiscount(L$4,M64,,Triggers!RTDataTrigger)</f>
        <v>#NUM!</v>
      </c>
      <c r="O64" s="44"/>
      <c r="P64" s="33"/>
      <c r="Q64" s="49" t="e">
        <f t="shared" si="4"/>
        <v>#N/A</v>
      </c>
      <c r="R64" s="50" t="e">
        <f t="shared" si="1"/>
        <v>#NUM!</v>
      </c>
      <c r="T64" s="64"/>
      <c r="V64" s="11" t="e">
        <v>#N/A</v>
      </c>
      <c r="W64" s="12" t="e">
        <f>_xll.qlYieldTSDiscount(U$4,V64,,Triggers!RTDataTrigger)</f>
        <v>#NUM!</v>
      </c>
      <c r="X64" s="44"/>
      <c r="Y64" s="33"/>
      <c r="Z64" s="49" t="e">
        <f t="shared" si="5"/>
        <v>#N/A</v>
      </c>
      <c r="AA64" s="50" t="e">
        <f t="shared" si="2"/>
        <v>#NUM!</v>
      </c>
    </row>
    <row r="65" spans="4:27" x14ac:dyDescent="0.2">
      <c r="D65" s="11" t="e">
        <v>#N/A</v>
      </c>
      <c r="E65" s="12" t="e">
        <f>_xll.qlYieldTSDiscount(C$4,D65,,Triggers!RTDataTrigger)</f>
        <v>#NUM!</v>
      </c>
      <c r="F65" s="44"/>
      <c r="G65" s="33"/>
      <c r="H65" s="49" t="e">
        <f t="shared" si="3"/>
        <v>#N/A</v>
      </c>
      <c r="I65" s="50" t="e">
        <f t="shared" si="0"/>
        <v>#NUM!</v>
      </c>
      <c r="K65" s="64"/>
      <c r="M65" s="11" t="e">
        <v>#N/A</v>
      </c>
      <c r="N65" s="12" t="e">
        <f>_xll.qlYieldTSDiscount(L$4,M65,,Triggers!RTDataTrigger)</f>
        <v>#NUM!</v>
      </c>
      <c r="O65" s="44"/>
      <c r="P65" s="33"/>
      <c r="Q65" s="49" t="e">
        <f t="shared" si="4"/>
        <v>#N/A</v>
      </c>
      <c r="R65" s="50" t="e">
        <f t="shared" si="1"/>
        <v>#NUM!</v>
      </c>
      <c r="T65" s="64"/>
      <c r="V65" s="11" t="e">
        <v>#N/A</v>
      </c>
      <c r="W65" s="12" t="e">
        <f>_xll.qlYieldTSDiscount(U$4,V65,,Triggers!RTDataTrigger)</f>
        <v>#NUM!</v>
      </c>
      <c r="X65" s="44"/>
      <c r="Y65" s="33"/>
      <c r="Z65" s="49" t="e">
        <f t="shared" si="5"/>
        <v>#N/A</v>
      </c>
      <c r="AA65" s="50" t="e">
        <f t="shared" si="2"/>
        <v>#NUM!</v>
      </c>
    </row>
    <row r="66" spans="4:27" x14ac:dyDescent="0.2">
      <c r="D66" s="11" t="e">
        <v>#N/A</v>
      </c>
      <c r="E66" s="12" t="e">
        <f>_xll.qlYieldTSDiscount(C$4,D66,,Triggers!RTDataTrigger)</f>
        <v>#NUM!</v>
      </c>
      <c r="F66" s="44"/>
      <c r="G66" s="33"/>
      <c r="H66" s="49" t="e">
        <f t="shared" si="3"/>
        <v>#N/A</v>
      </c>
      <c r="I66" s="50" t="e">
        <f t="shared" si="0"/>
        <v>#NUM!</v>
      </c>
      <c r="K66" s="64"/>
      <c r="M66" s="11" t="e">
        <v>#N/A</v>
      </c>
      <c r="N66" s="12" t="e">
        <f>_xll.qlYieldTSDiscount(L$4,M66,,Triggers!RTDataTrigger)</f>
        <v>#NUM!</v>
      </c>
      <c r="O66" s="44"/>
      <c r="P66" s="33"/>
      <c r="Q66" s="49" t="e">
        <f t="shared" si="4"/>
        <v>#N/A</v>
      </c>
      <c r="R66" s="50" t="e">
        <f t="shared" si="1"/>
        <v>#NUM!</v>
      </c>
      <c r="T66" s="64"/>
      <c r="V66" s="11" t="e">
        <v>#N/A</v>
      </c>
      <c r="W66" s="12" t="e">
        <f>_xll.qlYieldTSDiscount(U$4,V66,,Triggers!RTDataTrigger)</f>
        <v>#NUM!</v>
      </c>
      <c r="X66" s="44"/>
      <c r="Y66" s="33"/>
      <c r="Z66" s="49" t="e">
        <f t="shared" si="5"/>
        <v>#N/A</v>
      </c>
      <c r="AA66" s="50" t="e">
        <f t="shared" si="2"/>
        <v>#NUM!</v>
      </c>
    </row>
    <row r="67" spans="4:27" x14ac:dyDescent="0.2">
      <c r="D67" s="11" t="e">
        <v>#N/A</v>
      </c>
      <c r="E67" s="12" t="e">
        <f>_xll.qlYieldTSDiscount(C$4,D67,,Triggers!RTDataTrigger)</f>
        <v>#NUM!</v>
      </c>
      <c r="F67" s="44"/>
      <c r="G67" s="33"/>
      <c r="H67" s="49" t="e">
        <f t="shared" si="3"/>
        <v>#N/A</v>
      </c>
      <c r="I67" s="50" t="e">
        <f t="shared" si="0"/>
        <v>#NUM!</v>
      </c>
      <c r="K67" s="64"/>
      <c r="M67" s="11" t="e">
        <v>#N/A</v>
      </c>
      <c r="N67" s="12" t="e">
        <f>_xll.qlYieldTSDiscount(L$4,M67,,Triggers!RTDataTrigger)</f>
        <v>#NUM!</v>
      </c>
      <c r="O67" s="44"/>
      <c r="P67" s="33"/>
      <c r="Q67" s="49" t="e">
        <f t="shared" si="4"/>
        <v>#N/A</v>
      </c>
      <c r="R67" s="50" t="e">
        <f t="shared" si="1"/>
        <v>#NUM!</v>
      </c>
      <c r="T67" s="64"/>
      <c r="V67" s="11" t="e">
        <v>#N/A</v>
      </c>
      <c r="W67" s="12" t="e">
        <f>_xll.qlYieldTSDiscount(U$4,V67,,Triggers!RTDataTrigger)</f>
        <v>#NUM!</v>
      </c>
      <c r="X67" s="44"/>
      <c r="Y67" s="33"/>
      <c r="Z67" s="49" t="e">
        <f t="shared" si="5"/>
        <v>#N/A</v>
      </c>
      <c r="AA67" s="50" t="e">
        <f t="shared" si="2"/>
        <v>#NUM!</v>
      </c>
    </row>
    <row r="68" spans="4:27" x14ac:dyDescent="0.2">
      <c r="D68" s="11" t="e">
        <v>#N/A</v>
      </c>
      <c r="E68" s="12" t="e">
        <f>_xll.qlYieldTSDiscount(C$4,D68,,Triggers!RTDataTrigger)</f>
        <v>#NUM!</v>
      </c>
      <c r="F68" s="44"/>
      <c r="G68" s="33"/>
      <c r="H68" s="49" t="e">
        <f t="shared" si="3"/>
        <v>#N/A</v>
      </c>
      <c r="I68" s="50" t="e">
        <f t="shared" si="3"/>
        <v>#NUM!</v>
      </c>
      <c r="K68" s="64"/>
      <c r="M68" s="11" t="e">
        <v>#N/A</v>
      </c>
      <c r="N68" s="12" t="e">
        <f>_xll.qlYieldTSDiscount(L$4,M68,,Triggers!RTDataTrigger)</f>
        <v>#NUM!</v>
      </c>
      <c r="O68" s="44"/>
      <c r="P68" s="33"/>
      <c r="Q68" s="49" t="e">
        <f t="shared" si="4"/>
        <v>#N/A</v>
      </c>
      <c r="R68" s="50" t="e">
        <f t="shared" si="4"/>
        <v>#NUM!</v>
      </c>
      <c r="T68" s="64"/>
      <c r="V68" s="11" t="e">
        <v>#N/A</v>
      </c>
      <c r="W68" s="12" t="e">
        <f>_xll.qlYieldTSDiscount(U$4,V68,,Triggers!RTDataTrigger)</f>
        <v>#NUM!</v>
      </c>
      <c r="X68" s="44"/>
      <c r="Y68" s="33"/>
      <c r="Z68" s="49" t="e">
        <f t="shared" si="5"/>
        <v>#N/A</v>
      </c>
      <c r="AA68" s="50" t="e">
        <f t="shared" si="5"/>
        <v>#NUM!</v>
      </c>
    </row>
    <row r="69" spans="4:27" x14ac:dyDescent="0.2">
      <c r="D69" s="11" t="e">
        <v>#N/A</v>
      </c>
      <c r="E69" s="12" t="e">
        <f>_xll.qlYieldTSDiscount(C$4,D69,,Triggers!RTDataTrigger)</f>
        <v>#NUM!</v>
      </c>
      <c r="F69" s="44"/>
      <c r="G69" s="33"/>
      <c r="H69" s="49" t="e">
        <f t="shared" ref="H69:I93" si="6">IF(ISBLANK(F69),D69,F69)</f>
        <v>#N/A</v>
      </c>
      <c r="I69" s="50" t="e">
        <f t="shared" si="6"/>
        <v>#NUM!</v>
      </c>
      <c r="K69" s="64"/>
      <c r="M69" s="11" t="e">
        <v>#N/A</v>
      </c>
      <c r="N69" s="12" t="e">
        <f>_xll.qlYieldTSDiscount(L$4,M69,,Triggers!RTDataTrigger)</f>
        <v>#NUM!</v>
      </c>
      <c r="O69" s="44"/>
      <c r="P69" s="33"/>
      <c r="Q69" s="49" t="e">
        <f t="shared" ref="Q69:R93" si="7">IF(ISBLANK(O69),M69,O69)</f>
        <v>#N/A</v>
      </c>
      <c r="R69" s="50" t="e">
        <f t="shared" si="7"/>
        <v>#NUM!</v>
      </c>
      <c r="T69" s="64"/>
      <c r="V69" s="11" t="e">
        <v>#N/A</v>
      </c>
      <c r="W69" s="12" t="e">
        <f>_xll.qlYieldTSDiscount(U$4,V69,,Triggers!RTDataTrigger)</f>
        <v>#NUM!</v>
      </c>
      <c r="X69" s="44"/>
      <c r="Y69" s="33"/>
      <c r="Z69" s="49" t="e">
        <f t="shared" ref="Z69:AA93" si="8">IF(ISBLANK(X69),V69,X69)</f>
        <v>#N/A</v>
      </c>
      <c r="AA69" s="50" t="e">
        <f t="shared" si="8"/>
        <v>#NUM!</v>
      </c>
    </row>
    <row r="70" spans="4:27" x14ac:dyDescent="0.2">
      <c r="D70" s="11" t="e">
        <v>#N/A</v>
      </c>
      <c r="E70" s="12" t="e">
        <f>_xll.qlYieldTSDiscount(C$4,D70,,Triggers!RTDataTrigger)</f>
        <v>#NUM!</v>
      </c>
      <c r="F70" s="44"/>
      <c r="G70" s="33"/>
      <c r="H70" s="49" t="e">
        <f t="shared" si="6"/>
        <v>#N/A</v>
      </c>
      <c r="I70" s="50" t="e">
        <f t="shared" si="6"/>
        <v>#NUM!</v>
      </c>
      <c r="M70" s="11" t="e">
        <v>#N/A</v>
      </c>
      <c r="N70" s="12" t="e">
        <f>_xll.qlYieldTSDiscount(L$4,M70,,Triggers!RTDataTrigger)</f>
        <v>#NUM!</v>
      </c>
      <c r="O70" s="44"/>
      <c r="P70" s="33"/>
      <c r="Q70" s="49" t="e">
        <f t="shared" si="7"/>
        <v>#N/A</v>
      </c>
      <c r="R70" s="50" t="e">
        <f t="shared" si="7"/>
        <v>#NUM!</v>
      </c>
      <c r="V70" s="11" t="e">
        <v>#N/A</v>
      </c>
      <c r="W70" s="12" t="e">
        <f>_xll.qlYieldTSDiscount(U$4,V70,,Triggers!RTDataTrigger)</f>
        <v>#NUM!</v>
      </c>
      <c r="X70" s="44"/>
      <c r="Y70" s="33"/>
      <c r="Z70" s="49" t="e">
        <f t="shared" si="8"/>
        <v>#N/A</v>
      </c>
      <c r="AA70" s="50" t="e">
        <f t="shared" si="8"/>
        <v>#NUM!</v>
      </c>
    </row>
    <row r="71" spans="4:27" x14ac:dyDescent="0.2">
      <c r="D71" s="11" t="e">
        <v>#N/A</v>
      </c>
      <c r="E71" s="12" t="e">
        <f>_xll.qlYieldTSDiscount(C$4,D71,,Triggers!RTDataTrigger)</f>
        <v>#NUM!</v>
      </c>
      <c r="F71" s="44"/>
      <c r="G71" s="33"/>
      <c r="H71" s="49" t="e">
        <f t="shared" si="6"/>
        <v>#N/A</v>
      </c>
      <c r="I71" s="50" t="e">
        <f t="shared" si="6"/>
        <v>#NUM!</v>
      </c>
      <c r="M71" s="11" t="e">
        <v>#N/A</v>
      </c>
      <c r="N71" s="12" t="e">
        <f>_xll.qlYieldTSDiscount(L$4,M71,,Triggers!RTDataTrigger)</f>
        <v>#NUM!</v>
      </c>
      <c r="O71" s="44"/>
      <c r="P71" s="33"/>
      <c r="Q71" s="49" t="e">
        <f t="shared" si="7"/>
        <v>#N/A</v>
      </c>
      <c r="R71" s="50" t="e">
        <f t="shared" si="7"/>
        <v>#NUM!</v>
      </c>
      <c r="V71" s="11" t="e">
        <v>#N/A</v>
      </c>
      <c r="W71" s="12" t="e">
        <f>_xll.qlYieldTSDiscount(U$4,V71,,Triggers!RTDataTrigger)</f>
        <v>#NUM!</v>
      </c>
      <c r="X71" s="44"/>
      <c r="Y71" s="33"/>
      <c r="Z71" s="49" t="e">
        <f t="shared" si="8"/>
        <v>#N/A</v>
      </c>
      <c r="AA71" s="50" t="e">
        <f t="shared" si="8"/>
        <v>#NUM!</v>
      </c>
    </row>
    <row r="72" spans="4:27" x14ac:dyDescent="0.2">
      <c r="D72" s="11" t="e">
        <v>#N/A</v>
      </c>
      <c r="E72" s="12" t="e">
        <f>_xll.qlYieldTSDiscount(C$4,D72,,Triggers!RTDataTrigger)</f>
        <v>#NUM!</v>
      </c>
      <c r="F72" s="44"/>
      <c r="G72" s="33"/>
      <c r="H72" s="49" t="e">
        <f t="shared" si="6"/>
        <v>#N/A</v>
      </c>
      <c r="I72" s="50" t="e">
        <f t="shared" si="6"/>
        <v>#NUM!</v>
      </c>
      <c r="M72" s="11" t="e">
        <v>#N/A</v>
      </c>
      <c r="N72" s="12" t="e">
        <f>_xll.qlYieldTSDiscount(L$4,M72,,Triggers!RTDataTrigger)</f>
        <v>#NUM!</v>
      </c>
      <c r="O72" s="44"/>
      <c r="P72" s="33"/>
      <c r="Q72" s="49" t="e">
        <f t="shared" si="7"/>
        <v>#N/A</v>
      </c>
      <c r="R72" s="50" t="e">
        <f t="shared" si="7"/>
        <v>#NUM!</v>
      </c>
      <c r="V72" s="11" t="e">
        <v>#N/A</v>
      </c>
      <c r="W72" s="12" t="e">
        <f>_xll.qlYieldTSDiscount(U$4,V72,,Triggers!RTDataTrigger)</f>
        <v>#NUM!</v>
      </c>
      <c r="X72" s="44"/>
      <c r="Y72" s="33"/>
      <c r="Z72" s="49" t="e">
        <f t="shared" si="8"/>
        <v>#N/A</v>
      </c>
      <c r="AA72" s="50" t="e">
        <f t="shared" si="8"/>
        <v>#NUM!</v>
      </c>
    </row>
    <row r="73" spans="4:27" x14ac:dyDescent="0.2">
      <c r="D73" s="11" t="e">
        <v>#N/A</v>
      </c>
      <c r="E73" s="12" t="e">
        <f>_xll.qlYieldTSDiscount(C$4,D73,,Triggers!RTDataTrigger)</f>
        <v>#NUM!</v>
      </c>
      <c r="F73" s="44"/>
      <c r="G73" s="33"/>
      <c r="H73" s="49" t="e">
        <f t="shared" si="6"/>
        <v>#N/A</v>
      </c>
      <c r="I73" s="50" t="e">
        <f t="shared" si="6"/>
        <v>#NUM!</v>
      </c>
      <c r="M73" s="11" t="e">
        <v>#N/A</v>
      </c>
      <c r="N73" s="12" t="e">
        <f>_xll.qlYieldTSDiscount(L$4,M73,,Triggers!RTDataTrigger)</f>
        <v>#NUM!</v>
      </c>
      <c r="O73" s="44"/>
      <c r="P73" s="33"/>
      <c r="Q73" s="49" t="e">
        <f t="shared" si="7"/>
        <v>#N/A</v>
      </c>
      <c r="R73" s="50" t="e">
        <f t="shared" si="7"/>
        <v>#NUM!</v>
      </c>
      <c r="V73" s="11" t="e">
        <v>#N/A</v>
      </c>
      <c r="W73" s="12" t="e">
        <f>_xll.qlYieldTSDiscount(U$4,V73,,Triggers!RTDataTrigger)</f>
        <v>#NUM!</v>
      </c>
      <c r="X73" s="44"/>
      <c r="Y73" s="33"/>
      <c r="Z73" s="49" t="e">
        <f t="shared" si="8"/>
        <v>#N/A</v>
      </c>
      <c r="AA73" s="50" t="e">
        <f t="shared" si="8"/>
        <v>#NUM!</v>
      </c>
    </row>
    <row r="74" spans="4:27" x14ac:dyDescent="0.2">
      <c r="D74" s="11" t="e">
        <v>#N/A</v>
      </c>
      <c r="E74" s="12" t="e">
        <f>_xll.qlYieldTSDiscount(C$4,D74,,Triggers!RTDataTrigger)</f>
        <v>#NUM!</v>
      </c>
      <c r="F74" s="44"/>
      <c r="G74" s="33"/>
      <c r="H74" s="49" t="e">
        <f t="shared" si="6"/>
        <v>#N/A</v>
      </c>
      <c r="I74" s="50" t="e">
        <f t="shared" si="6"/>
        <v>#NUM!</v>
      </c>
      <c r="M74" s="11" t="e">
        <v>#N/A</v>
      </c>
      <c r="N74" s="12" t="e">
        <f>_xll.qlYieldTSDiscount(L$4,M74,,Triggers!RTDataTrigger)</f>
        <v>#NUM!</v>
      </c>
      <c r="O74" s="44"/>
      <c r="P74" s="33"/>
      <c r="Q74" s="49" t="e">
        <f t="shared" si="7"/>
        <v>#N/A</v>
      </c>
      <c r="R74" s="50" t="e">
        <f t="shared" si="7"/>
        <v>#NUM!</v>
      </c>
      <c r="V74" s="11" t="e">
        <v>#N/A</v>
      </c>
      <c r="W74" s="12" t="e">
        <f>_xll.qlYieldTSDiscount(U$4,V74,,Triggers!RTDataTrigger)</f>
        <v>#NUM!</v>
      </c>
      <c r="X74" s="44"/>
      <c r="Y74" s="33"/>
      <c r="Z74" s="49" t="e">
        <f t="shared" si="8"/>
        <v>#N/A</v>
      </c>
      <c r="AA74" s="50" t="e">
        <f t="shared" si="8"/>
        <v>#NUM!</v>
      </c>
    </row>
    <row r="75" spans="4:27" x14ac:dyDescent="0.2">
      <c r="D75" s="11" t="e">
        <v>#N/A</v>
      </c>
      <c r="E75" s="12" t="e">
        <f>_xll.qlYieldTSDiscount(C$4,D75,,Triggers!RTDataTrigger)</f>
        <v>#NUM!</v>
      </c>
      <c r="F75" s="44"/>
      <c r="G75" s="33"/>
      <c r="H75" s="49" t="e">
        <f t="shared" si="6"/>
        <v>#N/A</v>
      </c>
      <c r="I75" s="50" t="e">
        <f t="shared" si="6"/>
        <v>#NUM!</v>
      </c>
      <c r="M75" s="11" t="e">
        <v>#N/A</v>
      </c>
      <c r="N75" s="12" t="e">
        <f>_xll.qlYieldTSDiscount(L$4,M75,,Triggers!RTDataTrigger)</f>
        <v>#NUM!</v>
      </c>
      <c r="O75" s="44"/>
      <c r="P75" s="33"/>
      <c r="Q75" s="49" t="e">
        <f t="shared" si="7"/>
        <v>#N/A</v>
      </c>
      <c r="R75" s="50" t="e">
        <f t="shared" si="7"/>
        <v>#NUM!</v>
      </c>
      <c r="V75" s="11" t="e">
        <v>#N/A</v>
      </c>
      <c r="W75" s="12" t="e">
        <f>_xll.qlYieldTSDiscount(U$4,V75,,Triggers!RTDataTrigger)</f>
        <v>#NUM!</v>
      </c>
      <c r="X75" s="44"/>
      <c r="Y75" s="33"/>
      <c r="Z75" s="49" t="e">
        <f t="shared" si="8"/>
        <v>#N/A</v>
      </c>
      <c r="AA75" s="50" t="e">
        <f t="shared" si="8"/>
        <v>#NUM!</v>
      </c>
    </row>
    <row r="76" spans="4:27" x14ac:dyDescent="0.2">
      <c r="D76" s="11" t="e">
        <v>#N/A</v>
      </c>
      <c r="E76" s="12" t="e">
        <f>_xll.qlYieldTSDiscount(C$4,D76,,Triggers!RTDataTrigger)</f>
        <v>#NUM!</v>
      </c>
      <c r="F76" s="44"/>
      <c r="G76" s="33"/>
      <c r="H76" s="49" t="e">
        <f t="shared" si="6"/>
        <v>#N/A</v>
      </c>
      <c r="I76" s="50" t="e">
        <f t="shared" si="6"/>
        <v>#NUM!</v>
      </c>
      <c r="M76" s="11" t="e">
        <v>#N/A</v>
      </c>
      <c r="N76" s="12" t="e">
        <f>_xll.qlYieldTSDiscount(L$4,M76,,Triggers!RTDataTrigger)</f>
        <v>#NUM!</v>
      </c>
      <c r="O76" s="44"/>
      <c r="P76" s="33"/>
      <c r="Q76" s="49" t="e">
        <f t="shared" si="7"/>
        <v>#N/A</v>
      </c>
      <c r="R76" s="50" t="e">
        <f t="shared" si="7"/>
        <v>#NUM!</v>
      </c>
      <c r="V76" s="11" t="e">
        <v>#N/A</v>
      </c>
      <c r="W76" s="12" t="e">
        <f>_xll.qlYieldTSDiscount(U$4,V76,,Triggers!RTDataTrigger)</f>
        <v>#NUM!</v>
      </c>
      <c r="X76" s="44"/>
      <c r="Y76" s="33"/>
      <c r="Z76" s="49" t="e">
        <f t="shared" si="8"/>
        <v>#N/A</v>
      </c>
      <c r="AA76" s="50" t="e">
        <f t="shared" si="8"/>
        <v>#NUM!</v>
      </c>
    </row>
    <row r="77" spans="4:27" x14ac:dyDescent="0.2">
      <c r="D77" s="11" t="e">
        <v>#N/A</v>
      </c>
      <c r="E77" s="12" t="e">
        <f>_xll.qlYieldTSDiscount(C$4,D77,,Triggers!RTDataTrigger)</f>
        <v>#NUM!</v>
      </c>
      <c r="F77" s="44"/>
      <c r="G77" s="33"/>
      <c r="H77" s="49" t="e">
        <f t="shared" si="6"/>
        <v>#N/A</v>
      </c>
      <c r="I77" s="50" t="e">
        <f t="shared" si="6"/>
        <v>#NUM!</v>
      </c>
      <c r="M77" s="11" t="e">
        <v>#N/A</v>
      </c>
      <c r="N77" s="12" t="e">
        <f>_xll.qlYieldTSDiscount(L$4,M77,,Triggers!RTDataTrigger)</f>
        <v>#NUM!</v>
      </c>
      <c r="O77" s="44"/>
      <c r="P77" s="33"/>
      <c r="Q77" s="49" t="e">
        <f t="shared" si="7"/>
        <v>#N/A</v>
      </c>
      <c r="R77" s="50" t="e">
        <f t="shared" si="7"/>
        <v>#NUM!</v>
      </c>
      <c r="V77" s="11" t="e">
        <v>#N/A</v>
      </c>
      <c r="W77" s="12" t="e">
        <f>_xll.qlYieldTSDiscount(U$4,V77,,Triggers!RTDataTrigger)</f>
        <v>#NUM!</v>
      </c>
      <c r="X77" s="44"/>
      <c r="Y77" s="33"/>
      <c r="Z77" s="49" t="e">
        <f t="shared" si="8"/>
        <v>#N/A</v>
      </c>
      <c r="AA77" s="50" t="e">
        <f t="shared" si="8"/>
        <v>#NUM!</v>
      </c>
    </row>
    <row r="78" spans="4:27" x14ac:dyDescent="0.2">
      <c r="D78" s="11" t="e">
        <v>#N/A</v>
      </c>
      <c r="E78" s="12" t="e">
        <f>_xll.qlYieldTSDiscount(C$4,D78,,Triggers!RTDataTrigger)</f>
        <v>#NUM!</v>
      </c>
      <c r="F78" s="44"/>
      <c r="G78" s="33"/>
      <c r="H78" s="49" t="e">
        <f t="shared" si="6"/>
        <v>#N/A</v>
      </c>
      <c r="I78" s="50" t="e">
        <f t="shared" si="6"/>
        <v>#NUM!</v>
      </c>
      <c r="M78" s="11" t="e">
        <v>#N/A</v>
      </c>
      <c r="N78" s="12" t="e">
        <f>_xll.qlYieldTSDiscount(L$4,M78,,Triggers!RTDataTrigger)</f>
        <v>#NUM!</v>
      </c>
      <c r="O78" s="44"/>
      <c r="P78" s="33"/>
      <c r="Q78" s="49" t="e">
        <f t="shared" si="7"/>
        <v>#N/A</v>
      </c>
      <c r="R78" s="50" t="e">
        <f t="shared" si="7"/>
        <v>#NUM!</v>
      </c>
      <c r="V78" s="11" t="e">
        <v>#N/A</v>
      </c>
      <c r="W78" s="12" t="e">
        <f>_xll.qlYieldTSDiscount(U$4,V78,,Triggers!RTDataTrigger)</f>
        <v>#NUM!</v>
      </c>
      <c r="X78" s="44"/>
      <c r="Y78" s="33"/>
      <c r="Z78" s="49" t="e">
        <f t="shared" si="8"/>
        <v>#N/A</v>
      </c>
      <c r="AA78" s="50" t="e">
        <f t="shared" si="8"/>
        <v>#NUM!</v>
      </c>
    </row>
    <row r="79" spans="4:27" x14ac:dyDescent="0.2">
      <c r="D79" s="11" t="e">
        <v>#N/A</v>
      </c>
      <c r="E79" s="12" t="e">
        <f>_xll.qlYieldTSDiscount(C$4,D79,,Triggers!RTDataTrigger)</f>
        <v>#NUM!</v>
      </c>
      <c r="F79" s="44"/>
      <c r="G79" s="33"/>
      <c r="H79" s="49" t="e">
        <f t="shared" si="6"/>
        <v>#N/A</v>
      </c>
      <c r="I79" s="50" t="e">
        <f t="shared" si="6"/>
        <v>#NUM!</v>
      </c>
      <c r="M79" s="11" t="e">
        <v>#N/A</v>
      </c>
      <c r="N79" s="12" t="e">
        <f>_xll.qlYieldTSDiscount(L$4,M79,,Triggers!RTDataTrigger)</f>
        <v>#NUM!</v>
      </c>
      <c r="O79" s="44"/>
      <c r="P79" s="33"/>
      <c r="Q79" s="49" t="e">
        <f t="shared" si="7"/>
        <v>#N/A</v>
      </c>
      <c r="R79" s="50" t="e">
        <f t="shared" si="7"/>
        <v>#NUM!</v>
      </c>
      <c r="V79" s="11" t="e">
        <v>#N/A</v>
      </c>
      <c r="W79" s="12" t="e">
        <f>_xll.qlYieldTSDiscount(U$4,V79,,Triggers!RTDataTrigger)</f>
        <v>#NUM!</v>
      </c>
      <c r="X79" s="44"/>
      <c r="Y79" s="33"/>
      <c r="Z79" s="49" t="e">
        <f t="shared" si="8"/>
        <v>#N/A</v>
      </c>
      <c r="AA79" s="50" t="e">
        <f t="shared" si="8"/>
        <v>#NUM!</v>
      </c>
    </row>
    <row r="80" spans="4:27" x14ac:dyDescent="0.2">
      <c r="D80" s="11" t="e">
        <v>#N/A</v>
      </c>
      <c r="E80" s="12" t="e">
        <f>_xll.qlYieldTSDiscount(C$4,D80,,Triggers!RTDataTrigger)</f>
        <v>#NUM!</v>
      </c>
      <c r="F80" s="44"/>
      <c r="G80" s="33"/>
      <c r="H80" s="49" t="e">
        <f t="shared" si="6"/>
        <v>#N/A</v>
      </c>
      <c r="I80" s="50" t="e">
        <f t="shared" si="6"/>
        <v>#NUM!</v>
      </c>
      <c r="M80" s="11" t="e">
        <v>#N/A</v>
      </c>
      <c r="N80" s="12" t="e">
        <f>_xll.qlYieldTSDiscount(L$4,M80,,Triggers!RTDataTrigger)</f>
        <v>#NUM!</v>
      </c>
      <c r="O80" s="44"/>
      <c r="P80" s="33"/>
      <c r="Q80" s="49" t="e">
        <f t="shared" si="7"/>
        <v>#N/A</v>
      </c>
      <c r="R80" s="50" t="e">
        <f t="shared" si="7"/>
        <v>#NUM!</v>
      </c>
      <c r="V80" s="11" t="e">
        <v>#N/A</v>
      </c>
      <c r="W80" s="12" t="e">
        <f>_xll.qlYieldTSDiscount(U$4,V80,,Triggers!RTDataTrigger)</f>
        <v>#NUM!</v>
      </c>
      <c r="X80" s="44"/>
      <c r="Y80" s="33"/>
      <c r="Z80" s="49" t="e">
        <f t="shared" si="8"/>
        <v>#N/A</v>
      </c>
      <c r="AA80" s="50" t="e">
        <f t="shared" si="8"/>
        <v>#NUM!</v>
      </c>
    </row>
    <row r="81" spans="4:27" x14ac:dyDescent="0.2">
      <c r="D81" s="11" t="e">
        <v>#N/A</v>
      </c>
      <c r="E81" s="12" t="e">
        <f>_xll.qlYieldTSDiscount(C$4,D81,,Triggers!RTDataTrigger)</f>
        <v>#NUM!</v>
      </c>
      <c r="F81" s="44"/>
      <c r="G81" s="33"/>
      <c r="H81" s="49" t="e">
        <f t="shared" si="6"/>
        <v>#N/A</v>
      </c>
      <c r="I81" s="50" t="e">
        <f t="shared" si="6"/>
        <v>#NUM!</v>
      </c>
      <c r="M81" s="11" t="e">
        <v>#N/A</v>
      </c>
      <c r="N81" s="12" t="e">
        <f>_xll.qlYieldTSDiscount(L$4,M81,,Triggers!RTDataTrigger)</f>
        <v>#NUM!</v>
      </c>
      <c r="O81" s="44"/>
      <c r="P81" s="33"/>
      <c r="Q81" s="49" t="e">
        <f t="shared" si="7"/>
        <v>#N/A</v>
      </c>
      <c r="R81" s="50" t="e">
        <f t="shared" si="7"/>
        <v>#NUM!</v>
      </c>
      <c r="V81" s="11" t="e">
        <v>#N/A</v>
      </c>
      <c r="W81" s="12" t="e">
        <f>_xll.qlYieldTSDiscount(U$4,V81,,Triggers!RTDataTrigger)</f>
        <v>#NUM!</v>
      </c>
      <c r="X81" s="44"/>
      <c r="Y81" s="33"/>
      <c r="Z81" s="49" t="e">
        <f t="shared" si="8"/>
        <v>#N/A</v>
      </c>
      <c r="AA81" s="50" t="e">
        <f t="shared" si="8"/>
        <v>#NUM!</v>
      </c>
    </row>
    <row r="82" spans="4:27" x14ac:dyDescent="0.2">
      <c r="D82" s="11" t="e">
        <v>#N/A</v>
      </c>
      <c r="E82" s="12" t="e">
        <f>_xll.qlYieldTSDiscount(C$4,D82,,Triggers!RTDataTrigger)</f>
        <v>#NUM!</v>
      </c>
      <c r="F82" s="44"/>
      <c r="G82" s="33"/>
      <c r="H82" s="49" t="e">
        <f t="shared" si="6"/>
        <v>#N/A</v>
      </c>
      <c r="I82" s="50" t="e">
        <f t="shared" si="6"/>
        <v>#NUM!</v>
      </c>
      <c r="M82" s="11" t="e">
        <v>#N/A</v>
      </c>
      <c r="N82" s="12" t="e">
        <f>_xll.qlYieldTSDiscount(L$4,M82,,Triggers!RTDataTrigger)</f>
        <v>#NUM!</v>
      </c>
      <c r="O82" s="44"/>
      <c r="P82" s="33"/>
      <c r="Q82" s="49" t="e">
        <f t="shared" si="7"/>
        <v>#N/A</v>
      </c>
      <c r="R82" s="50" t="e">
        <f t="shared" si="7"/>
        <v>#NUM!</v>
      </c>
      <c r="V82" s="11" t="e">
        <v>#N/A</v>
      </c>
      <c r="W82" s="12" t="e">
        <f>_xll.qlYieldTSDiscount(U$4,V82,,Triggers!RTDataTrigger)</f>
        <v>#NUM!</v>
      </c>
      <c r="X82" s="44"/>
      <c r="Y82" s="33"/>
      <c r="Z82" s="49" t="e">
        <f t="shared" si="8"/>
        <v>#N/A</v>
      </c>
      <c r="AA82" s="50" t="e">
        <f t="shared" si="8"/>
        <v>#NUM!</v>
      </c>
    </row>
    <row r="83" spans="4:27" x14ac:dyDescent="0.2">
      <c r="D83" s="11" t="e">
        <v>#N/A</v>
      </c>
      <c r="E83" s="12" t="e">
        <f>_xll.qlYieldTSDiscount(C$4,D83,,Triggers!RTDataTrigger)</f>
        <v>#NUM!</v>
      </c>
      <c r="F83" s="44"/>
      <c r="G83" s="33"/>
      <c r="H83" s="49" t="e">
        <f t="shared" si="6"/>
        <v>#N/A</v>
      </c>
      <c r="I83" s="50" t="e">
        <f t="shared" si="6"/>
        <v>#NUM!</v>
      </c>
      <c r="M83" s="11" t="e">
        <v>#N/A</v>
      </c>
      <c r="N83" s="12" t="e">
        <f>_xll.qlYieldTSDiscount(L$4,M83,,Triggers!RTDataTrigger)</f>
        <v>#NUM!</v>
      </c>
      <c r="O83" s="44"/>
      <c r="P83" s="33"/>
      <c r="Q83" s="49" t="e">
        <f t="shared" si="7"/>
        <v>#N/A</v>
      </c>
      <c r="R83" s="50" t="e">
        <f t="shared" si="7"/>
        <v>#NUM!</v>
      </c>
      <c r="V83" s="11" t="e">
        <v>#N/A</v>
      </c>
      <c r="W83" s="12" t="e">
        <f>_xll.qlYieldTSDiscount(U$4,V83,,Triggers!RTDataTrigger)</f>
        <v>#NUM!</v>
      </c>
      <c r="X83" s="44"/>
      <c r="Y83" s="33"/>
      <c r="Z83" s="49" t="e">
        <f t="shared" si="8"/>
        <v>#N/A</v>
      </c>
      <c r="AA83" s="50" t="e">
        <f t="shared" si="8"/>
        <v>#NUM!</v>
      </c>
    </row>
    <row r="84" spans="4:27" x14ac:dyDescent="0.2">
      <c r="D84" s="11" t="e">
        <v>#N/A</v>
      </c>
      <c r="E84" s="12" t="e">
        <f>_xll.qlYieldTSDiscount(C$4,D84,,Triggers!RTDataTrigger)</f>
        <v>#NUM!</v>
      </c>
      <c r="F84" s="44"/>
      <c r="G84" s="33"/>
      <c r="H84" s="49" t="e">
        <f t="shared" si="6"/>
        <v>#N/A</v>
      </c>
      <c r="I84" s="50" t="e">
        <f t="shared" si="6"/>
        <v>#NUM!</v>
      </c>
      <c r="M84" s="11" t="e">
        <v>#N/A</v>
      </c>
      <c r="N84" s="12" t="e">
        <f>_xll.qlYieldTSDiscount(L$4,M84,,Triggers!RTDataTrigger)</f>
        <v>#NUM!</v>
      </c>
      <c r="O84" s="44"/>
      <c r="P84" s="33"/>
      <c r="Q84" s="49" t="e">
        <f t="shared" si="7"/>
        <v>#N/A</v>
      </c>
      <c r="R84" s="50" t="e">
        <f t="shared" si="7"/>
        <v>#NUM!</v>
      </c>
      <c r="V84" s="11" t="e">
        <v>#N/A</v>
      </c>
      <c r="W84" s="12" t="e">
        <f>_xll.qlYieldTSDiscount(U$4,V84,,Triggers!RTDataTrigger)</f>
        <v>#NUM!</v>
      </c>
      <c r="X84" s="44"/>
      <c r="Y84" s="33"/>
      <c r="Z84" s="49" t="e">
        <f t="shared" si="8"/>
        <v>#N/A</v>
      </c>
      <c r="AA84" s="50" t="e">
        <f t="shared" si="8"/>
        <v>#NUM!</v>
      </c>
    </row>
    <row r="85" spans="4:27" x14ac:dyDescent="0.2">
      <c r="D85" s="11" t="e">
        <v>#N/A</v>
      </c>
      <c r="E85" s="12" t="e">
        <f>_xll.qlYieldTSDiscount(C$4,D85,,Triggers!RTDataTrigger)</f>
        <v>#NUM!</v>
      </c>
      <c r="F85" s="44"/>
      <c r="G85" s="33"/>
      <c r="H85" s="49" t="e">
        <f t="shared" si="6"/>
        <v>#N/A</v>
      </c>
      <c r="I85" s="50" t="e">
        <f t="shared" si="6"/>
        <v>#NUM!</v>
      </c>
      <c r="M85" s="11" t="e">
        <v>#N/A</v>
      </c>
      <c r="N85" s="12" t="e">
        <f>_xll.qlYieldTSDiscount(L$4,M85,,Triggers!RTDataTrigger)</f>
        <v>#NUM!</v>
      </c>
      <c r="O85" s="44"/>
      <c r="P85" s="33"/>
      <c r="Q85" s="49" t="e">
        <f t="shared" si="7"/>
        <v>#N/A</v>
      </c>
      <c r="R85" s="50" t="e">
        <f t="shared" si="7"/>
        <v>#NUM!</v>
      </c>
      <c r="V85" s="11" t="e">
        <v>#N/A</v>
      </c>
      <c r="W85" s="12" t="e">
        <f>_xll.qlYieldTSDiscount(U$4,V85,,Triggers!RTDataTrigger)</f>
        <v>#NUM!</v>
      </c>
      <c r="X85" s="44"/>
      <c r="Y85" s="33"/>
      <c r="Z85" s="49" t="e">
        <f t="shared" si="8"/>
        <v>#N/A</v>
      </c>
      <c r="AA85" s="50" t="e">
        <f t="shared" si="8"/>
        <v>#NUM!</v>
      </c>
    </row>
    <row r="86" spans="4:27" x14ac:dyDescent="0.2">
      <c r="D86" s="11" t="e">
        <v>#N/A</v>
      </c>
      <c r="E86" s="12" t="e">
        <f>_xll.qlYieldTSDiscount(C$4,D86,,Triggers!RTDataTrigger)</f>
        <v>#NUM!</v>
      </c>
      <c r="F86" s="44"/>
      <c r="G86" s="33"/>
      <c r="H86" s="49" t="e">
        <f t="shared" si="6"/>
        <v>#N/A</v>
      </c>
      <c r="I86" s="50" t="e">
        <f t="shared" si="6"/>
        <v>#NUM!</v>
      </c>
      <c r="M86" s="11" t="e">
        <v>#N/A</v>
      </c>
      <c r="N86" s="12" t="e">
        <f>_xll.qlYieldTSDiscount(L$4,M86,,Triggers!RTDataTrigger)</f>
        <v>#NUM!</v>
      </c>
      <c r="O86" s="44"/>
      <c r="P86" s="33"/>
      <c r="Q86" s="49" t="e">
        <f t="shared" si="7"/>
        <v>#N/A</v>
      </c>
      <c r="R86" s="50" t="e">
        <f t="shared" si="7"/>
        <v>#NUM!</v>
      </c>
      <c r="V86" s="11" t="e">
        <v>#N/A</v>
      </c>
      <c r="W86" s="12" t="e">
        <f>_xll.qlYieldTSDiscount(U$4,V86,,Triggers!RTDataTrigger)</f>
        <v>#NUM!</v>
      </c>
      <c r="X86" s="44"/>
      <c r="Y86" s="33"/>
      <c r="Z86" s="49" t="e">
        <f t="shared" si="8"/>
        <v>#N/A</v>
      </c>
      <c r="AA86" s="50" t="e">
        <f t="shared" si="8"/>
        <v>#NUM!</v>
      </c>
    </row>
    <row r="87" spans="4:27" x14ac:dyDescent="0.2">
      <c r="D87" s="11" t="e">
        <v>#N/A</v>
      </c>
      <c r="E87" s="12" t="e">
        <f>_xll.qlYieldTSDiscount(C$4,D87,,Triggers!RTDataTrigger)</f>
        <v>#NUM!</v>
      </c>
      <c r="F87" s="44"/>
      <c r="G87" s="33"/>
      <c r="H87" s="49" t="e">
        <f t="shared" si="6"/>
        <v>#N/A</v>
      </c>
      <c r="I87" s="50" t="e">
        <f t="shared" si="6"/>
        <v>#NUM!</v>
      </c>
      <c r="M87" s="11" t="e">
        <v>#N/A</v>
      </c>
      <c r="N87" s="12" t="e">
        <f>_xll.qlYieldTSDiscount(L$4,M87,,Triggers!RTDataTrigger)</f>
        <v>#NUM!</v>
      </c>
      <c r="O87" s="44"/>
      <c r="P87" s="33"/>
      <c r="Q87" s="49" t="e">
        <f t="shared" si="7"/>
        <v>#N/A</v>
      </c>
      <c r="R87" s="50" t="e">
        <f t="shared" si="7"/>
        <v>#NUM!</v>
      </c>
      <c r="V87" s="11" t="e">
        <v>#N/A</v>
      </c>
      <c r="W87" s="12" t="e">
        <f>_xll.qlYieldTSDiscount(U$4,V87,,Triggers!RTDataTrigger)</f>
        <v>#NUM!</v>
      </c>
      <c r="X87" s="44"/>
      <c r="Y87" s="33"/>
      <c r="Z87" s="49" t="e">
        <f t="shared" si="8"/>
        <v>#N/A</v>
      </c>
      <c r="AA87" s="50" t="e">
        <f t="shared" si="8"/>
        <v>#NUM!</v>
      </c>
    </row>
    <row r="88" spans="4:27" x14ac:dyDescent="0.2">
      <c r="D88" s="11" t="e">
        <v>#N/A</v>
      </c>
      <c r="E88" s="12" t="e">
        <f>_xll.qlYieldTSDiscount(C$4,D88,,Triggers!RTDataTrigger)</f>
        <v>#NUM!</v>
      </c>
      <c r="F88" s="44"/>
      <c r="G88" s="33"/>
      <c r="H88" s="49" t="e">
        <f t="shared" si="6"/>
        <v>#N/A</v>
      </c>
      <c r="I88" s="50" t="e">
        <f t="shared" si="6"/>
        <v>#NUM!</v>
      </c>
      <c r="M88" s="11" t="e">
        <v>#N/A</v>
      </c>
      <c r="N88" s="12" t="e">
        <f>_xll.qlYieldTSDiscount(L$4,M88,,Triggers!RTDataTrigger)</f>
        <v>#NUM!</v>
      </c>
      <c r="O88" s="44"/>
      <c r="P88" s="33"/>
      <c r="Q88" s="49" t="e">
        <f t="shared" si="7"/>
        <v>#N/A</v>
      </c>
      <c r="R88" s="50" t="e">
        <f t="shared" si="7"/>
        <v>#NUM!</v>
      </c>
      <c r="V88" s="11" t="e">
        <v>#N/A</v>
      </c>
      <c r="W88" s="12" t="e">
        <f>_xll.qlYieldTSDiscount(U$4,V88,,Triggers!RTDataTrigger)</f>
        <v>#NUM!</v>
      </c>
      <c r="X88" s="44"/>
      <c r="Y88" s="33"/>
      <c r="Z88" s="49" t="e">
        <f t="shared" si="8"/>
        <v>#N/A</v>
      </c>
      <c r="AA88" s="50" t="e">
        <f t="shared" si="8"/>
        <v>#NUM!</v>
      </c>
    </row>
    <row r="89" spans="4:27" x14ac:dyDescent="0.2">
      <c r="D89" s="11" t="e">
        <v>#N/A</v>
      </c>
      <c r="E89" s="12" t="e">
        <f>_xll.qlYieldTSDiscount(C$4,D89,,Triggers!RTDataTrigger)</f>
        <v>#NUM!</v>
      </c>
      <c r="F89" s="44"/>
      <c r="G89" s="33"/>
      <c r="H89" s="49" t="e">
        <f t="shared" si="6"/>
        <v>#N/A</v>
      </c>
      <c r="I89" s="50" t="e">
        <f t="shared" si="6"/>
        <v>#NUM!</v>
      </c>
      <c r="M89" s="11" t="e">
        <v>#N/A</v>
      </c>
      <c r="N89" s="12" t="e">
        <f>_xll.qlYieldTSDiscount(L$4,M89,,Triggers!RTDataTrigger)</f>
        <v>#NUM!</v>
      </c>
      <c r="O89" s="44"/>
      <c r="P89" s="33"/>
      <c r="Q89" s="49" t="e">
        <f t="shared" si="7"/>
        <v>#N/A</v>
      </c>
      <c r="R89" s="50" t="e">
        <f t="shared" si="7"/>
        <v>#NUM!</v>
      </c>
      <c r="V89" s="11" t="e">
        <v>#N/A</v>
      </c>
      <c r="W89" s="12" t="e">
        <f>_xll.qlYieldTSDiscount(U$4,V89,,Triggers!RTDataTrigger)</f>
        <v>#NUM!</v>
      </c>
      <c r="X89" s="44"/>
      <c r="Y89" s="33"/>
      <c r="Z89" s="49" t="e">
        <f t="shared" si="8"/>
        <v>#N/A</v>
      </c>
      <c r="AA89" s="50" t="e">
        <f t="shared" si="8"/>
        <v>#NUM!</v>
      </c>
    </row>
    <row r="90" spans="4:27" x14ac:dyDescent="0.2">
      <c r="D90" s="11" t="e">
        <v>#N/A</v>
      </c>
      <c r="E90" s="12" t="e">
        <f>_xll.qlYieldTSDiscount(C$4,D90,,Triggers!RTDataTrigger)</f>
        <v>#NUM!</v>
      </c>
      <c r="F90" s="44"/>
      <c r="G90" s="33"/>
      <c r="H90" s="49" t="e">
        <f t="shared" si="6"/>
        <v>#N/A</v>
      </c>
      <c r="I90" s="50" t="e">
        <f t="shared" si="6"/>
        <v>#NUM!</v>
      </c>
      <c r="M90" s="11" t="e">
        <v>#N/A</v>
      </c>
      <c r="N90" s="12" t="e">
        <f>_xll.qlYieldTSDiscount(L$4,M90,,Triggers!RTDataTrigger)</f>
        <v>#NUM!</v>
      </c>
      <c r="O90" s="44"/>
      <c r="P90" s="33"/>
      <c r="Q90" s="49" t="e">
        <f t="shared" si="7"/>
        <v>#N/A</v>
      </c>
      <c r="R90" s="50" t="e">
        <f t="shared" si="7"/>
        <v>#NUM!</v>
      </c>
      <c r="V90" s="11" t="e">
        <v>#N/A</v>
      </c>
      <c r="W90" s="12" t="e">
        <f>_xll.qlYieldTSDiscount(U$4,V90,,Triggers!RTDataTrigger)</f>
        <v>#NUM!</v>
      </c>
      <c r="X90" s="44"/>
      <c r="Y90" s="33"/>
      <c r="Z90" s="49" t="e">
        <f t="shared" si="8"/>
        <v>#N/A</v>
      </c>
      <c r="AA90" s="50" t="e">
        <f t="shared" si="8"/>
        <v>#NUM!</v>
      </c>
    </row>
    <row r="91" spans="4:27" x14ac:dyDescent="0.2">
      <c r="D91" s="11" t="e">
        <v>#N/A</v>
      </c>
      <c r="E91" s="12" t="e">
        <f>_xll.qlYieldTSDiscount(C$4,D91,,Triggers!RTDataTrigger)</f>
        <v>#NUM!</v>
      </c>
      <c r="F91" s="44"/>
      <c r="G91" s="33"/>
      <c r="H91" s="49" t="e">
        <f t="shared" si="6"/>
        <v>#N/A</v>
      </c>
      <c r="I91" s="50" t="e">
        <f t="shared" si="6"/>
        <v>#NUM!</v>
      </c>
      <c r="M91" s="11" t="e">
        <v>#N/A</v>
      </c>
      <c r="N91" s="12" t="e">
        <f>_xll.qlYieldTSDiscount(L$4,M91,,Triggers!RTDataTrigger)</f>
        <v>#NUM!</v>
      </c>
      <c r="O91" s="44"/>
      <c r="P91" s="33"/>
      <c r="Q91" s="49" t="e">
        <f t="shared" si="7"/>
        <v>#N/A</v>
      </c>
      <c r="R91" s="50" t="e">
        <f t="shared" si="7"/>
        <v>#NUM!</v>
      </c>
      <c r="V91" s="11" t="e">
        <v>#N/A</v>
      </c>
      <c r="W91" s="12" t="e">
        <f>_xll.qlYieldTSDiscount(U$4,V91,,Triggers!RTDataTrigger)</f>
        <v>#NUM!</v>
      </c>
      <c r="X91" s="44"/>
      <c r="Y91" s="33"/>
      <c r="Z91" s="49" t="e">
        <f t="shared" si="8"/>
        <v>#N/A</v>
      </c>
      <c r="AA91" s="50" t="e">
        <f t="shared" si="8"/>
        <v>#NUM!</v>
      </c>
    </row>
    <row r="92" spans="4:27" x14ac:dyDescent="0.2">
      <c r="D92" s="11" t="e">
        <v>#N/A</v>
      </c>
      <c r="E92" s="12" t="e">
        <f>_xll.qlYieldTSDiscount(C$4,D92,,Triggers!RTDataTrigger)</f>
        <v>#NUM!</v>
      </c>
      <c r="F92" s="44"/>
      <c r="G92" s="33"/>
      <c r="H92" s="49" t="e">
        <f t="shared" si="6"/>
        <v>#N/A</v>
      </c>
      <c r="I92" s="50" t="e">
        <f t="shared" si="6"/>
        <v>#NUM!</v>
      </c>
      <c r="M92" s="11" t="e">
        <v>#N/A</v>
      </c>
      <c r="N92" s="12" t="e">
        <f>_xll.qlYieldTSDiscount(L$4,M92,,Triggers!RTDataTrigger)</f>
        <v>#NUM!</v>
      </c>
      <c r="O92" s="44"/>
      <c r="P92" s="33"/>
      <c r="Q92" s="49" t="e">
        <f t="shared" si="7"/>
        <v>#N/A</v>
      </c>
      <c r="R92" s="50" t="e">
        <f t="shared" si="7"/>
        <v>#NUM!</v>
      </c>
      <c r="V92" s="11" t="e">
        <v>#N/A</v>
      </c>
      <c r="W92" s="12" t="e">
        <f>_xll.qlYieldTSDiscount(U$4,V92,,Triggers!RTDataTrigger)</f>
        <v>#NUM!</v>
      </c>
      <c r="X92" s="44"/>
      <c r="Y92" s="33"/>
      <c r="Z92" s="49" t="e">
        <f t="shared" si="8"/>
        <v>#N/A</v>
      </c>
      <c r="AA92" s="50" t="e">
        <f t="shared" si="8"/>
        <v>#NUM!</v>
      </c>
    </row>
    <row r="93" spans="4:27" x14ac:dyDescent="0.2">
      <c r="D93" s="13" t="e">
        <v>#N/A</v>
      </c>
      <c r="E93" s="14" t="e">
        <f>_xll.qlYieldTSDiscount(C$4,D93,,Triggers!RTDataTrigger)</f>
        <v>#NUM!</v>
      </c>
      <c r="F93" s="45"/>
      <c r="G93" s="46"/>
      <c r="H93" s="51" t="e">
        <f t="shared" si="6"/>
        <v>#N/A</v>
      </c>
      <c r="I93" s="52" t="e">
        <f t="shared" si="6"/>
        <v>#NUM!</v>
      </c>
      <c r="M93" s="13" t="e">
        <v>#N/A</v>
      </c>
      <c r="N93" s="14" t="e">
        <f>_xll.qlYieldTSDiscount(L$4,M93,,Triggers!RTDataTrigger)</f>
        <v>#NUM!</v>
      </c>
      <c r="O93" s="45"/>
      <c r="P93" s="46"/>
      <c r="Q93" s="51" t="e">
        <f t="shared" si="7"/>
        <v>#N/A</v>
      </c>
      <c r="R93" s="52" t="e">
        <f t="shared" si="7"/>
        <v>#NUM!</v>
      </c>
      <c r="V93" s="13" t="e">
        <v>#N/A</v>
      </c>
      <c r="W93" s="14" t="e">
        <f>_xll.qlYieldTSDiscount(U$4,V93,,Triggers!RTDataTrigger)</f>
        <v>#NUM!</v>
      </c>
      <c r="X93" s="45"/>
      <c r="Y93" s="46"/>
      <c r="Z93" s="51" t="e">
        <f t="shared" si="8"/>
        <v>#N/A</v>
      </c>
      <c r="AA93" s="52" t="e">
        <f t="shared" si="8"/>
        <v>#NUM!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38100</xdr:colOff>
                    <xdr:row>17</xdr:row>
                    <xdr:rowOff>19050</xdr:rowOff>
                  </from>
                  <to>
                    <xdr:col>1</xdr:col>
                    <xdr:colOff>952500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38100</xdr:colOff>
                    <xdr:row>18</xdr:row>
                    <xdr:rowOff>123825</xdr:rowOff>
                  </from>
                  <to>
                    <xdr:col>1</xdr:col>
                    <xdr:colOff>952500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0.59999389629810485"/>
    <outlinePr summaryRight="0"/>
  </sheetPr>
  <dimension ref="A1:AR97"/>
  <sheetViews>
    <sheetView showGridLines="0" workbookViewId="0">
      <selection activeCell="A11" sqref="A11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3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328" t="s">
        <v>97</v>
      </c>
      <c r="C2" s="32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14</v>
      </c>
      <c r="U2" s="202" t="s">
        <v>96</v>
      </c>
      <c r="V2" s="202" t="s">
        <v>145</v>
      </c>
      <c r="W2"/>
      <c r="X2"/>
      <c r="Y2" s="133" t="s">
        <v>82</v>
      </c>
      <c r="Z2" s="135" t="s">
        <v>71</v>
      </c>
      <c r="AA2" s="134" t="s">
        <v>70</v>
      </c>
      <c r="AF2" s="201" t="s">
        <v>154</v>
      </c>
      <c r="AG2" s="200"/>
      <c r="AH2" s="200"/>
      <c r="AI2" s="199"/>
    </row>
    <row r="3" spans="1:35" ht="11.25" customHeight="1" x14ac:dyDescent="0.2">
      <c r="A3" s="66"/>
      <c r="B3" s="198" t="s">
        <v>95</v>
      </c>
      <c r="C3" s="197">
        <f>EvaluationDate</f>
        <v>41992</v>
      </c>
      <c r="D3" s="66"/>
      <c r="E3" s="206" t="b">
        <v>1</v>
      </c>
      <c r="F3" s="207" t="str">
        <f>Y3</f>
        <v>ON</v>
      </c>
      <c r="G3" s="180">
        <v>0</v>
      </c>
      <c r="H3" s="208" t="s">
        <v>24</v>
      </c>
      <c r="I3" s="204">
        <f t="array" ref="I3:I4">100*AI17:AI18</f>
        <v>0.48585154522751139</v>
      </c>
      <c r="J3" s="209"/>
      <c r="K3" s="210"/>
      <c r="L3" s="209">
        <f t="shared" ref="L3:L20" si="0">IF(ISNUMBER(J3),J3,I3)+K3</f>
        <v>0.48585154522751139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>
        <f t="shared" ref="S3:S20" si="5">IF(LEN(P3)&gt;0,INDEX($L$3:$L$20,$P3),"")</f>
        <v>0.48585154522751139</v>
      </c>
      <c r="U3" s="196">
        <f t="array" ref="U3:V79">_xll.xlCCBasisCurveBootstrapper(C4,C3,C5,C6,L23,S2,Q3:S20,0,U2:V2,S25,R26:S67,C11,C12,C13,C45,B48:B69,C48:C69,C15)</f>
        <v>41992</v>
      </c>
      <c r="V3" s="195">
        <v>1</v>
      </c>
      <c r="W3"/>
      <c r="X3"/>
      <c r="Y3" s="129" t="s">
        <v>94</v>
      </c>
      <c r="Z3" s="129">
        <f>_xll.RtGet($AD$3,$AD$4&amp;$Y3&amp;$AD$5,Z$2)</f>
        <v>0.15</v>
      </c>
      <c r="AA3" s="127">
        <f>_xll.RtGet($AD$3,$AD$4&amp;$Y3&amp;$AD$5,AA$2)</f>
        <v>0.25</v>
      </c>
      <c r="AC3" s="124" t="s">
        <v>68</v>
      </c>
      <c r="AD3" s="123" t="s">
        <v>67</v>
      </c>
      <c r="AF3" s="194" t="s">
        <v>172</v>
      </c>
      <c r="AG3" s="193"/>
      <c r="AH3" s="193"/>
      <c r="AI3" s="217" t="s">
        <v>173</v>
      </c>
    </row>
    <row r="4" spans="1:35" ht="11.25" customHeight="1" x14ac:dyDescent="0.2">
      <c r="A4" s="66"/>
      <c r="B4" s="192" t="s">
        <v>91</v>
      </c>
      <c r="C4" s="191" t="s">
        <v>159</v>
      </c>
      <c r="D4" s="66"/>
      <c r="E4" s="211" t="b">
        <v>1</v>
      </c>
      <c r="F4" s="212" t="str">
        <f>Y4</f>
        <v>TN</v>
      </c>
      <c r="G4" s="213">
        <v>0</v>
      </c>
      <c r="H4" s="214" t="s">
        <v>93</v>
      </c>
      <c r="I4" s="205">
        <v>0.48584672443574561</v>
      </c>
      <c r="J4" s="215"/>
      <c r="K4" s="216"/>
      <c r="L4" s="215">
        <f t="shared" si="0"/>
        <v>0.48584672443574561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>
        <f t="shared" si="5"/>
        <v>0.48584672443574561</v>
      </c>
      <c r="U4" s="72">
        <v>41995</v>
      </c>
      <c r="V4" s="71">
        <v>0.99995951401041283</v>
      </c>
      <c r="W4"/>
      <c r="X4"/>
      <c r="Y4" s="80" t="s">
        <v>92</v>
      </c>
      <c r="Z4" s="80">
        <f>_xll.RtGet($AD$3,$AD$4&amp;$Y4&amp;$AD$5,Z$2)</f>
        <v>0.15</v>
      </c>
      <c r="AA4" s="78">
        <f>_xll.RtGet($AD$3,$AD$4&amp;$Y4&amp;$AD$5,AA$2)</f>
        <v>0.25</v>
      </c>
      <c r="AC4" s="121" t="s">
        <v>66</v>
      </c>
      <c r="AD4" s="120" t="s">
        <v>158</v>
      </c>
      <c r="AF4" s="124" t="s">
        <v>128</v>
      </c>
      <c r="AG4" s="177"/>
      <c r="AH4" s="177"/>
      <c r="AI4" s="190">
        <f>_xll.xlDateWorkFw($C$6,$C$3+1,0)</f>
        <v>41995</v>
      </c>
    </row>
    <row r="5" spans="1:35" ht="11.25" customHeight="1" x14ac:dyDescent="0.2">
      <c r="A5" s="68"/>
      <c r="B5" s="189" t="s">
        <v>98</v>
      </c>
      <c r="C5" s="157" t="s">
        <v>100</v>
      </c>
      <c r="D5" s="66"/>
      <c r="E5" s="91" t="b">
        <v>0</v>
      </c>
      <c r="F5" s="188" t="str">
        <f>Y5</f>
        <v>SN</v>
      </c>
      <c r="G5" s="75">
        <v>0</v>
      </c>
      <c r="H5" s="76" t="s">
        <v>90</v>
      </c>
      <c r="I5" s="90">
        <f>AVERAGE(Z5:AA5)</f>
        <v>0.2</v>
      </c>
      <c r="J5" s="88"/>
      <c r="K5" s="89"/>
      <c r="L5" s="88">
        <f t="shared" si="0"/>
        <v>0.2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>
        <f t="shared" si="5"/>
        <v>0.36585568000000002</v>
      </c>
      <c r="U5" s="72">
        <v>41996</v>
      </c>
      <c r="V5" s="71">
        <v>0.99994601899658098</v>
      </c>
      <c r="W5"/>
      <c r="X5"/>
      <c r="Y5" s="75" t="s">
        <v>89</v>
      </c>
      <c r="Z5" s="75">
        <f>_xll.RtGet($AD$3,$AD$4&amp;$Y5&amp;$AD$5,Z$2)</f>
        <v>0.15</v>
      </c>
      <c r="AA5" s="76">
        <f>_xll.RtGet($AD$3,$AD$4&amp;$Y5&amp;$AD$5,AA$2)</f>
        <v>0.25</v>
      </c>
      <c r="AC5" s="118" t="s">
        <v>63</v>
      </c>
      <c r="AD5" s="117" t="s">
        <v>152</v>
      </c>
      <c r="AF5" s="121" t="s">
        <v>129</v>
      </c>
      <c r="AG5" s="68"/>
      <c r="AH5" s="68"/>
      <c r="AI5" s="187">
        <f>_xll.xlDateWorkFw($C$6,$AI$4+1,0)</f>
        <v>41996</v>
      </c>
    </row>
    <row r="6" spans="1:35" ht="11.25" customHeight="1" x14ac:dyDescent="0.2">
      <c r="A6" s="68"/>
      <c r="B6" s="186" t="s">
        <v>99</v>
      </c>
      <c r="C6" s="119" t="s">
        <v>158</v>
      </c>
      <c r="D6" s="66"/>
      <c r="E6" s="206" t="b">
        <v>1</v>
      </c>
      <c r="F6" s="319">
        <v>1</v>
      </c>
      <c r="G6" s="129">
        <v>1</v>
      </c>
      <c r="H6" s="127" t="s">
        <v>86</v>
      </c>
      <c r="I6" s="154">
        <f>AVERAGE(Z8:AA8)</f>
        <v>0.36585568000000002</v>
      </c>
      <c r="J6" s="152"/>
      <c r="K6" s="153"/>
      <c r="L6" s="152">
        <f t="shared" si="0"/>
        <v>0.36585568000000002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>
        <f t="shared" si="5"/>
        <v>0.39106554500000001</v>
      </c>
      <c r="U6" s="72">
        <v>42003</v>
      </c>
      <c r="V6" s="71">
        <v>0.99987488929233781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3">
        <f>_xll.xlDateWorkFw($C$6,$AI$5+7,0)</f>
        <v>42003</v>
      </c>
    </row>
    <row r="7" spans="1:35" ht="11.25" customHeight="1" x14ac:dyDescent="0.2">
      <c r="A7" s="68"/>
      <c r="B7" s="147" t="s">
        <v>123</v>
      </c>
      <c r="C7" s="136" t="s">
        <v>100</v>
      </c>
      <c r="D7" s="66"/>
      <c r="E7" s="306" t="b">
        <v>1</v>
      </c>
      <c r="F7" s="320">
        <f>Y9</f>
        <v>2</v>
      </c>
      <c r="G7" s="80">
        <v>2</v>
      </c>
      <c r="H7" s="78" t="s">
        <v>86</v>
      </c>
      <c r="I7" s="97">
        <f>AVERAGE(Z9:AA9)</f>
        <v>0.39106554500000001</v>
      </c>
      <c r="J7" s="95"/>
      <c r="K7" s="96"/>
      <c r="L7" s="95">
        <f t="shared" si="0"/>
        <v>0.39106554500000001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>
        <f t="shared" si="5"/>
        <v>0.388057386</v>
      </c>
      <c r="U7" s="72">
        <v>42010</v>
      </c>
      <c r="V7" s="71">
        <v>0.99979396928466979</v>
      </c>
      <c r="W7"/>
      <c r="X7"/>
      <c r="Y7" s="133" t="s">
        <v>82</v>
      </c>
      <c r="Z7" s="135" t="s">
        <v>71</v>
      </c>
      <c r="AA7" s="134" t="s">
        <v>70</v>
      </c>
      <c r="AF7" s="124" t="s">
        <v>161</v>
      </c>
      <c r="AG7" s="177"/>
      <c r="AH7" s="177"/>
      <c r="AI7" s="176">
        <f t="array" ref="AI7:AI9">_xll.xlShmInterpDisc($AI$3,AI4:AI6+0*TYPE(ObjectsTrigger))</f>
        <v>0.99997916710069124</v>
      </c>
    </row>
    <row r="8" spans="1:35" ht="11.25" customHeight="1" x14ac:dyDescent="0.2">
      <c r="A8" s="68"/>
      <c r="B8" s="140" t="s">
        <v>107</v>
      </c>
      <c r="C8" s="119" t="s">
        <v>143</v>
      </c>
      <c r="D8" s="66"/>
      <c r="E8" s="211" t="b">
        <v>1</v>
      </c>
      <c r="F8" s="321">
        <f>Y10</f>
        <v>3</v>
      </c>
      <c r="G8" s="75">
        <v>3</v>
      </c>
      <c r="H8" s="76" t="s">
        <v>86</v>
      </c>
      <c r="I8" s="90">
        <f>AVERAGE(Z10:AA10)</f>
        <v>0.388057386</v>
      </c>
      <c r="J8" s="88"/>
      <c r="K8" s="89"/>
      <c r="L8" s="88">
        <f t="shared" si="0"/>
        <v>0.388057386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>
        <f t="shared" si="5"/>
        <v>0.36021385299999997</v>
      </c>
      <c r="U8" s="72">
        <v>42017</v>
      </c>
      <c r="V8" s="71">
        <v>0.99971971563515816</v>
      </c>
      <c r="W8"/>
      <c r="X8"/>
      <c r="Y8" s="180" t="s">
        <v>85</v>
      </c>
      <c r="Z8" s="129">
        <f>_xll.RtGet($AD$8,$AD$9&amp;$Y8&amp;$AD$10,Z$7)</f>
        <v>0.36585568000000002</v>
      </c>
      <c r="AA8" s="127">
        <f>_xll.RtGet($AD$8,$AD$9&amp;$Y8&amp;$AD$10,AA$7)</f>
        <v>0.36585568000000002</v>
      </c>
      <c r="AC8" s="124" t="s">
        <v>68</v>
      </c>
      <c r="AD8" s="123" t="s">
        <v>102</v>
      </c>
      <c r="AF8" s="24" t="s">
        <v>162</v>
      </c>
      <c r="AG8" s="68"/>
      <c r="AH8" s="68"/>
      <c r="AI8" s="170">
        <v>0.999972222849147</v>
      </c>
    </row>
    <row r="9" spans="1:35" ht="11.25" customHeight="1" x14ac:dyDescent="0.2">
      <c r="A9" s="68"/>
      <c r="B9" s="140" t="s">
        <v>108</v>
      </c>
      <c r="C9" s="119" t="s">
        <v>144</v>
      </c>
      <c r="D9" s="66"/>
      <c r="E9" s="306" t="b">
        <v>1</v>
      </c>
      <c r="F9" s="322">
        <f t="shared" ref="F9:F20" si="8">Y13</f>
        <v>1</v>
      </c>
      <c r="G9" s="80">
        <v>1</v>
      </c>
      <c r="H9" s="78" t="s">
        <v>81</v>
      </c>
      <c r="I9" s="97">
        <f t="shared" ref="I9:I20" si="9">AVERAGE(Z13:AA13)</f>
        <v>0.36021385299999997</v>
      </c>
      <c r="J9" s="95"/>
      <c r="K9" s="96"/>
      <c r="L9" s="95">
        <f t="shared" si="0"/>
        <v>0.36021385299999997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>
        <f t="shared" si="5"/>
        <v>0.33042347599999999</v>
      </c>
      <c r="U9" s="72">
        <v>42027</v>
      </c>
      <c r="V9" s="71">
        <v>0.99963594776861886</v>
      </c>
      <c r="W9"/>
      <c r="X9"/>
      <c r="Y9" s="80">
        <v>2</v>
      </c>
      <c r="Z9" s="80">
        <f>_xll.RtGet($AD$8,$AD$9&amp;$Y9&amp;$AD$10,Z$7)</f>
        <v>0.39106554500000001</v>
      </c>
      <c r="AA9" s="78">
        <f>_xll.RtGet($AD$8,$AD$9&amp;$Y9&amp;$AD$10,AA$7)</f>
        <v>0.39106554500000001</v>
      </c>
      <c r="AC9" s="121" t="s">
        <v>66</v>
      </c>
      <c r="AD9" s="120" t="s">
        <v>215</v>
      </c>
      <c r="AF9" s="25" t="s">
        <v>163</v>
      </c>
      <c r="AG9" s="168"/>
      <c r="AH9" s="168"/>
      <c r="AI9" s="167">
        <v>0.99994694641318316</v>
      </c>
    </row>
    <row r="10" spans="1:35" ht="11.25" customHeight="1" x14ac:dyDescent="0.2">
      <c r="A10" s="68"/>
      <c r="B10" s="179" t="s">
        <v>109</v>
      </c>
      <c r="C10" s="119" t="s">
        <v>160</v>
      </c>
      <c r="D10" s="66"/>
      <c r="E10" s="306" t="b">
        <v>1</v>
      </c>
      <c r="F10" s="322">
        <f t="shared" si="8"/>
        <v>2</v>
      </c>
      <c r="G10" s="80">
        <v>2</v>
      </c>
      <c r="H10" s="78" t="s">
        <v>81</v>
      </c>
      <c r="I10" s="97">
        <f t="shared" si="9"/>
        <v>0.33042347599999999</v>
      </c>
      <c r="J10" s="95"/>
      <c r="K10" s="96"/>
      <c r="L10" s="95">
        <f t="shared" si="0"/>
        <v>0.33042347599999999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>
        <f t="shared" si="5"/>
        <v>0.30817925700000004</v>
      </c>
      <c r="U10" s="72">
        <v>42058</v>
      </c>
      <c r="V10" s="71">
        <v>0.99937731069269908</v>
      </c>
      <c r="W10"/>
      <c r="X10"/>
      <c r="Y10" s="75">
        <v>3</v>
      </c>
      <c r="Z10" s="75">
        <f>_xll.RtGet($AD$8,$AD$9&amp;$Y10&amp;$AD$10,Z$7)</f>
        <v>0.388057386</v>
      </c>
      <c r="AA10" s="76">
        <f>_xll.RtGet($AD$8,$AD$9&amp;$Y10&amp;$AD$10,AA$7)</f>
        <v>0.388057386</v>
      </c>
      <c r="AC10" s="118" t="s">
        <v>63</v>
      </c>
      <c r="AD10" s="117" t="s">
        <v>218</v>
      </c>
      <c r="AF10" s="178" t="s">
        <v>164</v>
      </c>
      <c r="AG10" s="177"/>
      <c r="AH10" s="177"/>
      <c r="AI10" s="126">
        <v>4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306" t="b">
        <v>1</v>
      </c>
      <c r="F11" s="322">
        <f t="shared" si="8"/>
        <v>3</v>
      </c>
      <c r="G11" s="80">
        <v>3</v>
      </c>
      <c r="H11" s="78" t="s">
        <v>81</v>
      </c>
      <c r="I11" s="97">
        <f t="shared" si="9"/>
        <v>0.30817925700000004</v>
      </c>
      <c r="J11" s="95"/>
      <c r="K11" s="96"/>
      <c r="L11" s="95">
        <f t="shared" si="0"/>
        <v>0.30817925700000004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>
        <f t="shared" si="5"/>
        <v>0.30759931200000001</v>
      </c>
      <c r="U11" s="72">
        <v>42086</v>
      </c>
      <c r="V11" s="71">
        <v>0.99917620554498876</v>
      </c>
      <c r="W11"/>
      <c r="X11"/>
      <c r="Y11" s="79"/>
      <c r="Z11" s="79"/>
      <c r="AA11" s="79"/>
      <c r="AF11" s="118" t="s">
        <v>220</v>
      </c>
      <c r="AG11" s="168"/>
      <c r="AH11" s="168"/>
      <c r="AI11" s="299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306" t="b">
        <v>1</v>
      </c>
      <c r="F12" s="322">
        <f t="shared" si="8"/>
        <v>4</v>
      </c>
      <c r="G12" s="80">
        <v>4</v>
      </c>
      <c r="H12" s="78" t="s">
        <v>81</v>
      </c>
      <c r="I12" s="97">
        <f t="shared" si="9"/>
        <v>0.30759931200000001</v>
      </c>
      <c r="J12" s="95"/>
      <c r="K12" s="96"/>
      <c r="L12" s="95">
        <f t="shared" si="0"/>
        <v>0.30759931200000001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>
        <f t="shared" si="5"/>
        <v>0.31081344899999996</v>
      </c>
      <c r="U12" s="72">
        <v>42117</v>
      </c>
      <c r="V12" s="71">
        <v>0.99891326707775319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219</v>
      </c>
      <c r="AG12" s="177"/>
      <c r="AH12" s="177"/>
      <c r="AI12" s="176">
        <f>_xll.xlYrfDayCount(AI5,AI6,AI10)</f>
        <v>1.9444444444444445E-2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306" t="b">
        <v>1</v>
      </c>
      <c r="F13" s="322">
        <f t="shared" si="8"/>
        <v>5</v>
      </c>
      <c r="G13" s="80">
        <v>5</v>
      </c>
      <c r="H13" s="78" t="s">
        <v>81</v>
      </c>
      <c r="I13" s="97">
        <f t="shared" si="9"/>
        <v>0.31081344899999996</v>
      </c>
      <c r="J13" s="95"/>
      <c r="K13" s="96"/>
      <c r="L13" s="95">
        <f t="shared" si="0"/>
        <v>0.31081344899999996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>
        <f t="shared" si="5"/>
        <v>0.313517086</v>
      </c>
      <c r="U13" s="72">
        <v>42150</v>
      </c>
      <c r="V13" s="71">
        <v>0.99861826527328501</v>
      </c>
      <c r="W13"/>
      <c r="X13"/>
      <c r="Y13" s="80">
        <v>1</v>
      </c>
      <c r="Z13" s="80">
        <f>_xll.RtGet($AD$13,$AD$14&amp;$Y13&amp;$AD$15,Z$12)</f>
        <v>0.36021385299999997</v>
      </c>
      <c r="AA13" s="78">
        <f>_xll.RtGet($AD$13,$AD$14&amp;$Y13&amp;$AD$15,AA$12)</f>
        <v>0.36021385299999997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>
        <f>LN((1+$AI$12*L6/100)*(AI9/AI8))/_xll.xlYrfDayCount($AI$5,$AI$6,$AI$11)</f>
        <v>2.391199296799673E-3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306" t="b">
        <v>1</v>
      </c>
      <c r="F14" s="322">
        <f t="shared" si="8"/>
        <v>6</v>
      </c>
      <c r="G14" s="80">
        <v>6</v>
      </c>
      <c r="H14" s="78" t="s">
        <v>81</v>
      </c>
      <c r="I14" s="97">
        <f t="shared" si="9"/>
        <v>0.313517086</v>
      </c>
      <c r="J14" s="95"/>
      <c r="K14" s="96"/>
      <c r="L14" s="95">
        <f t="shared" si="0"/>
        <v>0.313517086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13</v>
      </c>
      <c r="Q14" s="80">
        <f t="shared" si="3"/>
        <v>7</v>
      </c>
      <c r="R14" s="79" t="str">
        <f t="shared" si="4"/>
        <v>m</v>
      </c>
      <c r="S14" s="93">
        <f t="shared" si="5"/>
        <v>0.32878582099999998</v>
      </c>
      <c r="U14" s="72">
        <v>42178</v>
      </c>
      <c r="V14" s="71">
        <v>0.99836360963440596</v>
      </c>
      <c r="W14"/>
      <c r="X14"/>
      <c r="Y14" s="80">
        <v>2</v>
      </c>
      <c r="Z14" s="80">
        <f>_xll.RtGet($AD$13,$AD$14&amp;$Y14&amp;$AD$15,Z$12)</f>
        <v>0.33042347599999999</v>
      </c>
      <c r="AA14" s="78">
        <f>_xll.RtGet($AD$13,$AD$14&amp;$Y14&amp;$AD$15,AA$12)</f>
        <v>0.33042347599999999</v>
      </c>
      <c r="AC14" s="121" t="s">
        <v>66</v>
      </c>
      <c r="AD14" s="120" t="s">
        <v>215</v>
      </c>
      <c r="AF14" s="24" t="s">
        <v>165</v>
      </c>
      <c r="AG14" s="68"/>
      <c r="AH14" s="68"/>
      <c r="AI14" s="170">
        <f>AI7*EXP(-$AI$13*_xll.xlYrfDayCount($C$3,AI4,$AI$11))</f>
        <v>0.99995951401041272</v>
      </c>
    </row>
    <row r="15" spans="1:35" ht="11.25" customHeight="1" x14ac:dyDescent="0.2">
      <c r="A15" s="173">
        <v>90</v>
      </c>
      <c r="B15" s="172" t="s">
        <v>101</v>
      </c>
      <c r="C15" s="171">
        <f>_xll.RtNow(A15&amp;"s")</f>
        <v>0.73553240740875481</v>
      </c>
      <c r="D15" s="66"/>
      <c r="E15" s="306" t="b">
        <v>1</v>
      </c>
      <c r="F15" s="322">
        <f t="shared" si="8"/>
        <v>7</v>
      </c>
      <c r="G15" s="80">
        <v>7</v>
      </c>
      <c r="H15" s="78" t="s">
        <v>81</v>
      </c>
      <c r="I15" s="97">
        <f t="shared" si="9"/>
        <v>0.32878582099999998</v>
      </c>
      <c r="J15" s="95"/>
      <c r="K15" s="96"/>
      <c r="L15" s="95">
        <f t="shared" si="0"/>
        <v>0.32878582099999998</v>
      </c>
      <c r="M15" s="80">
        <f t="shared" si="6"/>
        <v>13</v>
      </c>
      <c r="N15" s="78">
        <f t="shared" si="1"/>
        <v>13</v>
      </c>
      <c r="O15" s="80">
        <f t="shared" si="7"/>
        <v>13</v>
      </c>
      <c r="P15" s="78">
        <f t="shared" si="2"/>
        <v>14</v>
      </c>
      <c r="Q15" s="80">
        <f t="shared" si="3"/>
        <v>8</v>
      </c>
      <c r="R15" s="79" t="str">
        <f t="shared" si="4"/>
        <v>m</v>
      </c>
      <c r="S15" s="93">
        <f t="shared" si="5"/>
        <v>0.35050765899999997</v>
      </c>
      <c r="U15" s="72">
        <v>42208</v>
      </c>
      <c r="V15" s="71">
        <v>0.99801368170452021</v>
      </c>
      <c r="W15"/>
      <c r="X15"/>
      <c r="Y15" s="80">
        <v>3</v>
      </c>
      <c r="Z15" s="80">
        <f>_xll.RtGet($AD$13,$AD$14&amp;$Y15&amp;$AD$15,Z$12)</f>
        <v>0.30817925700000004</v>
      </c>
      <c r="AA15" s="78">
        <f>_xll.RtGet($AD$13,$AD$14&amp;$Y15&amp;$AD$15,AA$12)</f>
        <v>0.30817925700000004</v>
      </c>
      <c r="AB15" s="67"/>
      <c r="AC15" s="118" t="s">
        <v>63</v>
      </c>
      <c r="AD15" s="117" t="s">
        <v>217</v>
      </c>
      <c r="AF15" s="24" t="s">
        <v>166</v>
      </c>
      <c r="AG15" s="68"/>
      <c r="AH15" s="68"/>
      <c r="AI15" s="170">
        <f>AI8*EXP(-$AI$13*_xll.xlYrfDayCount($C$3,AI5,$AI$11))</f>
        <v>0.99994601899658109</v>
      </c>
    </row>
    <row r="16" spans="1:35" ht="11.25" customHeight="1" x14ac:dyDescent="0.2">
      <c r="A16" s="68"/>
      <c r="D16" s="66"/>
      <c r="E16" s="306" t="b">
        <v>1</v>
      </c>
      <c r="F16" s="322">
        <f t="shared" si="8"/>
        <v>8</v>
      </c>
      <c r="G16" s="80">
        <v>8</v>
      </c>
      <c r="H16" s="78" t="s">
        <v>81</v>
      </c>
      <c r="I16" s="97">
        <f t="shared" si="9"/>
        <v>0.35050765899999997</v>
      </c>
      <c r="J16" s="95"/>
      <c r="K16" s="96"/>
      <c r="L16" s="95">
        <f t="shared" si="0"/>
        <v>0.35050765899999997</v>
      </c>
      <c r="M16" s="80">
        <f t="shared" si="6"/>
        <v>14</v>
      </c>
      <c r="N16" s="78">
        <f t="shared" si="1"/>
        <v>14</v>
      </c>
      <c r="O16" s="80">
        <f t="shared" si="7"/>
        <v>14</v>
      </c>
      <c r="P16" s="78">
        <f t="shared" si="2"/>
        <v>15</v>
      </c>
      <c r="Q16" s="80">
        <f t="shared" si="3"/>
        <v>9</v>
      </c>
      <c r="R16" s="79" t="str">
        <f t="shared" si="4"/>
        <v>m</v>
      </c>
      <c r="S16" s="93">
        <f t="shared" si="5"/>
        <v>0.371037864</v>
      </c>
      <c r="U16" s="72">
        <v>42240</v>
      </c>
      <c r="V16" s="71">
        <v>0.99757611431007331</v>
      </c>
      <c r="W16"/>
      <c r="X16"/>
      <c r="Y16" s="80">
        <v>4</v>
      </c>
      <c r="Z16" s="80">
        <f>_xll.RtGet($AD$13,$AD$14&amp;$Y16&amp;$AD$15,Z$12)</f>
        <v>0.30759931200000001</v>
      </c>
      <c r="AA16" s="78">
        <f>_xll.RtGet($AD$13,$AD$14&amp;$Y16&amp;$AD$15,AA$12)</f>
        <v>0.30759931200000001</v>
      </c>
      <c r="AB16" s="67"/>
      <c r="AC16" s="67"/>
      <c r="AD16" s="67"/>
      <c r="AF16" s="25" t="s">
        <v>167</v>
      </c>
      <c r="AG16" s="168"/>
      <c r="AH16" s="168"/>
      <c r="AI16" s="167">
        <f>AI9*EXP(-$AI$13*_xll.xlYrfDayCount($C$3,AI6,$AI$11))</f>
        <v>0.9998748892923377</v>
      </c>
    </row>
    <row r="17" spans="1:44" ht="11.25" customHeight="1" x14ac:dyDescent="0.2">
      <c r="A17" s="68"/>
      <c r="D17" s="66"/>
      <c r="E17" s="306" t="b">
        <v>1</v>
      </c>
      <c r="F17" s="322">
        <f t="shared" si="8"/>
        <v>9</v>
      </c>
      <c r="G17" s="80">
        <v>9</v>
      </c>
      <c r="H17" s="78" t="s">
        <v>81</v>
      </c>
      <c r="I17" s="97">
        <f t="shared" si="9"/>
        <v>0.371037864</v>
      </c>
      <c r="J17" s="95"/>
      <c r="K17" s="96"/>
      <c r="L17" s="95">
        <f t="shared" si="0"/>
        <v>0.371037864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>
        <v>42270</v>
      </c>
      <c r="V17" s="71">
        <v>0.9971301131775081</v>
      </c>
      <c r="W17"/>
      <c r="X17"/>
      <c r="Y17" s="80">
        <v>5</v>
      </c>
      <c r="Z17" s="80">
        <f>_xll.RtGet($AD$13,$AD$14&amp;$Y17&amp;$AD$15,Z$12)</f>
        <v>0.31081344899999996</v>
      </c>
      <c r="AA17" s="78">
        <f>_xll.RtGet($AD$13,$AD$14&amp;$Y17&amp;$AD$15,AA$12)</f>
        <v>0.31081344899999996</v>
      </c>
      <c r="AB17" s="67"/>
      <c r="AC17" s="67"/>
      <c r="AD17" s="67"/>
      <c r="AF17" s="24" t="s">
        <v>168</v>
      </c>
      <c r="AG17" s="68"/>
      <c r="AH17" s="68"/>
      <c r="AI17" s="170">
        <f>(1/AI14-1)/_xll.xlYrfDayCount($C$3,AI4,$AI$10)</f>
        <v>4.8585154522751139E-3</v>
      </c>
    </row>
    <row r="18" spans="1:44" ht="11.25" customHeight="1" x14ac:dyDescent="0.2">
      <c r="A18" s="68"/>
      <c r="C18" s="257" t="s">
        <v>127</v>
      </c>
      <c r="D18" s="66"/>
      <c r="E18" s="306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>
        <v>42361</v>
      </c>
      <c r="V18" s="71">
        <v>0.99523839737860587</v>
      </c>
      <c r="W18"/>
      <c r="X18"/>
      <c r="Y18" s="80">
        <v>6</v>
      </c>
      <c r="Z18" s="80">
        <f>_xll.RtGet($AD$13,$AD$14&amp;$Y18&amp;$AD$15,Z$12)</f>
        <v>0.313517086</v>
      </c>
      <c r="AA18" s="78">
        <f>_xll.RtGet($AD$13,$AD$14&amp;$Y18&amp;$AD$15,AA$12)</f>
        <v>0.313517086</v>
      </c>
      <c r="AB18" s="67"/>
      <c r="AC18" s="67"/>
      <c r="AD18" s="67"/>
      <c r="AF18" s="24" t="s">
        <v>169</v>
      </c>
      <c r="AG18" s="68"/>
      <c r="AH18" s="68"/>
      <c r="AI18" s="170">
        <f>(AI14/AI15-1)/_xll.xlYrfDayCount(AI4,AI5,$AI$10)</f>
        <v>4.8584672443574561E-3</v>
      </c>
    </row>
    <row r="19" spans="1:44" ht="11.25" customHeight="1" x14ac:dyDescent="0.2">
      <c r="A19" s="68"/>
      <c r="C19" s="258" t="b">
        <v>0</v>
      </c>
      <c r="D19" s="66"/>
      <c r="E19" s="306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>
        <v>42727</v>
      </c>
      <c r="V19" s="71">
        <v>0.98198416306494596</v>
      </c>
      <c r="W19"/>
      <c r="X19"/>
      <c r="Y19" s="80">
        <v>7</v>
      </c>
      <c r="Z19" s="80">
        <f>_xll.RtGet($AD$13,$AD$14&amp;$Y19&amp;$AD$15,Z$12)</f>
        <v>0.32878582099999998</v>
      </c>
      <c r="AA19" s="78">
        <f>_xll.RtGet($AD$13,$AD$14&amp;$Y19&amp;$AD$15,AA$12)</f>
        <v>0.32878582099999998</v>
      </c>
      <c r="AB19" s="67"/>
      <c r="AC19" s="67"/>
      <c r="AD19" s="67"/>
      <c r="AF19" s="24" t="s">
        <v>170</v>
      </c>
      <c r="AG19" s="68"/>
      <c r="AH19" s="68"/>
      <c r="AI19" s="170">
        <f>AI17*100-IF(J3&gt;0,J3,I3)</f>
        <v>0</v>
      </c>
    </row>
    <row r="20" spans="1:44" ht="11.25" customHeight="1" x14ac:dyDescent="0.2">
      <c r="A20" s="68"/>
      <c r="D20" s="66"/>
      <c r="E20" s="21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>
        <v>43096</v>
      </c>
      <c r="V20" s="71">
        <v>0.9610884032310032</v>
      </c>
      <c r="W20"/>
      <c r="X20"/>
      <c r="Y20" s="80">
        <v>8</v>
      </c>
      <c r="Z20" s="80">
        <f>_xll.RtGet($AD$13,$AD$14&amp;$Y20&amp;$AD$15,Z$12)</f>
        <v>0.35050765899999997</v>
      </c>
      <c r="AA20" s="78">
        <f>_xll.RtGet($AD$13,$AD$14&amp;$Y20&amp;$AD$15,AA$12)</f>
        <v>0.35050765899999997</v>
      </c>
      <c r="AB20" s="67"/>
      <c r="AC20" s="67"/>
      <c r="AD20" s="67"/>
      <c r="AF20" s="25" t="s">
        <v>171</v>
      </c>
      <c r="AG20" s="168"/>
      <c r="AH20" s="168"/>
      <c r="AI20" s="167">
        <f>AI18*100-IF(J4&gt;0,J4,I4)</f>
        <v>0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>
        <v>43458</v>
      </c>
      <c r="V21" s="71">
        <v>0.93802952766188474</v>
      </c>
      <c r="W21"/>
      <c r="X21"/>
      <c r="Y21" s="80">
        <v>9</v>
      </c>
      <c r="Z21" s="80">
        <f>_xll.RtGet($AD$13,$AD$14&amp;$Y21&amp;$AD$15,Z$12)</f>
        <v>0.371037864</v>
      </c>
      <c r="AA21" s="78">
        <f>_xll.RtGet($AD$13,$AD$14&amp;$Y21&amp;$AD$15,AA$12)</f>
        <v>0.371037864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>
        <v>43822</v>
      </c>
      <c r="V22" s="71">
        <v>0.91395030748496031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C6&amp;C5</f>
        <v>USDEUR</v>
      </c>
      <c r="G23" s="67"/>
      <c r="H23" s="67"/>
      <c r="I23" s="162">
        <f>AVERAGE(Z27:AA27)</f>
        <v>1.2249500000000002</v>
      </c>
      <c r="J23" s="160"/>
      <c r="K23" s="161"/>
      <c r="L23" s="160">
        <f>IF(ISNUMBER(J23),J23,I23)+K23</f>
        <v>1.2249500000000002</v>
      </c>
      <c r="M23" s="67"/>
      <c r="N23" s="67"/>
      <c r="O23" s="67"/>
      <c r="P23" s="67"/>
      <c r="Q23" s="67"/>
      <c r="R23" s="67"/>
      <c r="S23" s="67"/>
      <c r="U23" s="72">
        <v>44553</v>
      </c>
      <c r="V23" s="71">
        <v>0.86390730053131148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328" t="s">
        <v>80</v>
      </c>
      <c r="C24" s="32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>
        <v>45649</v>
      </c>
      <c r="V24" s="71">
        <v>0.79107952494407274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>
        <v>47476</v>
      </c>
      <c r="V25" s="71">
        <v>0.67753210017896492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20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-0.1825</v>
      </c>
      <c r="J26" s="152"/>
      <c r="K26" s="153"/>
      <c r="L26" s="152">
        <f t="shared" ref="L26:L67" si="13">IF(ISNUMBER(J26),J26,I26)+K26</f>
        <v>-0.1825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-0.1825</v>
      </c>
      <c r="U26" s="72">
        <v>49305</v>
      </c>
      <c r="V26" s="71">
        <v>0.57609099046912926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-0.16750000000000001</v>
      </c>
      <c r="J27" s="95"/>
      <c r="K27" s="96"/>
      <c r="L27" s="95">
        <f t="shared" si="13"/>
        <v>-0.16750000000000001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-0.16750000000000001</v>
      </c>
      <c r="U27" s="72">
        <v>52954</v>
      </c>
      <c r="V27" s="71">
        <v>0.42116060614853829</v>
      </c>
      <c r="W27"/>
      <c r="X27"/>
      <c r="Y27" s="146" t="s">
        <v>100</v>
      </c>
      <c r="Z27" s="145">
        <f>_xll.RtGet($AD$26,$AD$27&amp;$Y27&amp;$AD$28,Z$26)</f>
        <v>1.2249000000000001</v>
      </c>
      <c r="AA27" s="144">
        <f>_xll.RtGet($AD$26,$AD$27&amp;$Y27&amp;$AD$28,AA$26)</f>
        <v>1.2250000000000001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-0.16500000000000001</v>
      </c>
      <c r="J28" s="95"/>
      <c r="K28" s="96"/>
      <c r="L28" s="95">
        <f t="shared" si="13"/>
        <v>-0.16500000000000001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-0.16500000000000001</v>
      </c>
      <c r="U28" s="72" t="e">
        <v>#N/A</v>
      </c>
      <c r="V28" s="71" t="e">
        <v>#N/A</v>
      </c>
      <c r="W28"/>
      <c r="X28"/>
      <c r="AC28" s="118" t="s">
        <v>63</v>
      </c>
      <c r="AD28" s="218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-0.17249999999999999</v>
      </c>
      <c r="J29" s="95"/>
      <c r="K29" s="96"/>
      <c r="L29" s="95">
        <f t="shared" si="13"/>
        <v>-0.17249999999999999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-0.17249999999999999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21"/>
      <c r="AG29" s="222">
        <f>MAX(AG31:AG72)</f>
        <v>360</v>
      </c>
      <c r="AH29" s="221"/>
      <c r="AI29" s="221"/>
      <c r="AJ29" s="221"/>
      <c r="AK29" s="221"/>
      <c r="AL29" s="221"/>
      <c r="AM29" s="221"/>
      <c r="AN29" s="223"/>
      <c r="AO29" s="223"/>
      <c r="AP29" s="223"/>
      <c r="AQ29" s="222">
        <f>MAX(AQ31:AQ64)</f>
        <v>360</v>
      </c>
      <c r="AR29" s="221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-0.1925</v>
      </c>
      <c r="J30" s="95"/>
      <c r="K30" s="96"/>
      <c r="L30" s="95">
        <f t="shared" si="13"/>
        <v>-0.1925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-0.1925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4" t="s">
        <v>124</v>
      </c>
      <c r="AG30" s="224" t="s">
        <v>192</v>
      </c>
      <c r="AH30" s="225" t="b">
        <f>AND(AQ29&gt;AG29,ISERROR(MATCH(AQ29,$AG$31:$AG$72,0)))</f>
        <v>0</v>
      </c>
      <c r="AI30" s="226"/>
      <c r="AJ30" s="226"/>
      <c r="AK30" s="226"/>
      <c r="AL30" s="227">
        <f>COUNT(AK31:AK72)</f>
        <v>13</v>
      </c>
      <c r="AM30" s="228"/>
      <c r="AN30" s="223"/>
      <c r="AO30" s="223"/>
      <c r="AP30" s="223"/>
      <c r="AQ30" s="224" t="s">
        <v>126</v>
      </c>
      <c r="AR30" s="224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-0.21000000000000002</v>
      </c>
      <c r="J31" s="95"/>
      <c r="K31" s="96"/>
      <c r="L31" s="95">
        <f t="shared" si="13"/>
        <v>-0.21000000000000002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-0.21000000000000002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-0.2225</v>
      </c>
      <c r="AA31" s="127">
        <f>$Z$29*_xll.RtGet($AD$32,$AD$33&amp;$Y31&amp;$AD$34,AA$30)</f>
        <v>-0.14250000000000002</v>
      </c>
      <c r="AF31" s="229">
        <f t="shared" ref="AF31:AF72" si="20">AVERAGE(Z31:AA31)</f>
        <v>-0.1825</v>
      </c>
      <c r="AG31" s="230">
        <f>IF(ISNUMBER(AF31),LEFT(Y31,LEN(Y31)-1)*IF(RIGHT(Y31,1)="Y",12,1),"")</f>
        <v>3</v>
      </c>
      <c r="AH31" s="231">
        <f t="shared" ref="AH31:AH71" si="21">IF(LEN(AG31)&gt;0,AG31,"")</f>
        <v>3</v>
      </c>
      <c r="AI31" s="232">
        <f t="shared" ref="AI31:AI71" si="22">IF(LEN(AG31)&gt;0,AF31,"")</f>
        <v>-0.1825</v>
      </c>
      <c r="AJ31" s="233">
        <v>3</v>
      </c>
      <c r="AK31" s="228">
        <f>IF(LEN(AH31)&gt;0,AJ31,"")</f>
        <v>3</v>
      </c>
      <c r="AL31" s="227">
        <f>IF(AL30&gt;0,1,"")</f>
        <v>1</v>
      </c>
      <c r="AM31" s="234" t="b">
        <f t="shared" ref="AM31:AM72" si="23">LEN(AL31)&gt;0</f>
        <v>1</v>
      </c>
      <c r="AN31" s="235">
        <f t="shared" ref="AN31:AN72" si="24">IF(AM31,SMALL($AK$31:$AK$72,AL31),"")</f>
        <v>3</v>
      </c>
      <c r="AO31" s="234">
        <f t="array" ref="AO31:AP31">IF(AM31,INDEX($AH$31:$AI$72,AN31,0),"")</f>
        <v>9</v>
      </c>
      <c r="AP31" s="235">
        <v>-0.16500000000000001</v>
      </c>
      <c r="AQ31" s="234">
        <f t="array" ref="AQ31:AQ64">AJ31:AJ64</f>
        <v>3</v>
      </c>
      <c r="AR31" s="236">
        <f t="array" ref="AR31:AR64">_xll.xlInterp1D(AO31:INDEX(AO31:AO72,AL30),AP31:INDEX(AP31:AP72,AL30),AQ31:AQ72,"kruger")</f>
        <v>-0.15024691358024692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-0.21000000000000002</v>
      </c>
      <c r="J32" s="95"/>
      <c r="K32" s="96"/>
      <c r="L32" s="95">
        <f t="shared" si="13"/>
        <v>-0.21000000000000002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-0.21000000000000002</v>
      </c>
      <c r="U32" s="72" t="e">
        <v>#N/A</v>
      </c>
      <c r="V32" s="71" t="e">
        <v>#N/A</v>
      </c>
      <c r="Y32" s="81" t="s">
        <v>187</v>
      </c>
      <c r="Z32" s="80">
        <f>$Z$29*_xll.RtGet($AD$32,$AD$33&amp;$Y32&amp;$AD$34,Z$30)</f>
        <v>-0.20750000000000002</v>
      </c>
      <c r="AA32" s="78">
        <f>$Z$29*_xll.RtGet($AD$32,$AD$33&amp;$Y32&amp;$AD$34,AA$30)</f>
        <v>-0.1275</v>
      </c>
      <c r="AC32" s="124" t="s">
        <v>68</v>
      </c>
      <c r="AD32" s="123" t="s">
        <v>67</v>
      </c>
      <c r="AF32" s="237">
        <f t="shared" si="20"/>
        <v>-0.16750000000000001</v>
      </c>
      <c r="AG32" s="231">
        <f t="shared" ref="AG32:AG72" si="25">IF(ISNUMBER(AF32),LEFT(Y32,LEN(Y32)-1)*IF(RIGHT(Y32,1)="Y",12,1),"")</f>
        <v>6</v>
      </c>
      <c r="AH32" s="231">
        <f t="shared" si="21"/>
        <v>6</v>
      </c>
      <c r="AI32" s="238">
        <f t="shared" si="22"/>
        <v>-0.16750000000000001</v>
      </c>
      <c r="AJ32" s="239">
        <f>+AJ31+3</f>
        <v>6</v>
      </c>
      <c r="AK32" s="228">
        <f t="shared" ref="AK32:AK72" si="26">IF(LEN(AH32)&gt;0,AJ32,"")</f>
        <v>6</v>
      </c>
      <c r="AL32" s="228">
        <f t="shared" ref="AL32:AL72" si="27">IF(AL31&lt;$AL$30,AL31+1,"")</f>
        <v>2</v>
      </c>
      <c r="AM32" s="228" t="b">
        <f t="shared" si="23"/>
        <v>1</v>
      </c>
      <c r="AN32" s="240">
        <f t="shared" si="24"/>
        <v>6</v>
      </c>
      <c r="AO32" s="239">
        <f t="array" ref="AO32:AP32">IF(AM32,INDEX($AH$31:$AI$72,AN32,0),"")</f>
        <v>36</v>
      </c>
      <c r="AP32" s="240">
        <v>-0.21000000000000002</v>
      </c>
      <c r="AQ32" s="239">
        <v>6</v>
      </c>
      <c r="AR32" s="241">
        <v>-0.15753086419753087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-0.20750000000000002</v>
      </c>
      <c r="J33" s="95"/>
      <c r="K33" s="96"/>
      <c r="L33" s="95">
        <f t="shared" si="13"/>
        <v>-0.20750000000000002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-0.20750000000000002</v>
      </c>
      <c r="U33" s="72" t="e">
        <v>#N/A</v>
      </c>
      <c r="V33" s="71" t="e">
        <v>#N/A</v>
      </c>
      <c r="Y33" s="81" t="s">
        <v>188</v>
      </c>
      <c r="Z33" s="80">
        <f>$Z$29*_xll.RtGet($AD$32,$AD$33&amp;$Y33&amp;$AD$34,Z$30)</f>
        <v>-0.20500000000000002</v>
      </c>
      <c r="AA33" s="78">
        <f>$Z$29*_xll.RtGet($AD$32,$AD$33&amp;$Y33&amp;$AD$34,AA$30)</f>
        <v>-0.125</v>
      </c>
      <c r="AC33" s="121" t="s">
        <v>66</v>
      </c>
      <c r="AD33" s="120" t="s">
        <v>191</v>
      </c>
      <c r="AF33" s="237">
        <f t="shared" si="20"/>
        <v>-0.16500000000000001</v>
      </c>
      <c r="AG33" s="231">
        <f t="shared" si="25"/>
        <v>9</v>
      </c>
      <c r="AH33" s="231">
        <f t="shared" si="21"/>
        <v>9</v>
      </c>
      <c r="AI33" s="238">
        <f t="shared" si="22"/>
        <v>-0.16500000000000001</v>
      </c>
      <c r="AJ33" s="239">
        <f t="shared" ref="AJ33:AJ34" si="28">+AJ32+3</f>
        <v>9</v>
      </c>
      <c r="AK33" s="228">
        <f t="shared" si="26"/>
        <v>9</v>
      </c>
      <c r="AL33" s="228">
        <f t="shared" si="27"/>
        <v>3</v>
      </c>
      <c r="AM33" s="228" t="b">
        <f t="shared" si="23"/>
        <v>1</v>
      </c>
      <c r="AN33" s="240">
        <f t="shared" si="24"/>
        <v>9</v>
      </c>
      <c r="AO33" s="239">
        <f t="array" ref="AO33:AP33">IF(AM33,INDEX($AH$31:$AI$72,AN33,0),"")</f>
        <v>84</v>
      </c>
      <c r="AP33" s="240">
        <v>-0.21000000000000002</v>
      </c>
      <c r="AQ33" s="239">
        <v>9</v>
      </c>
      <c r="AR33" s="241">
        <v>-0.16500000000000001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-0.21000000000000002</v>
      </c>
      <c r="J34" s="95"/>
      <c r="K34" s="96"/>
      <c r="L34" s="95">
        <f t="shared" si="13"/>
        <v>-0.21000000000000002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-0.21000000000000002</v>
      </c>
      <c r="U34" s="72" t="e">
        <v>#N/A</v>
      </c>
      <c r="V34" s="71" t="e">
        <v>#N/A</v>
      </c>
      <c r="Y34" s="81" t="s">
        <v>177</v>
      </c>
      <c r="Z34" s="80">
        <f>$Z$29*_xll.RtGet($AD$32,$AD$33&amp;$Y34&amp;$AD$34,Z$30)</f>
        <v>-0.21249999999999999</v>
      </c>
      <c r="AA34" s="78">
        <f>$Z$29*_xll.RtGet($AD$32,$AD$33&amp;$Y34&amp;$AD$34,AA$30)</f>
        <v>-0.13250000000000001</v>
      </c>
      <c r="AC34" s="118" t="s">
        <v>63</v>
      </c>
      <c r="AD34" s="218" t="s">
        <v>178</v>
      </c>
      <c r="AF34" s="237">
        <f t="shared" si="20"/>
        <v>-0.17249999999999999</v>
      </c>
      <c r="AG34" s="231">
        <f t="shared" si="25"/>
        <v>12</v>
      </c>
      <c r="AH34" s="231">
        <f t="shared" si="21"/>
        <v>12</v>
      </c>
      <c r="AI34" s="238">
        <f t="shared" si="22"/>
        <v>-0.17249999999999999</v>
      </c>
      <c r="AJ34" s="242">
        <f t="shared" si="28"/>
        <v>12</v>
      </c>
      <c r="AK34" s="228">
        <f t="shared" si="26"/>
        <v>12</v>
      </c>
      <c r="AL34" s="228">
        <f t="shared" si="27"/>
        <v>4</v>
      </c>
      <c r="AM34" s="228" t="b">
        <f t="shared" si="23"/>
        <v>1</v>
      </c>
      <c r="AN34" s="240">
        <f t="shared" si="24"/>
        <v>12</v>
      </c>
      <c r="AO34" s="239">
        <f t="array" ref="AO34:AP34">IF(AM34,INDEX($AH$31:$AI$72,AN34,0),"")</f>
        <v>240</v>
      </c>
      <c r="AP34" s="240">
        <v>-0.1875</v>
      </c>
      <c r="AQ34" s="239">
        <v>12</v>
      </c>
      <c r="AR34" s="241">
        <v>-0.17246913580246914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-0.19500000000000001</v>
      </c>
      <c r="J35" s="95"/>
      <c r="K35" s="96"/>
      <c r="L35" s="95">
        <f t="shared" si="13"/>
        <v>-0.19500000000000001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-0.19500000000000001</v>
      </c>
      <c r="U35" s="72" t="e">
        <v>#N/A</v>
      </c>
      <c r="V35" s="71" t="e">
        <v>#N/A</v>
      </c>
      <c r="Y35" s="81" t="s">
        <v>179</v>
      </c>
      <c r="Z35" s="80">
        <f>$Z$29*_xll.RtGet($AD$32,$AD$33&amp;$Y35&amp;$AD$34,Z$30)</f>
        <v>-0.23250000000000001</v>
      </c>
      <c r="AA35" s="78">
        <f>$Z$29*_xll.RtGet($AD$32,$AD$33&amp;$Y35&amp;$AD$34,AA$30)</f>
        <v>-0.1525</v>
      </c>
      <c r="AF35" s="237">
        <f t="shared" si="20"/>
        <v>-0.1925</v>
      </c>
      <c r="AG35" s="231">
        <f t="shared" si="25"/>
        <v>24</v>
      </c>
      <c r="AH35" s="231">
        <f t="shared" si="21"/>
        <v>24</v>
      </c>
      <c r="AI35" s="238">
        <f t="shared" si="22"/>
        <v>-0.1925</v>
      </c>
      <c r="AJ35" s="239">
        <f>+AJ34+6</f>
        <v>18</v>
      </c>
      <c r="AK35" s="228">
        <f t="shared" si="26"/>
        <v>18</v>
      </c>
      <c r="AL35" s="228">
        <f t="shared" si="27"/>
        <v>5</v>
      </c>
      <c r="AM35" s="228" t="b">
        <f t="shared" si="23"/>
        <v>1</v>
      </c>
      <c r="AN35" s="240">
        <f t="shared" si="24"/>
        <v>18</v>
      </c>
      <c r="AO35" s="239" t="str">
        <f t="array" ref="AO35:AP35">IF(AM35,INDEX($AH$31:$AI$72,AN35,0),"")</f>
        <v/>
      </c>
      <c r="AP35" s="240" t="str">
        <v/>
      </c>
      <c r="AQ35" s="239">
        <v>18</v>
      </c>
      <c r="AR35" s="241">
        <v>-0.18666666666666668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-0.18</v>
      </c>
      <c r="J36" s="95"/>
      <c r="K36" s="96"/>
      <c r="L36" s="95">
        <f t="shared" si="13"/>
        <v>-0.18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-0.18</v>
      </c>
      <c r="U36" s="72" t="e">
        <v>#N/A</v>
      </c>
      <c r="V36" s="71" t="e">
        <v>#N/A</v>
      </c>
      <c r="Y36" s="81" t="s">
        <v>180</v>
      </c>
      <c r="Z36" s="80">
        <f>$Z$29*_xll.RtGet($AD$32,$AD$33&amp;$Y36&amp;$AD$34,Z$30)</f>
        <v>-0.25</v>
      </c>
      <c r="AA36" s="78">
        <f>$Z$29*_xll.RtGet($AD$32,$AD$33&amp;$Y36&amp;$AD$34,AA$30)</f>
        <v>-0.17</v>
      </c>
      <c r="AF36" s="237">
        <f t="shared" si="20"/>
        <v>-0.21000000000000002</v>
      </c>
      <c r="AG36" s="231">
        <f t="shared" si="25"/>
        <v>36</v>
      </c>
      <c r="AH36" s="231">
        <f t="shared" si="21"/>
        <v>36</v>
      </c>
      <c r="AI36" s="238">
        <f t="shared" si="22"/>
        <v>-0.21000000000000002</v>
      </c>
      <c r="AJ36" s="242">
        <f>+AJ35+6</f>
        <v>24</v>
      </c>
      <c r="AK36" s="228">
        <f t="shared" si="26"/>
        <v>24</v>
      </c>
      <c r="AL36" s="228">
        <f t="shared" si="27"/>
        <v>6</v>
      </c>
      <c r="AM36" s="228" t="b">
        <f t="shared" si="23"/>
        <v>1</v>
      </c>
      <c r="AN36" s="240">
        <f t="shared" si="24"/>
        <v>24</v>
      </c>
      <c r="AO36" s="239" t="str">
        <f t="array" ref="AO36:AP36">IF(AM36,INDEX($AH$31:$AI$72,AN36,0),"")</f>
        <v/>
      </c>
      <c r="AP36" s="240" t="str">
        <v/>
      </c>
      <c r="AQ36" s="239">
        <v>24</v>
      </c>
      <c r="AR36" s="241">
        <v>-0.198641975308642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-0.1875</v>
      </c>
      <c r="J37" s="95"/>
      <c r="K37" s="96"/>
      <c r="L37" s="95">
        <f t="shared" si="13"/>
        <v>-0.1875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-0.1875</v>
      </c>
      <c r="U37" s="72" t="e">
        <v>#N/A</v>
      </c>
      <c r="V37" s="71" t="e">
        <v>#N/A</v>
      </c>
      <c r="Y37" s="81" t="s">
        <v>181</v>
      </c>
      <c r="Z37" s="80">
        <f>$Z$29*_xll.RtGet($AD$32,$AD$33&amp;$Y37&amp;$AD$34,Z$30)</f>
        <v>-0.25</v>
      </c>
      <c r="AA37" s="78">
        <f>$Z$29*_xll.RtGet($AD$32,$AD$33&amp;$Y37&amp;$AD$34,AA$30)</f>
        <v>-0.17</v>
      </c>
      <c r="AF37" s="237">
        <f t="shared" si="20"/>
        <v>-0.21000000000000002</v>
      </c>
      <c r="AG37" s="231">
        <f t="shared" si="25"/>
        <v>48</v>
      </c>
      <c r="AH37" s="231">
        <f t="shared" si="21"/>
        <v>48</v>
      </c>
      <c r="AI37" s="238">
        <f t="shared" si="22"/>
        <v>-0.21000000000000002</v>
      </c>
      <c r="AJ37" s="239">
        <f>+AJ36+12</f>
        <v>36</v>
      </c>
      <c r="AK37" s="228">
        <f t="shared" si="26"/>
        <v>36</v>
      </c>
      <c r="AL37" s="228">
        <f t="shared" si="27"/>
        <v>7</v>
      </c>
      <c r="AM37" s="228" t="b">
        <f t="shared" si="23"/>
        <v>1</v>
      </c>
      <c r="AN37" s="240">
        <f t="shared" si="24"/>
        <v>36</v>
      </c>
      <c r="AO37" s="239" t="str">
        <f t="array" ref="AO37:AP37">IF(AM37,INDEX($AH$31:$AI$72,AN37,0),"")</f>
        <v/>
      </c>
      <c r="AP37" s="240" t="str">
        <v/>
      </c>
      <c r="AQ37" s="239">
        <v>36</v>
      </c>
      <c r="AR37" s="241">
        <v>-0.21000000000000002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-0.19750000000000001</v>
      </c>
      <c r="J38" s="95"/>
      <c r="K38" s="96"/>
      <c r="L38" s="95">
        <f t="shared" si="13"/>
        <v>-0.19750000000000001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-0.19750000000000001</v>
      </c>
      <c r="U38" s="72" t="e">
        <v>#N/A</v>
      </c>
      <c r="V38" s="71" t="e">
        <v>#N/A</v>
      </c>
      <c r="Y38" s="81" t="s">
        <v>182</v>
      </c>
      <c r="Z38" s="80">
        <f>$Z$29*_xll.RtGet($AD$32,$AD$33&amp;$Y38&amp;$AD$34,Z$30)</f>
        <v>-0.2475</v>
      </c>
      <c r="AA38" s="78">
        <f>$Z$29*_xll.RtGet($AD$32,$AD$33&amp;$Y38&amp;$AD$34,AA$30)</f>
        <v>-0.16750000000000001</v>
      </c>
      <c r="AF38" s="237">
        <f t="shared" si="20"/>
        <v>-0.20750000000000002</v>
      </c>
      <c r="AG38" s="231">
        <f t="shared" si="25"/>
        <v>60</v>
      </c>
      <c r="AH38" s="231">
        <f t="shared" si="21"/>
        <v>60</v>
      </c>
      <c r="AI38" s="238">
        <f t="shared" si="22"/>
        <v>-0.20750000000000002</v>
      </c>
      <c r="AJ38" s="239">
        <f t="shared" ref="AJ38:AJ64" si="29">+AJ37+12</f>
        <v>48</v>
      </c>
      <c r="AK38" s="228">
        <f t="shared" si="26"/>
        <v>48</v>
      </c>
      <c r="AL38" s="228">
        <f t="shared" si="27"/>
        <v>8</v>
      </c>
      <c r="AM38" s="228" t="b">
        <f t="shared" si="23"/>
        <v>1</v>
      </c>
      <c r="AN38" s="240">
        <f t="shared" si="24"/>
        <v>48</v>
      </c>
      <c r="AO38" s="239" t="e">
        <f t="array" ref="AO38:AP38">IF(AM38,INDEX($AH$31:$AI$72,AN38,0),"")</f>
        <v>#REF!</v>
      </c>
      <c r="AP38" s="240" t="e">
        <v>#REF!</v>
      </c>
      <c r="AQ38" s="239">
        <v>48</v>
      </c>
      <c r="AR38" s="241">
        <v>-0.21000000000000002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-0.25</v>
      </c>
      <c r="AA39" s="78">
        <f>$Z$29*_xll.RtGet($AD$32,$AD$33&amp;$Y39&amp;$AD$34,AA$30)</f>
        <v>-0.17</v>
      </c>
      <c r="AF39" s="237">
        <f t="shared" si="20"/>
        <v>-0.21000000000000002</v>
      </c>
      <c r="AG39" s="231">
        <f t="shared" si="25"/>
        <v>84</v>
      </c>
      <c r="AH39" s="231">
        <f t="shared" si="21"/>
        <v>84</v>
      </c>
      <c r="AI39" s="238">
        <f t="shared" si="22"/>
        <v>-0.21000000000000002</v>
      </c>
      <c r="AJ39" s="239">
        <f t="shared" si="29"/>
        <v>60</v>
      </c>
      <c r="AK39" s="228">
        <f t="shared" si="26"/>
        <v>60</v>
      </c>
      <c r="AL39" s="228">
        <f t="shared" si="27"/>
        <v>9</v>
      </c>
      <c r="AM39" s="228" t="b">
        <f t="shared" si="23"/>
        <v>1</v>
      </c>
      <c r="AN39" s="240">
        <f t="shared" si="24"/>
        <v>60</v>
      </c>
      <c r="AO39" s="239" t="e">
        <f t="array" ref="AO39:AP39">IF(AM39,INDEX($AH$31:$AI$72,AN39,0),"")</f>
        <v>#REF!</v>
      </c>
      <c r="AP39" s="240" t="e">
        <v>#REF!</v>
      </c>
      <c r="AQ39" s="239">
        <v>60</v>
      </c>
      <c r="AR39" s="241">
        <v>-0.21000000000000002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-0.23500000000000001</v>
      </c>
      <c r="AA40" s="78">
        <f>$Z$29*_xll.RtGet($AD$32,$AD$33&amp;$Y40&amp;$AD$34,AA$30)</f>
        <v>-0.155</v>
      </c>
      <c r="AF40" s="237">
        <f t="shared" si="20"/>
        <v>-0.19500000000000001</v>
      </c>
      <c r="AG40" s="231">
        <f t="shared" si="25"/>
        <v>120</v>
      </c>
      <c r="AH40" s="231">
        <f t="shared" si="21"/>
        <v>120</v>
      </c>
      <c r="AI40" s="238">
        <f t="shared" si="22"/>
        <v>-0.19500000000000001</v>
      </c>
      <c r="AJ40" s="239">
        <f t="shared" si="29"/>
        <v>72</v>
      </c>
      <c r="AK40" s="228">
        <f t="shared" si="26"/>
        <v>72</v>
      </c>
      <c r="AL40" s="228">
        <f t="shared" si="27"/>
        <v>10</v>
      </c>
      <c r="AM40" s="228" t="b">
        <f t="shared" si="23"/>
        <v>1</v>
      </c>
      <c r="AN40" s="240">
        <f t="shared" si="24"/>
        <v>72</v>
      </c>
      <c r="AO40" s="239" t="e">
        <f t="array" ref="AO40:AP40">IF(AM40,INDEX($AH$31:$AI$72,AN40,0),"")</f>
        <v>#REF!</v>
      </c>
      <c r="AP40" s="240" t="e">
        <v>#REF!</v>
      </c>
      <c r="AQ40" s="239">
        <v>72</v>
      </c>
      <c r="AR40" s="241">
        <v>-0.21000000000000002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-0.22</v>
      </c>
      <c r="AA41" s="78">
        <f>$Z$29*_xll.RtGet($AD$32,$AD$33&amp;$Y41&amp;$AD$34,AA$30)</f>
        <v>-0.14000000000000001</v>
      </c>
      <c r="AF41" s="237">
        <f t="shared" si="20"/>
        <v>-0.18</v>
      </c>
      <c r="AG41" s="231">
        <f t="shared" si="25"/>
        <v>180</v>
      </c>
      <c r="AH41" s="231">
        <f t="shared" si="21"/>
        <v>180</v>
      </c>
      <c r="AI41" s="238">
        <f t="shared" si="22"/>
        <v>-0.18</v>
      </c>
      <c r="AJ41" s="239">
        <f t="shared" si="29"/>
        <v>84</v>
      </c>
      <c r="AK41" s="228">
        <f t="shared" si="26"/>
        <v>84</v>
      </c>
      <c r="AL41" s="228">
        <f t="shared" si="27"/>
        <v>11</v>
      </c>
      <c r="AM41" s="228" t="b">
        <f t="shared" si="23"/>
        <v>1</v>
      </c>
      <c r="AN41" s="240">
        <f t="shared" si="24"/>
        <v>84</v>
      </c>
      <c r="AO41" s="239" t="e">
        <f t="array" ref="AO41:AP41">IF(AM41,INDEX($AH$31:$AI$72,AN41,0),"")</f>
        <v>#REF!</v>
      </c>
      <c r="AP41" s="240" t="e">
        <v>#REF!</v>
      </c>
      <c r="AQ41" s="239">
        <v>84</v>
      </c>
      <c r="AR41" s="241">
        <v>-0.21000000000000002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-0.22750000000000001</v>
      </c>
      <c r="AA42" s="78">
        <f>$Z$29*_xll.RtGet($AD$32,$AD$33&amp;$Y42&amp;$AD$34,AA$30)</f>
        <v>-0.14749999999999999</v>
      </c>
      <c r="AF42" s="237">
        <f t="shared" si="20"/>
        <v>-0.1875</v>
      </c>
      <c r="AG42" s="231">
        <f t="shared" si="25"/>
        <v>240</v>
      </c>
      <c r="AH42" s="231">
        <f t="shared" si="21"/>
        <v>240</v>
      </c>
      <c r="AI42" s="238">
        <f t="shared" si="22"/>
        <v>-0.1875</v>
      </c>
      <c r="AJ42" s="239">
        <f t="shared" si="29"/>
        <v>96</v>
      </c>
      <c r="AK42" s="228">
        <f t="shared" si="26"/>
        <v>96</v>
      </c>
      <c r="AL42" s="228">
        <f t="shared" si="27"/>
        <v>12</v>
      </c>
      <c r="AM42" s="228" t="b">
        <f t="shared" si="23"/>
        <v>1</v>
      </c>
      <c r="AN42" s="240">
        <f t="shared" si="24"/>
        <v>96</v>
      </c>
      <c r="AO42" s="239" t="e">
        <f t="array" ref="AO42:AP42">IF(AM42,INDEX($AH$31:$AI$72,AN42,0),"")</f>
        <v>#REF!</v>
      </c>
      <c r="AP42" s="240" t="e">
        <v>#REF!</v>
      </c>
      <c r="AQ42" s="239">
        <v>96</v>
      </c>
      <c r="AR42" s="241">
        <v>-0.20980541647701412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-0.23750000000000002</v>
      </c>
      <c r="AA43" s="78">
        <f>$Z$29*_xll.RtGet($AD$32,$AD$33&amp;$Y43&amp;$AD$34,AA$30)</f>
        <v>-0.1575</v>
      </c>
      <c r="AF43" s="237">
        <f t="shared" si="20"/>
        <v>-0.19750000000000001</v>
      </c>
      <c r="AG43" s="231">
        <f t="shared" si="25"/>
        <v>360</v>
      </c>
      <c r="AH43" s="231">
        <f t="shared" si="21"/>
        <v>360</v>
      </c>
      <c r="AI43" s="238">
        <f t="shared" si="22"/>
        <v>-0.19750000000000001</v>
      </c>
      <c r="AJ43" s="239">
        <f t="shared" si="29"/>
        <v>108</v>
      </c>
      <c r="AK43" s="228">
        <f t="shared" si="26"/>
        <v>108</v>
      </c>
      <c r="AL43" s="228">
        <f t="shared" si="27"/>
        <v>13</v>
      </c>
      <c r="AM43" s="228" t="b">
        <f t="shared" si="23"/>
        <v>1</v>
      </c>
      <c r="AN43" s="240">
        <f t="shared" si="24"/>
        <v>108</v>
      </c>
      <c r="AO43" s="239" t="e">
        <f t="array" ref="AO43:AP43">IF(AM43,INDEX($AH$31:$AI$72,AN43,0),"")</f>
        <v>#REF!</v>
      </c>
      <c r="AP43" s="240" t="e">
        <v>#REF!</v>
      </c>
      <c r="AQ43" s="239">
        <v>108</v>
      </c>
      <c r="AR43" s="241">
        <v>-0.20924214838416025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7" t="e">
        <f t="shared" si="20"/>
        <v>#VALUE!</v>
      </c>
      <c r="AG44" s="231" t="str">
        <f t="shared" si="25"/>
        <v/>
      </c>
      <c r="AH44" s="231" t="str">
        <f t="shared" si="21"/>
        <v/>
      </c>
      <c r="AI44" s="238" t="str">
        <f t="shared" si="22"/>
        <v/>
      </c>
      <c r="AJ44" s="239">
        <f t="shared" si="29"/>
        <v>120</v>
      </c>
      <c r="AK44" s="228" t="str">
        <f t="shared" si="26"/>
        <v/>
      </c>
      <c r="AL44" s="228" t="str">
        <f t="shared" si="27"/>
        <v/>
      </c>
      <c r="AM44" s="228" t="b">
        <f t="shared" si="23"/>
        <v>0</v>
      </c>
      <c r="AN44" s="240" t="str">
        <f t="shared" si="24"/>
        <v/>
      </c>
      <c r="AO44" s="239" t="str">
        <f t="array" ref="AO44:AP44">IF(AM44,INDEX($AH$31:$AI$72,AN44,0),"")</f>
        <v/>
      </c>
      <c r="AP44" s="240" t="str">
        <v/>
      </c>
      <c r="AQ44" s="239">
        <v>120</v>
      </c>
      <c r="AR44" s="241">
        <v>-0.20834091943559402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7" t="e">
        <f t="shared" si="20"/>
        <v>#VALUE!</v>
      </c>
      <c r="AG45" s="231" t="str">
        <f t="shared" si="25"/>
        <v/>
      </c>
      <c r="AH45" s="231" t="str">
        <f t="shared" si="21"/>
        <v/>
      </c>
      <c r="AI45" s="238" t="str">
        <f t="shared" si="22"/>
        <v/>
      </c>
      <c r="AJ45" s="239">
        <f t="shared" si="29"/>
        <v>132</v>
      </c>
      <c r="AK45" s="228" t="str">
        <f t="shared" si="26"/>
        <v/>
      </c>
      <c r="AL45" s="228" t="str">
        <f t="shared" si="27"/>
        <v/>
      </c>
      <c r="AM45" s="228" t="b">
        <f t="shared" si="23"/>
        <v>0</v>
      </c>
      <c r="AN45" s="240" t="str">
        <f t="shared" si="24"/>
        <v/>
      </c>
      <c r="AO45" s="239" t="str">
        <f t="array" ref="AO45:AP45">IF(AM45,INDEX($AH$31:$AI$72,AN45,0),"")</f>
        <v/>
      </c>
      <c r="AP45" s="240" t="str">
        <v/>
      </c>
      <c r="AQ45" s="239">
        <v>132</v>
      </c>
      <c r="AR45" s="241">
        <v>-0.20713245334547112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7" t="e">
        <f t="shared" si="20"/>
        <v>#VALUE!</v>
      </c>
      <c r="AG46" s="231" t="str">
        <f t="shared" si="25"/>
        <v/>
      </c>
      <c r="AH46" s="231" t="str">
        <f t="shared" si="21"/>
        <v/>
      </c>
      <c r="AI46" s="238" t="str">
        <f t="shared" si="22"/>
        <v/>
      </c>
      <c r="AJ46" s="239">
        <f t="shared" si="29"/>
        <v>144</v>
      </c>
      <c r="AK46" s="228" t="str">
        <f t="shared" si="26"/>
        <v/>
      </c>
      <c r="AL46" s="228" t="str">
        <f t="shared" si="27"/>
        <v/>
      </c>
      <c r="AM46" s="228" t="b">
        <f t="shared" si="23"/>
        <v>0</v>
      </c>
      <c r="AN46" s="240" t="str">
        <f t="shared" si="24"/>
        <v/>
      </c>
      <c r="AO46" s="239" t="str">
        <f t="array" ref="AO46:AP46">IF(AM46,INDEX($AH$31:$AI$72,AN46,0),"")</f>
        <v/>
      </c>
      <c r="AP46" s="240" t="str">
        <v/>
      </c>
      <c r="AQ46" s="239">
        <v>144</v>
      </c>
      <c r="AR46" s="241">
        <v>-0.20564747382794721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7" t="e">
        <f t="shared" si="20"/>
        <v>#VALUE!</v>
      </c>
      <c r="AG47" s="231" t="str">
        <f t="shared" si="25"/>
        <v/>
      </c>
      <c r="AH47" s="231" t="str">
        <f t="shared" si="21"/>
        <v/>
      </c>
      <c r="AI47" s="238" t="str">
        <f t="shared" si="22"/>
        <v/>
      </c>
      <c r="AJ47" s="239">
        <f t="shared" si="29"/>
        <v>156</v>
      </c>
      <c r="AK47" s="228" t="str">
        <f t="shared" si="26"/>
        <v/>
      </c>
      <c r="AL47" s="228" t="str">
        <f t="shared" si="27"/>
        <v/>
      </c>
      <c r="AM47" s="228" t="b">
        <f t="shared" si="23"/>
        <v>0</v>
      </c>
      <c r="AN47" s="240" t="str">
        <f t="shared" si="24"/>
        <v/>
      </c>
      <c r="AO47" s="239" t="str">
        <f t="array" ref="AO47:AP47">IF(AM47,INDEX($AH$31:$AI$72,AN47,0),"")</f>
        <v/>
      </c>
      <c r="AP47" s="240" t="str">
        <v/>
      </c>
      <c r="AQ47" s="239">
        <v>156</v>
      </c>
      <c r="AR47" s="241">
        <v>-0.20391670459717798</v>
      </c>
    </row>
    <row r="48" spans="1:44" ht="11.25" customHeight="1" x14ac:dyDescent="0.2">
      <c r="B48" s="104" t="str">
        <f>"DomDiscCurveName"&amp;IF(ISBLANK(C8),"","#"&amp;C8)</f>
        <v>DomDiscCurveName#EURON_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7" t="e">
        <f t="shared" si="20"/>
        <v>#VALUE!</v>
      </c>
      <c r="AG48" s="231" t="str">
        <f t="shared" si="25"/>
        <v/>
      </c>
      <c r="AH48" s="231" t="str">
        <f t="shared" si="21"/>
        <v/>
      </c>
      <c r="AI48" s="238" t="str">
        <f t="shared" si="22"/>
        <v/>
      </c>
      <c r="AJ48" s="239">
        <f t="shared" si="29"/>
        <v>168</v>
      </c>
      <c r="AK48" s="228" t="str">
        <f t="shared" si="26"/>
        <v/>
      </c>
      <c r="AL48" s="228" t="str">
        <f t="shared" si="27"/>
        <v/>
      </c>
      <c r="AM48" s="228" t="b">
        <f t="shared" si="23"/>
        <v>0</v>
      </c>
      <c r="AN48" s="240" t="str">
        <f t="shared" si="24"/>
        <v/>
      </c>
      <c r="AO48" s="239" t="str">
        <f t="array" ref="AO48:AP48">IF(AM48,INDEX($AH$31:$AI$72,AN48,0),"")</f>
        <v/>
      </c>
      <c r="AP48" s="240" t="str">
        <v/>
      </c>
      <c r="AQ48" s="239">
        <v>168</v>
      </c>
      <c r="AR48" s="241">
        <v>-0.20197086936731909</v>
      </c>
    </row>
    <row r="49" spans="1:44" ht="11.25" customHeight="1" x14ac:dyDescent="0.2">
      <c r="B49" s="104" t="str">
        <f>"DomFwdCurveName"&amp;IF(ISBLANK(C9),"","#"&amp;C9)</f>
        <v>DomFwdCurveName#EUR3M_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7" t="e">
        <f t="shared" si="20"/>
        <v>#VALUE!</v>
      </c>
      <c r="AG49" s="231" t="str">
        <f t="shared" si="25"/>
        <v/>
      </c>
      <c r="AH49" s="231" t="str">
        <f t="shared" si="21"/>
        <v/>
      </c>
      <c r="AI49" s="238" t="str">
        <f t="shared" si="22"/>
        <v/>
      </c>
      <c r="AJ49" s="239">
        <f t="shared" si="29"/>
        <v>180</v>
      </c>
      <c r="AK49" s="228" t="str">
        <f t="shared" si="26"/>
        <v/>
      </c>
      <c r="AL49" s="228" t="str">
        <f t="shared" si="27"/>
        <v/>
      </c>
      <c r="AM49" s="228" t="b">
        <f t="shared" si="23"/>
        <v>0</v>
      </c>
      <c r="AN49" s="240" t="str">
        <f t="shared" si="24"/>
        <v/>
      </c>
      <c r="AO49" s="239" t="str">
        <f t="array" ref="AO49:AP49">IF(AM49,INDEX($AH$31:$AI$72,AN49,0),"")</f>
        <v/>
      </c>
      <c r="AP49" s="240" t="str">
        <v/>
      </c>
      <c r="AQ49" s="239">
        <v>180</v>
      </c>
      <c r="AR49" s="241">
        <v>-0.19984069185252618</v>
      </c>
    </row>
    <row r="50" spans="1:44" ht="11.25" customHeight="1" x14ac:dyDescent="0.2">
      <c r="B50" s="104" t="str">
        <f>"ForFwdCurveName"&amp;IF(ISBLANK(C10),"","#"&amp;C10)</f>
        <v>ForFwdCurveName#USD3M_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7" t="e">
        <f t="shared" si="20"/>
        <v>#VALUE!</v>
      </c>
      <c r="AG50" s="231" t="str">
        <f t="shared" si="25"/>
        <v/>
      </c>
      <c r="AH50" s="231" t="str">
        <f t="shared" si="21"/>
        <v/>
      </c>
      <c r="AI50" s="238" t="str">
        <f t="shared" si="22"/>
        <v/>
      </c>
      <c r="AJ50" s="239">
        <f t="shared" si="29"/>
        <v>192</v>
      </c>
      <c r="AK50" s="228" t="str">
        <f t="shared" si="26"/>
        <v/>
      </c>
      <c r="AL50" s="228" t="str">
        <f t="shared" si="27"/>
        <v/>
      </c>
      <c r="AM50" s="228" t="b">
        <f t="shared" si="23"/>
        <v>0</v>
      </c>
      <c r="AN50" s="240" t="str">
        <f t="shared" si="24"/>
        <v/>
      </c>
      <c r="AO50" s="239" t="str">
        <f t="array" ref="AO50:AP50">IF(AM50,INDEX($AH$31:$AI$72,AN50,0),"")</f>
        <v/>
      </c>
      <c r="AP50" s="240" t="str">
        <v/>
      </c>
      <c r="AQ50" s="239">
        <v>192</v>
      </c>
      <c r="AR50" s="241">
        <v>-0.19755689576695495</v>
      </c>
    </row>
    <row r="51" spans="1:44" ht="11.25" customHeight="1" x14ac:dyDescent="0.2">
      <c r="B51" s="104" t="str">
        <f>"CCSSpreadCurr"&amp;IF(ISBLANK(C7),"","#"&amp;C7)</f>
        <v>CCSSpreadCurr#EUR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7" t="e">
        <f t="shared" si="20"/>
        <v>#VALUE!</v>
      </c>
      <c r="AG51" s="231" t="str">
        <f t="shared" si="25"/>
        <v/>
      </c>
      <c r="AH51" s="231" t="str">
        <f t="shared" si="21"/>
        <v/>
      </c>
      <c r="AI51" s="238" t="str">
        <f t="shared" si="22"/>
        <v/>
      </c>
      <c r="AJ51" s="239">
        <f t="shared" si="29"/>
        <v>204</v>
      </c>
      <c r="AK51" s="228" t="str">
        <f t="shared" si="26"/>
        <v/>
      </c>
      <c r="AL51" s="228" t="str">
        <f t="shared" si="27"/>
        <v/>
      </c>
      <c r="AM51" s="228" t="b">
        <f t="shared" si="23"/>
        <v>0</v>
      </c>
      <c r="AN51" s="240" t="str">
        <f t="shared" si="24"/>
        <v/>
      </c>
      <c r="AO51" s="239" t="str">
        <f t="array" ref="AO51:AP51">IF(AM51,INDEX($AH$31:$AI$72,AN51,0),"")</f>
        <v/>
      </c>
      <c r="AP51" s="240" t="str">
        <v/>
      </c>
      <c r="AQ51" s="239">
        <v>204</v>
      </c>
      <c r="AR51" s="241">
        <v>-0.19515020482476103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7" t="e">
        <f t="shared" si="20"/>
        <v>#VALUE!</v>
      </c>
      <c r="AG52" s="231" t="str">
        <f t="shared" si="25"/>
        <v/>
      </c>
      <c r="AH52" s="231" t="str">
        <f t="shared" si="21"/>
        <v/>
      </c>
      <c r="AI52" s="238" t="str">
        <f t="shared" si="22"/>
        <v/>
      </c>
      <c r="AJ52" s="239">
        <f t="shared" si="29"/>
        <v>216</v>
      </c>
      <c r="AK52" s="228" t="str">
        <f t="shared" si="26"/>
        <v/>
      </c>
      <c r="AL52" s="228" t="str">
        <f t="shared" si="27"/>
        <v/>
      </c>
      <c r="AM52" s="228" t="b">
        <f t="shared" si="23"/>
        <v>0</v>
      </c>
      <c r="AN52" s="240" t="str">
        <f t="shared" si="24"/>
        <v/>
      </c>
      <c r="AO52" s="239" t="str">
        <f t="array" ref="AO52:AP52">IF(AM52,INDEX($AH$31:$AI$72,AN52,0),"")</f>
        <v/>
      </c>
      <c r="AP52" s="240" t="str">
        <v/>
      </c>
      <c r="AQ52" s="239">
        <v>216</v>
      </c>
      <c r="AR52" s="241">
        <v>-0.19265134274010015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7" t="e">
        <f t="shared" si="20"/>
        <v>#VALUE!</v>
      </c>
      <c r="AG53" s="231" t="str">
        <f t="shared" si="25"/>
        <v/>
      </c>
      <c r="AH53" s="231" t="str">
        <f t="shared" si="21"/>
        <v/>
      </c>
      <c r="AI53" s="238" t="str">
        <f t="shared" si="22"/>
        <v/>
      </c>
      <c r="AJ53" s="239">
        <f t="shared" si="29"/>
        <v>228</v>
      </c>
      <c r="AK53" s="228" t="str">
        <f t="shared" si="26"/>
        <v/>
      </c>
      <c r="AL53" s="228" t="str">
        <f t="shared" si="27"/>
        <v/>
      </c>
      <c r="AM53" s="228" t="b">
        <f t="shared" si="23"/>
        <v>0</v>
      </c>
      <c r="AN53" s="240" t="str">
        <f t="shared" si="24"/>
        <v/>
      </c>
      <c r="AO53" s="239" t="str">
        <f t="array" ref="AO53:AP53">IF(AM53,INDEX($AH$31:$AI$72,AN53,0),"")</f>
        <v/>
      </c>
      <c r="AP53" s="240" t="str">
        <v/>
      </c>
      <c r="AQ53" s="239">
        <v>228</v>
      </c>
      <c r="AR53" s="241">
        <v>-0.19009103322712789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7" t="e">
        <f t="shared" si="20"/>
        <v>#VALUE!</v>
      </c>
      <c r="AG54" s="231" t="str">
        <f t="shared" si="25"/>
        <v/>
      </c>
      <c r="AH54" s="231" t="str">
        <f t="shared" si="21"/>
        <v/>
      </c>
      <c r="AI54" s="238" t="str">
        <f t="shared" si="22"/>
        <v/>
      </c>
      <c r="AJ54" s="239">
        <f t="shared" si="29"/>
        <v>240</v>
      </c>
      <c r="AK54" s="228" t="str">
        <f t="shared" si="26"/>
        <v/>
      </c>
      <c r="AL54" s="228" t="str">
        <f t="shared" si="27"/>
        <v/>
      </c>
      <c r="AM54" s="228" t="b">
        <f t="shared" si="23"/>
        <v>0</v>
      </c>
      <c r="AN54" s="240" t="str">
        <f t="shared" si="24"/>
        <v/>
      </c>
      <c r="AO54" s="239" t="str">
        <f t="array" ref="AO54:AP54">IF(AM54,INDEX($AH$31:$AI$72,AN54,0),"")</f>
        <v/>
      </c>
      <c r="AP54" s="240" t="str">
        <v/>
      </c>
      <c r="AQ54" s="239">
        <v>240</v>
      </c>
      <c r="AR54" s="241">
        <v>-0.1875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7" t="e">
        <f t="shared" si="20"/>
        <v>#VALUE!</v>
      </c>
      <c r="AG55" s="231" t="str">
        <f t="shared" si="25"/>
        <v/>
      </c>
      <c r="AH55" s="231" t="str">
        <f t="shared" si="21"/>
        <v/>
      </c>
      <c r="AI55" s="238" t="str">
        <f t="shared" si="22"/>
        <v/>
      </c>
      <c r="AJ55" s="239">
        <f t="shared" si="29"/>
        <v>252</v>
      </c>
      <c r="AK55" s="228" t="str">
        <f t="shared" si="26"/>
        <v/>
      </c>
      <c r="AL55" s="228" t="str">
        <f t="shared" si="27"/>
        <v/>
      </c>
      <c r="AM55" s="228" t="b">
        <f t="shared" si="23"/>
        <v>0</v>
      </c>
      <c r="AN55" s="240" t="str">
        <f t="shared" si="24"/>
        <v/>
      </c>
      <c r="AO55" s="239" t="str">
        <f t="array" ref="AO55:AP55">IF(AM55,INDEX($AH$31:$AI$72,AN55,0),"")</f>
        <v/>
      </c>
      <c r="AP55" s="240" t="str">
        <v/>
      </c>
      <c r="AQ55" s="239">
        <v>252</v>
      </c>
      <c r="AR55" s="241">
        <v>-0.18490896677287211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7" t="e">
        <f t="shared" si="20"/>
        <v>#VALUE!</v>
      </c>
      <c r="AG56" s="231" t="str">
        <f t="shared" si="25"/>
        <v/>
      </c>
      <c r="AH56" s="231" t="str">
        <f t="shared" si="21"/>
        <v/>
      </c>
      <c r="AI56" s="238" t="str">
        <f t="shared" si="22"/>
        <v/>
      </c>
      <c r="AJ56" s="239">
        <f t="shared" si="29"/>
        <v>264</v>
      </c>
      <c r="AK56" s="228" t="str">
        <f t="shared" si="26"/>
        <v/>
      </c>
      <c r="AL56" s="228" t="str">
        <f t="shared" si="27"/>
        <v/>
      </c>
      <c r="AM56" s="228" t="b">
        <f t="shared" si="23"/>
        <v>0</v>
      </c>
      <c r="AN56" s="240" t="str">
        <f t="shared" si="24"/>
        <v/>
      </c>
      <c r="AO56" s="239" t="str">
        <f t="array" ref="AO56:AP56">IF(AM56,INDEX($AH$31:$AI$72,AN56,0),"")</f>
        <v/>
      </c>
      <c r="AP56" s="240" t="str">
        <v/>
      </c>
      <c r="AQ56" s="239">
        <v>264</v>
      </c>
      <c r="AR56" s="241">
        <v>-0.18234865725989985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7" t="e">
        <f t="shared" si="20"/>
        <v>#VALUE!</v>
      </c>
      <c r="AG57" s="231" t="str">
        <f t="shared" si="25"/>
        <v/>
      </c>
      <c r="AH57" s="231" t="str">
        <f t="shared" si="21"/>
        <v/>
      </c>
      <c r="AI57" s="238" t="str">
        <f t="shared" si="22"/>
        <v/>
      </c>
      <c r="AJ57" s="239">
        <f t="shared" si="29"/>
        <v>276</v>
      </c>
      <c r="AK57" s="228" t="str">
        <f t="shared" si="26"/>
        <v/>
      </c>
      <c r="AL57" s="228" t="str">
        <f t="shared" si="27"/>
        <v/>
      </c>
      <c r="AM57" s="228" t="b">
        <f t="shared" si="23"/>
        <v>0</v>
      </c>
      <c r="AN57" s="240" t="str">
        <f t="shared" si="24"/>
        <v/>
      </c>
      <c r="AO57" s="239" t="str">
        <f t="array" ref="AO57:AP57">IF(AM57,INDEX($AH$31:$AI$72,AN57,0),"")</f>
        <v/>
      </c>
      <c r="AP57" s="240" t="str">
        <v/>
      </c>
      <c r="AQ57" s="239">
        <v>276</v>
      </c>
      <c r="AR57" s="241">
        <v>-0.17984979517523894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7" t="e">
        <f t="shared" si="20"/>
        <v>#VALUE!</v>
      </c>
      <c r="AG58" s="231" t="str">
        <f t="shared" si="25"/>
        <v/>
      </c>
      <c r="AH58" s="231" t="str">
        <f t="shared" si="21"/>
        <v/>
      </c>
      <c r="AI58" s="238" t="str">
        <f t="shared" si="22"/>
        <v/>
      </c>
      <c r="AJ58" s="239">
        <f t="shared" si="29"/>
        <v>288</v>
      </c>
      <c r="AK58" s="228" t="str">
        <f t="shared" si="26"/>
        <v/>
      </c>
      <c r="AL58" s="228" t="str">
        <f t="shared" si="27"/>
        <v/>
      </c>
      <c r="AM58" s="228" t="b">
        <f t="shared" si="23"/>
        <v>0</v>
      </c>
      <c r="AN58" s="240" t="str">
        <f t="shared" si="24"/>
        <v/>
      </c>
      <c r="AO58" s="239" t="str">
        <f t="array" ref="AO58:AP58">IF(AM58,INDEX($AH$31:$AI$72,AN58,0),"")</f>
        <v/>
      </c>
      <c r="AP58" s="240" t="str">
        <v/>
      </c>
      <c r="AQ58" s="239">
        <v>288</v>
      </c>
      <c r="AR58" s="241">
        <v>-0.17744310423304505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7" t="e">
        <f t="shared" si="20"/>
        <v>#VALUE!</v>
      </c>
      <c r="AG59" s="231" t="str">
        <f t="shared" si="25"/>
        <v/>
      </c>
      <c r="AH59" s="231" t="str">
        <f t="shared" si="21"/>
        <v/>
      </c>
      <c r="AI59" s="238" t="str">
        <f t="shared" si="22"/>
        <v/>
      </c>
      <c r="AJ59" s="239">
        <f t="shared" si="29"/>
        <v>300</v>
      </c>
      <c r="AK59" s="228" t="str">
        <f t="shared" si="26"/>
        <v/>
      </c>
      <c r="AL59" s="228" t="str">
        <f t="shared" si="27"/>
        <v/>
      </c>
      <c r="AM59" s="228" t="b">
        <f t="shared" si="23"/>
        <v>0</v>
      </c>
      <c r="AN59" s="240" t="str">
        <f t="shared" si="24"/>
        <v/>
      </c>
      <c r="AO59" s="239" t="str">
        <f t="array" ref="AO59:AP59">IF(AM59,INDEX($AH$31:$AI$72,AN59,0),"")</f>
        <v/>
      </c>
      <c r="AP59" s="240" t="str">
        <v/>
      </c>
      <c r="AQ59" s="239">
        <v>300</v>
      </c>
      <c r="AR59" s="241">
        <v>-0.17515930814747382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7" t="e">
        <f t="shared" si="20"/>
        <v>#VALUE!</v>
      </c>
      <c r="AG60" s="231" t="str">
        <f t="shared" si="25"/>
        <v/>
      </c>
      <c r="AH60" s="231" t="str">
        <f t="shared" si="21"/>
        <v/>
      </c>
      <c r="AI60" s="238" t="str">
        <f t="shared" si="22"/>
        <v/>
      </c>
      <c r="AJ60" s="239">
        <f t="shared" si="29"/>
        <v>312</v>
      </c>
      <c r="AK60" s="228" t="str">
        <f t="shared" si="26"/>
        <v/>
      </c>
      <c r="AL60" s="228" t="str">
        <f t="shared" si="27"/>
        <v/>
      </c>
      <c r="AM60" s="228" t="b">
        <f t="shared" si="23"/>
        <v>0</v>
      </c>
      <c r="AN60" s="240" t="str">
        <f t="shared" si="24"/>
        <v/>
      </c>
      <c r="AO60" s="239" t="str">
        <f t="array" ref="AO60:AP60">IF(AM60,INDEX($AH$31:$AI$72,AN60,0),"")</f>
        <v/>
      </c>
      <c r="AP60" s="240" t="str">
        <v/>
      </c>
      <c r="AQ60" s="239">
        <v>312</v>
      </c>
      <c r="AR60" s="241">
        <v>-0.17302913063268091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7" t="e">
        <f t="shared" si="20"/>
        <v>#VALUE!</v>
      </c>
      <c r="AG61" s="231" t="str">
        <f t="shared" si="25"/>
        <v/>
      </c>
      <c r="AH61" s="231" t="str">
        <f t="shared" si="21"/>
        <v/>
      </c>
      <c r="AI61" s="238" t="str">
        <f t="shared" si="22"/>
        <v/>
      </c>
      <c r="AJ61" s="239">
        <f t="shared" si="29"/>
        <v>324</v>
      </c>
      <c r="AK61" s="228" t="str">
        <f t="shared" si="26"/>
        <v/>
      </c>
      <c r="AL61" s="228" t="str">
        <f t="shared" si="27"/>
        <v/>
      </c>
      <c r="AM61" s="228" t="b">
        <f t="shared" si="23"/>
        <v>0</v>
      </c>
      <c r="AN61" s="240" t="str">
        <f t="shared" si="24"/>
        <v/>
      </c>
      <c r="AO61" s="243"/>
      <c r="AP61" s="244"/>
      <c r="AQ61" s="239">
        <v>324</v>
      </c>
      <c r="AR61" s="241">
        <v>-0.17108329540282202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7" t="e">
        <f t="shared" si="20"/>
        <v>#VALUE!</v>
      </c>
      <c r="AG62" s="231" t="str">
        <f t="shared" si="25"/>
        <v/>
      </c>
      <c r="AH62" s="231" t="str">
        <f t="shared" si="21"/>
        <v/>
      </c>
      <c r="AI62" s="238" t="str">
        <f t="shared" si="22"/>
        <v/>
      </c>
      <c r="AJ62" s="239">
        <f t="shared" si="29"/>
        <v>336</v>
      </c>
      <c r="AK62" s="228" t="str">
        <f t="shared" si="26"/>
        <v/>
      </c>
      <c r="AL62" s="228" t="str">
        <f t="shared" si="27"/>
        <v/>
      </c>
      <c r="AM62" s="228" t="b">
        <f t="shared" si="23"/>
        <v>0</v>
      </c>
      <c r="AN62" s="240" t="str">
        <f t="shared" si="24"/>
        <v/>
      </c>
      <c r="AO62" s="243"/>
      <c r="AP62" s="244"/>
      <c r="AQ62" s="239">
        <v>336</v>
      </c>
      <c r="AR62" s="241">
        <v>-0.16935252617205276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7" t="e">
        <f t="shared" si="20"/>
        <v>#VALUE!</v>
      </c>
      <c r="AG63" s="231" t="str">
        <f t="shared" si="25"/>
        <v/>
      </c>
      <c r="AH63" s="231" t="str">
        <f t="shared" si="21"/>
        <v/>
      </c>
      <c r="AI63" s="238" t="str">
        <f t="shared" si="22"/>
        <v/>
      </c>
      <c r="AJ63" s="239">
        <f t="shared" si="29"/>
        <v>348</v>
      </c>
      <c r="AK63" s="228" t="str">
        <f t="shared" si="26"/>
        <v/>
      </c>
      <c r="AL63" s="228" t="str">
        <f t="shared" si="27"/>
        <v/>
      </c>
      <c r="AM63" s="228" t="b">
        <f t="shared" si="23"/>
        <v>0</v>
      </c>
      <c r="AN63" s="240" t="str">
        <f t="shared" si="24"/>
        <v/>
      </c>
      <c r="AO63" s="239" t="str">
        <f t="array" ref="AO63:AP63">IF(AM63,INDEX($AH$31:$AI$72,AN63,0),"")</f>
        <v/>
      </c>
      <c r="AP63" s="240" t="str">
        <v/>
      </c>
      <c r="AQ63" s="239">
        <v>348</v>
      </c>
      <c r="AR63" s="241">
        <v>-0.16786754665452885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7" t="e">
        <f t="shared" si="20"/>
        <v>#VALUE!</v>
      </c>
      <c r="AG64" s="231" t="str">
        <f t="shared" si="25"/>
        <v/>
      </c>
      <c r="AH64" s="231" t="str">
        <f t="shared" si="21"/>
        <v/>
      </c>
      <c r="AI64" s="238" t="str">
        <f t="shared" si="22"/>
        <v/>
      </c>
      <c r="AJ64" s="242">
        <f t="shared" si="29"/>
        <v>360</v>
      </c>
      <c r="AK64" s="228" t="str">
        <f t="shared" si="26"/>
        <v/>
      </c>
      <c r="AL64" s="228" t="str">
        <f t="shared" si="27"/>
        <v/>
      </c>
      <c r="AM64" s="228" t="b">
        <f t="shared" si="23"/>
        <v>0</v>
      </c>
      <c r="AN64" s="240" t="str">
        <f t="shared" si="24"/>
        <v/>
      </c>
      <c r="AO64" s="239" t="str">
        <f t="array" ref="AO64:AP64">IF(AM64,INDEX($AH$31:$AI$72,AN64,0),"")</f>
        <v/>
      </c>
      <c r="AP64" s="240" t="str">
        <v/>
      </c>
      <c r="AQ64" s="242">
        <v>360</v>
      </c>
      <c r="AR64" s="245">
        <v>-0.16665908056440598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7" t="e">
        <f t="shared" si="20"/>
        <v>#VALUE!</v>
      </c>
      <c r="AG65" s="231" t="str">
        <f t="shared" si="25"/>
        <v/>
      </c>
      <c r="AH65" s="231" t="str">
        <f t="shared" si="21"/>
        <v/>
      </c>
      <c r="AI65" s="238" t="str">
        <f t="shared" si="22"/>
        <v/>
      </c>
      <c r="AJ65" s="239">
        <f>+AJ64+60</f>
        <v>420</v>
      </c>
      <c r="AK65" s="228" t="str">
        <f t="shared" si="26"/>
        <v/>
      </c>
      <c r="AL65" s="228" t="str">
        <f t="shared" si="27"/>
        <v/>
      </c>
      <c r="AM65" s="228" t="b">
        <f t="shared" si="23"/>
        <v>0</v>
      </c>
      <c r="AN65" s="240" t="str">
        <f t="shared" si="24"/>
        <v/>
      </c>
      <c r="AO65" s="239" t="str">
        <f t="array" ref="AO65:AP65">IF(AM65,INDEX($AH$31:$AI$72,AN65,0),"")</f>
        <v/>
      </c>
      <c r="AP65" s="240" t="str">
        <v/>
      </c>
      <c r="AQ65" s="246"/>
      <c r="AR65" s="247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7" t="e">
        <f t="shared" si="20"/>
        <v>#VALUE!</v>
      </c>
      <c r="AG66" s="231" t="str">
        <f t="shared" si="25"/>
        <v/>
      </c>
      <c r="AH66" s="231" t="str">
        <f t="shared" si="21"/>
        <v/>
      </c>
      <c r="AI66" s="238" t="str">
        <f t="shared" si="22"/>
        <v/>
      </c>
      <c r="AJ66" s="239">
        <f t="shared" ref="AJ66:AJ72" si="30">+AJ65+60</f>
        <v>480</v>
      </c>
      <c r="AK66" s="228" t="str">
        <f t="shared" si="26"/>
        <v/>
      </c>
      <c r="AL66" s="228" t="str">
        <f t="shared" si="27"/>
        <v/>
      </c>
      <c r="AM66" s="228" t="b">
        <f t="shared" si="23"/>
        <v>0</v>
      </c>
      <c r="AN66" s="240" t="str">
        <f t="shared" si="24"/>
        <v/>
      </c>
      <c r="AO66" s="239" t="str">
        <f t="array" ref="AO66:AP66">IF(AM66,INDEX($AH$31:$AI$72,AN66,0),"")</f>
        <v/>
      </c>
      <c r="AP66" s="240" t="str">
        <v/>
      </c>
      <c r="AQ66" s="246"/>
      <c r="AR66" s="247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7" t="e">
        <f t="shared" si="20"/>
        <v>#VALUE!</v>
      </c>
      <c r="AG67" s="231" t="str">
        <f t="shared" si="25"/>
        <v/>
      </c>
      <c r="AH67" s="231" t="str">
        <f t="shared" si="21"/>
        <v/>
      </c>
      <c r="AI67" s="238" t="str">
        <f t="shared" si="22"/>
        <v/>
      </c>
      <c r="AJ67" s="239">
        <f t="shared" si="30"/>
        <v>540</v>
      </c>
      <c r="AK67" s="228" t="str">
        <f t="shared" si="26"/>
        <v/>
      </c>
      <c r="AL67" s="228" t="str">
        <f t="shared" si="27"/>
        <v/>
      </c>
      <c r="AM67" s="228" t="b">
        <f t="shared" si="23"/>
        <v>0</v>
      </c>
      <c r="AN67" s="240" t="str">
        <f t="shared" si="24"/>
        <v/>
      </c>
      <c r="AO67" s="239" t="str">
        <f t="array" ref="AO67:AP67">IF(AM67,INDEX($AH$31:$AI$72,AN67,0),"")</f>
        <v/>
      </c>
      <c r="AP67" s="240" t="str">
        <v/>
      </c>
      <c r="AQ67" s="246"/>
      <c r="AR67" s="247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7" t="e">
        <f t="shared" si="20"/>
        <v>#VALUE!</v>
      </c>
      <c r="AG68" s="231" t="str">
        <f t="shared" si="25"/>
        <v/>
      </c>
      <c r="AH68" s="231" t="str">
        <f t="shared" si="21"/>
        <v/>
      </c>
      <c r="AI68" s="238" t="str">
        <f t="shared" si="22"/>
        <v/>
      </c>
      <c r="AJ68" s="239">
        <f t="shared" si="30"/>
        <v>600</v>
      </c>
      <c r="AK68" s="228" t="str">
        <f t="shared" si="26"/>
        <v/>
      </c>
      <c r="AL68" s="228" t="str">
        <f t="shared" si="27"/>
        <v/>
      </c>
      <c r="AM68" s="228" t="b">
        <f t="shared" si="23"/>
        <v>0</v>
      </c>
      <c r="AN68" s="240" t="str">
        <f t="shared" si="24"/>
        <v/>
      </c>
      <c r="AO68" s="239" t="str">
        <f t="array" ref="AO68:AP68">IF(AM68,INDEX($AH$31:$AI$72,AN68,0),"")</f>
        <v/>
      </c>
      <c r="AP68" s="240" t="str">
        <v/>
      </c>
      <c r="AQ68" s="246"/>
      <c r="AR68" s="247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7" t="e">
        <f t="shared" si="20"/>
        <v>#VALUE!</v>
      </c>
      <c r="AG69" s="231" t="str">
        <f t="shared" si="25"/>
        <v/>
      </c>
      <c r="AH69" s="231" t="str">
        <f t="shared" si="21"/>
        <v/>
      </c>
      <c r="AI69" s="238" t="str">
        <f t="shared" si="22"/>
        <v/>
      </c>
      <c r="AJ69" s="239">
        <f t="shared" si="30"/>
        <v>660</v>
      </c>
      <c r="AK69" s="228" t="str">
        <f t="shared" si="26"/>
        <v/>
      </c>
      <c r="AL69" s="228" t="str">
        <f t="shared" si="27"/>
        <v/>
      </c>
      <c r="AM69" s="228" t="b">
        <f t="shared" si="23"/>
        <v>0</v>
      </c>
      <c r="AN69" s="240" t="str">
        <f t="shared" si="24"/>
        <v/>
      </c>
      <c r="AO69" s="239" t="str">
        <f t="array" ref="AO69:AP69">IF(AM69,INDEX($AH$31:$AI$72,AN69,0),"")</f>
        <v/>
      </c>
      <c r="AP69" s="240" t="str">
        <v/>
      </c>
      <c r="AQ69" s="246"/>
      <c r="AR69" s="247"/>
    </row>
    <row r="70" spans="2:44" ht="11.25" customHeight="1" x14ac:dyDescent="0.2">
      <c r="B70" s="301" t="s">
        <v>221</v>
      </c>
      <c r="C70" s="301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7" t="e">
        <f t="shared" si="20"/>
        <v>#VALUE!</v>
      </c>
      <c r="AG70" s="231" t="str">
        <f t="shared" si="25"/>
        <v/>
      </c>
      <c r="AH70" s="231" t="str">
        <f t="shared" si="21"/>
        <v/>
      </c>
      <c r="AI70" s="238" t="str">
        <f t="shared" si="22"/>
        <v/>
      </c>
      <c r="AJ70" s="239">
        <f t="shared" si="30"/>
        <v>720</v>
      </c>
      <c r="AK70" s="228" t="str">
        <f t="shared" si="26"/>
        <v/>
      </c>
      <c r="AL70" s="228" t="str">
        <f t="shared" si="27"/>
        <v/>
      </c>
      <c r="AM70" s="228" t="b">
        <f t="shared" si="23"/>
        <v>0</v>
      </c>
      <c r="AN70" s="240" t="str">
        <f t="shared" si="24"/>
        <v/>
      </c>
      <c r="AO70" s="239" t="str">
        <f t="array" ref="AO70:AP70">IF(AM70,INDEX($AH$31:$AI$72,AN70,0),"")</f>
        <v/>
      </c>
      <c r="AP70" s="240" t="str">
        <v/>
      </c>
      <c r="AQ70" s="246"/>
      <c r="AR70" s="247"/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7" t="e">
        <f t="shared" si="20"/>
        <v>#VALUE!</v>
      </c>
      <c r="AG71" s="231" t="str">
        <f t="shared" si="25"/>
        <v/>
      </c>
      <c r="AH71" s="231" t="str">
        <f t="shared" si="21"/>
        <v/>
      </c>
      <c r="AI71" s="238" t="str">
        <f t="shared" si="22"/>
        <v/>
      </c>
      <c r="AJ71" s="239">
        <f t="shared" si="30"/>
        <v>780</v>
      </c>
      <c r="AK71" s="228" t="str">
        <f t="shared" si="26"/>
        <v/>
      </c>
      <c r="AL71" s="228" t="str">
        <f t="shared" si="27"/>
        <v/>
      </c>
      <c r="AM71" s="228" t="b">
        <f t="shared" si="23"/>
        <v>0</v>
      </c>
      <c r="AN71" s="240" t="str">
        <f t="shared" si="24"/>
        <v/>
      </c>
      <c r="AO71" s="239" t="str">
        <f t="array" ref="AO71:AP71">IF(AM71,INDEX($AH$31:$AI$72,AN71,0),"")</f>
        <v/>
      </c>
      <c r="AP71" s="240" t="str">
        <v/>
      </c>
      <c r="AQ71" s="246"/>
      <c r="AR71" s="247"/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5" t="e">
        <f t="shared" si="20"/>
        <v>#VALUE!</v>
      </c>
      <c r="AG72" s="248" t="str">
        <f t="shared" si="25"/>
        <v/>
      </c>
      <c r="AH72" s="249" t="str">
        <f>IF(AH30,AQ29,AG72)</f>
        <v/>
      </c>
      <c r="AI72" s="249" t="e">
        <f>IF(AH30,INDEX(AF31:AF72,MATCH(AG29,AG31:AG72,0)),AF72)</f>
        <v>#VALUE!</v>
      </c>
      <c r="AJ72" s="242">
        <f t="shared" si="30"/>
        <v>840</v>
      </c>
      <c r="AK72" s="250" t="str">
        <f t="shared" si="26"/>
        <v/>
      </c>
      <c r="AL72" s="250" t="str">
        <f t="shared" si="27"/>
        <v/>
      </c>
      <c r="AM72" s="250" t="b">
        <f t="shared" si="23"/>
        <v>0</v>
      </c>
      <c r="AN72" s="251" t="str">
        <f t="shared" si="24"/>
        <v/>
      </c>
      <c r="AO72" s="242" t="str">
        <f t="array" ref="AO72:AP72">IF(AM72,INDEX($AH$31:$AI$72,AN72,0),"")</f>
        <v/>
      </c>
      <c r="AP72" s="251" t="str">
        <v/>
      </c>
      <c r="AQ72" s="252"/>
      <c r="AR72" s="253"/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3:E20 E23 E26:E67">
    <cfRule type="cellIs" dxfId="61" priority="9" stopIfTrue="1" operator="equal">
      <formula>FALSE</formula>
    </cfRule>
  </conditionalFormatting>
  <conditionalFormatting sqref="I3:L20 I23:L23">
    <cfRule type="expression" dxfId="60" priority="4" stopIfTrue="1">
      <formula>NOT($E3)</formula>
    </cfRule>
  </conditionalFormatting>
  <conditionalFormatting sqref="I26:L67">
    <cfRule type="expression" dxfId="59" priority="1" stopIfTrue="1">
      <formula>NOT($E26)</formula>
    </cfRule>
  </conditionalFormatting>
  <conditionalFormatting sqref="L3:L20">
    <cfRule type="expression" dxfId="58" priority="5" stopIfTrue="1">
      <formula>ISNUMBER(J3)</formula>
    </cfRule>
    <cfRule type="expression" dxfId="57" priority="8" stopIfTrue="1">
      <formula>ISNUMBER(K3)</formula>
    </cfRule>
  </conditionalFormatting>
  <conditionalFormatting sqref="L23">
    <cfRule type="expression" dxfId="56" priority="3" stopIfTrue="1">
      <formula>ISNUMBER(J23)</formula>
    </cfRule>
    <cfRule type="expression" dxfId="55" priority="7" stopIfTrue="1">
      <formula>ISNUMBER(K23)</formula>
    </cfRule>
  </conditionalFormatting>
  <conditionalFormatting sqref="L26:L67">
    <cfRule type="expression" dxfId="54" priority="2" stopIfTrue="1">
      <formula>ISNUMBER(J26)</formula>
    </cfRule>
    <cfRule type="expression" dxfId="53" priority="6" stopIfTrue="1">
      <formula>ISNUMBER(K26)</formula>
    </cfRule>
  </conditionalFormatting>
  <dataValidations count="8">
    <dataValidation type="list" allowBlank="1" showInputMessage="1" showErrorMessage="1" sqref="C40">
      <formula1>INDEX(dvCurveBootstrapperOutputType,0,1)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4 C33 C37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3" r:id="rId4" name="Button 5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5" name="Button 7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0.59999389629810485"/>
    <outlinePr summaryRight="0"/>
  </sheetPr>
  <dimension ref="A1:AR97"/>
  <sheetViews>
    <sheetView showGridLines="0" workbookViewId="0">
      <selection activeCell="I32" sqref="I32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11.1640625" style="66" customWidth="1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3.66406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3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328" t="s">
        <v>97</v>
      </c>
      <c r="C2" s="32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0</v>
      </c>
      <c r="U2" s="202" t="s">
        <v>96</v>
      </c>
      <c r="V2" s="202" t="s">
        <v>145</v>
      </c>
      <c r="W2"/>
      <c r="X2"/>
      <c r="Y2" s="224" t="s">
        <v>82</v>
      </c>
      <c r="Z2" s="307" t="s">
        <v>71</v>
      </c>
      <c r="AA2" s="308" t="s">
        <v>70</v>
      </c>
      <c r="AB2" s="221"/>
      <c r="AC2" s="221"/>
      <c r="AD2" s="221"/>
      <c r="AF2" s="201" t="s">
        <v>154</v>
      </c>
      <c r="AG2" s="200"/>
      <c r="AH2" s="200"/>
      <c r="AI2" s="199"/>
    </row>
    <row r="3" spans="1:35" ht="11.25" customHeight="1" x14ac:dyDescent="0.2">
      <c r="A3" s="66"/>
      <c r="B3" s="198" t="s">
        <v>95</v>
      </c>
      <c r="C3" s="197">
        <f>EvaluationDate</f>
        <v>41992</v>
      </c>
      <c r="D3" s="66"/>
      <c r="E3" s="206" t="b">
        <v>0</v>
      </c>
      <c r="F3" s="207" t="str">
        <f>Y3</f>
        <v>ON</v>
      </c>
      <c r="G3" s="180">
        <v>0</v>
      </c>
      <c r="H3" s="208" t="s">
        <v>24</v>
      </c>
      <c r="I3" s="204" t="e">
        <f t="array" ref="I3:I4">100*AI17:AI18</f>
        <v>#VALUE!</v>
      </c>
      <c r="J3" s="209"/>
      <c r="K3" s="210"/>
      <c r="L3" s="209" t="e">
        <f t="shared" ref="L3:L20" si="0">IF(ISNUMBER(J3),J3,I3)+K3</f>
        <v>#VALUE!</v>
      </c>
      <c r="M3" s="129">
        <v>1</v>
      </c>
      <c r="N3" s="127" t="str">
        <f t="shared" ref="N3:N20" si="1">IF(E3,M3,"")</f>
        <v/>
      </c>
      <c r="O3" s="73" t="str">
        <f>IF($S$2&gt;0,1,"")</f>
        <v/>
      </c>
      <c r="P3" s="127" t="str">
        <f t="shared" ref="P3:P20" si="2">IF(LEN(O3)&gt;0,SMALL($N$3:$N$20,O3),"")</f>
        <v/>
      </c>
      <c r="Q3" s="129" t="str">
        <f t="shared" ref="Q3:Q20" si="3">IF(LEN(O3)&gt;0,INDEX($G$3:$G$20,$P3),"")</f>
        <v/>
      </c>
      <c r="R3" s="128" t="str">
        <f t="shared" ref="R3:R20" si="4">IF(LEN(P3)&gt;0,INDEX($H$3:$H$20,$P3),"")</f>
        <v/>
      </c>
      <c r="S3" s="150" t="str">
        <f t="shared" ref="S3:S20" si="5">IF(LEN(P3)&gt;0,INDEX($L$3:$L$20,$P3),"")</f>
        <v/>
      </c>
      <c r="U3" s="196">
        <f t="array" ref="U3:V79">_xll.xlCCBasisCurveBootstrapper(C4,C3,C5,C6,L23,S2,Q3:S20,0,U2:V2,S25,R26:S67,C11,C12,C13,C45,B48:B69,C48:C69,C15)</f>
        <v>41992</v>
      </c>
      <c r="V3" s="195">
        <v>1</v>
      </c>
      <c r="W3"/>
      <c r="X3"/>
      <c r="Y3" s="229" t="s">
        <v>94</v>
      </c>
      <c r="Z3" s="229">
        <f>_xll.RtGet($AD$3,$AD$4&amp;$Y3&amp;$AD$5,Z$2)</f>
        <v>0.47000000000000003</v>
      </c>
      <c r="AA3" s="232">
        <f>_xll.RtGet($AD$3,$AD$4&amp;$Y3&amp;$AD$5,AA$2)</f>
        <v>0.57000000000000006</v>
      </c>
      <c r="AB3" s="221"/>
      <c r="AC3" s="309" t="s">
        <v>68</v>
      </c>
      <c r="AD3" s="310" t="s">
        <v>67</v>
      </c>
      <c r="AF3" s="194" t="s">
        <v>172</v>
      </c>
      <c r="AG3" s="193"/>
      <c r="AH3" s="193"/>
      <c r="AI3" s="217" t="s">
        <v>231</v>
      </c>
    </row>
    <row r="4" spans="1:35" ht="11.25" customHeight="1" x14ac:dyDescent="0.2">
      <c r="A4" s="66"/>
      <c r="B4" s="192" t="s">
        <v>91</v>
      </c>
      <c r="C4" s="191" t="s">
        <v>226</v>
      </c>
      <c r="D4" s="66"/>
      <c r="E4" s="211" t="b">
        <v>0</v>
      </c>
      <c r="F4" s="212" t="str">
        <f>Y4</f>
        <v>TN</v>
      </c>
      <c r="G4" s="213">
        <v>0</v>
      </c>
      <c r="H4" s="214" t="s">
        <v>93</v>
      </c>
      <c r="I4" s="205" t="e">
        <v>#VALUE!</v>
      </c>
      <c r="J4" s="215"/>
      <c r="K4" s="216"/>
      <c r="L4" s="215" t="e">
        <f t="shared" si="0"/>
        <v>#VALUE!</v>
      </c>
      <c r="M4" s="80">
        <f t="shared" ref="M4:M20" si="6">M3+1</f>
        <v>2</v>
      </c>
      <c r="N4" s="78" t="str">
        <f t="shared" si="1"/>
        <v/>
      </c>
      <c r="O4" s="80" t="str">
        <f t="shared" ref="O4:O20" si="7">IF(O3&lt;$S$2,O3+1,"")</f>
        <v/>
      </c>
      <c r="P4" s="78" t="str">
        <f t="shared" si="2"/>
        <v/>
      </c>
      <c r="Q4" s="80" t="str">
        <f t="shared" si="3"/>
        <v/>
      </c>
      <c r="R4" s="79" t="str">
        <f t="shared" si="4"/>
        <v/>
      </c>
      <c r="S4" s="93" t="str">
        <f t="shared" si="5"/>
        <v/>
      </c>
      <c r="U4" s="72">
        <v>42361</v>
      </c>
      <c r="V4" s="71">
        <v>0.99842967301351149</v>
      </c>
      <c r="W4"/>
      <c r="X4"/>
      <c r="Y4" s="237" t="s">
        <v>92</v>
      </c>
      <c r="Z4" s="237">
        <f>_xll.RtGet($AD$3,$AD$4&amp;$Y4&amp;$AD$5,Z$2)</f>
        <v>0.47000000000000003</v>
      </c>
      <c r="AA4" s="238">
        <f>_xll.RtGet($AD$3,$AD$4&amp;$Y4&amp;$AD$5,AA$2)</f>
        <v>0.57000000000000006</v>
      </c>
      <c r="AB4" s="221"/>
      <c r="AC4" s="311" t="s">
        <v>66</v>
      </c>
      <c r="AD4" s="312" t="s">
        <v>153</v>
      </c>
      <c r="AF4" s="124" t="s">
        <v>128</v>
      </c>
      <c r="AG4" s="177"/>
      <c r="AH4" s="177"/>
      <c r="AI4" s="190">
        <f>_xll.xlDateWorkFw($C$6,$C$3+1,0)</f>
        <v>41995</v>
      </c>
    </row>
    <row r="5" spans="1:35" ht="11.25" customHeight="1" x14ac:dyDescent="0.2">
      <c r="A5" s="68"/>
      <c r="B5" s="189" t="s">
        <v>98</v>
      </c>
      <c r="C5" s="157" t="s">
        <v>100</v>
      </c>
      <c r="D5" s="66"/>
      <c r="E5" s="91" t="b">
        <v>0</v>
      </c>
      <c r="F5" s="188" t="str">
        <f>Y5</f>
        <v>SN</v>
      </c>
      <c r="G5" s="75">
        <v>0</v>
      </c>
      <c r="H5" s="76" t="s">
        <v>90</v>
      </c>
      <c r="I5" s="90">
        <f>AVERAGE(Z5:AA5)</f>
        <v>0.52</v>
      </c>
      <c r="J5" s="88"/>
      <c r="K5" s="89"/>
      <c r="L5" s="88">
        <f t="shared" si="0"/>
        <v>0.52</v>
      </c>
      <c r="M5" s="80">
        <f t="shared" si="6"/>
        <v>3</v>
      </c>
      <c r="N5" s="78" t="str">
        <f t="shared" si="1"/>
        <v/>
      </c>
      <c r="O5" s="80" t="str">
        <f t="shared" si="7"/>
        <v/>
      </c>
      <c r="P5" s="78" t="str">
        <f t="shared" si="2"/>
        <v/>
      </c>
      <c r="Q5" s="80" t="str">
        <f t="shared" si="3"/>
        <v/>
      </c>
      <c r="R5" s="79" t="str">
        <f t="shared" si="4"/>
        <v/>
      </c>
      <c r="S5" s="93" t="str">
        <f t="shared" si="5"/>
        <v/>
      </c>
      <c r="U5" s="72">
        <v>42727</v>
      </c>
      <c r="V5" s="71">
        <v>0.99582001002119336</v>
      </c>
      <c r="W5"/>
      <c r="X5"/>
      <c r="Y5" s="225" t="s">
        <v>89</v>
      </c>
      <c r="Z5" s="225">
        <f>_xll.RtGet($AD$3,$AD$4&amp;$Y5&amp;$AD$5,Z$2)</f>
        <v>0.47000000000000003</v>
      </c>
      <c r="AA5" s="313">
        <f>_xll.RtGet($AD$3,$AD$4&amp;$Y5&amp;$AD$5,AA$2)</f>
        <v>0.57000000000000006</v>
      </c>
      <c r="AB5" s="221"/>
      <c r="AC5" s="314" t="s">
        <v>63</v>
      </c>
      <c r="AD5" s="315" t="s">
        <v>152</v>
      </c>
      <c r="AF5" s="121" t="s">
        <v>129</v>
      </c>
      <c r="AG5" s="68"/>
      <c r="AH5" s="68"/>
      <c r="AI5" s="187">
        <f>_xll.xlDateWorkFw($C$6,$AI$4+1,0)</f>
        <v>41996</v>
      </c>
    </row>
    <row r="6" spans="1:35" ht="11.25" customHeight="1" x14ac:dyDescent="0.2">
      <c r="A6" s="68"/>
      <c r="B6" s="186" t="s">
        <v>99</v>
      </c>
      <c r="C6" s="119" t="s">
        <v>222</v>
      </c>
      <c r="D6" s="66"/>
      <c r="E6" s="185" t="b">
        <v>0</v>
      </c>
      <c r="F6" s="184">
        <v>1</v>
      </c>
      <c r="G6" s="129">
        <v>1</v>
      </c>
      <c r="H6" s="127" t="s">
        <v>86</v>
      </c>
      <c r="I6" s="154" t="e">
        <f>AVERAGE(Z8:AA8)</f>
        <v>#DIV/0!</v>
      </c>
      <c r="J6" s="152"/>
      <c r="K6" s="153"/>
      <c r="L6" s="152" t="e">
        <f t="shared" si="0"/>
        <v>#DIV/0!</v>
      </c>
      <c r="M6" s="80">
        <f t="shared" si="6"/>
        <v>4</v>
      </c>
      <c r="N6" s="78" t="str">
        <f t="shared" si="1"/>
        <v/>
      </c>
      <c r="O6" s="80" t="str">
        <f t="shared" si="7"/>
        <v/>
      </c>
      <c r="P6" s="78" t="str">
        <f t="shared" si="2"/>
        <v/>
      </c>
      <c r="Q6" s="80" t="str">
        <f t="shared" si="3"/>
        <v/>
      </c>
      <c r="R6" s="79" t="str">
        <f t="shared" si="4"/>
        <v/>
      </c>
      <c r="S6" s="93" t="str">
        <f t="shared" si="5"/>
        <v/>
      </c>
      <c r="U6" s="72">
        <v>43096</v>
      </c>
      <c r="V6" s="71">
        <v>0.99013515642197525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3">
        <f>_xll.xlDateWorkFw($C$6,$AI$5+7,0)</f>
        <v>42003</v>
      </c>
    </row>
    <row r="7" spans="1:35" ht="11.25" customHeight="1" x14ac:dyDescent="0.2">
      <c r="A7" s="68"/>
      <c r="B7" s="147" t="s">
        <v>123</v>
      </c>
      <c r="C7" s="136" t="s">
        <v>222</v>
      </c>
      <c r="D7" s="66"/>
      <c r="E7" s="98" t="b">
        <v>0</v>
      </c>
      <c r="F7" s="182">
        <f>Y9</f>
        <v>2</v>
      </c>
      <c r="G7" s="80">
        <v>2</v>
      </c>
      <c r="H7" s="78" t="s">
        <v>86</v>
      </c>
      <c r="I7" s="97" t="e">
        <f>AVERAGE(Z9:AA9)</f>
        <v>#DIV/0!</v>
      </c>
      <c r="J7" s="95"/>
      <c r="K7" s="96"/>
      <c r="L7" s="95" t="e">
        <f t="shared" si="0"/>
        <v>#DIV/0!</v>
      </c>
      <c r="M7" s="80">
        <f t="shared" si="6"/>
        <v>5</v>
      </c>
      <c r="N7" s="78" t="str">
        <f t="shared" si="1"/>
        <v/>
      </c>
      <c r="O7" s="80" t="str">
        <f t="shared" si="7"/>
        <v/>
      </c>
      <c r="P7" s="78" t="str">
        <f t="shared" si="2"/>
        <v/>
      </c>
      <c r="Q7" s="80" t="str">
        <f t="shared" si="3"/>
        <v/>
      </c>
      <c r="R7" s="79" t="str">
        <f t="shared" si="4"/>
        <v/>
      </c>
      <c r="S7" s="93" t="str">
        <f t="shared" si="5"/>
        <v/>
      </c>
      <c r="U7" s="72">
        <v>43461</v>
      </c>
      <c r="V7" s="71">
        <v>0.98125817184787179</v>
      </c>
      <c r="W7"/>
      <c r="X7"/>
      <c r="Y7" s="133" t="s">
        <v>82</v>
      </c>
      <c r="Z7" s="135" t="s">
        <v>71</v>
      </c>
      <c r="AA7" s="134" t="s">
        <v>70</v>
      </c>
      <c r="AF7" s="124" t="s">
        <v>234</v>
      </c>
      <c r="AG7" s="177"/>
      <c r="AH7" s="177"/>
      <c r="AI7" s="176" t="str">
        <f t="array" ref="AI7:AI9">_xll.xlShmInterpDisc($AI$3,AI4:AI6+0*TYPE(ObjectsTrigger))</f>
        <v>Date before first TermStructure's date.</v>
      </c>
    </row>
    <row r="8" spans="1:35" ht="11.25" customHeight="1" x14ac:dyDescent="0.2">
      <c r="A8" s="68"/>
      <c r="B8" s="140" t="s">
        <v>107</v>
      </c>
      <c r="C8" s="119" t="s">
        <v>143</v>
      </c>
      <c r="D8" s="66"/>
      <c r="E8" s="91" t="b">
        <v>0</v>
      </c>
      <c r="F8" s="181">
        <f>Y10</f>
        <v>3</v>
      </c>
      <c r="G8" s="75">
        <v>3</v>
      </c>
      <c r="H8" s="76" t="s">
        <v>86</v>
      </c>
      <c r="I8" s="90" t="e">
        <f>AVERAGE(Z10:AA10)</f>
        <v>#DIV/0!</v>
      </c>
      <c r="J8" s="88"/>
      <c r="K8" s="89"/>
      <c r="L8" s="88" t="e">
        <f t="shared" si="0"/>
        <v>#DIV/0!</v>
      </c>
      <c r="M8" s="80">
        <f t="shared" si="6"/>
        <v>6</v>
      </c>
      <c r="N8" s="78" t="str">
        <f t="shared" si="1"/>
        <v/>
      </c>
      <c r="O8" s="80" t="str">
        <f t="shared" si="7"/>
        <v/>
      </c>
      <c r="P8" s="78" t="str">
        <f t="shared" si="2"/>
        <v/>
      </c>
      <c r="Q8" s="80" t="str">
        <f t="shared" si="3"/>
        <v/>
      </c>
      <c r="R8" s="79" t="str">
        <f t="shared" si="4"/>
        <v/>
      </c>
      <c r="S8" s="93" t="str">
        <f t="shared" si="5"/>
        <v/>
      </c>
      <c r="U8" s="72">
        <v>43822</v>
      </c>
      <c r="V8" s="71">
        <v>0.96848376526867186</v>
      </c>
      <c r="W8"/>
      <c r="X8"/>
      <c r="Y8" s="180" t="s">
        <v>85</v>
      </c>
      <c r="Z8" s="129" t="str">
        <f>_xll.RtGet($AD$8,$AD$9&amp;$Y8&amp;$AD$10,Z$7)</f>
        <v>#N/A RIC Not Found</v>
      </c>
      <c r="AA8" s="127" t="str">
        <f>_xll.RtGet($AD$8,$AD$9&amp;$Y8&amp;$AD$10,AA$7)</f>
        <v>#N/A RIC Not Found</v>
      </c>
      <c r="AC8" s="124" t="s">
        <v>68</v>
      </c>
      <c r="AD8" s="123" t="s">
        <v>102</v>
      </c>
      <c r="AF8" s="24" t="s">
        <v>235</v>
      </c>
      <c r="AG8" s="68"/>
      <c r="AH8" s="68"/>
      <c r="AI8" s="170" t="str">
        <v>Date before first TermStructure's date.</v>
      </c>
    </row>
    <row r="9" spans="1:35" ht="11.25" customHeight="1" x14ac:dyDescent="0.2">
      <c r="A9" s="68"/>
      <c r="B9" s="140" t="s">
        <v>108</v>
      </c>
      <c r="C9" s="119" t="s">
        <v>144</v>
      </c>
      <c r="D9" s="66"/>
      <c r="E9" s="98" t="b">
        <v>0</v>
      </c>
      <c r="F9" s="169">
        <f t="shared" ref="F9:F20" si="8">Y13</f>
        <v>1</v>
      </c>
      <c r="G9" s="80">
        <v>1</v>
      </c>
      <c r="H9" s="78" t="s">
        <v>81</v>
      </c>
      <c r="I9" s="97" t="e">
        <f t="shared" ref="I9:I20" si="9">AVERAGE(Z13:AA13)</f>
        <v>#DIV/0!</v>
      </c>
      <c r="J9" s="95"/>
      <c r="K9" s="96"/>
      <c r="L9" s="95" t="e">
        <f t="shared" si="0"/>
        <v>#DIV/0!</v>
      </c>
      <c r="M9" s="80">
        <f t="shared" si="6"/>
        <v>7</v>
      </c>
      <c r="N9" s="78" t="str">
        <f t="shared" si="1"/>
        <v/>
      </c>
      <c r="O9" s="80" t="str">
        <f t="shared" si="7"/>
        <v/>
      </c>
      <c r="P9" s="78" t="str">
        <f t="shared" si="2"/>
        <v/>
      </c>
      <c r="Q9" s="80" t="str">
        <f t="shared" si="3"/>
        <v/>
      </c>
      <c r="R9" s="79" t="str">
        <f t="shared" si="4"/>
        <v/>
      </c>
      <c r="S9" s="93" t="str">
        <f t="shared" si="5"/>
        <v/>
      </c>
      <c r="U9" s="72">
        <v>44553</v>
      </c>
      <c r="V9" s="71">
        <v>0.9348642025531686</v>
      </c>
      <c r="W9"/>
      <c r="X9"/>
      <c r="Y9" s="80">
        <v>2</v>
      </c>
      <c r="Z9" s="80" t="str">
        <f>_xll.RtGet($AD$8,$AD$9&amp;$Y9&amp;$AD$10,Z$7)</f>
        <v>#N/A RIC Not Found</v>
      </c>
      <c r="AA9" s="78" t="str">
        <f>_xll.RtGet($AD$8,$AD$9&amp;$Y9&amp;$AD$10,AA$7)</f>
        <v>#N/A RIC Not Found</v>
      </c>
      <c r="AC9" s="121" t="s">
        <v>66</v>
      </c>
      <c r="AD9" s="120"/>
      <c r="AF9" s="25" t="s">
        <v>236</v>
      </c>
      <c r="AG9" s="168"/>
      <c r="AH9" s="168"/>
      <c r="AI9" s="167" t="str">
        <v>Date before first TermStructure's date.</v>
      </c>
    </row>
    <row r="10" spans="1:35" ht="11.25" customHeight="1" x14ac:dyDescent="0.2">
      <c r="A10" s="68"/>
      <c r="B10" s="179" t="s">
        <v>109</v>
      </c>
      <c r="C10" s="119" t="s">
        <v>230</v>
      </c>
      <c r="D10" s="66"/>
      <c r="E10" s="98" t="b">
        <v>0</v>
      </c>
      <c r="F10" s="169">
        <f t="shared" si="8"/>
        <v>2</v>
      </c>
      <c r="G10" s="80">
        <v>2</v>
      </c>
      <c r="H10" s="78" t="s">
        <v>81</v>
      </c>
      <c r="I10" s="97" t="e">
        <f t="shared" si="9"/>
        <v>#DIV/0!</v>
      </c>
      <c r="J10" s="95"/>
      <c r="K10" s="96"/>
      <c r="L10" s="95" t="e">
        <f t="shared" si="0"/>
        <v>#DIV/0!</v>
      </c>
      <c r="M10" s="80">
        <f t="shared" si="6"/>
        <v>8</v>
      </c>
      <c r="N10" s="78" t="str">
        <f t="shared" si="1"/>
        <v/>
      </c>
      <c r="O10" s="80" t="str">
        <f t="shared" si="7"/>
        <v/>
      </c>
      <c r="P10" s="78" t="str">
        <f t="shared" si="2"/>
        <v/>
      </c>
      <c r="Q10" s="80" t="str">
        <f t="shared" si="3"/>
        <v/>
      </c>
      <c r="R10" s="79" t="str">
        <f t="shared" si="4"/>
        <v/>
      </c>
      <c r="S10" s="93" t="str">
        <f t="shared" si="5"/>
        <v/>
      </c>
      <c r="U10" s="72">
        <v>45649</v>
      </c>
      <c r="V10" s="71">
        <v>0.87421400881111933</v>
      </c>
      <c r="W10"/>
      <c r="X10"/>
      <c r="Y10" s="75">
        <v>3</v>
      </c>
      <c r="Z10" s="75" t="str">
        <f>_xll.RtGet($AD$8,$AD$9&amp;$Y10&amp;$AD$10,Z$7)</f>
        <v>#N/A RIC Not Found</v>
      </c>
      <c r="AA10" s="76" t="str">
        <f>_xll.RtGet($AD$8,$AD$9&amp;$Y10&amp;$AD$10,AA$7)</f>
        <v>#N/A RIC Not Found</v>
      </c>
      <c r="AC10" s="118" t="s">
        <v>63</v>
      </c>
      <c r="AD10" s="117" t="s">
        <v>103</v>
      </c>
      <c r="AF10" s="178" t="s">
        <v>237</v>
      </c>
      <c r="AG10" s="177"/>
      <c r="AH10" s="177"/>
      <c r="AI10" s="126">
        <v>7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0</v>
      </c>
      <c r="F11" s="169">
        <f t="shared" si="8"/>
        <v>3</v>
      </c>
      <c r="G11" s="80">
        <v>3</v>
      </c>
      <c r="H11" s="78" t="s">
        <v>81</v>
      </c>
      <c r="I11" s="97" t="e">
        <f t="shared" si="9"/>
        <v>#DIV/0!</v>
      </c>
      <c r="J11" s="95"/>
      <c r="K11" s="96"/>
      <c r="L11" s="95" t="e">
        <f t="shared" si="0"/>
        <v>#DIV/0!</v>
      </c>
      <c r="M11" s="80">
        <f t="shared" si="6"/>
        <v>9</v>
      </c>
      <c r="N11" s="78" t="str">
        <f t="shared" si="1"/>
        <v/>
      </c>
      <c r="O11" s="80" t="str">
        <f t="shared" si="7"/>
        <v/>
      </c>
      <c r="P11" s="78" t="str">
        <f t="shared" si="2"/>
        <v/>
      </c>
      <c r="Q11" s="80" t="str">
        <f t="shared" si="3"/>
        <v/>
      </c>
      <c r="R11" s="79" t="str">
        <f t="shared" si="4"/>
        <v/>
      </c>
      <c r="S11" s="93" t="str">
        <f t="shared" si="5"/>
        <v/>
      </c>
      <c r="U11" s="72">
        <v>47479</v>
      </c>
      <c r="V11" s="71">
        <v>0.76361862891422982</v>
      </c>
      <c r="W11"/>
      <c r="X11"/>
      <c r="Y11" s="79"/>
      <c r="Z11" s="79"/>
      <c r="AA11" s="79"/>
      <c r="AF11" s="118" t="s">
        <v>220</v>
      </c>
      <c r="AG11" s="168"/>
      <c r="AH11" s="168"/>
      <c r="AI11" s="299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0</v>
      </c>
      <c r="F12" s="169">
        <f t="shared" si="8"/>
        <v>4</v>
      </c>
      <c r="G12" s="80">
        <v>4</v>
      </c>
      <c r="H12" s="78" t="s">
        <v>81</v>
      </c>
      <c r="I12" s="97" t="e">
        <f t="shared" si="9"/>
        <v>#DIV/0!</v>
      </c>
      <c r="J12" s="95"/>
      <c r="K12" s="96"/>
      <c r="L12" s="95" t="e">
        <f t="shared" si="0"/>
        <v>#DIV/0!</v>
      </c>
      <c r="M12" s="80">
        <f t="shared" si="6"/>
        <v>10</v>
      </c>
      <c r="N12" s="78" t="str">
        <f t="shared" si="1"/>
        <v/>
      </c>
      <c r="O12" s="80" t="str">
        <f t="shared" si="7"/>
        <v/>
      </c>
      <c r="P12" s="78" t="str">
        <f t="shared" si="2"/>
        <v/>
      </c>
      <c r="Q12" s="80" t="str">
        <f t="shared" si="3"/>
        <v/>
      </c>
      <c r="R12" s="79" t="str">
        <f t="shared" si="4"/>
        <v/>
      </c>
      <c r="S12" s="93" t="str">
        <f t="shared" si="5"/>
        <v/>
      </c>
      <c r="U12" s="72">
        <v>49305</v>
      </c>
      <c r="V12" s="71">
        <v>0.65907997580497701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219</v>
      </c>
      <c r="AG12" s="177"/>
      <c r="AH12" s="177"/>
      <c r="AI12" s="176">
        <f>_xll.xlYrfDayCount(AI5,AI6,AI10)</f>
        <v>1.9178082191780823E-2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0</v>
      </c>
      <c r="F13" s="169">
        <f t="shared" si="8"/>
        <v>5</v>
      </c>
      <c r="G13" s="80">
        <v>5</v>
      </c>
      <c r="H13" s="78" t="s">
        <v>81</v>
      </c>
      <c r="I13" s="97" t="e">
        <f t="shared" si="9"/>
        <v>#DIV/0!</v>
      </c>
      <c r="J13" s="95"/>
      <c r="K13" s="96"/>
      <c r="L13" s="95" t="e">
        <f t="shared" si="0"/>
        <v>#DIV/0!</v>
      </c>
      <c r="M13" s="80">
        <f t="shared" si="6"/>
        <v>11</v>
      </c>
      <c r="N13" s="78" t="str">
        <f t="shared" si="1"/>
        <v/>
      </c>
      <c r="O13" s="80" t="str">
        <f t="shared" si="7"/>
        <v/>
      </c>
      <c r="P13" s="78" t="str">
        <f t="shared" si="2"/>
        <v/>
      </c>
      <c r="Q13" s="80" t="str">
        <f t="shared" si="3"/>
        <v/>
      </c>
      <c r="R13" s="79" t="str">
        <f t="shared" si="4"/>
        <v/>
      </c>
      <c r="S13" s="93" t="str">
        <f t="shared" si="5"/>
        <v/>
      </c>
      <c r="U13" s="72" t="e">
        <v>#N/A</v>
      </c>
      <c r="V13" s="71" t="e">
        <v>#N/A</v>
      </c>
      <c r="W13"/>
      <c r="X13"/>
      <c r="Y13" s="80">
        <v>1</v>
      </c>
      <c r="Z13" s="80" t="str">
        <f>_xll.RtGet($AD$13,$AD$14&amp;$Y13&amp;$AD$15,Z$12)</f>
        <v>#N/A RIC Not Found</v>
      </c>
      <c r="AA13" s="78" t="str">
        <f>_xll.RtGet($AD$13,$AD$14&amp;$Y13&amp;$AD$15,AA$12)</f>
        <v>#N/A RIC Not Found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 t="e">
        <f>LN((1+$AI$12*L6/100)*(AI9/AI8))/_xll.xlYrfDayCount($AI$5,$AI$6,$AI$11)</f>
        <v>#DIV/0!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0</v>
      </c>
      <c r="F14" s="169">
        <f t="shared" si="8"/>
        <v>6</v>
      </c>
      <c r="G14" s="80">
        <v>6</v>
      </c>
      <c r="H14" s="78" t="s">
        <v>81</v>
      </c>
      <c r="I14" s="97">
        <f t="shared" si="9"/>
        <v>-9.2241785000000007E-2</v>
      </c>
      <c r="J14" s="95"/>
      <c r="K14" s="96"/>
      <c r="L14" s="95">
        <f t="shared" si="0"/>
        <v>-9.2241785000000007E-2</v>
      </c>
      <c r="M14" s="80">
        <f t="shared" si="6"/>
        <v>12</v>
      </c>
      <c r="N14" s="78" t="str">
        <f t="shared" si="1"/>
        <v/>
      </c>
      <c r="O14" s="80" t="str">
        <f t="shared" si="7"/>
        <v/>
      </c>
      <c r="P14" s="78" t="str">
        <f t="shared" si="2"/>
        <v/>
      </c>
      <c r="Q14" s="80" t="str">
        <f t="shared" si="3"/>
        <v/>
      </c>
      <c r="R14" s="79" t="str">
        <f t="shared" si="4"/>
        <v/>
      </c>
      <c r="S14" s="93" t="str">
        <f t="shared" si="5"/>
        <v/>
      </c>
      <c r="U14" s="72" t="e">
        <v>#N/A</v>
      </c>
      <c r="V14" s="71" t="e">
        <v>#N/A</v>
      </c>
      <c r="W14"/>
      <c r="X14"/>
      <c r="Y14" s="80">
        <v>2</v>
      </c>
      <c r="Z14" s="80" t="str">
        <f>_xll.RtGet($AD$13,$AD$14&amp;$Y14&amp;$AD$15,Z$12)</f>
        <v>#N/A RIC Not Found</v>
      </c>
      <c r="AA14" s="78" t="str">
        <f>_xll.RtGet($AD$13,$AD$14&amp;$Y14&amp;$AD$15,AA$12)</f>
        <v>#N/A RIC Not Found</v>
      </c>
      <c r="AC14" s="121" t="s">
        <v>66</v>
      </c>
      <c r="AD14" s="120"/>
      <c r="AF14" s="24" t="s">
        <v>238</v>
      </c>
      <c r="AG14" s="68"/>
      <c r="AH14" s="68"/>
      <c r="AI14" s="170" t="e">
        <f>AI7*EXP(-$AI$13*_xll.xlYrfDayCount($C$3,AI4,$AI$11))</f>
        <v>#VALUE!</v>
      </c>
    </row>
    <row r="15" spans="1:35" ht="11.25" customHeight="1" x14ac:dyDescent="0.2">
      <c r="A15" s="173">
        <v>90</v>
      </c>
      <c r="B15" s="172" t="s">
        <v>101</v>
      </c>
      <c r="C15" s="171">
        <f>_xll.RtNow(A15&amp;"s")</f>
        <v>0.73553240740875481</v>
      </c>
      <c r="D15" s="66"/>
      <c r="E15" s="98" t="b">
        <v>0</v>
      </c>
      <c r="F15" s="169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 t="e">
        <v>#N/A</v>
      </c>
      <c r="V15" s="71" t="e">
        <v>#N/A</v>
      </c>
      <c r="W15"/>
      <c r="X15"/>
      <c r="Y15" s="80">
        <v>3</v>
      </c>
      <c r="Z15" s="80" t="str">
        <f>_xll.RtGet($AD$13,$AD$14&amp;$Y15&amp;$AD$15,Z$12)</f>
        <v>#N/A RIC Not Found</v>
      </c>
      <c r="AA15" s="78" t="str">
        <f>_xll.RtGet($AD$13,$AD$14&amp;$Y15&amp;$AD$15,AA$12)</f>
        <v>#N/A RIC Not Found</v>
      </c>
      <c r="AB15" s="67"/>
      <c r="AC15" s="118" t="s">
        <v>63</v>
      </c>
      <c r="AD15" s="117" t="s">
        <v>104</v>
      </c>
      <c r="AF15" s="24" t="s">
        <v>239</v>
      </c>
      <c r="AG15" s="68"/>
      <c r="AH15" s="68"/>
      <c r="AI15" s="170" t="e">
        <f>AI8*EXP(-$AI$13*_xll.xlYrfDayCount($C$3,AI5,$AI$11))</f>
        <v>#VALUE!</v>
      </c>
    </row>
    <row r="16" spans="1:35" ht="11.25" customHeight="1" x14ac:dyDescent="0.2">
      <c r="A16" s="68"/>
      <c r="D16" s="66"/>
      <c r="E16" s="98" t="b">
        <v>0</v>
      </c>
      <c r="F16" s="169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 t="e">
        <v>#N/A</v>
      </c>
      <c r="V16" s="71" t="e">
        <v>#N/A</v>
      </c>
      <c r="W16"/>
      <c r="X16"/>
      <c r="Y16" s="80">
        <v>4</v>
      </c>
      <c r="Z16" s="80" t="str">
        <f>_xll.RtGet($AD$13,$AD$14&amp;$Y16&amp;$AD$15,Z$12)</f>
        <v>#N/A RIC Not Found</v>
      </c>
      <c r="AA16" s="78" t="str">
        <f>_xll.RtGet($AD$13,$AD$14&amp;$Y16&amp;$AD$15,AA$12)</f>
        <v>#N/A RIC Not Found</v>
      </c>
      <c r="AB16" s="67"/>
      <c r="AC16" s="67"/>
      <c r="AD16" s="67"/>
      <c r="AF16" s="25" t="s">
        <v>240</v>
      </c>
      <c r="AG16" s="168"/>
      <c r="AH16" s="168"/>
      <c r="AI16" s="167" t="e">
        <f>AI9*EXP(-$AI$13*_xll.xlYrfDayCount($C$3,AI6,$AI$11))</f>
        <v>#VALUE!</v>
      </c>
    </row>
    <row r="17" spans="1:44" ht="11.25" customHeight="1" x14ac:dyDescent="0.2">
      <c r="A17" s="68"/>
      <c r="D17" s="66"/>
      <c r="E17" s="98" t="b">
        <v>0</v>
      </c>
      <c r="F17" s="169">
        <f t="shared" si="8"/>
        <v>9</v>
      </c>
      <c r="G17" s="80">
        <v>9</v>
      </c>
      <c r="H17" s="78" t="s">
        <v>81</v>
      </c>
      <c r="I17" s="97" t="e">
        <f t="shared" si="9"/>
        <v>#DIV/0!</v>
      </c>
      <c r="J17" s="95"/>
      <c r="K17" s="96"/>
      <c r="L17" s="95" t="e">
        <f t="shared" si="0"/>
        <v>#DIV/0!</v>
      </c>
      <c r="M17" s="80">
        <f t="shared" si="6"/>
        <v>15</v>
      </c>
      <c r="N17" s="78" t="str">
        <f t="shared" si="1"/>
        <v/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 t="e">
        <v>#N/A</v>
      </c>
      <c r="V17" s="71" t="e">
        <v>#N/A</v>
      </c>
      <c r="W17"/>
      <c r="X17"/>
      <c r="Y17" s="80">
        <v>5</v>
      </c>
      <c r="Z17" s="80" t="str">
        <f>_xll.RtGet($AD$13,$AD$14&amp;$Y17&amp;$AD$15,Z$12)</f>
        <v>#N/A RIC Not Found</v>
      </c>
      <c r="AA17" s="78" t="str">
        <f>_xll.RtGet($AD$13,$AD$14&amp;$Y17&amp;$AD$15,AA$12)</f>
        <v>#N/A RIC Not Found</v>
      </c>
      <c r="AB17" s="67"/>
      <c r="AC17" s="67"/>
      <c r="AD17" s="67"/>
      <c r="AF17" s="24" t="s">
        <v>241</v>
      </c>
      <c r="AG17" s="68"/>
      <c r="AH17" s="68"/>
      <c r="AI17" s="170" t="e">
        <f>(1/AI14-1)/_xll.xlYrfDayCount($C$3,AI4,$AI$10)</f>
        <v>#VALUE!</v>
      </c>
    </row>
    <row r="18" spans="1:44" ht="11.25" customHeight="1" x14ac:dyDescent="0.2">
      <c r="A18" s="68"/>
      <c r="C18" s="257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 t="e">
        <v>#N/A</v>
      </c>
      <c r="V18" s="71" t="e">
        <v>#N/A</v>
      </c>
      <c r="W18"/>
      <c r="X18"/>
      <c r="Y18" s="80">
        <v>6</v>
      </c>
      <c r="Z18" s="80">
        <f>_xll.RtGet($AD$13,$AD$14&amp;$Y18&amp;$AD$15,Z$12)</f>
        <v>-9.2241785000000007E-2</v>
      </c>
      <c r="AA18" s="78">
        <f>_xll.RtGet($AD$13,$AD$14&amp;$Y18&amp;$AD$15,AA$12)</f>
        <v>-9.2241785000000007E-2</v>
      </c>
      <c r="AB18" s="67"/>
      <c r="AC18" s="67"/>
      <c r="AD18" s="67"/>
      <c r="AF18" s="24" t="s">
        <v>242</v>
      </c>
      <c r="AG18" s="68"/>
      <c r="AH18" s="68"/>
      <c r="AI18" s="170" t="e">
        <f>(AI14/AI15-1)/_xll.xlYrfDayCount(AI4,AI5,$AI$10)</f>
        <v>#VALUE!</v>
      </c>
    </row>
    <row r="19" spans="1:44" ht="11.25" customHeight="1" x14ac:dyDescent="0.2">
      <c r="A19" s="68"/>
      <c r="C19" s="258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 t="e">
        <v>#N/A</v>
      </c>
      <c r="V19" s="71" t="e">
        <v>#N/A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243</v>
      </c>
      <c r="AG19" s="68"/>
      <c r="AH19" s="68"/>
      <c r="AI19" s="170" t="e">
        <f>AI17*100-IF(J3&gt;0,J3,I3)</f>
        <v>#VALUE!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 t="e">
        <v>#N/A</v>
      </c>
      <c r="V20" s="71" t="e">
        <v>#N/A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244</v>
      </c>
      <c r="AG20" s="168"/>
      <c r="AH20" s="168"/>
      <c r="AI20" s="167" t="e">
        <f>AI18*100-IF(J4&gt;0,J4,I4)</f>
        <v>#VALUE!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 t="e">
        <v>#N/A</v>
      </c>
      <c r="V21" s="71" t="e">
        <v>#N/A</v>
      </c>
      <c r="W21"/>
      <c r="X21"/>
      <c r="Y21" s="80">
        <v>9</v>
      </c>
      <c r="Z21" s="80" t="str">
        <f>_xll.RtGet($AD$13,$AD$14&amp;$Y21&amp;$AD$15,Z$12)</f>
        <v>#N/A RIC Not Found</v>
      </c>
      <c r="AA21" s="78" t="str">
        <f>_xll.RtGet($AD$13,$AD$14&amp;$Y21&amp;$AD$15,AA$12)</f>
        <v>#N/A RIC Not Found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 t="e">
        <v>#N/A</v>
      </c>
      <c r="V22" s="71" t="e">
        <v>#N/A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C6&amp;C5</f>
        <v>SEKEUR</v>
      </c>
      <c r="G23" s="67"/>
      <c r="H23" s="67"/>
      <c r="I23" s="162">
        <f>AVERAGE(Z27:AA27)</f>
        <v>9.4593999999999987</v>
      </c>
      <c r="J23" s="160"/>
      <c r="K23" s="161"/>
      <c r="L23" s="160">
        <f>IF(ISNUMBER(J23),J23,I23)+K23</f>
        <v>9.4593999999999987</v>
      </c>
      <c r="M23" s="67"/>
      <c r="N23" s="67"/>
      <c r="O23" s="67"/>
      <c r="P23" s="67"/>
      <c r="Q23" s="67"/>
      <c r="R23" s="67"/>
      <c r="S23" s="67"/>
      <c r="U23" s="72" t="e">
        <v>#N/A</v>
      </c>
      <c r="V23" s="71" t="e">
        <v>#N/A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K23"/>
      <c r="AL23"/>
      <c r="AM23"/>
    </row>
    <row r="24" spans="1:44" ht="11.25" customHeight="1" x14ac:dyDescent="0.2">
      <c r="A24" s="68"/>
      <c r="B24" s="328" t="s">
        <v>80</v>
      </c>
      <c r="C24" s="32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 t="e">
        <v>#N/A</v>
      </c>
      <c r="V24" s="71" t="e">
        <v>#N/A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9</v>
      </c>
      <c r="U25" s="72" t="e">
        <v>#N/A</v>
      </c>
      <c r="V25" s="71" t="e">
        <v>#N/A</v>
      </c>
      <c r="W25"/>
      <c r="X25"/>
      <c r="Y25" s="79"/>
      <c r="Z25" s="79"/>
      <c r="AA25" s="79"/>
      <c r="AB25" s="67"/>
      <c r="AC25" s="67"/>
      <c r="AD25" s="67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20">
        <f t="shared" ref="F26:F67" si="11">IF($C$19,IF(LEN(AQ31)&gt;0,AQ31,""),IF(LEN(AG31)&gt;0,AG31,""))</f>
        <v>12</v>
      </c>
      <c r="G26" s="68"/>
      <c r="H26" s="68"/>
      <c r="I26" s="154">
        <f t="shared" ref="I26:I67" si="12">IF($C$19,AR31,AF31)</f>
        <v>4.2499999999999996E-2</v>
      </c>
      <c r="J26" s="152"/>
      <c r="K26" s="153"/>
      <c r="L26" s="152">
        <f t="shared" ref="L26:L67" si="13">IF(ISNUMBER(J26),J26,I26)+K26</f>
        <v>4.2499999999999996E-2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12</v>
      </c>
      <c r="S26" s="150">
        <f t="shared" ref="S26:S67" si="17">IF(LEN(P26)&gt;0,INDEX($L$26:$L$67,$P26),"")</f>
        <v>4.2499999999999996E-2</v>
      </c>
      <c r="U26" s="72" t="e">
        <v>#N/A</v>
      </c>
      <c r="V26" s="71" t="e">
        <v>#N/A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24</v>
      </c>
      <c r="G27" s="68"/>
      <c r="I27" s="97">
        <f t="shared" si="12"/>
        <v>6.5000000000000002E-2</v>
      </c>
      <c r="J27" s="95"/>
      <c r="K27" s="96"/>
      <c r="L27" s="95">
        <f t="shared" si="13"/>
        <v>6.5000000000000002E-2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24</v>
      </c>
      <c r="S27" s="93">
        <f t="shared" si="17"/>
        <v>6.5000000000000002E-2</v>
      </c>
      <c r="U27" s="72" t="e">
        <v>#N/A</v>
      </c>
      <c r="V27" s="71" t="e">
        <v>#N/A</v>
      </c>
      <c r="W27"/>
      <c r="X27"/>
      <c r="Y27" s="146" t="s">
        <v>245</v>
      </c>
      <c r="Z27" s="145">
        <f>_xll.RtGet($AD$26,$AD$27&amp;$Y27&amp;$AD$28,Z$26)</f>
        <v>9.4568999999999992</v>
      </c>
      <c r="AA27" s="144">
        <f>_xll.RtGet($AD$26,$AD$27&amp;$Y27&amp;$AD$28,AA$26)</f>
        <v>9.4619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36</v>
      </c>
      <c r="G28" s="68"/>
      <c r="I28" s="97">
        <f t="shared" si="12"/>
        <v>9.2499999999999999E-2</v>
      </c>
      <c r="J28" s="95"/>
      <c r="K28" s="96"/>
      <c r="L28" s="95">
        <f t="shared" si="13"/>
        <v>9.2499999999999999E-2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36</v>
      </c>
      <c r="S28" s="93">
        <f t="shared" si="17"/>
        <v>9.2499999999999999E-2</v>
      </c>
      <c r="U28" s="72" t="e">
        <v>#N/A</v>
      </c>
      <c r="V28" s="71" t="e">
        <v>#N/A</v>
      </c>
      <c r="W28"/>
      <c r="X28"/>
      <c r="AC28" s="118" t="s">
        <v>63</v>
      </c>
      <c r="AD28" s="117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48</v>
      </c>
      <c r="G29" s="68"/>
      <c r="I29" s="97">
        <f t="shared" si="12"/>
        <v>0.11499999999999999</v>
      </c>
      <c r="J29" s="95"/>
      <c r="K29" s="96"/>
      <c r="L29" s="95">
        <f t="shared" si="13"/>
        <v>0.11499999999999999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48</v>
      </c>
      <c r="S29" s="93">
        <f t="shared" si="17"/>
        <v>0.11499999999999999</v>
      </c>
      <c r="U29" s="72" t="e">
        <v>#N/A</v>
      </c>
      <c r="V29" s="71" t="e">
        <v>#N/A</v>
      </c>
      <c r="W29"/>
      <c r="X29"/>
      <c r="Y29" s="133" t="s">
        <v>132</v>
      </c>
      <c r="Z29" s="316">
        <v>0.01</v>
      </c>
      <c r="AF29" s="221"/>
      <c r="AG29" s="222">
        <f>MAX(AG31:AG72)</f>
        <v>240</v>
      </c>
      <c r="AH29" s="221"/>
      <c r="AI29" s="221"/>
      <c r="AJ29" s="221"/>
      <c r="AK29" s="221"/>
      <c r="AL29" s="221"/>
      <c r="AM29" s="221"/>
      <c r="AN29" s="223"/>
      <c r="AO29" s="223"/>
      <c r="AP29" s="223"/>
      <c r="AQ29" s="222">
        <f>MAX(AQ31:AQ60)</f>
        <v>312</v>
      </c>
      <c r="AR29" s="221"/>
    </row>
    <row r="30" spans="1:44" ht="11.25" customHeight="1" x14ac:dyDescent="0.2">
      <c r="A30" s="122"/>
      <c r="B30" s="137" t="s">
        <v>113</v>
      </c>
      <c r="C30" s="136" t="s">
        <v>100</v>
      </c>
      <c r="E30" s="98" t="b">
        <f t="shared" si="10"/>
        <v>1</v>
      </c>
      <c r="F30" s="169">
        <f t="shared" si="11"/>
        <v>60</v>
      </c>
      <c r="G30" s="68"/>
      <c r="I30" s="97">
        <f t="shared" si="12"/>
        <v>0.14250000000000002</v>
      </c>
      <c r="J30" s="95"/>
      <c r="K30" s="96"/>
      <c r="L30" s="95">
        <f t="shared" si="13"/>
        <v>0.14250000000000002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60</v>
      </c>
      <c r="S30" s="93">
        <f t="shared" si="17"/>
        <v>0.14250000000000002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4" t="s">
        <v>124</v>
      </c>
      <c r="AG30" s="224" t="s">
        <v>192</v>
      </c>
      <c r="AH30" s="225" t="b">
        <f>AND(AQ29&gt;AG29,ISERROR(MATCH(AQ29,$AG$31:$AG$72,0)))</f>
        <v>1</v>
      </c>
      <c r="AI30" s="226"/>
      <c r="AJ30" s="226"/>
      <c r="AK30" s="226"/>
      <c r="AL30" s="227">
        <f>COUNT(AK31:AK72)</f>
        <v>10</v>
      </c>
      <c r="AM30" s="228"/>
      <c r="AN30" s="223"/>
      <c r="AO30" s="223"/>
      <c r="AP30" s="223"/>
      <c r="AQ30" s="224" t="s">
        <v>126</v>
      </c>
      <c r="AR30" s="224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84</v>
      </c>
      <c r="G31" s="68"/>
      <c r="I31" s="97">
        <f t="shared" si="12"/>
        <v>0.16500000000000001</v>
      </c>
      <c r="J31" s="95"/>
      <c r="K31" s="96"/>
      <c r="L31" s="95">
        <f t="shared" si="13"/>
        <v>0.16500000000000001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84</v>
      </c>
      <c r="S31" s="93">
        <f t="shared" si="17"/>
        <v>0.16500000000000001</v>
      </c>
      <c r="U31" s="72" t="e">
        <v>#N/A</v>
      </c>
      <c r="V31" s="71" t="e">
        <v>#N/A</v>
      </c>
      <c r="W31"/>
      <c r="X31"/>
      <c r="Y31" s="130" t="s">
        <v>177</v>
      </c>
      <c r="Z31" s="219">
        <f>$Z$29*_xll.RtGet($AD$32,$AD$33&amp;$Y31&amp;$AD$34,Z$30)</f>
        <v>1.2500000000000001E-2</v>
      </c>
      <c r="AA31" s="127">
        <f>$Z$29*_xll.RtGet($AD$32,$AD$33&amp;$Y31&amp;$AD$34,AA$30)</f>
        <v>7.2499999999999995E-2</v>
      </c>
      <c r="AF31" s="229">
        <f t="shared" ref="AF31:AF72" si="20">AVERAGE(Z31:AA31)</f>
        <v>4.2499999999999996E-2</v>
      </c>
      <c r="AG31" s="230">
        <f>IF(ISNUMBER(AF31),LEFT(Y31,LEN(Y31)-1)*IF(RIGHT(Y31,1)="Y",12,1),"")</f>
        <v>12</v>
      </c>
      <c r="AH31" s="231">
        <f t="shared" ref="AH31:AH71" si="21">IF(LEN(AG31)&gt;0,AG31,"")</f>
        <v>12</v>
      </c>
      <c r="AI31" s="232">
        <f t="shared" ref="AI31:AI71" si="22">IF(LEN(AG31)&gt;0,AF31,"")</f>
        <v>4.2499999999999996E-2</v>
      </c>
      <c r="AJ31" s="233">
        <v>3</v>
      </c>
      <c r="AK31" s="228">
        <f t="shared" ref="AK31:AK72" si="23">IF(LEN(AH31)&gt;0,AJ31,"")</f>
        <v>3</v>
      </c>
      <c r="AL31" s="227">
        <f>IF(AL30&gt;0,1,"")</f>
        <v>1</v>
      </c>
      <c r="AM31" s="234" t="b">
        <f t="shared" ref="AM31:AM72" si="24">LEN(AL31)&gt;0</f>
        <v>1</v>
      </c>
      <c r="AN31" s="235">
        <f t="shared" ref="AN31:AN72" si="25">IF(AM31,SMALL($AK$31:$AK$72,AL31),"")</f>
        <v>3</v>
      </c>
      <c r="AO31" s="234">
        <f t="array" ref="AO31:AP31">IF(AM31,INDEX($AH$31:$AI$72,AN31,0),"")</f>
        <v>36</v>
      </c>
      <c r="AP31" s="235">
        <v>9.2499999999999999E-2</v>
      </c>
      <c r="AQ31" s="234">
        <f t="array" ref="AQ31:AQ72">AJ31:AJ72</f>
        <v>3</v>
      </c>
      <c r="AR31" s="236" t="str">
        <f t="array" ref="AR31:AR72">_xll.xlInterp1D(AO31:INDEX(AO31:AO72,AL30),AP31:INDEX(AP31:AP72,AL30),AQ31:AQ72,"kruger")</f>
        <v>#Error in cont_interp::kruger, too few input points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120</v>
      </c>
      <c r="G32" s="68"/>
      <c r="I32" s="97">
        <f t="shared" si="12"/>
        <v>0.19</v>
      </c>
      <c r="J32" s="95"/>
      <c r="K32" s="96"/>
      <c r="L32" s="95">
        <f t="shared" si="13"/>
        <v>0.19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120</v>
      </c>
      <c r="S32" s="93">
        <f t="shared" si="17"/>
        <v>0.19</v>
      </c>
      <c r="U32" s="72" t="e">
        <v>#N/A</v>
      </c>
      <c r="V32" s="71" t="e">
        <v>#N/A</v>
      </c>
      <c r="W32"/>
      <c r="Y32" s="81" t="s">
        <v>179</v>
      </c>
      <c r="Z32" s="80">
        <f>$Z$29*_xll.RtGet($AD$32,$AD$33&amp;$Y32&amp;$AD$34,Z$30)</f>
        <v>3.5000000000000003E-2</v>
      </c>
      <c r="AA32" s="78">
        <f>$Z$29*_xll.RtGet($AD$32,$AD$33&amp;$Y32&amp;$AD$34,AA$30)</f>
        <v>9.5000000000000001E-2</v>
      </c>
      <c r="AC32" s="124" t="s">
        <v>68</v>
      </c>
      <c r="AD32" s="123" t="s">
        <v>67</v>
      </c>
      <c r="AF32" s="237">
        <f t="shared" si="20"/>
        <v>6.5000000000000002E-2</v>
      </c>
      <c r="AG32" s="231">
        <f t="shared" ref="AG32:AG72" si="26">IF(ISNUMBER(AF32),LEFT(Y32,LEN(Y32)-1)*IF(RIGHT(Y32,1)="Y",12,1),"")</f>
        <v>24</v>
      </c>
      <c r="AH32" s="231">
        <f t="shared" si="21"/>
        <v>24</v>
      </c>
      <c r="AI32" s="238">
        <f t="shared" si="22"/>
        <v>6.5000000000000002E-2</v>
      </c>
      <c r="AJ32" s="239">
        <f>+AJ31+3</f>
        <v>6</v>
      </c>
      <c r="AK32" s="228">
        <f t="shared" si="23"/>
        <v>6</v>
      </c>
      <c r="AL32" s="228">
        <f t="shared" ref="AL32:AL72" si="27">IF(AL31&lt;$AL$30,AL31+1,"")</f>
        <v>2</v>
      </c>
      <c r="AM32" s="228" t="b">
        <f t="shared" si="24"/>
        <v>1</v>
      </c>
      <c r="AN32" s="240">
        <f t="shared" si="25"/>
        <v>6</v>
      </c>
      <c r="AO32" s="239">
        <f t="array" ref="AO32:AP32">IF(AM32,INDEX($AH$31:$AI$72,AN32,0),"")</f>
        <v>84</v>
      </c>
      <c r="AP32" s="240">
        <v>0.16500000000000001</v>
      </c>
      <c r="AQ32" s="239">
        <v>6</v>
      </c>
      <c r="AR32" s="241" t="str">
        <v>#Error in cont_interp::kruger, too few input points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180</v>
      </c>
      <c r="G33" s="68"/>
      <c r="I33" s="97">
        <f t="shared" si="12"/>
        <v>0.24249999999999999</v>
      </c>
      <c r="J33" s="95"/>
      <c r="K33" s="96"/>
      <c r="L33" s="95">
        <f t="shared" si="13"/>
        <v>0.24249999999999999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180</v>
      </c>
      <c r="S33" s="93">
        <f t="shared" si="17"/>
        <v>0.24249999999999999</v>
      </c>
      <c r="U33" s="72" t="e">
        <v>#N/A</v>
      </c>
      <c r="V33" s="71" t="e">
        <v>#N/A</v>
      </c>
      <c r="W33"/>
      <c r="Y33" s="81" t="s">
        <v>180</v>
      </c>
      <c r="Z33" s="80">
        <f>$Z$29*_xll.RtGet($AD$32,$AD$33&amp;$Y33&amp;$AD$34,Z$30)</f>
        <v>6.25E-2</v>
      </c>
      <c r="AA33" s="78">
        <f>$Z$29*_xll.RtGet($AD$32,$AD$33&amp;$Y33&amp;$AD$34,AA$30)</f>
        <v>0.1225</v>
      </c>
      <c r="AC33" s="121" t="s">
        <v>66</v>
      </c>
      <c r="AD33" s="120" t="s">
        <v>246</v>
      </c>
      <c r="AF33" s="237">
        <f t="shared" si="20"/>
        <v>9.2499999999999999E-2</v>
      </c>
      <c r="AG33" s="231">
        <f t="shared" si="26"/>
        <v>36</v>
      </c>
      <c r="AH33" s="231">
        <f t="shared" si="21"/>
        <v>36</v>
      </c>
      <c r="AI33" s="238">
        <f t="shared" si="22"/>
        <v>9.2499999999999999E-2</v>
      </c>
      <c r="AJ33" s="239">
        <f t="shared" ref="AJ33:AJ34" si="28">+AJ32+3</f>
        <v>9</v>
      </c>
      <c r="AK33" s="228">
        <f t="shared" si="23"/>
        <v>9</v>
      </c>
      <c r="AL33" s="228">
        <f t="shared" si="27"/>
        <v>3</v>
      </c>
      <c r="AM33" s="228" t="b">
        <f t="shared" si="24"/>
        <v>1</v>
      </c>
      <c r="AN33" s="240">
        <f t="shared" si="25"/>
        <v>9</v>
      </c>
      <c r="AO33" s="239">
        <f t="array" ref="AO33:AP33">IF(AM33,INDEX($AH$31:$AI$72,AN33,0),"")</f>
        <v>240</v>
      </c>
      <c r="AP33" s="240">
        <v>0.29000000000000004</v>
      </c>
      <c r="AQ33" s="239">
        <v>9</v>
      </c>
      <c r="AR33" s="241" t="str">
        <v>#Error in cont_interp::kruger, too few input points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240</v>
      </c>
      <c r="G34" s="68"/>
      <c r="I34" s="97">
        <f t="shared" si="12"/>
        <v>0.29000000000000004</v>
      </c>
      <c r="J34" s="95"/>
      <c r="K34" s="96"/>
      <c r="L34" s="95">
        <f t="shared" si="13"/>
        <v>0.29000000000000004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240</v>
      </c>
      <c r="S34" s="93">
        <f t="shared" si="17"/>
        <v>0.29000000000000004</v>
      </c>
      <c r="U34" s="72" t="e">
        <v>#N/A</v>
      </c>
      <c r="V34" s="71" t="e">
        <v>#N/A</v>
      </c>
      <c r="Y34" s="81" t="s">
        <v>181</v>
      </c>
      <c r="Z34" s="80">
        <f>$Z$29*_xll.RtGet($AD$32,$AD$33&amp;$Y34&amp;$AD$34,Z$30)</f>
        <v>8.5000000000000006E-2</v>
      </c>
      <c r="AA34" s="78">
        <f>$Z$29*_xll.RtGet($AD$32,$AD$33&amp;$Y34&amp;$AD$34,AA$30)</f>
        <v>0.14499999999999999</v>
      </c>
      <c r="AC34" s="118" t="s">
        <v>63</v>
      </c>
      <c r="AD34" s="218" t="s">
        <v>178</v>
      </c>
      <c r="AF34" s="237">
        <f t="shared" si="20"/>
        <v>0.11499999999999999</v>
      </c>
      <c r="AG34" s="231">
        <f t="shared" si="26"/>
        <v>48</v>
      </c>
      <c r="AH34" s="231">
        <f t="shared" si="21"/>
        <v>48</v>
      </c>
      <c r="AI34" s="238">
        <f t="shared" si="22"/>
        <v>0.11499999999999999</v>
      </c>
      <c r="AJ34" s="242">
        <f t="shared" si="28"/>
        <v>12</v>
      </c>
      <c r="AK34" s="228">
        <f t="shared" si="23"/>
        <v>12</v>
      </c>
      <c r="AL34" s="228">
        <f t="shared" si="27"/>
        <v>4</v>
      </c>
      <c r="AM34" s="228" t="b">
        <f t="shared" si="24"/>
        <v>1</v>
      </c>
      <c r="AN34" s="240">
        <f t="shared" si="25"/>
        <v>12</v>
      </c>
      <c r="AO34" s="239" t="str">
        <f t="array" ref="AO34:AP34">IF(AM34,INDEX($AH$31:$AI$72,AN34,0),"")</f>
        <v/>
      </c>
      <c r="AP34" s="240" t="str">
        <v/>
      </c>
      <c r="AQ34" s="239">
        <v>12</v>
      </c>
      <c r="AR34" s="241" t="str">
        <v>#Error in cont_interp::kruger, too few input points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0</v>
      </c>
      <c r="F35" s="169" t="str">
        <f t="shared" si="11"/>
        <v/>
      </c>
      <c r="G35" s="68"/>
      <c r="I35" s="97" t="e">
        <f t="shared" si="12"/>
        <v>#VALUE!</v>
      </c>
      <c r="J35" s="95"/>
      <c r="K35" s="96"/>
      <c r="L35" s="95" t="e">
        <f t="shared" si="13"/>
        <v>#VALUE!</v>
      </c>
      <c r="M35" s="80">
        <f t="shared" si="18"/>
        <v>10</v>
      </c>
      <c r="N35" s="78" t="str">
        <f t="shared" si="14"/>
        <v/>
      </c>
      <c r="O35" s="80" t="str">
        <f t="shared" si="19"/>
        <v/>
      </c>
      <c r="P35" s="78" t="str">
        <f t="shared" si="15"/>
        <v/>
      </c>
      <c r="Q35" s="68"/>
      <c r="R35" s="94" t="str">
        <f t="shared" si="16"/>
        <v/>
      </c>
      <c r="S35" s="93" t="str">
        <f t="shared" si="17"/>
        <v/>
      </c>
      <c r="U35" s="72" t="e">
        <v>#N/A</v>
      </c>
      <c r="V35" s="71" t="e">
        <v>#N/A</v>
      </c>
      <c r="W35"/>
      <c r="Y35" s="81" t="s">
        <v>182</v>
      </c>
      <c r="Z35" s="80">
        <f>$Z$29*_xll.RtGet($AD$32,$AD$33&amp;$Y35&amp;$AD$34,Z$30)</f>
        <v>0.1125</v>
      </c>
      <c r="AA35" s="78">
        <f>$Z$29*_xll.RtGet($AD$32,$AD$33&amp;$Y35&amp;$AD$34,AA$30)</f>
        <v>0.17250000000000001</v>
      </c>
      <c r="AF35" s="237">
        <f t="shared" si="20"/>
        <v>0.14250000000000002</v>
      </c>
      <c r="AG35" s="231">
        <f t="shared" si="26"/>
        <v>60</v>
      </c>
      <c r="AH35" s="231">
        <f t="shared" si="21"/>
        <v>60</v>
      </c>
      <c r="AI35" s="238">
        <f t="shared" si="22"/>
        <v>0.14250000000000002</v>
      </c>
      <c r="AJ35" s="239">
        <f>+AJ34+6</f>
        <v>18</v>
      </c>
      <c r="AK35" s="228">
        <f t="shared" si="23"/>
        <v>18</v>
      </c>
      <c r="AL35" s="228">
        <f t="shared" si="27"/>
        <v>5</v>
      </c>
      <c r="AM35" s="228" t="b">
        <f t="shared" si="24"/>
        <v>1</v>
      </c>
      <c r="AN35" s="240">
        <f t="shared" si="25"/>
        <v>18</v>
      </c>
      <c r="AO35" s="239" t="str">
        <f t="array" ref="AO35:AP35">IF(AM35,INDEX($AH$31:$AI$72,AN35,0),"")</f>
        <v/>
      </c>
      <c r="AP35" s="240" t="str">
        <v/>
      </c>
      <c r="AQ35" s="239">
        <v>18</v>
      </c>
      <c r="AR35" s="241" t="str">
        <v>#Error in cont_interp::kruger, too few input points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0</v>
      </c>
      <c r="F36" s="169" t="str">
        <f t="shared" si="11"/>
        <v/>
      </c>
      <c r="G36" s="68"/>
      <c r="I36" s="97" t="e">
        <f t="shared" si="12"/>
        <v>#VALUE!</v>
      </c>
      <c r="J36" s="95"/>
      <c r="K36" s="96"/>
      <c r="L36" s="95" t="e">
        <f t="shared" si="13"/>
        <v>#VALUE!</v>
      </c>
      <c r="M36" s="80">
        <f t="shared" si="18"/>
        <v>11</v>
      </c>
      <c r="N36" s="78" t="str">
        <f t="shared" si="14"/>
        <v/>
      </c>
      <c r="O36" s="80" t="str">
        <f t="shared" si="19"/>
        <v/>
      </c>
      <c r="P36" s="78" t="str">
        <f t="shared" si="15"/>
        <v/>
      </c>
      <c r="Q36" s="68"/>
      <c r="R36" s="94" t="str">
        <f t="shared" si="16"/>
        <v/>
      </c>
      <c r="S36" s="93" t="str">
        <f t="shared" si="17"/>
        <v/>
      </c>
      <c r="U36" s="72" t="e">
        <v>#N/A</v>
      </c>
      <c r="V36" s="71" t="e">
        <v>#N/A</v>
      </c>
      <c r="Y36" s="81" t="s">
        <v>183</v>
      </c>
      <c r="Z36" s="80">
        <f>$Z$29*_xll.RtGet($AD$32,$AD$33&amp;$Y36&amp;$AD$34,Z$30)</f>
        <v>0.13500000000000001</v>
      </c>
      <c r="AA36" s="78">
        <f>$Z$29*_xll.RtGet($AD$32,$AD$33&amp;$Y36&amp;$AD$34,AA$30)</f>
        <v>0.19500000000000001</v>
      </c>
      <c r="AF36" s="237">
        <f t="shared" si="20"/>
        <v>0.16500000000000001</v>
      </c>
      <c r="AG36" s="231">
        <f t="shared" si="26"/>
        <v>84</v>
      </c>
      <c r="AH36" s="231">
        <f t="shared" si="21"/>
        <v>84</v>
      </c>
      <c r="AI36" s="238">
        <f t="shared" si="22"/>
        <v>0.16500000000000001</v>
      </c>
      <c r="AJ36" s="242">
        <f>+AJ35+6</f>
        <v>24</v>
      </c>
      <c r="AK36" s="228">
        <f t="shared" si="23"/>
        <v>24</v>
      </c>
      <c r="AL36" s="228">
        <f t="shared" si="27"/>
        <v>6</v>
      </c>
      <c r="AM36" s="228" t="b">
        <f t="shared" si="24"/>
        <v>1</v>
      </c>
      <c r="AN36" s="240">
        <f t="shared" si="25"/>
        <v>24</v>
      </c>
      <c r="AO36" s="239" t="str">
        <f t="array" ref="AO36:AP36">IF(AM36,INDEX($AH$31:$AI$72,AN36,0),"")</f>
        <v/>
      </c>
      <c r="AP36" s="240" t="str">
        <v/>
      </c>
      <c r="AQ36" s="239">
        <v>24</v>
      </c>
      <c r="AR36" s="241" t="str">
        <v>#Error in cont_interp::kruger, too few input points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0</v>
      </c>
      <c r="F37" s="169" t="str">
        <f t="shared" si="11"/>
        <v/>
      </c>
      <c r="G37" s="68"/>
      <c r="I37" s="97" t="e">
        <f t="shared" si="12"/>
        <v>#VALUE!</v>
      </c>
      <c r="J37" s="95"/>
      <c r="K37" s="96"/>
      <c r="L37" s="95" t="e">
        <f t="shared" si="13"/>
        <v>#VALUE!</v>
      </c>
      <c r="M37" s="80">
        <f t="shared" si="18"/>
        <v>12</v>
      </c>
      <c r="N37" s="78" t="str">
        <f t="shared" si="14"/>
        <v/>
      </c>
      <c r="O37" s="80" t="str">
        <f t="shared" si="19"/>
        <v/>
      </c>
      <c r="P37" s="78" t="str">
        <f t="shared" si="15"/>
        <v/>
      </c>
      <c r="Q37" s="68"/>
      <c r="R37" s="94" t="str">
        <f t="shared" si="16"/>
        <v/>
      </c>
      <c r="S37" s="93" t="str">
        <f t="shared" si="17"/>
        <v/>
      </c>
      <c r="U37" s="72" t="e">
        <v>#N/A</v>
      </c>
      <c r="V37" s="71" t="e">
        <v>#N/A</v>
      </c>
      <c r="Y37" s="81" t="s">
        <v>184</v>
      </c>
      <c r="Z37" s="80">
        <f>$Z$29*_xll.RtGet($AD$32,$AD$33&amp;$Y37&amp;$AD$34,Z$30)</f>
        <v>0.16</v>
      </c>
      <c r="AA37" s="78">
        <f>$Z$29*_xll.RtGet($AD$32,$AD$33&amp;$Y37&amp;$AD$34,AA$30)</f>
        <v>0.22</v>
      </c>
      <c r="AF37" s="237">
        <f t="shared" si="20"/>
        <v>0.19</v>
      </c>
      <c r="AG37" s="231">
        <f t="shared" si="26"/>
        <v>120</v>
      </c>
      <c r="AH37" s="231">
        <f t="shared" si="21"/>
        <v>120</v>
      </c>
      <c r="AI37" s="238">
        <f t="shared" si="22"/>
        <v>0.19</v>
      </c>
      <c r="AJ37" s="239">
        <f>+AJ36+12</f>
        <v>36</v>
      </c>
      <c r="AK37" s="228">
        <f t="shared" si="23"/>
        <v>36</v>
      </c>
      <c r="AL37" s="228">
        <f t="shared" si="27"/>
        <v>7</v>
      </c>
      <c r="AM37" s="228" t="b">
        <f t="shared" si="24"/>
        <v>1</v>
      </c>
      <c r="AN37" s="240">
        <f t="shared" si="25"/>
        <v>36</v>
      </c>
      <c r="AO37" s="239" t="str">
        <f t="array" ref="AO37:AP37">IF(AM37,INDEX($AH$31:$AI$72,AN37,0),"")</f>
        <v/>
      </c>
      <c r="AP37" s="240" t="str">
        <v/>
      </c>
      <c r="AQ37" s="239">
        <v>36</v>
      </c>
      <c r="AR37" s="241" t="str">
        <v>#Error in cont_interp::kruger, too few input points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0</v>
      </c>
      <c r="F38" s="169" t="str">
        <f t="shared" si="11"/>
        <v/>
      </c>
      <c r="G38" s="68"/>
      <c r="I38" s="97" t="e">
        <f t="shared" si="12"/>
        <v>#VALUE!</v>
      </c>
      <c r="J38" s="95"/>
      <c r="K38" s="96"/>
      <c r="L38" s="95" t="e">
        <f t="shared" si="13"/>
        <v>#VALUE!</v>
      </c>
      <c r="M38" s="80">
        <f t="shared" si="18"/>
        <v>13</v>
      </c>
      <c r="N38" s="78" t="str">
        <f t="shared" si="14"/>
        <v/>
      </c>
      <c r="O38" s="80" t="str">
        <f t="shared" si="19"/>
        <v/>
      </c>
      <c r="P38" s="78" t="str">
        <f t="shared" si="15"/>
        <v/>
      </c>
      <c r="Q38" s="68"/>
      <c r="R38" s="94" t="str">
        <f t="shared" si="16"/>
        <v/>
      </c>
      <c r="S38" s="93" t="str">
        <f t="shared" si="17"/>
        <v/>
      </c>
      <c r="U38" s="72" t="e">
        <v>#N/A</v>
      </c>
      <c r="V38" s="71" t="e">
        <v>#N/A</v>
      </c>
      <c r="Y38" s="81" t="s">
        <v>185</v>
      </c>
      <c r="Z38" s="80">
        <f>$Z$29*_xll.RtGet($AD$32,$AD$33&amp;$Y38&amp;$AD$34,Z$30)</f>
        <v>0.21249999999999999</v>
      </c>
      <c r="AA38" s="78">
        <f>$Z$29*_xll.RtGet($AD$32,$AD$33&amp;$Y38&amp;$AD$34,AA$30)</f>
        <v>0.27250000000000002</v>
      </c>
      <c r="AF38" s="237">
        <f t="shared" si="20"/>
        <v>0.24249999999999999</v>
      </c>
      <c r="AG38" s="231">
        <f t="shared" si="26"/>
        <v>180</v>
      </c>
      <c r="AH38" s="231">
        <f t="shared" si="21"/>
        <v>180</v>
      </c>
      <c r="AI38" s="238">
        <f t="shared" si="22"/>
        <v>0.24249999999999999</v>
      </c>
      <c r="AJ38" s="239">
        <f t="shared" ref="AJ38:AJ64" si="29">+AJ37+12</f>
        <v>48</v>
      </c>
      <c r="AK38" s="228">
        <f t="shared" si="23"/>
        <v>48</v>
      </c>
      <c r="AL38" s="228">
        <f t="shared" si="27"/>
        <v>8</v>
      </c>
      <c r="AM38" s="228" t="b">
        <f t="shared" si="24"/>
        <v>1</v>
      </c>
      <c r="AN38" s="240">
        <f t="shared" si="25"/>
        <v>48</v>
      </c>
      <c r="AO38" s="239" t="e">
        <f t="array" ref="AO38:AP38">IF(AM38,INDEX($AH$31:$AI$72,AN38,0),"")</f>
        <v>#REF!</v>
      </c>
      <c r="AP38" s="240" t="e">
        <v>#REF!</v>
      </c>
      <c r="AQ38" s="239">
        <v>48</v>
      </c>
      <c r="AR38" s="241" t="str">
        <v>#Error in cont_interp::kruger, too few input points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189</v>
      </c>
      <c r="Z39" s="80">
        <f>$Z$29*_xll.RtGet($AD$32,$AD$33&amp;$Y39&amp;$AD$34,Z$30)</f>
        <v>0.26</v>
      </c>
      <c r="AA39" s="78">
        <f>$Z$29*_xll.RtGet($AD$32,$AD$33&amp;$Y39&amp;$AD$34,AA$30)</f>
        <v>0.32</v>
      </c>
      <c r="AF39" s="237">
        <f t="shared" si="20"/>
        <v>0.29000000000000004</v>
      </c>
      <c r="AG39" s="231">
        <f t="shared" si="26"/>
        <v>240</v>
      </c>
      <c r="AH39" s="231">
        <f t="shared" si="21"/>
        <v>240</v>
      </c>
      <c r="AI39" s="238">
        <f t="shared" si="22"/>
        <v>0.29000000000000004</v>
      </c>
      <c r="AJ39" s="239">
        <f t="shared" si="29"/>
        <v>60</v>
      </c>
      <c r="AK39" s="228">
        <f t="shared" si="23"/>
        <v>60</v>
      </c>
      <c r="AL39" s="228">
        <f t="shared" si="27"/>
        <v>9</v>
      </c>
      <c r="AM39" s="228" t="b">
        <f t="shared" si="24"/>
        <v>1</v>
      </c>
      <c r="AN39" s="240">
        <f t="shared" si="25"/>
        <v>60</v>
      </c>
      <c r="AO39" s="239" t="e">
        <f t="array" ref="AO39:AP39">IF(AM39,INDEX($AH$31:$AI$72,AN39,0),"")</f>
        <v>#REF!</v>
      </c>
      <c r="AP39" s="240" t="e">
        <v>#REF!</v>
      </c>
      <c r="AQ39" s="239">
        <v>60</v>
      </c>
      <c r="AR39" s="241" t="str">
        <v>#Error in cont_interp::kruger, too few input points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/>
      <c r="Z40" s="80" t="e">
        <f>$Z$29*_xll.RtGet($AD$32,$AD$33&amp;$Y40&amp;$AD$34,Z$30)</f>
        <v>#VALUE!</v>
      </c>
      <c r="AA40" s="78" t="e">
        <f>$Z$29*_xll.RtGet($AD$32,$AD$33&amp;$Y40&amp;$AD$34,AA$30)</f>
        <v>#VALUE!</v>
      </c>
      <c r="AC40"/>
      <c r="AF40" s="237" t="e">
        <f t="shared" si="20"/>
        <v>#VALUE!</v>
      </c>
      <c r="AG40" s="231" t="str">
        <f t="shared" si="26"/>
        <v/>
      </c>
      <c r="AH40" s="231" t="str">
        <f t="shared" si="21"/>
        <v/>
      </c>
      <c r="AI40" s="238" t="str">
        <f t="shared" si="22"/>
        <v/>
      </c>
      <c r="AJ40" s="239">
        <f t="shared" si="29"/>
        <v>72</v>
      </c>
      <c r="AK40" s="228" t="str">
        <f t="shared" si="23"/>
        <v/>
      </c>
      <c r="AL40" s="228">
        <f t="shared" si="27"/>
        <v>10</v>
      </c>
      <c r="AM40" s="228" t="b">
        <f t="shared" si="24"/>
        <v>1</v>
      </c>
      <c r="AN40" s="240">
        <f t="shared" si="25"/>
        <v>840</v>
      </c>
      <c r="AO40" s="239" t="e">
        <f t="array" ref="AO40:AP40">IF(AM40,INDEX($AH$31:$AI$72,AN40,0),"")</f>
        <v>#REF!</v>
      </c>
      <c r="AP40" s="240" t="e">
        <v>#REF!</v>
      </c>
      <c r="AQ40" s="239">
        <v>72</v>
      </c>
      <c r="AR40" s="241" t="str">
        <v>#Error in cont_interp::kruger, too few input points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/>
      <c r="Z41" s="80" t="e">
        <f>$Z$29*_xll.RtGet($AD$32,$AD$33&amp;$Y41&amp;$AD$34,Z$30)</f>
        <v>#VALUE!</v>
      </c>
      <c r="AA41" s="78" t="e">
        <f>$Z$29*_xll.RtGet($AD$32,$AD$33&amp;$Y41&amp;$AD$34,AA$30)</f>
        <v>#VALUE!</v>
      </c>
      <c r="AF41" s="237" t="e">
        <f t="shared" si="20"/>
        <v>#VALUE!</v>
      </c>
      <c r="AG41" s="231" t="str">
        <f t="shared" si="26"/>
        <v/>
      </c>
      <c r="AH41" s="231" t="str">
        <f t="shared" si="21"/>
        <v/>
      </c>
      <c r="AI41" s="238" t="str">
        <f t="shared" si="22"/>
        <v/>
      </c>
      <c r="AJ41" s="239">
        <f t="shared" si="29"/>
        <v>84</v>
      </c>
      <c r="AK41" s="228" t="str">
        <f t="shared" si="23"/>
        <v/>
      </c>
      <c r="AL41" s="228" t="str">
        <f t="shared" si="27"/>
        <v/>
      </c>
      <c r="AM41" s="228" t="b">
        <f t="shared" si="24"/>
        <v>0</v>
      </c>
      <c r="AN41" s="240" t="str">
        <f t="shared" si="25"/>
        <v/>
      </c>
      <c r="AO41" s="239" t="str">
        <f t="array" ref="AO41:AP41">IF(AM41,INDEX($AH$31:$AI$72,AN41,0),"")</f>
        <v/>
      </c>
      <c r="AP41" s="240" t="str">
        <v/>
      </c>
      <c r="AQ41" s="239">
        <v>84</v>
      </c>
      <c r="AR41" s="241" t="str">
        <v>#Error in cont_interp::kruger, too few input points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/>
      <c r="Z42" s="80" t="e">
        <f>$Z$29*_xll.RtGet($AD$32,$AD$33&amp;$Y42&amp;$AD$34,Z$30)</f>
        <v>#VALUE!</v>
      </c>
      <c r="AA42" s="78" t="e">
        <f>$Z$29*_xll.RtGet($AD$32,$AD$33&amp;$Y42&amp;$AD$34,AA$30)</f>
        <v>#VALUE!</v>
      </c>
      <c r="AF42" s="237" t="e">
        <f t="shared" si="20"/>
        <v>#VALUE!</v>
      </c>
      <c r="AG42" s="231" t="str">
        <f t="shared" si="26"/>
        <v/>
      </c>
      <c r="AH42" s="231" t="str">
        <f t="shared" si="21"/>
        <v/>
      </c>
      <c r="AI42" s="238" t="str">
        <f t="shared" si="22"/>
        <v/>
      </c>
      <c r="AJ42" s="239">
        <f t="shared" si="29"/>
        <v>96</v>
      </c>
      <c r="AK42" s="228" t="str">
        <f t="shared" si="23"/>
        <v/>
      </c>
      <c r="AL42" s="228" t="str">
        <f t="shared" si="27"/>
        <v/>
      </c>
      <c r="AM42" s="228" t="b">
        <f t="shared" si="24"/>
        <v>0</v>
      </c>
      <c r="AN42" s="240" t="str">
        <f t="shared" si="25"/>
        <v/>
      </c>
      <c r="AO42" s="239" t="str">
        <f t="array" ref="AO42:AP42">IF(AM42,INDEX($AH$31:$AI$72,AN42,0),"")</f>
        <v/>
      </c>
      <c r="AP42" s="240" t="str">
        <v/>
      </c>
      <c r="AQ42" s="239">
        <v>96</v>
      </c>
      <c r="AR42" s="241" t="str">
        <v>#Error in cont_interp::kruger, too few input points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/>
      <c r="Z43" s="80" t="e">
        <f>$Z$29*_xll.RtGet($AD$32,$AD$33&amp;$Y43&amp;$AD$34,Z$30)</f>
        <v>#VALUE!</v>
      </c>
      <c r="AA43" s="78" t="e">
        <f>$Z$29*_xll.RtGet($AD$32,$AD$33&amp;$Y43&amp;$AD$34,AA$30)</f>
        <v>#VALUE!</v>
      </c>
      <c r="AF43" s="237" t="e">
        <f t="shared" si="20"/>
        <v>#VALUE!</v>
      </c>
      <c r="AG43" s="231" t="str">
        <f t="shared" si="26"/>
        <v/>
      </c>
      <c r="AH43" s="231" t="str">
        <f t="shared" si="21"/>
        <v/>
      </c>
      <c r="AI43" s="238" t="str">
        <f t="shared" si="22"/>
        <v/>
      </c>
      <c r="AJ43" s="239">
        <f t="shared" si="29"/>
        <v>108</v>
      </c>
      <c r="AK43" s="228" t="str">
        <f t="shared" si="23"/>
        <v/>
      </c>
      <c r="AL43" s="228" t="str">
        <f t="shared" si="27"/>
        <v/>
      </c>
      <c r="AM43" s="228" t="b">
        <f t="shared" si="24"/>
        <v>0</v>
      </c>
      <c r="AN43" s="240" t="str">
        <f t="shared" si="25"/>
        <v/>
      </c>
      <c r="AO43" s="239" t="str">
        <f t="array" ref="AO43:AP43">IF(AM43,INDEX($AH$31:$AI$72,AN43,0),"")</f>
        <v/>
      </c>
      <c r="AP43" s="240" t="str">
        <v/>
      </c>
      <c r="AQ43" s="239">
        <v>108</v>
      </c>
      <c r="AR43" s="241" t="str">
        <v>#Error in cont_interp::kruger, too few input points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7" t="e">
        <f t="shared" si="20"/>
        <v>#VALUE!</v>
      </c>
      <c r="AG44" s="231" t="str">
        <f t="shared" si="26"/>
        <v/>
      </c>
      <c r="AH44" s="231" t="str">
        <f t="shared" si="21"/>
        <v/>
      </c>
      <c r="AI44" s="238" t="str">
        <f t="shared" si="22"/>
        <v/>
      </c>
      <c r="AJ44" s="239">
        <f t="shared" si="29"/>
        <v>120</v>
      </c>
      <c r="AK44" s="228" t="str">
        <f t="shared" si="23"/>
        <v/>
      </c>
      <c r="AL44" s="228" t="str">
        <f t="shared" si="27"/>
        <v/>
      </c>
      <c r="AM44" s="228" t="b">
        <f t="shared" si="24"/>
        <v>0</v>
      </c>
      <c r="AN44" s="240" t="str">
        <f t="shared" si="25"/>
        <v/>
      </c>
      <c r="AO44" s="239" t="str">
        <f t="array" ref="AO44:AP44">IF(AM44,INDEX($AH$31:$AI$72,AN44,0),"")</f>
        <v/>
      </c>
      <c r="AP44" s="240" t="str">
        <v/>
      </c>
      <c r="AQ44" s="239">
        <v>120</v>
      </c>
      <c r="AR44" s="241" t="str">
        <v>#Error in cont_interp::kruger, too few input points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7" t="e">
        <f t="shared" si="20"/>
        <v>#VALUE!</v>
      </c>
      <c r="AG45" s="231" t="str">
        <f t="shared" si="26"/>
        <v/>
      </c>
      <c r="AH45" s="231" t="str">
        <f t="shared" si="21"/>
        <v/>
      </c>
      <c r="AI45" s="238" t="str">
        <f t="shared" si="22"/>
        <v/>
      </c>
      <c r="AJ45" s="239">
        <f t="shared" si="29"/>
        <v>132</v>
      </c>
      <c r="AK45" s="228" t="str">
        <f t="shared" si="23"/>
        <v/>
      </c>
      <c r="AL45" s="228" t="str">
        <f t="shared" si="27"/>
        <v/>
      </c>
      <c r="AM45" s="228" t="b">
        <f t="shared" si="24"/>
        <v>0</v>
      </c>
      <c r="AN45" s="240" t="str">
        <f t="shared" si="25"/>
        <v/>
      </c>
      <c r="AO45" s="239" t="str">
        <f t="array" ref="AO45:AP45">IF(AM45,INDEX($AH$31:$AI$72,AN45,0),"")</f>
        <v/>
      </c>
      <c r="AP45" s="240" t="str">
        <v/>
      </c>
      <c r="AQ45" s="239">
        <v>132</v>
      </c>
      <c r="AR45" s="241" t="str">
        <v>#Error in cont_interp::kruger, too few input points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7" t="e">
        <f t="shared" si="20"/>
        <v>#VALUE!</v>
      </c>
      <c r="AG46" s="231" t="str">
        <f t="shared" si="26"/>
        <v/>
      </c>
      <c r="AH46" s="231" t="str">
        <f t="shared" si="21"/>
        <v/>
      </c>
      <c r="AI46" s="238" t="str">
        <f t="shared" si="22"/>
        <v/>
      </c>
      <c r="AJ46" s="239">
        <f t="shared" si="29"/>
        <v>144</v>
      </c>
      <c r="AK46" s="228" t="str">
        <f t="shared" si="23"/>
        <v/>
      </c>
      <c r="AL46" s="228" t="str">
        <f t="shared" si="27"/>
        <v/>
      </c>
      <c r="AM46" s="228" t="b">
        <f t="shared" si="24"/>
        <v>0</v>
      </c>
      <c r="AN46" s="240" t="str">
        <f t="shared" si="25"/>
        <v/>
      </c>
      <c r="AO46" s="239" t="str">
        <f t="array" ref="AO46:AP46">IF(AM46,INDEX($AH$31:$AI$72,AN46,0),"")</f>
        <v/>
      </c>
      <c r="AP46" s="240" t="str">
        <v/>
      </c>
      <c r="AQ46" s="239">
        <v>144</v>
      </c>
      <c r="AR46" s="241" t="str">
        <v>#Error in cont_interp::kruger, too few input points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7" t="e">
        <f t="shared" si="20"/>
        <v>#VALUE!</v>
      </c>
      <c r="AG47" s="231" t="str">
        <f t="shared" si="26"/>
        <v/>
      </c>
      <c r="AH47" s="231" t="str">
        <f t="shared" si="21"/>
        <v/>
      </c>
      <c r="AI47" s="238" t="str">
        <f t="shared" si="22"/>
        <v/>
      </c>
      <c r="AJ47" s="239">
        <f t="shared" si="29"/>
        <v>156</v>
      </c>
      <c r="AK47" s="228" t="str">
        <f t="shared" si="23"/>
        <v/>
      </c>
      <c r="AL47" s="228" t="str">
        <f t="shared" si="27"/>
        <v/>
      </c>
      <c r="AM47" s="228" t="b">
        <f t="shared" si="24"/>
        <v>0</v>
      </c>
      <c r="AN47" s="240" t="str">
        <f t="shared" si="25"/>
        <v/>
      </c>
      <c r="AO47" s="239" t="str">
        <f t="array" ref="AO47:AP47">IF(AM47,INDEX($AH$31:$AI$72,AN47,0),"")</f>
        <v/>
      </c>
      <c r="AP47" s="240" t="str">
        <v/>
      </c>
      <c r="AQ47" s="239">
        <v>156</v>
      </c>
      <c r="AR47" s="241" t="str">
        <v>#Error in cont_interp::kruger, too few input points</v>
      </c>
    </row>
    <row r="48" spans="1:44" ht="11.25" customHeight="1" x14ac:dyDescent="0.2">
      <c r="B48" s="104" t="str">
        <f>"DomDiscCurveName"&amp;IF(ISBLANK(C8),"","#"&amp;C8)</f>
        <v>DomDiscCurveName#EURON_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7" t="e">
        <f t="shared" si="20"/>
        <v>#VALUE!</v>
      </c>
      <c r="AG48" s="231" t="str">
        <f t="shared" si="26"/>
        <v/>
      </c>
      <c r="AH48" s="231" t="str">
        <f t="shared" si="21"/>
        <v/>
      </c>
      <c r="AI48" s="238" t="str">
        <f t="shared" si="22"/>
        <v/>
      </c>
      <c r="AJ48" s="239">
        <f t="shared" si="29"/>
        <v>168</v>
      </c>
      <c r="AK48" s="228" t="str">
        <f t="shared" si="23"/>
        <v/>
      </c>
      <c r="AL48" s="228" t="str">
        <f t="shared" si="27"/>
        <v/>
      </c>
      <c r="AM48" s="228" t="b">
        <f t="shared" si="24"/>
        <v>0</v>
      </c>
      <c r="AN48" s="240" t="str">
        <f t="shared" si="25"/>
        <v/>
      </c>
      <c r="AO48" s="239" t="str">
        <f t="array" ref="AO48:AP48">IF(AM48,INDEX($AH$31:$AI$72,AN48,0),"")</f>
        <v/>
      </c>
      <c r="AP48" s="240" t="str">
        <v/>
      </c>
      <c r="AQ48" s="239">
        <v>168</v>
      </c>
      <c r="AR48" s="241" t="str">
        <v>#Error in cont_interp::kruger, too few input points</v>
      </c>
    </row>
    <row r="49" spans="1:44" ht="11.25" customHeight="1" x14ac:dyDescent="0.2">
      <c r="B49" s="104" t="str">
        <f>"DomFwdCurveName"&amp;IF(ISBLANK(C9),"","#"&amp;C9)</f>
        <v>DomFwdCurveName#EUR3M_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7" t="e">
        <f t="shared" si="20"/>
        <v>#VALUE!</v>
      </c>
      <c r="AG49" s="231" t="str">
        <f t="shared" si="26"/>
        <v/>
      </c>
      <c r="AH49" s="231" t="str">
        <f t="shared" si="21"/>
        <v/>
      </c>
      <c r="AI49" s="238" t="str">
        <f t="shared" si="22"/>
        <v/>
      </c>
      <c r="AJ49" s="239">
        <f t="shared" si="29"/>
        <v>180</v>
      </c>
      <c r="AK49" s="228" t="str">
        <f t="shared" si="23"/>
        <v/>
      </c>
      <c r="AL49" s="228" t="str">
        <f t="shared" si="27"/>
        <v/>
      </c>
      <c r="AM49" s="228" t="b">
        <f t="shared" si="24"/>
        <v>0</v>
      </c>
      <c r="AN49" s="240" t="str">
        <f t="shared" si="25"/>
        <v/>
      </c>
      <c r="AO49" s="239" t="str">
        <f t="array" ref="AO49:AP49">IF(AM49,INDEX($AH$31:$AI$72,AN49,0),"")</f>
        <v/>
      </c>
      <c r="AP49" s="240" t="str">
        <v/>
      </c>
      <c r="AQ49" s="239">
        <v>180</v>
      </c>
      <c r="AR49" s="241" t="str">
        <v>#Error in cont_interp::kruger, too few input points</v>
      </c>
    </row>
    <row r="50" spans="1:44" ht="11.25" customHeight="1" x14ac:dyDescent="0.2">
      <c r="B50" s="104" t="str">
        <f>"ForFwdCurveName"&amp;IF(ISBLANK(C10),"","#"&amp;C10)</f>
        <v>ForFwdCurveName#SEK3M_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7" t="e">
        <f t="shared" si="20"/>
        <v>#VALUE!</v>
      </c>
      <c r="AG50" s="231" t="str">
        <f t="shared" si="26"/>
        <v/>
      </c>
      <c r="AH50" s="231" t="str">
        <f t="shared" si="21"/>
        <v/>
      </c>
      <c r="AI50" s="238" t="str">
        <f t="shared" si="22"/>
        <v/>
      </c>
      <c r="AJ50" s="239">
        <f t="shared" si="29"/>
        <v>192</v>
      </c>
      <c r="AK50" s="228" t="str">
        <f t="shared" si="23"/>
        <v/>
      </c>
      <c r="AL50" s="228" t="str">
        <f t="shared" si="27"/>
        <v/>
      </c>
      <c r="AM50" s="228" t="b">
        <f t="shared" si="24"/>
        <v>0</v>
      </c>
      <c r="AN50" s="240" t="str">
        <f t="shared" si="25"/>
        <v/>
      </c>
      <c r="AO50" s="239" t="str">
        <f t="array" ref="AO50:AP50">IF(AM50,INDEX($AH$31:$AI$72,AN50,0),"")</f>
        <v/>
      </c>
      <c r="AP50" s="240" t="str">
        <v/>
      </c>
      <c r="AQ50" s="239">
        <v>192</v>
      </c>
      <c r="AR50" s="241" t="str">
        <v>#Error in cont_interp::kruger, too few input points</v>
      </c>
    </row>
    <row r="51" spans="1:44" ht="11.25" customHeight="1" x14ac:dyDescent="0.2">
      <c r="B51" s="104" t="str">
        <f>"CCSSpreadCurr"&amp;IF(ISBLANK(C7),"","#"&amp;C7)</f>
        <v>CCSSpreadCurr#SEK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7" t="e">
        <f t="shared" si="20"/>
        <v>#VALUE!</v>
      </c>
      <c r="AG51" s="231" t="str">
        <f t="shared" si="26"/>
        <v/>
      </c>
      <c r="AH51" s="231" t="str">
        <f t="shared" si="21"/>
        <v/>
      </c>
      <c r="AI51" s="238" t="str">
        <f t="shared" si="22"/>
        <v/>
      </c>
      <c r="AJ51" s="239">
        <f t="shared" si="29"/>
        <v>204</v>
      </c>
      <c r="AK51" s="228" t="str">
        <f t="shared" si="23"/>
        <v/>
      </c>
      <c r="AL51" s="228" t="str">
        <f t="shared" si="27"/>
        <v/>
      </c>
      <c r="AM51" s="228" t="b">
        <f t="shared" si="24"/>
        <v>0</v>
      </c>
      <c r="AN51" s="240" t="str">
        <f t="shared" si="25"/>
        <v/>
      </c>
      <c r="AO51" s="239" t="str">
        <f t="array" ref="AO51:AP51">IF(AM51,INDEX($AH$31:$AI$72,AN51,0),"")</f>
        <v/>
      </c>
      <c r="AP51" s="240" t="str">
        <v/>
      </c>
      <c r="AQ51" s="239">
        <v>204</v>
      </c>
      <c r="AR51" s="241" t="str">
        <v>#Error in cont_interp::kruger, too few input points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7" t="e">
        <f t="shared" si="20"/>
        <v>#VALUE!</v>
      </c>
      <c r="AG52" s="231" t="str">
        <f t="shared" si="26"/>
        <v/>
      </c>
      <c r="AH52" s="231" t="str">
        <f t="shared" si="21"/>
        <v/>
      </c>
      <c r="AI52" s="238" t="str">
        <f t="shared" si="22"/>
        <v/>
      </c>
      <c r="AJ52" s="239">
        <f t="shared" si="29"/>
        <v>216</v>
      </c>
      <c r="AK52" s="228" t="str">
        <f t="shared" si="23"/>
        <v/>
      </c>
      <c r="AL52" s="228" t="str">
        <f t="shared" si="27"/>
        <v/>
      </c>
      <c r="AM52" s="228" t="b">
        <f t="shared" si="24"/>
        <v>0</v>
      </c>
      <c r="AN52" s="240" t="str">
        <f t="shared" si="25"/>
        <v/>
      </c>
      <c r="AO52" s="239" t="str">
        <f t="array" ref="AO52:AP52">IF(AM52,INDEX($AH$31:$AI$72,AN52,0),"")</f>
        <v/>
      </c>
      <c r="AP52" s="240" t="str">
        <v/>
      </c>
      <c r="AQ52" s="239">
        <v>216</v>
      </c>
      <c r="AR52" s="241" t="str">
        <v>#Error in cont_interp::kruger, too few input points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7" t="e">
        <f t="shared" si="20"/>
        <v>#VALUE!</v>
      </c>
      <c r="AG53" s="231" t="str">
        <f t="shared" si="26"/>
        <v/>
      </c>
      <c r="AH53" s="231" t="str">
        <f t="shared" si="21"/>
        <v/>
      </c>
      <c r="AI53" s="238" t="str">
        <f t="shared" si="22"/>
        <v/>
      </c>
      <c r="AJ53" s="239">
        <f t="shared" si="29"/>
        <v>228</v>
      </c>
      <c r="AK53" s="228" t="str">
        <f t="shared" si="23"/>
        <v/>
      </c>
      <c r="AL53" s="228" t="str">
        <f t="shared" si="27"/>
        <v/>
      </c>
      <c r="AM53" s="228" t="b">
        <f t="shared" si="24"/>
        <v>0</v>
      </c>
      <c r="AN53" s="240" t="str">
        <f t="shared" si="25"/>
        <v/>
      </c>
      <c r="AO53" s="239" t="str">
        <f t="array" ref="AO53:AP53">IF(AM53,INDEX($AH$31:$AI$72,AN53,0),"")</f>
        <v/>
      </c>
      <c r="AP53" s="240" t="str">
        <v/>
      </c>
      <c r="AQ53" s="239">
        <v>228</v>
      </c>
      <c r="AR53" s="241" t="str">
        <v>#Error in cont_interp::kruger, too few input points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7" t="e">
        <f t="shared" si="20"/>
        <v>#VALUE!</v>
      </c>
      <c r="AG54" s="231" t="str">
        <f t="shared" si="26"/>
        <v/>
      </c>
      <c r="AH54" s="231" t="str">
        <f t="shared" si="21"/>
        <v/>
      </c>
      <c r="AI54" s="238" t="str">
        <f t="shared" si="22"/>
        <v/>
      </c>
      <c r="AJ54" s="239">
        <f t="shared" si="29"/>
        <v>240</v>
      </c>
      <c r="AK54" s="228" t="str">
        <f t="shared" si="23"/>
        <v/>
      </c>
      <c r="AL54" s="228" t="str">
        <f t="shared" si="27"/>
        <v/>
      </c>
      <c r="AM54" s="228" t="b">
        <f t="shared" si="24"/>
        <v>0</v>
      </c>
      <c r="AN54" s="240" t="str">
        <f t="shared" si="25"/>
        <v/>
      </c>
      <c r="AO54" s="239" t="str">
        <f t="array" ref="AO54:AP54">IF(AM54,INDEX($AH$31:$AI$72,AN54,0),"")</f>
        <v/>
      </c>
      <c r="AP54" s="240" t="str">
        <v/>
      </c>
      <c r="AQ54" s="239">
        <v>240</v>
      </c>
      <c r="AR54" s="241" t="str">
        <v>#Error in cont_interp::kruger, too few input points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7" t="e">
        <f t="shared" si="20"/>
        <v>#VALUE!</v>
      </c>
      <c r="AG55" s="231" t="str">
        <f t="shared" si="26"/>
        <v/>
      </c>
      <c r="AH55" s="231" t="str">
        <f t="shared" si="21"/>
        <v/>
      </c>
      <c r="AI55" s="238" t="str">
        <f t="shared" si="22"/>
        <v/>
      </c>
      <c r="AJ55" s="239">
        <f t="shared" si="29"/>
        <v>252</v>
      </c>
      <c r="AK55" s="228" t="str">
        <f t="shared" si="23"/>
        <v/>
      </c>
      <c r="AL55" s="228" t="str">
        <f t="shared" si="27"/>
        <v/>
      </c>
      <c r="AM55" s="228" t="b">
        <f t="shared" si="24"/>
        <v>0</v>
      </c>
      <c r="AN55" s="240" t="str">
        <f t="shared" si="25"/>
        <v/>
      </c>
      <c r="AO55" s="239" t="str">
        <f t="array" ref="AO55:AP55">IF(AM55,INDEX($AH$31:$AI$72,AN55,0),"")</f>
        <v/>
      </c>
      <c r="AP55" s="240" t="str">
        <v/>
      </c>
      <c r="AQ55" s="239">
        <v>252</v>
      </c>
      <c r="AR55" s="241" t="str">
        <v>#Error in cont_interp::kruger, too few input points</v>
      </c>
    </row>
    <row r="56" spans="1:44" ht="11.25" customHeight="1" x14ac:dyDescent="0.2">
      <c r="A56" s="102"/>
      <c r="B56" s="104" t="str">
        <f>"CCSM2MCurr"&amp;IF(ISBLANK(C30),"","#"&amp;C30)</f>
        <v>CCSM2MCurr#EUR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7" t="e">
        <f t="shared" si="20"/>
        <v>#VALUE!</v>
      </c>
      <c r="AG56" s="231" t="str">
        <f t="shared" si="26"/>
        <v/>
      </c>
      <c r="AH56" s="231" t="str">
        <f t="shared" si="21"/>
        <v/>
      </c>
      <c r="AI56" s="238" t="str">
        <f t="shared" si="22"/>
        <v/>
      </c>
      <c r="AJ56" s="239">
        <f t="shared" si="29"/>
        <v>264</v>
      </c>
      <c r="AK56" s="228" t="str">
        <f t="shared" si="23"/>
        <v/>
      </c>
      <c r="AL56" s="228" t="str">
        <f t="shared" si="27"/>
        <v/>
      </c>
      <c r="AM56" s="228" t="b">
        <f t="shared" si="24"/>
        <v>0</v>
      </c>
      <c r="AN56" s="240" t="str">
        <f t="shared" si="25"/>
        <v/>
      </c>
      <c r="AO56" s="239" t="str">
        <f t="array" ref="AO56:AP56">IF(AM56,INDEX($AH$31:$AI$72,AN56,0),"")</f>
        <v/>
      </c>
      <c r="AP56" s="240" t="str">
        <v/>
      </c>
      <c r="AQ56" s="239">
        <v>264</v>
      </c>
      <c r="AR56" s="241" t="str">
        <v>#Error in cont_interp::kruger, too few input points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7" t="e">
        <f t="shared" si="20"/>
        <v>#VALUE!</v>
      </c>
      <c r="AG57" s="231" t="str">
        <f t="shared" si="26"/>
        <v/>
      </c>
      <c r="AH57" s="231" t="str">
        <f t="shared" si="21"/>
        <v/>
      </c>
      <c r="AI57" s="238" t="str">
        <f t="shared" si="22"/>
        <v/>
      </c>
      <c r="AJ57" s="239">
        <f t="shared" si="29"/>
        <v>276</v>
      </c>
      <c r="AK57" s="228" t="str">
        <f t="shared" si="23"/>
        <v/>
      </c>
      <c r="AL57" s="228" t="str">
        <f t="shared" si="27"/>
        <v/>
      </c>
      <c r="AM57" s="228" t="b">
        <f t="shared" si="24"/>
        <v>0</v>
      </c>
      <c r="AN57" s="240" t="str">
        <f t="shared" si="25"/>
        <v/>
      </c>
      <c r="AO57" s="239" t="str">
        <f t="array" ref="AO57:AP57">IF(AM57,INDEX($AH$31:$AI$72,AN57,0),"")</f>
        <v/>
      </c>
      <c r="AP57" s="240" t="str">
        <v/>
      </c>
      <c r="AQ57" s="239">
        <v>276</v>
      </c>
      <c r="AR57" s="241" t="str">
        <v>#Error in cont_interp::kruger, too few input points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7" t="e">
        <f t="shared" si="20"/>
        <v>#VALUE!</v>
      </c>
      <c r="AG58" s="231" t="str">
        <f t="shared" si="26"/>
        <v/>
      </c>
      <c r="AH58" s="231" t="str">
        <f t="shared" si="21"/>
        <v/>
      </c>
      <c r="AI58" s="238" t="str">
        <f t="shared" si="22"/>
        <v/>
      </c>
      <c r="AJ58" s="239">
        <f t="shared" si="29"/>
        <v>288</v>
      </c>
      <c r="AK58" s="228" t="str">
        <f t="shared" si="23"/>
        <v/>
      </c>
      <c r="AL58" s="228" t="str">
        <f t="shared" si="27"/>
        <v/>
      </c>
      <c r="AM58" s="228" t="b">
        <f t="shared" si="24"/>
        <v>0</v>
      </c>
      <c r="AN58" s="240" t="str">
        <f t="shared" si="25"/>
        <v/>
      </c>
      <c r="AO58" s="239" t="str">
        <f t="array" ref="AO58:AP58">IF(AM58,INDEX($AH$31:$AI$72,AN58,0),"")</f>
        <v/>
      </c>
      <c r="AP58" s="240" t="str">
        <v/>
      </c>
      <c r="AQ58" s="239">
        <v>288</v>
      </c>
      <c r="AR58" s="241" t="str">
        <v>#Error in cont_interp::kruger, too few input points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7" t="e">
        <f t="shared" si="20"/>
        <v>#VALUE!</v>
      </c>
      <c r="AG59" s="231" t="str">
        <f t="shared" si="26"/>
        <v/>
      </c>
      <c r="AH59" s="231" t="str">
        <f t="shared" si="21"/>
        <v/>
      </c>
      <c r="AI59" s="238" t="str">
        <f t="shared" si="22"/>
        <v/>
      </c>
      <c r="AJ59" s="239">
        <f t="shared" si="29"/>
        <v>300</v>
      </c>
      <c r="AK59" s="228" t="str">
        <f t="shared" si="23"/>
        <v/>
      </c>
      <c r="AL59" s="228" t="str">
        <f t="shared" si="27"/>
        <v/>
      </c>
      <c r="AM59" s="228" t="b">
        <f t="shared" si="24"/>
        <v>0</v>
      </c>
      <c r="AN59" s="240" t="str">
        <f t="shared" si="25"/>
        <v/>
      </c>
      <c r="AO59" s="239" t="str">
        <f t="array" ref="AO59:AP59">IF(AM59,INDEX($AH$31:$AI$72,AN59,0),"")</f>
        <v/>
      </c>
      <c r="AP59" s="240" t="str">
        <v/>
      </c>
      <c r="AQ59" s="239">
        <v>300</v>
      </c>
      <c r="AR59" s="241" t="str">
        <v>#Error in cont_interp::kruger, too few input points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7" t="e">
        <f t="shared" si="20"/>
        <v>#VALUE!</v>
      </c>
      <c r="AG60" s="231" t="str">
        <f t="shared" si="26"/>
        <v/>
      </c>
      <c r="AH60" s="231" t="str">
        <f t="shared" si="21"/>
        <v/>
      </c>
      <c r="AI60" s="238" t="str">
        <f t="shared" si="22"/>
        <v/>
      </c>
      <c r="AJ60" s="239">
        <f t="shared" si="29"/>
        <v>312</v>
      </c>
      <c r="AK60" s="228" t="str">
        <f t="shared" si="23"/>
        <v/>
      </c>
      <c r="AL60" s="228" t="str">
        <f t="shared" si="27"/>
        <v/>
      </c>
      <c r="AM60" s="228" t="b">
        <f t="shared" si="24"/>
        <v>0</v>
      </c>
      <c r="AN60" s="240" t="str">
        <f t="shared" si="25"/>
        <v/>
      </c>
      <c r="AO60" s="239" t="str">
        <f t="array" ref="AO60:AP60">IF(AM60,INDEX($AH$31:$AI$72,AN60,0),"")</f>
        <v/>
      </c>
      <c r="AP60" s="240" t="str">
        <v/>
      </c>
      <c r="AQ60" s="242">
        <v>312</v>
      </c>
      <c r="AR60" s="245" t="str">
        <v>#Error in cont_interp::kruger, too few input points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7" t="e">
        <f t="shared" si="20"/>
        <v>#VALUE!</v>
      </c>
      <c r="AG61" s="231" t="str">
        <f t="shared" si="26"/>
        <v/>
      </c>
      <c r="AH61" s="231" t="str">
        <f t="shared" si="21"/>
        <v/>
      </c>
      <c r="AI61" s="238" t="str">
        <f t="shared" si="22"/>
        <v/>
      </c>
      <c r="AJ61" s="239">
        <f t="shared" si="29"/>
        <v>324</v>
      </c>
      <c r="AK61" s="228" t="str">
        <f t="shared" si="23"/>
        <v/>
      </c>
      <c r="AL61" s="228" t="str">
        <f t="shared" si="27"/>
        <v/>
      </c>
      <c r="AM61" s="228" t="b">
        <f t="shared" si="24"/>
        <v>0</v>
      </c>
      <c r="AN61" s="240" t="str">
        <f t="shared" si="25"/>
        <v/>
      </c>
      <c r="AO61" s="243"/>
      <c r="AP61" s="244"/>
      <c r="AQ61" s="254">
        <v>324</v>
      </c>
      <c r="AR61" s="255" t="str">
        <v>#Error in cont_interp::kruger, too few input points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7" t="e">
        <f t="shared" si="20"/>
        <v>#VALUE!</v>
      </c>
      <c r="AG62" s="231" t="str">
        <f t="shared" si="26"/>
        <v/>
      </c>
      <c r="AH62" s="231" t="str">
        <f t="shared" si="21"/>
        <v/>
      </c>
      <c r="AI62" s="238" t="str">
        <f t="shared" si="22"/>
        <v/>
      </c>
      <c r="AJ62" s="239">
        <f t="shared" si="29"/>
        <v>336</v>
      </c>
      <c r="AK62" s="228" t="str">
        <f t="shared" si="23"/>
        <v/>
      </c>
      <c r="AL62" s="228" t="str">
        <f t="shared" si="27"/>
        <v/>
      </c>
      <c r="AM62" s="228" t="b">
        <f t="shared" si="24"/>
        <v>0</v>
      </c>
      <c r="AN62" s="240" t="str">
        <f t="shared" si="25"/>
        <v/>
      </c>
      <c r="AO62" s="243"/>
      <c r="AP62" s="244"/>
      <c r="AQ62" s="256">
        <v>336</v>
      </c>
      <c r="AR62" s="247" t="str">
        <v>#Error in cont_interp::kruger, too few input points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7" t="e">
        <f t="shared" si="20"/>
        <v>#VALUE!</v>
      </c>
      <c r="AG63" s="231" t="str">
        <f t="shared" si="26"/>
        <v/>
      </c>
      <c r="AH63" s="231" t="str">
        <f t="shared" si="21"/>
        <v/>
      </c>
      <c r="AI63" s="238" t="str">
        <f t="shared" si="22"/>
        <v/>
      </c>
      <c r="AJ63" s="239">
        <f t="shared" si="29"/>
        <v>348</v>
      </c>
      <c r="AK63" s="228" t="str">
        <f t="shared" si="23"/>
        <v/>
      </c>
      <c r="AL63" s="228" t="str">
        <f t="shared" si="27"/>
        <v/>
      </c>
      <c r="AM63" s="228" t="b">
        <f t="shared" si="24"/>
        <v>0</v>
      </c>
      <c r="AN63" s="240" t="str">
        <f t="shared" si="25"/>
        <v/>
      </c>
      <c r="AO63" s="239" t="str">
        <f t="array" ref="AO63:AP63">IF(AM63,INDEX($AH$31:$AI$72,AN63,0),"")</f>
        <v/>
      </c>
      <c r="AP63" s="240" t="str">
        <v/>
      </c>
      <c r="AQ63" s="246">
        <v>348</v>
      </c>
      <c r="AR63" s="247" t="str">
        <v>#Error in cont_interp::kruger, too few input points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7" t="e">
        <f t="shared" si="20"/>
        <v>#VALUE!</v>
      </c>
      <c r="AG64" s="231" t="str">
        <f t="shared" si="26"/>
        <v/>
      </c>
      <c r="AH64" s="231" t="str">
        <f t="shared" si="21"/>
        <v/>
      </c>
      <c r="AI64" s="238" t="str">
        <f t="shared" si="22"/>
        <v/>
      </c>
      <c r="AJ64" s="242">
        <f t="shared" si="29"/>
        <v>360</v>
      </c>
      <c r="AK64" s="228" t="str">
        <f t="shared" si="23"/>
        <v/>
      </c>
      <c r="AL64" s="228" t="str">
        <f t="shared" si="27"/>
        <v/>
      </c>
      <c r="AM64" s="228" t="b">
        <f t="shared" si="24"/>
        <v>0</v>
      </c>
      <c r="AN64" s="240" t="str">
        <f t="shared" si="25"/>
        <v/>
      </c>
      <c r="AO64" s="239" t="str">
        <f t="array" ref="AO64:AP64">IF(AM64,INDEX($AH$31:$AI$72,AN64,0),"")</f>
        <v/>
      </c>
      <c r="AP64" s="240" t="str">
        <v/>
      </c>
      <c r="AQ64" s="246">
        <v>360</v>
      </c>
      <c r="AR64" s="247" t="str">
        <v>#Error in cont_interp::kruger, too few input points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7" t="e">
        <f t="shared" si="20"/>
        <v>#VALUE!</v>
      </c>
      <c r="AG65" s="231" t="str">
        <f t="shared" si="26"/>
        <v/>
      </c>
      <c r="AH65" s="231" t="str">
        <f t="shared" si="21"/>
        <v/>
      </c>
      <c r="AI65" s="238" t="str">
        <f t="shared" si="22"/>
        <v/>
      </c>
      <c r="AJ65" s="239">
        <f>+AJ64+60</f>
        <v>420</v>
      </c>
      <c r="AK65" s="228" t="str">
        <f t="shared" si="23"/>
        <v/>
      </c>
      <c r="AL65" s="228" t="str">
        <f t="shared" si="27"/>
        <v/>
      </c>
      <c r="AM65" s="228" t="b">
        <f t="shared" si="24"/>
        <v>0</v>
      </c>
      <c r="AN65" s="240" t="str">
        <f t="shared" si="25"/>
        <v/>
      </c>
      <c r="AO65" s="239" t="str">
        <f t="array" ref="AO65:AP65">IF(AM65,INDEX($AH$31:$AI$72,AN65,0),"")</f>
        <v/>
      </c>
      <c r="AP65" s="240" t="str">
        <v/>
      </c>
      <c r="AQ65" s="246">
        <v>420</v>
      </c>
      <c r="AR65" s="247" t="str">
        <v>#Error in cont_interp::kruger, too few input points</v>
      </c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7" t="e">
        <f t="shared" si="20"/>
        <v>#VALUE!</v>
      </c>
      <c r="AG66" s="231" t="str">
        <f t="shared" si="26"/>
        <v/>
      </c>
      <c r="AH66" s="231" t="str">
        <f t="shared" si="21"/>
        <v/>
      </c>
      <c r="AI66" s="238" t="str">
        <f t="shared" si="22"/>
        <v/>
      </c>
      <c r="AJ66" s="239">
        <f t="shared" ref="AJ66:AJ72" si="30">+AJ65+60</f>
        <v>480</v>
      </c>
      <c r="AK66" s="228" t="str">
        <f t="shared" si="23"/>
        <v/>
      </c>
      <c r="AL66" s="228" t="str">
        <f t="shared" si="27"/>
        <v/>
      </c>
      <c r="AM66" s="228" t="b">
        <f t="shared" si="24"/>
        <v>0</v>
      </c>
      <c r="AN66" s="240" t="str">
        <f t="shared" si="25"/>
        <v/>
      </c>
      <c r="AO66" s="239" t="str">
        <f t="array" ref="AO66:AP66">IF(AM66,INDEX($AH$31:$AI$72,AN66,0),"")</f>
        <v/>
      </c>
      <c r="AP66" s="240" t="str">
        <v/>
      </c>
      <c r="AQ66" s="246">
        <v>480</v>
      </c>
      <c r="AR66" s="247" t="str">
        <v>#Error in cont_interp::kruger, too few input points</v>
      </c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7" t="e">
        <f t="shared" si="20"/>
        <v>#VALUE!</v>
      </c>
      <c r="AG67" s="231" t="str">
        <f t="shared" si="26"/>
        <v/>
      </c>
      <c r="AH67" s="231" t="str">
        <f t="shared" si="21"/>
        <v/>
      </c>
      <c r="AI67" s="238" t="str">
        <f t="shared" si="22"/>
        <v/>
      </c>
      <c r="AJ67" s="239">
        <f t="shared" si="30"/>
        <v>540</v>
      </c>
      <c r="AK67" s="228" t="str">
        <f t="shared" si="23"/>
        <v/>
      </c>
      <c r="AL67" s="228" t="str">
        <f t="shared" si="27"/>
        <v/>
      </c>
      <c r="AM67" s="228" t="b">
        <f t="shared" si="24"/>
        <v>0</v>
      </c>
      <c r="AN67" s="240" t="str">
        <f t="shared" si="25"/>
        <v/>
      </c>
      <c r="AO67" s="239" t="str">
        <f t="array" ref="AO67:AP67">IF(AM67,INDEX($AH$31:$AI$72,AN67,0),"")</f>
        <v/>
      </c>
      <c r="AP67" s="240" t="str">
        <v/>
      </c>
      <c r="AQ67" s="246">
        <v>540</v>
      </c>
      <c r="AR67" s="247" t="str">
        <v>#Error in cont_interp::kruger, too few input points</v>
      </c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7" t="e">
        <f t="shared" si="20"/>
        <v>#VALUE!</v>
      </c>
      <c r="AG68" s="231" t="str">
        <f t="shared" si="26"/>
        <v/>
      </c>
      <c r="AH68" s="231" t="str">
        <f t="shared" si="21"/>
        <v/>
      </c>
      <c r="AI68" s="238" t="str">
        <f t="shared" si="22"/>
        <v/>
      </c>
      <c r="AJ68" s="239">
        <f t="shared" si="30"/>
        <v>600</v>
      </c>
      <c r="AK68" s="228" t="str">
        <f t="shared" si="23"/>
        <v/>
      </c>
      <c r="AL68" s="228" t="str">
        <f t="shared" si="27"/>
        <v/>
      </c>
      <c r="AM68" s="228" t="b">
        <f t="shared" si="24"/>
        <v>0</v>
      </c>
      <c r="AN68" s="240" t="str">
        <f t="shared" si="25"/>
        <v/>
      </c>
      <c r="AO68" s="239" t="str">
        <f t="array" ref="AO68:AP68">IF(AM68,INDEX($AH$31:$AI$72,AN68,0),"")</f>
        <v/>
      </c>
      <c r="AP68" s="240" t="str">
        <v/>
      </c>
      <c r="AQ68" s="246">
        <v>600</v>
      </c>
      <c r="AR68" s="247" t="str">
        <v>#Error in cont_interp::kruger, too few input points</v>
      </c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7" t="e">
        <f t="shared" si="20"/>
        <v>#VALUE!</v>
      </c>
      <c r="AG69" s="231" t="str">
        <f t="shared" si="26"/>
        <v/>
      </c>
      <c r="AH69" s="231" t="str">
        <f t="shared" si="21"/>
        <v/>
      </c>
      <c r="AI69" s="238" t="str">
        <f t="shared" si="22"/>
        <v/>
      </c>
      <c r="AJ69" s="239">
        <f t="shared" si="30"/>
        <v>660</v>
      </c>
      <c r="AK69" s="228" t="str">
        <f t="shared" si="23"/>
        <v/>
      </c>
      <c r="AL69" s="228" t="str">
        <f t="shared" si="27"/>
        <v/>
      </c>
      <c r="AM69" s="228" t="b">
        <f t="shared" si="24"/>
        <v>0</v>
      </c>
      <c r="AN69" s="240" t="str">
        <f t="shared" si="25"/>
        <v/>
      </c>
      <c r="AO69" s="239" t="str">
        <f t="array" ref="AO69:AP69">IF(AM69,INDEX($AH$31:$AI$72,AN69,0),"")</f>
        <v/>
      </c>
      <c r="AP69" s="240" t="str">
        <v/>
      </c>
      <c r="AQ69" s="246">
        <v>660</v>
      </c>
      <c r="AR69" s="247" t="str">
        <v>#Error in cont_interp::kruger, too few input points</v>
      </c>
    </row>
    <row r="70" spans="2:44" ht="11.25" customHeight="1" x14ac:dyDescent="0.2">
      <c r="B70" s="301" t="s">
        <v>221</v>
      </c>
      <c r="C70" s="301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7" t="e">
        <f t="shared" si="20"/>
        <v>#VALUE!</v>
      </c>
      <c r="AG70" s="231" t="str">
        <f t="shared" si="26"/>
        <v/>
      </c>
      <c r="AH70" s="231" t="str">
        <f t="shared" si="21"/>
        <v/>
      </c>
      <c r="AI70" s="238" t="str">
        <f t="shared" si="22"/>
        <v/>
      </c>
      <c r="AJ70" s="239">
        <f t="shared" si="30"/>
        <v>720</v>
      </c>
      <c r="AK70" s="228" t="str">
        <f t="shared" si="23"/>
        <v/>
      </c>
      <c r="AL70" s="228" t="str">
        <f t="shared" si="27"/>
        <v/>
      </c>
      <c r="AM70" s="228" t="b">
        <f t="shared" si="24"/>
        <v>0</v>
      </c>
      <c r="AN70" s="240" t="str">
        <f t="shared" si="25"/>
        <v/>
      </c>
      <c r="AO70" s="239" t="str">
        <f t="array" ref="AO70:AP70">IF(AM70,INDEX($AH$31:$AI$72,AN70,0),"")</f>
        <v/>
      </c>
      <c r="AP70" s="240" t="str">
        <v/>
      </c>
      <c r="AQ70" s="246">
        <v>720</v>
      </c>
      <c r="AR70" s="247" t="str">
        <v>#Error in cont_interp::kruger, too few input points</v>
      </c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7" t="e">
        <f t="shared" si="20"/>
        <v>#VALUE!</v>
      </c>
      <c r="AG71" s="231" t="str">
        <f t="shared" si="26"/>
        <v/>
      </c>
      <c r="AH71" s="231" t="str">
        <f t="shared" si="21"/>
        <v/>
      </c>
      <c r="AI71" s="238" t="str">
        <f t="shared" si="22"/>
        <v/>
      </c>
      <c r="AJ71" s="239">
        <f t="shared" si="30"/>
        <v>780</v>
      </c>
      <c r="AK71" s="228" t="str">
        <f t="shared" si="23"/>
        <v/>
      </c>
      <c r="AL71" s="228" t="str">
        <f t="shared" si="27"/>
        <v/>
      </c>
      <c r="AM71" s="228" t="b">
        <f t="shared" si="24"/>
        <v>0</v>
      </c>
      <c r="AN71" s="240" t="str">
        <f t="shared" si="25"/>
        <v/>
      </c>
      <c r="AO71" s="239" t="str">
        <f t="array" ref="AO71:AP71">IF(AM71,INDEX($AH$31:$AI$72,AN71,0),"")</f>
        <v/>
      </c>
      <c r="AP71" s="240" t="str">
        <v/>
      </c>
      <c r="AQ71" s="246">
        <v>780</v>
      </c>
      <c r="AR71" s="247" t="str">
        <v>#Error in cont_interp::kruger, too few input points</v>
      </c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5" t="e">
        <f t="shared" si="20"/>
        <v>#VALUE!</v>
      </c>
      <c r="AG72" s="248" t="str">
        <f t="shared" si="26"/>
        <v/>
      </c>
      <c r="AH72" s="249">
        <f>IF(AH30,AQ29,AG72)</f>
        <v>312</v>
      </c>
      <c r="AI72" s="249">
        <f>IF(AH30,INDEX(AF31:AF72,MATCH(AG29,AG31:AG72,0)),AF72)</f>
        <v>0.29000000000000004</v>
      </c>
      <c r="AJ72" s="242">
        <f t="shared" si="30"/>
        <v>840</v>
      </c>
      <c r="AK72" s="250">
        <f t="shared" si="23"/>
        <v>840</v>
      </c>
      <c r="AL72" s="250" t="str">
        <f t="shared" si="27"/>
        <v/>
      </c>
      <c r="AM72" s="250" t="b">
        <f t="shared" si="24"/>
        <v>0</v>
      </c>
      <c r="AN72" s="251" t="str">
        <f t="shared" si="25"/>
        <v/>
      </c>
      <c r="AO72" s="242" t="str">
        <f t="array" ref="AO72:AP72">IF(AM72,INDEX($AH$31:$AI$72,AN72,0),"")</f>
        <v/>
      </c>
      <c r="AP72" s="251" t="str">
        <v/>
      </c>
      <c r="AQ72" s="252">
        <v>840</v>
      </c>
      <c r="AR72" s="253" t="str">
        <v>#Error in cont_interp::kruger, too few input points</v>
      </c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3:E20 E23 E26:E67">
    <cfRule type="cellIs" dxfId="52" priority="9" stopIfTrue="1" operator="equal">
      <formula>FALSE</formula>
    </cfRule>
  </conditionalFormatting>
  <conditionalFormatting sqref="I3:L20 I23:L23">
    <cfRule type="expression" dxfId="51" priority="4" stopIfTrue="1">
      <formula>NOT($E3)</formula>
    </cfRule>
  </conditionalFormatting>
  <conditionalFormatting sqref="I26:L67">
    <cfRule type="expression" dxfId="50" priority="1" stopIfTrue="1">
      <formula>NOT($E26)</formula>
    </cfRule>
  </conditionalFormatting>
  <conditionalFormatting sqref="L3:L20">
    <cfRule type="expression" dxfId="49" priority="5" stopIfTrue="1">
      <formula>ISNUMBER(J3)</formula>
    </cfRule>
    <cfRule type="expression" dxfId="48" priority="8" stopIfTrue="1">
      <formula>ISNUMBER(K3)</formula>
    </cfRule>
  </conditionalFormatting>
  <conditionalFormatting sqref="L23">
    <cfRule type="expression" dxfId="47" priority="3" stopIfTrue="1">
      <formula>ISNUMBER(J23)</formula>
    </cfRule>
    <cfRule type="expression" dxfId="46" priority="7" stopIfTrue="1">
      <formula>ISNUMBER(K23)</formula>
    </cfRule>
  </conditionalFormatting>
  <conditionalFormatting sqref="L26:L67">
    <cfRule type="expression" dxfId="45" priority="2" stopIfTrue="1">
      <formula>ISNUMBER(J26)</formula>
    </cfRule>
    <cfRule type="expression" dxfId="44" priority="6" stopIfTrue="1">
      <formula>ISNUMBER(K26)</formula>
    </cfRule>
  </conditionalFormatting>
  <dataValidations count="8">
    <dataValidation type="list" allowBlank="1" showInputMessage="1" showErrorMessage="1" sqref="C14 C33 C37">
      <formula1>INDEX(dvCurveBootstrapperDayCount,0,1)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40">
      <formula1>INDEX(dvCurveBootstrapperOutputType,0,1)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5" tint="0.59999389629810485"/>
    <outlinePr summaryRight="0"/>
  </sheetPr>
  <dimension ref="A1:AR97"/>
  <sheetViews>
    <sheetView showGridLines="0" workbookViewId="0">
      <selection activeCell="I32" sqref="I32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11.1640625" style="66" customWidth="1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3.66406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3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328" t="s">
        <v>97</v>
      </c>
      <c r="C2" s="32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0</v>
      </c>
      <c r="U2" s="202" t="s">
        <v>96</v>
      </c>
      <c r="V2" s="202" t="s">
        <v>145</v>
      </c>
      <c r="W2"/>
      <c r="X2"/>
      <c r="Y2" s="224" t="s">
        <v>82</v>
      </c>
      <c r="Z2" s="307" t="s">
        <v>71</v>
      </c>
      <c r="AA2" s="308" t="s">
        <v>70</v>
      </c>
      <c r="AB2" s="221"/>
      <c r="AC2" s="221"/>
      <c r="AD2" s="221"/>
      <c r="AF2" s="201" t="s">
        <v>154</v>
      </c>
      <c r="AG2" s="200"/>
      <c r="AH2" s="200"/>
      <c r="AI2" s="199"/>
    </row>
    <row r="3" spans="1:35" ht="11.25" customHeight="1" x14ac:dyDescent="0.2">
      <c r="A3" s="66"/>
      <c r="B3" s="198" t="s">
        <v>95</v>
      </c>
      <c r="C3" s="197">
        <f>EvaluationDate</f>
        <v>41992</v>
      </c>
      <c r="D3" s="66"/>
      <c r="E3" s="206" t="b">
        <v>0</v>
      </c>
      <c r="F3" s="207" t="str">
        <f>Y3</f>
        <v>ON</v>
      </c>
      <c r="G3" s="180">
        <v>0</v>
      </c>
      <c r="H3" s="208" t="s">
        <v>24</v>
      </c>
      <c r="I3" s="204" t="e">
        <f t="array" ref="I3:I4">100*AI17:AI18</f>
        <v>#VALUE!</v>
      </c>
      <c r="J3" s="209"/>
      <c r="K3" s="210"/>
      <c r="L3" s="209" t="e">
        <f t="shared" ref="L3:L20" si="0">IF(ISNUMBER(J3),J3,I3)+K3</f>
        <v>#VALUE!</v>
      </c>
      <c r="M3" s="129">
        <v>1</v>
      </c>
      <c r="N3" s="127" t="str">
        <f t="shared" ref="N3:N20" si="1">IF(E3,M3,"")</f>
        <v/>
      </c>
      <c r="O3" s="73" t="str">
        <f>IF($S$2&gt;0,1,"")</f>
        <v/>
      </c>
      <c r="P3" s="127" t="str">
        <f t="shared" ref="P3:P20" si="2">IF(LEN(O3)&gt;0,SMALL($N$3:$N$20,O3),"")</f>
        <v/>
      </c>
      <c r="Q3" s="129" t="str">
        <f t="shared" ref="Q3:Q20" si="3">IF(LEN(O3)&gt;0,INDEX($G$3:$G$20,$P3),"")</f>
        <v/>
      </c>
      <c r="R3" s="128" t="str">
        <f t="shared" ref="R3:R20" si="4">IF(LEN(P3)&gt;0,INDEX($H$3:$H$20,$P3),"")</f>
        <v/>
      </c>
      <c r="S3" s="150" t="str">
        <f t="shared" ref="S3:S20" si="5">IF(LEN(P3)&gt;0,INDEX($L$3:$L$20,$P3),"")</f>
        <v/>
      </c>
      <c r="U3" s="196">
        <f t="array" ref="U3:V79">_xll.xlCCBasisCurveBootstrapper(C4,C3,C5,C6,L23,S2,Q3:S20,0,U2:V2,S25,R26:S67,C11,C12,C13,C45,B48:B69,C48:C69,C15)</f>
        <v>41992</v>
      </c>
      <c r="V3" s="195">
        <v>1</v>
      </c>
      <c r="W3"/>
      <c r="X3"/>
      <c r="Y3" s="229" t="s">
        <v>94</v>
      </c>
      <c r="Z3" s="229">
        <f>_xll.RtGet($AD$3,$AD$4&amp;$Y3&amp;$AD$5,Z$2)</f>
        <v>0.47000000000000003</v>
      </c>
      <c r="AA3" s="232">
        <f>_xll.RtGet($AD$3,$AD$4&amp;$Y3&amp;$AD$5,AA$2)</f>
        <v>0.57000000000000006</v>
      </c>
      <c r="AB3" s="221"/>
      <c r="AC3" s="309" t="s">
        <v>68</v>
      </c>
      <c r="AD3" s="310" t="s">
        <v>67</v>
      </c>
      <c r="AF3" s="194" t="s">
        <v>172</v>
      </c>
      <c r="AG3" s="193"/>
      <c r="AH3" s="193"/>
      <c r="AI3" s="217" t="s">
        <v>231</v>
      </c>
    </row>
    <row r="4" spans="1:35" ht="11.25" customHeight="1" x14ac:dyDescent="0.2">
      <c r="A4" s="66"/>
      <c r="B4" s="192" t="s">
        <v>91</v>
      </c>
      <c r="C4" s="191" t="s">
        <v>229</v>
      </c>
      <c r="D4" s="66"/>
      <c r="E4" s="211" t="b">
        <v>0</v>
      </c>
      <c r="F4" s="212" t="str">
        <f>Y4</f>
        <v>TN</v>
      </c>
      <c r="G4" s="213">
        <v>0</v>
      </c>
      <c r="H4" s="214" t="s">
        <v>93</v>
      </c>
      <c r="I4" s="205" t="e">
        <v>#VALUE!</v>
      </c>
      <c r="J4" s="215"/>
      <c r="K4" s="216"/>
      <c r="L4" s="215" t="e">
        <f t="shared" si="0"/>
        <v>#VALUE!</v>
      </c>
      <c r="M4" s="80">
        <f t="shared" ref="M4:M20" si="6">M3+1</f>
        <v>2</v>
      </c>
      <c r="N4" s="78" t="str">
        <f t="shared" si="1"/>
        <v/>
      </c>
      <c r="O4" s="80" t="str">
        <f t="shared" ref="O4:O20" si="7">IF(O3&lt;$S$2,O3+1,"")</f>
        <v/>
      </c>
      <c r="P4" s="78" t="str">
        <f t="shared" si="2"/>
        <v/>
      </c>
      <c r="Q4" s="80" t="str">
        <f t="shared" si="3"/>
        <v/>
      </c>
      <c r="R4" s="79" t="str">
        <f t="shared" si="4"/>
        <v/>
      </c>
      <c r="S4" s="93" t="str">
        <f t="shared" si="5"/>
        <v/>
      </c>
      <c r="U4" s="72">
        <v>42361</v>
      </c>
      <c r="V4" s="71">
        <v>0.99832688589583751</v>
      </c>
      <c r="W4"/>
      <c r="X4"/>
      <c r="Y4" s="237" t="s">
        <v>92</v>
      </c>
      <c r="Z4" s="237">
        <f>_xll.RtGet($AD$3,$AD$4&amp;$Y4&amp;$AD$5,Z$2)</f>
        <v>0.47000000000000003</v>
      </c>
      <c r="AA4" s="238">
        <f>_xll.RtGet($AD$3,$AD$4&amp;$Y4&amp;$AD$5,AA$2)</f>
        <v>0.57000000000000006</v>
      </c>
      <c r="AB4" s="221"/>
      <c r="AC4" s="311" t="s">
        <v>66</v>
      </c>
      <c r="AD4" s="312" t="s">
        <v>153</v>
      </c>
      <c r="AF4" s="124" t="s">
        <v>128</v>
      </c>
      <c r="AG4" s="177"/>
      <c r="AH4" s="177"/>
      <c r="AI4" s="190">
        <f>_xll.xlDateWorkFw($C$6,$C$3+1,0)</f>
        <v>41995</v>
      </c>
    </row>
    <row r="5" spans="1:35" ht="11.25" customHeight="1" x14ac:dyDescent="0.2">
      <c r="A5" s="68"/>
      <c r="B5" s="189" t="s">
        <v>98</v>
      </c>
      <c r="C5" s="157" t="s">
        <v>158</v>
      </c>
      <c r="D5" s="66"/>
      <c r="E5" s="91" t="b">
        <v>0</v>
      </c>
      <c r="F5" s="188" t="str">
        <f>Y5</f>
        <v>SN</v>
      </c>
      <c r="G5" s="75">
        <v>0</v>
      </c>
      <c r="H5" s="76" t="s">
        <v>90</v>
      </c>
      <c r="I5" s="90">
        <f>AVERAGE(Z5:AA5)</f>
        <v>0.52</v>
      </c>
      <c r="J5" s="88"/>
      <c r="K5" s="89"/>
      <c r="L5" s="88">
        <f t="shared" si="0"/>
        <v>0.52</v>
      </c>
      <c r="M5" s="80">
        <f t="shared" si="6"/>
        <v>3</v>
      </c>
      <c r="N5" s="78" t="str">
        <f t="shared" si="1"/>
        <v/>
      </c>
      <c r="O5" s="80" t="str">
        <f t="shared" si="7"/>
        <v/>
      </c>
      <c r="P5" s="78" t="str">
        <f t="shared" si="2"/>
        <v/>
      </c>
      <c r="Q5" s="80" t="str">
        <f t="shared" si="3"/>
        <v/>
      </c>
      <c r="R5" s="79" t="str">
        <f t="shared" si="4"/>
        <v/>
      </c>
      <c r="S5" s="93" t="str">
        <f t="shared" si="5"/>
        <v/>
      </c>
      <c r="U5" s="72">
        <v>42727</v>
      </c>
      <c r="V5" s="71">
        <v>0.99546277048317167</v>
      </c>
      <c r="W5"/>
      <c r="X5"/>
      <c r="Y5" s="225" t="s">
        <v>89</v>
      </c>
      <c r="Z5" s="225">
        <f>_xll.RtGet($AD$3,$AD$4&amp;$Y5&amp;$AD$5,Z$2)</f>
        <v>0.47000000000000003</v>
      </c>
      <c r="AA5" s="313">
        <f>_xll.RtGet($AD$3,$AD$4&amp;$Y5&amp;$AD$5,AA$2)</f>
        <v>0.57000000000000006</v>
      </c>
      <c r="AB5" s="221"/>
      <c r="AC5" s="314" t="s">
        <v>63</v>
      </c>
      <c r="AD5" s="315" t="s">
        <v>152</v>
      </c>
      <c r="AF5" s="121" t="s">
        <v>129</v>
      </c>
      <c r="AG5" s="68"/>
      <c r="AH5" s="68"/>
      <c r="AI5" s="187">
        <f>_xll.xlDateWorkFw($C$6,$AI$4+1,0)</f>
        <v>41996</v>
      </c>
    </row>
    <row r="6" spans="1:35" ht="11.25" customHeight="1" x14ac:dyDescent="0.2">
      <c r="A6" s="68"/>
      <c r="B6" s="186" t="s">
        <v>99</v>
      </c>
      <c r="C6" s="119" t="s">
        <v>222</v>
      </c>
      <c r="D6" s="66"/>
      <c r="E6" s="185" t="b">
        <v>0</v>
      </c>
      <c r="F6" s="184">
        <v>1</v>
      </c>
      <c r="G6" s="129">
        <v>1</v>
      </c>
      <c r="H6" s="127" t="s">
        <v>86</v>
      </c>
      <c r="I6" s="154" t="e">
        <f>AVERAGE(Z8:AA8)</f>
        <v>#DIV/0!</v>
      </c>
      <c r="J6" s="152"/>
      <c r="K6" s="153"/>
      <c r="L6" s="152" t="e">
        <f t="shared" si="0"/>
        <v>#DIV/0!</v>
      </c>
      <c r="M6" s="80">
        <f t="shared" si="6"/>
        <v>4</v>
      </c>
      <c r="N6" s="78" t="str">
        <f t="shared" si="1"/>
        <v/>
      </c>
      <c r="O6" s="80" t="str">
        <f t="shared" si="7"/>
        <v/>
      </c>
      <c r="P6" s="78" t="str">
        <f t="shared" si="2"/>
        <v/>
      </c>
      <c r="Q6" s="80" t="str">
        <f t="shared" si="3"/>
        <v/>
      </c>
      <c r="R6" s="79" t="str">
        <f t="shared" si="4"/>
        <v/>
      </c>
      <c r="S6" s="93" t="str">
        <f t="shared" si="5"/>
        <v/>
      </c>
      <c r="U6" s="72">
        <v>43096</v>
      </c>
      <c r="V6" s="71">
        <v>0.98937315970241324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3">
        <f>_xll.xlDateWorkFw($C$6,$AI$5+7,0)</f>
        <v>42003</v>
      </c>
    </row>
    <row r="7" spans="1:35" ht="11.25" customHeight="1" x14ac:dyDescent="0.2">
      <c r="A7" s="68"/>
      <c r="B7" s="147" t="s">
        <v>123</v>
      </c>
      <c r="C7" s="136" t="s">
        <v>222</v>
      </c>
      <c r="D7" s="66"/>
      <c r="E7" s="98" t="b">
        <v>0</v>
      </c>
      <c r="F7" s="182">
        <f>Y9</f>
        <v>2</v>
      </c>
      <c r="G7" s="80">
        <v>2</v>
      </c>
      <c r="H7" s="78" t="s">
        <v>86</v>
      </c>
      <c r="I7" s="97" t="e">
        <f>AVERAGE(Z9:AA9)</f>
        <v>#DIV/0!</v>
      </c>
      <c r="J7" s="95"/>
      <c r="K7" s="96"/>
      <c r="L7" s="95" t="e">
        <f t="shared" si="0"/>
        <v>#DIV/0!</v>
      </c>
      <c r="M7" s="80">
        <f t="shared" si="6"/>
        <v>5</v>
      </c>
      <c r="N7" s="78" t="str">
        <f t="shared" si="1"/>
        <v/>
      </c>
      <c r="O7" s="80" t="str">
        <f t="shared" si="7"/>
        <v/>
      </c>
      <c r="P7" s="78" t="str">
        <f t="shared" si="2"/>
        <v/>
      </c>
      <c r="Q7" s="80" t="str">
        <f t="shared" si="3"/>
        <v/>
      </c>
      <c r="R7" s="79" t="str">
        <f t="shared" si="4"/>
        <v/>
      </c>
      <c r="S7" s="93" t="str">
        <f t="shared" si="5"/>
        <v/>
      </c>
      <c r="U7" s="72">
        <v>43461</v>
      </c>
      <c r="V7" s="71">
        <v>0.98025033578376264</v>
      </c>
      <c r="W7"/>
      <c r="X7"/>
      <c r="Y7" s="133" t="s">
        <v>82</v>
      </c>
      <c r="Z7" s="135" t="s">
        <v>71</v>
      </c>
      <c r="AA7" s="134" t="s">
        <v>70</v>
      </c>
      <c r="AF7" s="124" t="s">
        <v>234</v>
      </c>
      <c r="AG7" s="177"/>
      <c r="AH7" s="177"/>
      <c r="AI7" s="176" t="str">
        <f t="array" ref="AI7:AI9">_xll.xlShmInterpDisc($AI$3,AI4:AI6+0*TYPE(ObjectsTrigger))</f>
        <v>Date before first TermStructure's date.</v>
      </c>
    </row>
    <row r="8" spans="1:35" ht="11.25" customHeight="1" x14ac:dyDescent="0.2">
      <c r="A8" s="68"/>
      <c r="B8" s="140" t="s">
        <v>107</v>
      </c>
      <c r="C8" s="119" t="str">
        <f>'USDBASIS(EURON)'!$C$4</f>
        <v>USDBASIS.EURON</v>
      </c>
      <c r="D8" s="66"/>
      <c r="E8" s="91" t="b">
        <v>0</v>
      </c>
      <c r="F8" s="181">
        <f>Y10</f>
        <v>3</v>
      </c>
      <c r="G8" s="75">
        <v>3</v>
      </c>
      <c r="H8" s="76" t="s">
        <v>86</v>
      </c>
      <c r="I8" s="90" t="e">
        <f>AVERAGE(Z10:AA10)</f>
        <v>#DIV/0!</v>
      </c>
      <c r="J8" s="88"/>
      <c r="K8" s="89"/>
      <c r="L8" s="88" t="e">
        <f t="shared" si="0"/>
        <v>#DIV/0!</v>
      </c>
      <c r="M8" s="80">
        <f t="shared" si="6"/>
        <v>6</v>
      </c>
      <c r="N8" s="78" t="str">
        <f t="shared" si="1"/>
        <v/>
      </c>
      <c r="O8" s="80" t="str">
        <f t="shared" si="7"/>
        <v/>
      </c>
      <c r="P8" s="78" t="str">
        <f t="shared" si="2"/>
        <v/>
      </c>
      <c r="Q8" s="80" t="str">
        <f t="shared" si="3"/>
        <v/>
      </c>
      <c r="R8" s="79" t="str">
        <f t="shared" si="4"/>
        <v/>
      </c>
      <c r="S8" s="93" t="str">
        <f t="shared" si="5"/>
        <v/>
      </c>
      <c r="U8" s="72">
        <v>43822</v>
      </c>
      <c r="V8" s="71">
        <v>0.96736562719387875</v>
      </c>
      <c r="W8"/>
      <c r="X8"/>
      <c r="Y8" s="180" t="s">
        <v>85</v>
      </c>
      <c r="Z8" s="129" t="str">
        <f>_xll.RtGet($AD$8,$AD$9&amp;$Y8&amp;$AD$10,Z$7)</f>
        <v>#N/A RIC Not Found</v>
      </c>
      <c r="AA8" s="127" t="str">
        <f>_xll.RtGet($AD$8,$AD$9&amp;$Y8&amp;$AD$10,AA$7)</f>
        <v>#N/A RIC Not Found</v>
      </c>
      <c r="AC8" s="124" t="s">
        <v>68</v>
      </c>
      <c r="AD8" s="123" t="s">
        <v>102</v>
      </c>
      <c r="AF8" s="24" t="s">
        <v>235</v>
      </c>
      <c r="AG8" s="68"/>
      <c r="AH8" s="68"/>
      <c r="AI8" s="170" t="str">
        <v>Date before first TermStructure's date.</v>
      </c>
    </row>
    <row r="9" spans="1:35" ht="11.25" customHeight="1" x14ac:dyDescent="0.2">
      <c r="A9" s="68"/>
      <c r="B9" s="140" t="s">
        <v>108</v>
      </c>
      <c r="C9" s="119" t="s">
        <v>160</v>
      </c>
      <c r="D9" s="66"/>
      <c r="E9" s="98" t="b">
        <v>0</v>
      </c>
      <c r="F9" s="169">
        <f t="shared" ref="F9:F20" si="8">Y13</f>
        <v>1</v>
      </c>
      <c r="G9" s="80">
        <v>1</v>
      </c>
      <c r="H9" s="78" t="s">
        <v>81</v>
      </c>
      <c r="I9" s="97" t="e">
        <f t="shared" ref="I9:I20" si="9">AVERAGE(Z13:AA13)</f>
        <v>#DIV/0!</v>
      </c>
      <c r="J9" s="95"/>
      <c r="K9" s="96"/>
      <c r="L9" s="95" t="e">
        <f t="shared" si="0"/>
        <v>#DIV/0!</v>
      </c>
      <c r="M9" s="80">
        <f t="shared" si="6"/>
        <v>7</v>
      </c>
      <c r="N9" s="78" t="str">
        <f t="shared" si="1"/>
        <v/>
      </c>
      <c r="O9" s="80" t="str">
        <f t="shared" si="7"/>
        <v/>
      </c>
      <c r="P9" s="78" t="str">
        <f t="shared" si="2"/>
        <v/>
      </c>
      <c r="Q9" s="80" t="str">
        <f t="shared" si="3"/>
        <v/>
      </c>
      <c r="R9" s="79" t="str">
        <f t="shared" si="4"/>
        <v/>
      </c>
      <c r="S9" s="93" t="str">
        <f t="shared" si="5"/>
        <v/>
      </c>
      <c r="U9" s="72">
        <v>44553</v>
      </c>
      <c r="V9" s="71">
        <v>0.93266785125039331</v>
      </c>
      <c r="W9"/>
      <c r="X9"/>
      <c r="Y9" s="80">
        <v>2</v>
      </c>
      <c r="Z9" s="80" t="str">
        <f>_xll.RtGet($AD$8,$AD$9&amp;$Y9&amp;$AD$10,Z$7)</f>
        <v>#N/A RIC Not Found</v>
      </c>
      <c r="AA9" s="78" t="str">
        <f>_xll.RtGet($AD$8,$AD$9&amp;$Y9&amp;$AD$10,AA$7)</f>
        <v>#N/A RIC Not Found</v>
      </c>
      <c r="AC9" s="121" t="s">
        <v>66</v>
      </c>
      <c r="AD9" s="120"/>
      <c r="AF9" s="25" t="s">
        <v>236</v>
      </c>
      <c r="AG9" s="168"/>
      <c r="AH9" s="168"/>
      <c r="AI9" s="167" t="str">
        <v>Date before first TermStructure's date.</v>
      </c>
    </row>
    <row r="10" spans="1:35" ht="11.25" customHeight="1" x14ac:dyDescent="0.2">
      <c r="A10" s="68"/>
      <c r="B10" s="179" t="s">
        <v>109</v>
      </c>
      <c r="C10" s="119" t="s">
        <v>230</v>
      </c>
      <c r="D10" s="66"/>
      <c r="E10" s="98" t="b">
        <v>0</v>
      </c>
      <c r="F10" s="169">
        <f t="shared" si="8"/>
        <v>2</v>
      </c>
      <c r="G10" s="80">
        <v>2</v>
      </c>
      <c r="H10" s="78" t="s">
        <v>81</v>
      </c>
      <c r="I10" s="97" t="e">
        <f t="shared" si="9"/>
        <v>#DIV/0!</v>
      </c>
      <c r="J10" s="95"/>
      <c r="K10" s="96"/>
      <c r="L10" s="95" t="e">
        <f t="shared" si="0"/>
        <v>#DIV/0!</v>
      </c>
      <c r="M10" s="80">
        <f t="shared" si="6"/>
        <v>8</v>
      </c>
      <c r="N10" s="78" t="str">
        <f t="shared" si="1"/>
        <v/>
      </c>
      <c r="O10" s="80" t="str">
        <f t="shared" si="7"/>
        <v/>
      </c>
      <c r="P10" s="78" t="str">
        <f t="shared" si="2"/>
        <v/>
      </c>
      <c r="Q10" s="80" t="str">
        <f t="shared" si="3"/>
        <v/>
      </c>
      <c r="R10" s="79" t="str">
        <f t="shared" si="4"/>
        <v/>
      </c>
      <c r="S10" s="93" t="str">
        <f t="shared" si="5"/>
        <v/>
      </c>
      <c r="U10" s="72">
        <v>45649</v>
      </c>
      <c r="V10" s="71">
        <v>0.8703048959283991</v>
      </c>
      <c r="W10"/>
      <c r="X10"/>
      <c r="Y10" s="75">
        <v>3</v>
      </c>
      <c r="Z10" s="75" t="str">
        <f>_xll.RtGet($AD$8,$AD$9&amp;$Y10&amp;$AD$10,Z$7)</f>
        <v>#N/A RIC Not Found</v>
      </c>
      <c r="AA10" s="76" t="str">
        <f>_xll.RtGet($AD$8,$AD$9&amp;$Y10&amp;$AD$10,AA$7)</f>
        <v>#N/A RIC Not Found</v>
      </c>
      <c r="AC10" s="118" t="s">
        <v>63</v>
      </c>
      <c r="AD10" s="117" t="s">
        <v>103</v>
      </c>
      <c r="AF10" s="178" t="s">
        <v>237</v>
      </c>
      <c r="AG10" s="177"/>
      <c r="AH10" s="177"/>
      <c r="AI10" s="126">
        <v>7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0</v>
      </c>
      <c r="F11" s="169">
        <f t="shared" si="8"/>
        <v>3</v>
      </c>
      <c r="G11" s="80">
        <v>3</v>
      </c>
      <c r="H11" s="78" t="s">
        <v>81</v>
      </c>
      <c r="I11" s="97" t="e">
        <f t="shared" si="9"/>
        <v>#DIV/0!</v>
      </c>
      <c r="J11" s="95"/>
      <c r="K11" s="96"/>
      <c r="L11" s="95" t="e">
        <f t="shared" si="0"/>
        <v>#DIV/0!</v>
      </c>
      <c r="M11" s="80">
        <f t="shared" si="6"/>
        <v>9</v>
      </c>
      <c r="N11" s="78" t="str">
        <f t="shared" si="1"/>
        <v/>
      </c>
      <c r="O11" s="80" t="str">
        <f t="shared" si="7"/>
        <v/>
      </c>
      <c r="P11" s="78" t="str">
        <f t="shared" si="2"/>
        <v/>
      </c>
      <c r="Q11" s="80" t="str">
        <f t="shared" si="3"/>
        <v/>
      </c>
      <c r="R11" s="79" t="str">
        <f t="shared" si="4"/>
        <v/>
      </c>
      <c r="S11" s="93" t="str">
        <f t="shared" si="5"/>
        <v/>
      </c>
      <c r="U11" s="72">
        <v>47479</v>
      </c>
      <c r="V11" s="71">
        <v>0.75650025999378978</v>
      </c>
      <c r="W11"/>
      <c r="X11"/>
      <c r="Y11" s="79"/>
      <c r="Z11" s="79"/>
      <c r="AA11" s="79"/>
      <c r="AF11" s="118" t="s">
        <v>220</v>
      </c>
      <c r="AG11" s="168"/>
      <c r="AH11" s="168"/>
      <c r="AI11" s="299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0</v>
      </c>
      <c r="F12" s="169">
        <f t="shared" si="8"/>
        <v>4</v>
      </c>
      <c r="G12" s="80">
        <v>4</v>
      </c>
      <c r="H12" s="78" t="s">
        <v>81</v>
      </c>
      <c r="I12" s="97" t="e">
        <f t="shared" si="9"/>
        <v>#DIV/0!</v>
      </c>
      <c r="J12" s="95"/>
      <c r="K12" s="96"/>
      <c r="L12" s="95" t="e">
        <f t="shared" si="0"/>
        <v>#DIV/0!</v>
      </c>
      <c r="M12" s="80">
        <f t="shared" si="6"/>
        <v>10</v>
      </c>
      <c r="N12" s="78" t="str">
        <f t="shared" si="1"/>
        <v/>
      </c>
      <c r="O12" s="80" t="str">
        <f t="shared" si="7"/>
        <v/>
      </c>
      <c r="P12" s="78" t="str">
        <f t="shared" si="2"/>
        <v/>
      </c>
      <c r="Q12" s="80" t="str">
        <f t="shared" si="3"/>
        <v/>
      </c>
      <c r="R12" s="79" t="str">
        <f t="shared" si="4"/>
        <v/>
      </c>
      <c r="S12" s="93" t="str">
        <f t="shared" si="5"/>
        <v/>
      </c>
      <c r="U12" s="72">
        <v>49305</v>
      </c>
      <c r="V12" s="71">
        <v>0.64714441028581027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219</v>
      </c>
      <c r="AG12" s="177"/>
      <c r="AH12" s="177"/>
      <c r="AI12" s="176">
        <f>_xll.xlYrfDayCount(AI5,AI6,AI10)</f>
        <v>1.9178082191780823E-2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0</v>
      </c>
      <c r="F13" s="169">
        <f t="shared" si="8"/>
        <v>5</v>
      </c>
      <c r="G13" s="80">
        <v>5</v>
      </c>
      <c r="H13" s="78" t="s">
        <v>81</v>
      </c>
      <c r="I13" s="97" t="e">
        <f t="shared" si="9"/>
        <v>#DIV/0!</v>
      </c>
      <c r="J13" s="95"/>
      <c r="K13" s="96"/>
      <c r="L13" s="95" t="e">
        <f t="shared" si="0"/>
        <v>#DIV/0!</v>
      </c>
      <c r="M13" s="80">
        <f t="shared" si="6"/>
        <v>11</v>
      </c>
      <c r="N13" s="78" t="str">
        <f t="shared" si="1"/>
        <v/>
      </c>
      <c r="O13" s="80" t="str">
        <f t="shared" si="7"/>
        <v/>
      </c>
      <c r="P13" s="78" t="str">
        <f t="shared" si="2"/>
        <v/>
      </c>
      <c r="Q13" s="80" t="str">
        <f t="shared" si="3"/>
        <v/>
      </c>
      <c r="R13" s="79" t="str">
        <f t="shared" si="4"/>
        <v/>
      </c>
      <c r="S13" s="93" t="str">
        <f t="shared" si="5"/>
        <v/>
      </c>
      <c r="U13" s="72">
        <v>52954</v>
      </c>
      <c r="V13" s="71">
        <v>0.49204918094050903</v>
      </c>
      <c r="W13"/>
      <c r="X13"/>
      <c r="Y13" s="80">
        <v>1</v>
      </c>
      <c r="Z13" s="80" t="str">
        <f>_xll.RtGet($AD$13,$AD$14&amp;$Y13&amp;$AD$15,Z$12)</f>
        <v>#N/A RIC Not Found</v>
      </c>
      <c r="AA13" s="78" t="str">
        <f>_xll.RtGet($AD$13,$AD$14&amp;$Y13&amp;$AD$15,AA$12)</f>
        <v>#N/A RIC Not Found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 t="e">
        <f>LN((1+$AI$12*L6/100)*(AI9/AI8))/_xll.xlYrfDayCount($AI$5,$AI$6,$AI$11)</f>
        <v>#DIV/0!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0</v>
      </c>
      <c r="F14" s="169">
        <f t="shared" si="8"/>
        <v>6</v>
      </c>
      <c r="G14" s="80">
        <v>6</v>
      </c>
      <c r="H14" s="78" t="s">
        <v>81</v>
      </c>
      <c r="I14" s="97">
        <f t="shared" si="9"/>
        <v>-9.2241785000000007E-2</v>
      </c>
      <c r="J14" s="95"/>
      <c r="K14" s="96"/>
      <c r="L14" s="95">
        <f t="shared" si="0"/>
        <v>-9.2241785000000007E-2</v>
      </c>
      <c r="M14" s="80">
        <f t="shared" si="6"/>
        <v>12</v>
      </c>
      <c r="N14" s="78" t="str">
        <f t="shared" si="1"/>
        <v/>
      </c>
      <c r="O14" s="80" t="str">
        <f t="shared" si="7"/>
        <v/>
      </c>
      <c r="P14" s="78" t="str">
        <f t="shared" si="2"/>
        <v/>
      </c>
      <c r="Q14" s="80" t="str">
        <f t="shared" si="3"/>
        <v/>
      </c>
      <c r="R14" s="79" t="str">
        <f t="shared" si="4"/>
        <v/>
      </c>
      <c r="S14" s="93" t="str">
        <f t="shared" si="5"/>
        <v/>
      </c>
      <c r="U14" s="72" t="e">
        <v>#N/A</v>
      </c>
      <c r="V14" s="71" t="e">
        <v>#N/A</v>
      </c>
      <c r="W14"/>
      <c r="X14"/>
      <c r="Y14" s="80">
        <v>2</v>
      </c>
      <c r="Z14" s="80" t="str">
        <f>_xll.RtGet($AD$13,$AD$14&amp;$Y14&amp;$AD$15,Z$12)</f>
        <v>#N/A RIC Not Found</v>
      </c>
      <c r="AA14" s="78" t="str">
        <f>_xll.RtGet($AD$13,$AD$14&amp;$Y14&amp;$AD$15,AA$12)</f>
        <v>#N/A RIC Not Found</v>
      </c>
      <c r="AC14" s="121" t="s">
        <v>66</v>
      </c>
      <c r="AD14" s="120"/>
      <c r="AF14" s="24" t="s">
        <v>238</v>
      </c>
      <c r="AG14" s="68"/>
      <c r="AH14" s="68"/>
      <c r="AI14" s="170" t="e">
        <f>AI7*EXP(-$AI$13*_xll.xlYrfDayCount($C$3,AI4,$AI$11))</f>
        <v>#VALUE!</v>
      </c>
    </row>
    <row r="15" spans="1:35" ht="11.25" customHeight="1" x14ac:dyDescent="0.2">
      <c r="A15" s="173">
        <v>90</v>
      </c>
      <c r="B15" s="172" t="s">
        <v>101</v>
      </c>
      <c r="C15" s="171">
        <f>_xll.RtNow(A15&amp;"s")</f>
        <v>0.73553240740875481</v>
      </c>
      <c r="D15" s="66"/>
      <c r="E15" s="98" t="b">
        <v>0</v>
      </c>
      <c r="F15" s="169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 t="e">
        <v>#N/A</v>
      </c>
      <c r="V15" s="71" t="e">
        <v>#N/A</v>
      </c>
      <c r="W15"/>
      <c r="X15"/>
      <c r="Y15" s="80">
        <v>3</v>
      </c>
      <c r="Z15" s="80" t="str">
        <f>_xll.RtGet($AD$13,$AD$14&amp;$Y15&amp;$AD$15,Z$12)</f>
        <v>#N/A RIC Not Found</v>
      </c>
      <c r="AA15" s="78" t="str">
        <f>_xll.RtGet($AD$13,$AD$14&amp;$Y15&amp;$AD$15,AA$12)</f>
        <v>#N/A RIC Not Found</v>
      </c>
      <c r="AB15" s="67"/>
      <c r="AC15" s="118" t="s">
        <v>63</v>
      </c>
      <c r="AD15" s="117" t="s">
        <v>104</v>
      </c>
      <c r="AF15" s="24" t="s">
        <v>239</v>
      </c>
      <c r="AG15" s="68"/>
      <c r="AH15" s="68"/>
      <c r="AI15" s="170" t="e">
        <f>AI8*EXP(-$AI$13*_xll.xlYrfDayCount($C$3,AI5,$AI$11))</f>
        <v>#VALUE!</v>
      </c>
    </row>
    <row r="16" spans="1:35" ht="11.25" customHeight="1" x14ac:dyDescent="0.2">
      <c r="A16" s="68"/>
      <c r="D16" s="66"/>
      <c r="E16" s="98" t="b">
        <v>0</v>
      </c>
      <c r="F16" s="169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 t="e">
        <v>#N/A</v>
      </c>
      <c r="V16" s="71" t="e">
        <v>#N/A</v>
      </c>
      <c r="W16"/>
      <c r="X16"/>
      <c r="Y16" s="80">
        <v>4</v>
      </c>
      <c r="Z16" s="80" t="str">
        <f>_xll.RtGet($AD$13,$AD$14&amp;$Y16&amp;$AD$15,Z$12)</f>
        <v>#N/A RIC Not Found</v>
      </c>
      <c r="AA16" s="78" t="str">
        <f>_xll.RtGet($AD$13,$AD$14&amp;$Y16&amp;$AD$15,AA$12)</f>
        <v>#N/A RIC Not Found</v>
      </c>
      <c r="AB16" s="67"/>
      <c r="AC16" s="67"/>
      <c r="AD16" s="67"/>
      <c r="AF16" s="25" t="s">
        <v>240</v>
      </c>
      <c r="AG16" s="168"/>
      <c r="AH16" s="168"/>
      <c r="AI16" s="167" t="e">
        <f>AI9*EXP(-$AI$13*_xll.xlYrfDayCount($C$3,AI6,$AI$11))</f>
        <v>#VALUE!</v>
      </c>
    </row>
    <row r="17" spans="1:44" ht="11.25" customHeight="1" x14ac:dyDescent="0.2">
      <c r="A17" s="68"/>
      <c r="D17" s="66"/>
      <c r="E17" s="98" t="b">
        <v>0</v>
      </c>
      <c r="F17" s="169">
        <f t="shared" si="8"/>
        <v>9</v>
      </c>
      <c r="G17" s="80">
        <v>9</v>
      </c>
      <c r="H17" s="78" t="s">
        <v>81</v>
      </c>
      <c r="I17" s="97" t="e">
        <f t="shared" si="9"/>
        <v>#DIV/0!</v>
      </c>
      <c r="J17" s="95"/>
      <c r="K17" s="96"/>
      <c r="L17" s="95" t="e">
        <f t="shared" si="0"/>
        <v>#DIV/0!</v>
      </c>
      <c r="M17" s="80">
        <f t="shared" si="6"/>
        <v>15</v>
      </c>
      <c r="N17" s="78" t="str">
        <f t="shared" si="1"/>
        <v/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 t="e">
        <v>#N/A</v>
      </c>
      <c r="V17" s="71" t="e">
        <v>#N/A</v>
      </c>
      <c r="W17"/>
      <c r="X17"/>
      <c r="Y17" s="80">
        <v>5</v>
      </c>
      <c r="Z17" s="80" t="str">
        <f>_xll.RtGet($AD$13,$AD$14&amp;$Y17&amp;$AD$15,Z$12)</f>
        <v>#N/A RIC Not Found</v>
      </c>
      <c r="AA17" s="78" t="str">
        <f>_xll.RtGet($AD$13,$AD$14&amp;$Y17&amp;$AD$15,AA$12)</f>
        <v>#N/A RIC Not Found</v>
      </c>
      <c r="AB17" s="67"/>
      <c r="AC17" s="67"/>
      <c r="AD17" s="67"/>
      <c r="AF17" s="24" t="s">
        <v>241</v>
      </c>
      <c r="AG17" s="68"/>
      <c r="AH17" s="68"/>
      <c r="AI17" s="170" t="e">
        <f>(1/AI14-1)/_xll.xlYrfDayCount($C$3,AI4,$AI$10)</f>
        <v>#VALUE!</v>
      </c>
    </row>
    <row r="18" spans="1:44" ht="11.25" customHeight="1" x14ac:dyDescent="0.2">
      <c r="A18" s="68"/>
      <c r="C18" s="257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 t="e">
        <v>#N/A</v>
      </c>
      <c r="V18" s="71" t="e">
        <v>#N/A</v>
      </c>
      <c r="W18"/>
      <c r="X18"/>
      <c r="Y18" s="80">
        <v>6</v>
      </c>
      <c r="Z18" s="80">
        <f>_xll.RtGet($AD$13,$AD$14&amp;$Y18&amp;$AD$15,Z$12)</f>
        <v>-9.2241785000000007E-2</v>
      </c>
      <c r="AA18" s="78">
        <f>_xll.RtGet($AD$13,$AD$14&amp;$Y18&amp;$AD$15,AA$12)</f>
        <v>-9.2241785000000007E-2</v>
      </c>
      <c r="AB18" s="67"/>
      <c r="AC18" s="67"/>
      <c r="AD18" s="67"/>
      <c r="AF18" s="24" t="s">
        <v>242</v>
      </c>
      <c r="AG18" s="68"/>
      <c r="AH18" s="68"/>
      <c r="AI18" s="170" t="e">
        <f>(AI14/AI15-1)/_xll.xlYrfDayCount(AI4,AI5,$AI$10)</f>
        <v>#VALUE!</v>
      </c>
    </row>
    <row r="19" spans="1:44" ht="11.25" customHeight="1" x14ac:dyDescent="0.2">
      <c r="A19" s="68"/>
      <c r="C19" s="258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 t="e">
        <v>#N/A</v>
      </c>
      <c r="V19" s="71" t="e">
        <v>#N/A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243</v>
      </c>
      <c r="AG19" s="68"/>
      <c r="AH19" s="68"/>
      <c r="AI19" s="170" t="e">
        <f>AI17*100-IF(J3&gt;0,J3,I3)</f>
        <v>#VALUE!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 t="e">
        <v>#N/A</v>
      </c>
      <c r="V20" s="71" t="e">
        <v>#N/A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244</v>
      </c>
      <c r="AG20" s="168"/>
      <c r="AH20" s="168"/>
      <c r="AI20" s="167" t="e">
        <f>AI18*100-IF(J4&gt;0,J4,I4)</f>
        <v>#VALUE!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 t="e">
        <v>#N/A</v>
      </c>
      <c r="V21" s="71" t="e">
        <v>#N/A</v>
      </c>
      <c r="W21"/>
      <c r="X21"/>
      <c r="Y21" s="80">
        <v>9</v>
      </c>
      <c r="Z21" s="80" t="str">
        <f>_xll.RtGet($AD$13,$AD$14&amp;$Y21&amp;$AD$15,Z$12)</f>
        <v>#N/A RIC Not Found</v>
      </c>
      <c r="AA21" s="78" t="str">
        <f>_xll.RtGet($AD$13,$AD$14&amp;$Y21&amp;$AD$15,AA$12)</f>
        <v>#N/A RIC Not Found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 t="e">
        <v>#N/A</v>
      </c>
      <c r="V22" s="71" t="e">
        <v>#N/A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C6&amp;C5</f>
        <v>SEKUSD</v>
      </c>
      <c r="G23" s="67"/>
      <c r="H23" s="67"/>
      <c r="I23" s="162">
        <f>AVERAGE(Z27:AA27)</f>
        <v>7.7222999999999997</v>
      </c>
      <c r="J23" s="160"/>
      <c r="K23" s="161"/>
      <c r="L23" s="160">
        <f>IF(ISNUMBER(J23),J23,I23)+K23</f>
        <v>7.7222999999999997</v>
      </c>
      <c r="M23" s="67"/>
      <c r="N23" s="67"/>
      <c r="O23" s="67"/>
      <c r="P23" s="67"/>
      <c r="Q23" s="67"/>
      <c r="R23" s="67"/>
      <c r="S23" s="67"/>
      <c r="U23" s="72" t="e">
        <v>#N/A</v>
      </c>
      <c r="V23" s="71" t="e">
        <v>#N/A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K23"/>
      <c r="AL23"/>
      <c r="AM23"/>
    </row>
    <row r="24" spans="1:44" ht="11.25" customHeight="1" x14ac:dyDescent="0.2">
      <c r="A24" s="68"/>
      <c r="B24" s="328" t="s">
        <v>80</v>
      </c>
      <c r="C24" s="32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 t="e">
        <v>#N/A</v>
      </c>
      <c r="V24" s="71" t="e">
        <v>#N/A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10</v>
      </c>
      <c r="U25" s="72" t="e">
        <v>#N/A</v>
      </c>
      <c r="V25" s="71" t="e">
        <v>#N/A</v>
      </c>
      <c r="W25"/>
      <c r="X25"/>
      <c r="Y25" s="79"/>
      <c r="Z25" s="79"/>
      <c r="AA25" s="79"/>
      <c r="AB25" s="67"/>
      <c r="AC25" s="67"/>
      <c r="AD25" s="67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20">
        <f t="shared" ref="F26:F67" si="11">IF($C$19,IF(LEN(AQ31)&gt;0,AQ31,""),IF(LEN(AG31)&gt;0,AG31,""))</f>
        <v>12</v>
      </c>
      <c r="G26" s="68"/>
      <c r="H26" s="68"/>
      <c r="I26" s="154">
        <f t="shared" ref="I26:I67" si="12">IF($C$19,AR31,AF31)</f>
        <v>-0.12</v>
      </c>
      <c r="J26" s="152"/>
      <c r="K26" s="153"/>
      <c r="L26" s="152">
        <f t="shared" ref="L26:L67" si="13">IF(ISNUMBER(J26),J26,I26)+K26</f>
        <v>-0.12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12</v>
      </c>
      <c r="S26" s="150">
        <f t="shared" ref="S26:S67" si="17">IF(LEN(P26)&gt;0,INDEX($L$26:$L$67,$P26),"")</f>
        <v>-0.12</v>
      </c>
      <c r="U26" s="72" t="e">
        <v>#N/A</v>
      </c>
      <c r="V26" s="71" t="e">
        <v>#N/A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24</v>
      </c>
      <c r="G27" s="68"/>
      <c r="I27" s="97">
        <f t="shared" si="12"/>
        <v>-0.11000000000000001</v>
      </c>
      <c r="J27" s="95"/>
      <c r="K27" s="96"/>
      <c r="L27" s="95">
        <f t="shared" si="13"/>
        <v>-0.11000000000000001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24</v>
      </c>
      <c r="S27" s="93">
        <f t="shared" si="17"/>
        <v>-0.11000000000000001</v>
      </c>
      <c r="U27" s="72" t="e">
        <v>#N/A</v>
      </c>
      <c r="V27" s="71" t="e">
        <v>#N/A</v>
      </c>
      <c r="W27"/>
      <c r="X27"/>
      <c r="Y27" s="146" t="s">
        <v>222</v>
      </c>
      <c r="Z27" s="145">
        <f>_xll.RtGet($AD$26,$AD$27&amp;$Y27&amp;$AD$28,Z$26)</f>
        <v>7.7207999999999997</v>
      </c>
      <c r="AA27" s="144">
        <f>_xll.RtGet($AD$26,$AD$27&amp;$Y27&amp;$AD$28,AA$26)</f>
        <v>7.7237999999999998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36</v>
      </c>
      <c r="G28" s="68"/>
      <c r="I28" s="97">
        <f t="shared" si="12"/>
        <v>-9.2499999999999999E-2</v>
      </c>
      <c r="J28" s="95"/>
      <c r="K28" s="96"/>
      <c r="L28" s="95">
        <f t="shared" si="13"/>
        <v>-9.2499999999999999E-2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36</v>
      </c>
      <c r="S28" s="93">
        <f t="shared" si="17"/>
        <v>-9.2499999999999999E-2</v>
      </c>
      <c r="U28" s="72" t="e">
        <v>#N/A</v>
      </c>
      <c r="V28" s="71" t="e">
        <v>#N/A</v>
      </c>
      <c r="W28"/>
      <c r="X28"/>
      <c r="AC28" s="118" t="s">
        <v>63</v>
      </c>
      <c r="AD28" s="117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48</v>
      </c>
      <c r="G29" s="68"/>
      <c r="I29" s="97">
        <f t="shared" si="12"/>
        <v>-7.0000000000000007E-2</v>
      </c>
      <c r="J29" s="95"/>
      <c r="K29" s="96"/>
      <c r="L29" s="95">
        <f t="shared" si="13"/>
        <v>-7.0000000000000007E-2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48</v>
      </c>
      <c r="S29" s="93">
        <f t="shared" si="17"/>
        <v>-7.0000000000000007E-2</v>
      </c>
      <c r="U29" s="72" t="e">
        <v>#N/A</v>
      </c>
      <c r="V29" s="71" t="e">
        <v>#N/A</v>
      </c>
      <c r="W29"/>
      <c r="X29"/>
      <c r="Y29" s="133" t="s">
        <v>132</v>
      </c>
      <c r="Z29" s="316">
        <v>0.01</v>
      </c>
      <c r="AF29" s="221"/>
      <c r="AG29" s="222">
        <f>MAX(AG31:AG72)</f>
        <v>360</v>
      </c>
      <c r="AH29" s="221"/>
      <c r="AI29" s="221"/>
      <c r="AJ29" s="221"/>
      <c r="AK29" s="221"/>
      <c r="AL29" s="221"/>
      <c r="AM29" s="221"/>
      <c r="AN29" s="223"/>
      <c r="AO29" s="223"/>
      <c r="AP29" s="223"/>
      <c r="AQ29" s="222">
        <f>MAX(AQ31:AQ60)</f>
        <v>312</v>
      </c>
      <c r="AR29" s="221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60</v>
      </c>
      <c r="G30" s="68"/>
      <c r="I30" s="97">
        <f t="shared" si="12"/>
        <v>-4.2499999999999996E-2</v>
      </c>
      <c r="J30" s="95"/>
      <c r="K30" s="96"/>
      <c r="L30" s="95">
        <f t="shared" si="13"/>
        <v>-4.2499999999999996E-2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60</v>
      </c>
      <c r="S30" s="93">
        <f t="shared" si="17"/>
        <v>-4.2499999999999996E-2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4" t="s">
        <v>124</v>
      </c>
      <c r="AG30" s="224" t="s">
        <v>192</v>
      </c>
      <c r="AH30" s="225" t="b">
        <f>AND(AQ29&gt;AG29,ISERROR(MATCH(AQ29,$AG$31:$AG$72,0)))</f>
        <v>0</v>
      </c>
      <c r="AI30" s="226"/>
      <c r="AJ30" s="226"/>
      <c r="AK30" s="226"/>
      <c r="AL30" s="227">
        <f>COUNT(AK31:AK72)</f>
        <v>10</v>
      </c>
      <c r="AM30" s="228"/>
      <c r="AN30" s="223"/>
      <c r="AO30" s="223"/>
      <c r="AP30" s="223"/>
      <c r="AQ30" s="224" t="s">
        <v>126</v>
      </c>
      <c r="AR30" s="224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84</v>
      </c>
      <c r="G31" s="68"/>
      <c r="I31" s="97">
        <f t="shared" si="12"/>
        <v>-1.2500000000000001E-2</v>
      </c>
      <c r="J31" s="95"/>
      <c r="K31" s="96"/>
      <c r="L31" s="95">
        <f t="shared" si="13"/>
        <v>-1.2500000000000001E-2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84</v>
      </c>
      <c r="S31" s="93">
        <f t="shared" si="17"/>
        <v>-1.2500000000000001E-2</v>
      </c>
      <c r="U31" s="72" t="e">
        <v>#N/A</v>
      </c>
      <c r="V31" s="71" t="e">
        <v>#N/A</v>
      </c>
      <c r="W31"/>
      <c r="X31"/>
      <c r="Y31" s="130" t="s">
        <v>177</v>
      </c>
      <c r="Z31" s="219">
        <f>$Z$29*_xll.RtGet($AD$32,$AD$33&amp;$Y31&amp;$AD$34,Z$30)</f>
        <v>-0.15</v>
      </c>
      <c r="AA31" s="127">
        <f>$Z$29*_xll.RtGet($AD$32,$AD$33&amp;$Y31&amp;$AD$34,AA$30)</f>
        <v>-0.09</v>
      </c>
      <c r="AF31" s="229">
        <f t="shared" ref="AF31:AF72" si="20">AVERAGE(Z31:AA31)</f>
        <v>-0.12</v>
      </c>
      <c r="AG31" s="230">
        <f>IF(ISNUMBER(AF31),LEFT(Y31,LEN(Y31)-1)*IF(RIGHT(Y31,1)="Y",12,1),"")</f>
        <v>12</v>
      </c>
      <c r="AH31" s="231">
        <f t="shared" ref="AH31:AH71" si="21">IF(LEN(AG31)&gt;0,AG31,"")</f>
        <v>12</v>
      </c>
      <c r="AI31" s="232">
        <f t="shared" ref="AI31:AI71" si="22">IF(LEN(AG31)&gt;0,AF31,"")</f>
        <v>-0.12</v>
      </c>
      <c r="AJ31" s="233">
        <v>3</v>
      </c>
      <c r="AK31" s="228">
        <f t="shared" ref="AK31:AK72" si="23">IF(LEN(AH31)&gt;0,AJ31,"")</f>
        <v>3</v>
      </c>
      <c r="AL31" s="227">
        <f>IF(AL30&gt;0,1,"")</f>
        <v>1</v>
      </c>
      <c r="AM31" s="234" t="b">
        <f t="shared" ref="AM31:AM72" si="24">LEN(AL31)&gt;0</f>
        <v>1</v>
      </c>
      <c r="AN31" s="235">
        <f t="shared" ref="AN31:AN72" si="25">IF(AM31,SMALL($AK$31:$AK$72,AL31),"")</f>
        <v>3</v>
      </c>
      <c r="AO31" s="234">
        <f t="array" ref="AO31:AP31">IF(AM31,INDEX($AH$31:$AI$72,AN31,0),"")</f>
        <v>36</v>
      </c>
      <c r="AP31" s="235">
        <v>-9.2499999999999999E-2</v>
      </c>
      <c r="AQ31" s="234">
        <f t="array" ref="AQ31:AQ72">AJ31:AJ72</f>
        <v>3</v>
      </c>
      <c r="AR31" s="236" t="str">
        <f t="array" ref="AR31:AR72">_xll.xlInterp1D(AO31:INDEX(AO31:AO72,AL30),AP31:INDEX(AP31:AP72,AL30),AQ31:AQ72,"kruger")</f>
        <v>#Error in cont_interp::kruger, too few input points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120</v>
      </c>
      <c r="G32" s="68"/>
      <c r="I32" s="97">
        <f t="shared" si="12"/>
        <v>3.7500000000000006E-2</v>
      </c>
      <c r="J32" s="95"/>
      <c r="K32" s="96"/>
      <c r="L32" s="95">
        <f t="shared" si="13"/>
        <v>3.7500000000000006E-2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120</v>
      </c>
      <c r="S32" s="93">
        <f t="shared" si="17"/>
        <v>3.7500000000000006E-2</v>
      </c>
      <c r="U32" s="72" t="e">
        <v>#N/A</v>
      </c>
      <c r="V32" s="71" t="e">
        <v>#N/A</v>
      </c>
      <c r="W32"/>
      <c r="Y32" s="81" t="s">
        <v>179</v>
      </c>
      <c r="Z32" s="80">
        <f>$Z$29*_xll.RtGet($AD$32,$AD$33&amp;$Y32&amp;$AD$34,Z$30)</f>
        <v>-0.14000000000000001</v>
      </c>
      <c r="AA32" s="78">
        <f>$Z$29*_xll.RtGet($AD$32,$AD$33&amp;$Y32&amp;$AD$34,AA$30)</f>
        <v>-0.08</v>
      </c>
      <c r="AC32" s="124" t="s">
        <v>68</v>
      </c>
      <c r="AD32" s="123" t="s">
        <v>67</v>
      </c>
      <c r="AF32" s="237">
        <f t="shared" si="20"/>
        <v>-0.11000000000000001</v>
      </c>
      <c r="AG32" s="231">
        <f t="shared" ref="AG32:AG72" si="26">IF(ISNUMBER(AF32),LEFT(Y32,LEN(Y32)-1)*IF(RIGHT(Y32,1)="Y",12,1),"")</f>
        <v>24</v>
      </c>
      <c r="AH32" s="231">
        <f t="shared" si="21"/>
        <v>24</v>
      </c>
      <c r="AI32" s="238">
        <f t="shared" si="22"/>
        <v>-0.11000000000000001</v>
      </c>
      <c r="AJ32" s="239">
        <f>+AJ31+3</f>
        <v>6</v>
      </c>
      <c r="AK32" s="228">
        <f t="shared" si="23"/>
        <v>6</v>
      </c>
      <c r="AL32" s="228">
        <f t="shared" ref="AL32:AL72" si="27">IF(AL31&lt;$AL$30,AL31+1,"")</f>
        <v>2</v>
      </c>
      <c r="AM32" s="228" t="b">
        <f t="shared" si="24"/>
        <v>1</v>
      </c>
      <c r="AN32" s="240">
        <f t="shared" si="25"/>
        <v>6</v>
      </c>
      <c r="AO32" s="239">
        <f t="array" ref="AO32:AP32">IF(AM32,INDEX($AH$31:$AI$72,AN32,0),"")</f>
        <v>84</v>
      </c>
      <c r="AP32" s="240">
        <v>-1.2500000000000001E-2</v>
      </c>
      <c r="AQ32" s="239">
        <v>6</v>
      </c>
      <c r="AR32" s="241" t="str">
        <v>#Error in cont_interp::kruger, too few input points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180</v>
      </c>
      <c r="G33" s="68"/>
      <c r="I33" s="97">
        <f t="shared" si="12"/>
        <v>0.12</v>
      </c>
      <c r="J33" s="95"/>
      <c r="K33" s="96"/>
      <c r="L33" s="95">
        <f t="shared" si="13"/>
        <v>0.12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180</v>
      </c>
      <c r="S33" s="93">
        <f t="shared" si="17"/>
        <v>0.12</v>
      </c>
      <c r="U33" s="72" t="e">
        <v>#N/A</v>
      </c>
      <c r="V33" s="71" t="e">
        <v>#N/A</v>
      </c>
      <c r="W33"/>
      <c r="Y33" s="81" t="s">
        <v>180</v>
      </c>
      <c r="Z33" s="80">
        <f>$Z$29*_xll.RtGet($AD$32,$AD$33&amp;$Y33&amp;$AD$34,Z$30)</f>
        <v>-0.1225</v>
      </c>
      <c r="AA33" s="78">
        <f>$Z$29*_xll.RtGet($AD$32,$AD$33&amp;$Y33&amp;$AD$34,AA$30)</f>
        <v>-6.25E-2</v>
      </c>
      <c r="AC33" s="121" t="s">
        <v>66</v>
      </c>
      <c r="AD33" s="120" t="s">
        <v>233</v>
      </c>
      <c r="AF33" s="237">
        <f t="shared" si="20"/>
        <v>-9.2499999999999999E-2</v>
      </c>
      <c r="AG33" s="231">
        <f t="shared" si="26"/>
        <v>36</v>
      </c>
      <c r="AH33" s="231">
        <f t="shared" si="21"/>
        <v>36</v>
      </c>
      <c r="AI33" s="238">
        <f t="shared" si="22"/>
        <v>-9.2499999999999999E-2</v>
      </c>
      <c r="AJ33" s="239">
        <f t="shared" ref="AJ33:AJ34" si="28">+AJ32+3</f>
        <v>9</v>
      </c>
      <c r="AK33" s="228">
        <f t="shared" si="23"/>
        <v>9</v>
      </c>
      <c r="AL33" s="228">
        <f t="shared" si="27"/>
        <v>3</v>
      </c>
      <c r="AM33" s="228" t="b">
        <f t="shared" si="24"/>
        <v>1</v>
      </c>
      <c r="AN33" s="240">
        <f t="shared" si="25"/>
        <v>9</v>
      </c>
      <c r="AO33" s="239">
        <f t="array" ref="AO33:AP33">IF(AM33,INDEX($AH$31:$AI$72,AN33,0),"")</f>
        <v>240</v>
      </c>
      <c r="AP33" s="240">
        <v>0.185</v>
      </c>
      <c r="AQ33" s="239">
        <v>9</v>
      </c>
      <c r="AR33" s="241" t="str">
        <v>#Error in cont_interp::kruger, too few input points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240</v>
      </c>
      <c r="G34" s="68"/>
      <c r="I34" s="97">
        <f t="shared" si="12"/>
        <v>0.185</v>
      </c>
      <c r="J34" s="95"/>
      <c r="K34" s="96"/>
      <c r="L34" s="95">
        <f t="shared" si="13"/>
        <v>0.185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240</v>
      </c>
      <c r="S34" s="93">
        <f t="shared" si="17"/>
        <v>0.185</v>
      </c>
      <c r="U34" s="72" t="e">
        <v>#N/A</v>
      </c>
      <c r="V34" s="71" t="e">
        <v>#N/A</v>
      </c>
      <c r="Y34" s="81" t="s">
        <v>181</v>
      </c>
      <c r="Z34" s="80">
        <f>$Z$29*_xll.RtGet($AD$32,$AD$33&amp;$Y34&amp;$AD$34,Z$30)</f>
        <v>-0.1</v>
      </c>
      <c r="AA34" s="78">
        <f>$Z$29*_xll.RtGet($AD$32,$AD$33&amp;$Y34&amp;$AD$34,AA$30)</f>
        <v>-0.04</v>
      </c>
      <c r="AC34" s="118" t="s">
        <v>63</v>
      </c>
      <c r="AD34" s="218" t="s">
        <v>178</v>
      </c>
      <c r="AF34" s="237">
        <f t="shared" si="20"/>
        <v>-7.0000000000000007E-2</v>
      </c>
      <c r="AG34" s="231">
        <f t="shared" si="26"/>
        <v>48</v>
      </c>
      <c r="AH34" s="231">
        <f t="shared" si="21"/>
        <v>48</v>
      </c>
      <c r="AI34" s="238">
        <f t="shared" si="22"/>
        <v>-7.0000000000000007E-2</v>
      </c>
      <c r="AJ34" s="242">
        <f t="shared" si="28"/>
        <v>12</v>
      </c>
      <c r="AK34" s="228">
        <f t="shared" si="23"/>
        <v>12</v>
      </c>
      <c r="AL34" s="228">
        <f t="shared" si="27"/>
        <v>4</v>
      </c>
      <c r="AM34" s="228" t="b">
        <f t="shared" si="24"/>
        <v>1</v>
      </c>
      <c r="AN34" s="240">
        <f t="shared" si="25"/>
        <v>12</v>
      </c>
      <c r="AO34" s="239" t="str">
        <f t="array" ref="AO34:AP34">IF(AM34,INDEX($AH$31:$AI$72,AN34,0),"")</f>
        <v/>
      </c>
      <c r="AP34" s="240" t="str">
        <v/>
      </c>
      <c r="AQ34" s="239">
        <v>12</v>
      </c>
      <c r="AR34" s="241" t="str">
        <v>#Error in cont_interp::kruger, too few input points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360</v>
      </c>
      <c r="G35" s="68"/>
      <c r="I35" s="97">
        <f t="shared" si="12"/>
        <v>0.24</v>
      </c>
      <c r="J35" s="95"/>
      <c r="K35" s="96"/>
      <c r="L35" s="95">
        <f t="shared" si="13"/>
        <v>0.24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360</v>
      </c>
      <c r="S35" s="93">
        <f t="shared" si="17"/>
        <v>0.24</v>
      </c>
      <c r="U35" s="72" t="e">
        <v>#N/A</v>
      </c>
      <c r="V35" s="71" t="e">
        <v>#N/A</v>
      </c>
      <c r="W35"/>
      <c r="Y35" s="81" t="s">
        <v>182</v>
      </c>
      <c r="Z35" s="80">
        <f>$Z$29*_xll.RtGet($AD$32,$AD$33&amp;$Y35&amp;$AD$34,Z$30)</f>
        <v>-7.2499999999999995E-2</v>
      </c>
      <c r="AA35" s="78">
        <f>$Z$29*_xll.RtGet($AD$32,$AD$33&amp;$Y35&amp;$AD$34,AA$30)</f>
        <v>-1.2500000000000001E-2</v>
      </c>
      <c r="AF35" s="237">
        <f t="shared" si="20"/>
        <v>-4.2499999999999996E-2</v>
      </c>
      <c r="AG35" s="231">
        <f t="shared" si="26"/>
        <v>60</v>
      </c>
      <c r="AH35" s="231">
        <f t="shared" si="21"/>
        <v>60</v>
      </c>
      <c r="AI35" s="238">
        <f t="shared" si="22"/>
        <v>-4.2499999999999996E-2</v>
      </c>
      <c r="AJ35" s="239">
        <f>+AJ34+6</f>
        <v>18</v>
      </c>
      <c r="AK35" s="228">
        <f t="shared" si="23"/>
        <v>18</v>
      </c>
      <c r="AL35" s="228">
        <f t="shared" si="27"/>
        <v>5</v>
      </c>
      <c r="AM35" s="228" t="b">
        <f t="shared" si="24"/>
        <v>1</v>
      </c>
      <c r="AN35" s="240">
        <f t="shared" si="25"/>
        <v>18</v>
      </c>
      <c r="AO35" s="239" t="str">
        <f t="array" ref="AO35:AP35">IF(AM35,INDEX($AH$31:$AI$72,AN35,0),"")</f>
        <v/>
      </c>
      <c r="AP35" s="240" t="str">
        <v/>
      </c>
      <c r="AQ35" s="239">
        <v>18</v>
      </c>
      <c r="AR35" s="241" t="str">
        <v>#Error in cont_interp::kruger, too few input points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0</v>
      </c>
      <c r="F36" s="169" t="str">
        <f t="shared" si="11"/>
        <v/>
      </c>
      <c r="G36" s="68"/>
      <c r="I36" s="97" t="e">
        <f t="shared" si="12"/>
        <v>#VALUE!</v>
      </c>
      <c r="J36" s="95"/>
      <c r="K36" s="96"/>
      <c r="L36" s="95" t="e">
        <f t="shared" si="13"/>
        <v>#VALUE!</v>
      </c>
      <c r="M36" s="80">
        <f t="shared" si="18"/>
        <v>11</v>
      </c>
      <c r="N36" s="78" t="str">
        <f t="shared" si="14"/>
        <v/>
      </c>
      <c r="O36" s="80" t="str">
        <f t="shared" si="19"/>
        <v/>
      </c>
      <c r="P36" s="78" t="str">
        <f t="shared" si="15"/>
        <v/>
      </c>
      <c r="Q36" s="68"/>
      <c r="R36" s="94" t="str">
        <f t="shared" si="16"/>
        <v/>
      </c>
      <c r="S36" s="93" t="str">
        <f t="shared" si="17"/>
        <v/>
      </c>
      <c r="U36" s="72" t="e">
        <v>#N/A</v>
      </c>
      <c r="V36" s="71" t="e">
        <v>#N/A</v>
      </c>
      <c r="Y36" s="81" t="s">
        <v>183</v>
      </c>
      <c r="Z36" s="80">
        <f>$Z$29*_xll.RtGet($AD$32,$AD$33&amp;$Y36&amp;$AD$34,Z$30)</f>
        <v>-4.2500000000000003E-2</v>
      </c>
      <c r="AA36" s="78">
        <f>$Z$29*_xll.RtGet($AD$32,$AD$33&amp;$Y36&amp;$AD$34,AA$30)</f>
        <v>1.7500000000000002E-2</v>
      </c>
      <c r="AF36" s="237">
        <f t="shared" si="20"/>
        <v>-1.2500000000000001E-2</v>
      </c>
      <c r="AG36" s="231">
        <f t="shared" si="26"/>
        <v>84</v>
      </c>
      <c r="AH36" s="231">
        <f t="shared" si="21"/>
        <v>84</v>
      </c>
      <c r="AI36" s="238">
        <f t="shared" si="22"/>
        <v>-1.2500000000000001E-2</v>
      </c>
      <c r="AJ36" s="242">
        <f>+AJ35+6</f>
        <v>24</v>
      </c>
      <c r="AK36" s="228">
        <f t="shared" si="23"/>
        <v>24</v>
      </c>
      <c r="AL36" s="228">
        <f t="shared" si="27"/>
        <v>6</v>
      </c>
      <c r="AM36" s="228" t="b">
        <f t="shared" si="24"/>
        <v>1</v>
      </c>
      <c r="AN36" s="240">
        <f t="shared" si="25"/>
        <v>24</v>
      </c>
      <c r="AO36" s="239" t="str">
        <f t="array" ref="AO36:AP36">IF(AM36,INDEX($AH$31:$AI$72,AN36,0),"")</f>
        <v/>
      </c>
      <c r="AP36" s="240" t="str">
        <v/>
      </c>
      <c r="AQ36" s="239">
        <v>24</v>
      </c>
      <c r="AR36" s="241" t="str">
        <v>#Error in cont_interp::kruger, too few input points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0</v>
      </c>
      <c r="F37" s="169" t="str">
        <f t="shared" si="11"/>
        <v/>
      </c>
      <c r="G37" s="68"/>
      <c r="I37" s="97" t="e">
        <f t="shared" si="12"/>
        <v>#VALUE!</v>
      </c>
      <c r="J37" s="95"/>
      <c r="K37" s="96"/>
      <c r="L37" s="95" t="e">
        <f t="shared" si="13"/>
        <v>#VALUE!</v>
      </c>
      <c r="M37" s="80">
        <f t="shared" si="18"/>
        <v>12</v>
      </c>
      <c r="N37" s="78" t="str">
        <f t="shared" si="14"/>
        <v/>
      </c>
      <c r="O37" s="80" t="str">
        <f t="shared" si="19"/>
        <v/>
      </c>
      <c r="P37" s="78" t="str">
        <f t="shared" si="15"/>
        <v/>
      </c>
      <c r="Q37" s="68"/>
      <c r="R37" s="94" t="str">
        <f t="shared" si="16"/>
        <v/>
      </c>
      <c r="S37" s="93" t="str">
        <f t="shared" si="17"/>
        <v/>
      </c>
      <c r="U37" s="72" t="e">
        <v>#N/A</v>
      </c>
      <c r="V37" s="71" t="e">
        <v>#N/A</v>
      </c>
      <c r="Y37" s="81" t="s">
        <v>184</v>
      </c>
      <c r="Z37" s="80">
        <f>$Z$29*_xll.RtGet($AD$32,$AD$33&amp;$Y37&amp;$AD$34,Z$30)</f>
        <v>7.4999999999999997E-3</v>
      </c>
      <c r="AA37" s="78">
        <f>$Z$29*_xll.RtGet($AD$32,$AD$33&amp;$Y37&amp;$AD$34,AA$30)</f>
        <v>6.7500000000000004E-2</v>
      </c>
      <c r="AF37" s="237">
        <f t="shared" si="20"/>
        <v>3.7500000000000006E-2</v>
      </c>
      <c r="AG37" s="231">
        <f t="shared" si="26"/>
        <v>120</v>
      </c>
      <c r="AH37" s="231">
        <f t="shared" si="21"/>
        <v>120</v>
      </c>
      <c r="AI37" s="238">
        <f t="shared" si="22"/>
        <v>3.7500000000000006E-2</v>
      </c>
      <c r="AJ37" s="239">
        <f>+AJ36+12</f>
        <v>36</v>
      </c>
      <c r="AK37" s="228">
        <f t="shared" si="23"/>
        <v>36</v>
      </c>
      <c r="AL37" s="228">
        <f t="shared" si="27"/>
        <v>7</v>
      </c>
      <c r="AM37" s="228" t="b">
        <f t="shared" si="24"/>
        <v>1</v>
      </c>
      <c r="AN37" s="240">
        <f t="shared" si="25"/>
        <v>36</v>
      </c>
      <c r="AO37" s="239" t="str">
        <f t="array" ref="AO37:AP37">IF(AM37,INDEX($AH$31:$AI$72,AN37,0),"")</f>
        <v/>
      </c>
      <c r="AP37" s="240" t="str">
        <v/>
      </c>
      <c r="AQ37" s="239">
        <v>36</v>
      </c>
      <c r="AR37" s="241" t="str">
        <v>#Error in cont_interp::kruger, too few input points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0</v>
      </c>
      <c r="F38" s="169" t="str">
        <f t="shared" si="11"/>
        <v/>
      </c>
      <c r="G38" s="68"/>
      <c r="I38" s="97" t="e">
        <f t="shared" si="12"/>
        <v>#VALUE!</v>
      </c>
      <c r="J38" s="95"/>
      <c r="K38" s="96"/>
      <c r="L38" s="95" t="e">
        <f t="shared" si="13"/>
        <v>#VALUE!</v>
      </c>
      <c r="M38" s="80">
        <f t="shared" si="18"/>
        <v>13</v>
      </c>
      <c r="N38" s="78" t="str">
        <f t="shared" si="14"/>
        <v/>
      </c>
      <c r="O38" s="80" t="str">
        <f t="shared" si="19"/>
        <v/>
      </c>
      <c r="P38" s="78" t="str">
        <f t="shared" si="15"/>
        <v/>
      </c>
      <c r="Q38" s="68"/>
      <c r="R38" s="94" t="str">
        <f t="shared" si="16"/>
        <v/>
      </c>
      <c r="S38" s="93" t="str">
        <f t="shared" si="17"/>
        <v/>
      </c>
      <c r="U38" s="72" t="e">
        <v>#N/A</v>
      </c>
      <c r="V38" s="71" t="e">
        <v>#N/A</v>
      </c>
      <c r="Y38" s="81" t="s">
        <v>185</v>
      </c>
      <c r="Z38" s="80">
        <f>$Z$29*_xll.RtGet($AD$32,$AD$33&amp;$Y38&amp;$AD$34,Z$30)</f>
        <v>0.09</v>
      </c>
      <c r="AA38" s="78">
        <f>$Z$29*_xll.RtGet($AD$32,$AD$33&amp;$Y38&amp;$AD$34,AA$30)</f>
        <v>0.15</v>
      </c>
      <c r="AF38" s="237">
        <f t="shared" si="20"/>
        <v>0.12</v>
      </c>
      <c r="AG38" s="231">
        <f t="shared" si="26"/>
        <v>180</v>
      </c>
      <c r="AH38" s="231">
        <f t="shared" si="21"/>
        <v>180</v>
      </c>
      <c r="AI38" s="238">
        <f t="shared" si="22"/>
        <v>0.12</v>
      </c>
      <c r="AJ38" s="239">
        <f t="shared" ref="AJ38:AJ64" si="29">+AJ37+12</f>
        <v>48</v>
      </c>
      <c r="AK38" s="228">
        <f t="shared" si="23"/>
        <v>48</v>
      </c>
      <c r="AL38" s="228">
        <f t="shared" si="27"/>
        <v>8</v>
      </c>
      <c r="AM38" s="228" t="b">
        <f t="shared" si="24"/>
        <v>1</v>
      </c>
      <c r="AN38" s="240">
        <f t="shared" si="25"/>
        <v>48</v>
      </c>
      <c r="AO38" s="239" t="e">
        <f t="array" ref="AO38:AP38">IF(AM38,INDEX($AH$31:$AI$72,AN38,0),"")</f>
        <v>#REF!</v>
      </c>
      <c r="AP38" s="240" t="e">
        <v>#REF!</v>
      </c>
      <c r="AQ38" s="239">
        <v>48</v>
      </c>
      <c r="AR38" s="241" t="str">
        <v>#Error in cont_interp::kruger, too few input points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189</v>
      </c>
      <c r="Z39" s="80">
        <f>$Z$29*_xll.RtGet($AD$32,$AD$33&amp;$Y39&amp;$AD$34,Z$30)</f>
        <v>0.155</v>
      </c>
      <c r="AA39" s="78">
        <f>$Z$29*_xll.RtGet($AD$32,$AD$33&amp;$Y39&amp;$AD$34,AA$30)</f>
        <v>0.215</v>
      </c>
      <c r="AF39" s="237">
        <f t="shared" si="20"/>
        <v>0.185</v>
      </c>
      <c r="AG39" s="231">
        <f t="shared" si="26"/>
        <v>240</v>
      </c>
      <c r="AH39" s="231">
        <f t="shared" si="21"/>
        <v>240</v>
      </c>
      <c r="AI39" s="238">
        <f t="shared" si="22"/>
        <v>0.185</v>
      </c>
      <c r="AJ39" s="239">
        <f t="shared" si="29"/>
        <v>60</v>
      </c>
      <c r="AK39" s="228">
        <f t="shared" si="23"/>
        <v>60</v>
      </c>
      <c r="AL39" s="228">
        <f t="shared" si="27"/>
        <v>9</v>
      </c>
      <c r="AM39" s="228" t="b">
        <f t="shared" si="24"/>
        <v>1</v>
      </c>
      <c r="AN39" s="240">
        <f t="shared" si="25"/>
        <v>60</v>
      </c>
      <c r="AO39" s="239" t="e">
        <f t="array" ref="AO39:AP39">IF(AM39,INDEX($AH$31:$AI$72,AN39,0),"")</f>
        <v>#REF!</v>
      </c>
      <c r="AP39" s="240" t="e">
        <v>#REF!</v>
      </c>
      <c r="AQ39" s="239">
        <v>60</v>
      </c>
      <c r="AR39" s="241" t="str">
        <v>#Error in cont_interp::kruger, too few input points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190</v>
      </c>
      <c r="Z40" s="80">
        <f>$Z$29*_xll.RtGet($AD$32,$AD$33&amp;$Y40&amp;$AD$34,Z$30)</f>
        <v>0.21</v>
      </c>
      <c r="AA40" s="78">
        <f>$Z$29*_xll.RtGet($AD$32,$AD$33&amp;$Y40&amp;$AD$34,AA$30)</f>
        <v>0.27</v>
      </c>
      <c r="AF40" s="237">
        <f t="shared" si="20"/>
        <v>0.24</v>
      </c>
      <c r="AG40" s="231">
        <f t="shared" si="26"/>
        <v>360</v>
      </c>
      <c r="AH40" s="231">
        <f t="shared" si="21"/>
        <v>360</v>
      </c>
      <c r="AI40" s="238">
        <f t="shared" si="22"/>
        <v>0.24</v>
      </c>
      <c r="AJ40" s="239">
        <f t="shared" si="29"/>
        <v>72</v>
      </c>
      <c r="AK40" s="228">
        <f t="shared" si="23"/>
        <v>72</v>
      </c>
      <c r="AL40" s="228">
        <f t="shared" si="27"/>
        <v>10</v>
      </c>
      <c r="AM40" s="228" t="b">
        <f t="shared" si="24"/>
        <v>1</v>
      </c>
      <c r="AN40" s="240">
        <f t="shared" si="25"/>
        <v>72</v>
      </c>
      <c r="AO40" s="239" t="e">
        <f t="array" ref="AO40:AP40">IF(AM40,INDEX($AH$31:$AI$72,AN40,0),"")</f>
        <v>#REF!</v>
      </c>
      <c r="AP40" s="240" t="e">
        <v>#REF!</v>
      </c>
      <c r="AQ40" s="239">
        <v>72</v>
      </c>
      <c r="AR40" s="241" t="str">
        <v>#Error in cont_interp::kruger, too few input points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/>
      <c r="Z41" s="80" t="e">
        <f>$Z$29*_xll.RtGet($AD$32,$AD$33&amp;$Y41&amp;$AD$34,Z$30)</f>
        <v>#VALUE!</v>
      </c>
      <c r="AA41" s="78" t="e">
        <f>$Z$29*_xll.RtGet($AD$32,$AD$33&amp;$Y41&amp;$AD$34,AA$30)</f>
        <v>#VALUE!</v>
      </c>
      <c r="AF41" s="237" t="e">
        <f t="shared" si="20"/>
        <v>#VALUE!</v>
      </c>
      <c r="AG41" s="231" t="str">
        <f t="shared" si="26"/>
        <v/>
      </c>
      <c r="AH41" s="231" t="str">
        <f t="shared" si="21"/>
        <v/>
      </c>
      <c r="AI41" s="238" t="str">
        <f t="shared" si="22"/>
        <v/>
      </c>
      <c r="AJ41" s="239">
        <f t="shared" si="29"/>
        <v>84</v>
      </c>
      <c r="AK41" s="228" t="str">
        <f t="shared" si="23"/>
        <v/>
      </c>
      <c r="AL41" s="228" t="str">
        <f t="shared" si="27"/>
        <v/>
      </c>
      <c r="AM41" s="228" t="b">
        <f t="shared" si="24"/>
        <v>0</v>
      </c>
      <c r="AN41" s="240" t="str">
        <f t="shared" si="25"/>
        <v/>
      </c>
      <c r="AO41" s="239" t="str">
        <f t="array" ref="AO41:AP41">IF(AM41,INDEX($AH$31:$AI$72,AN41,0),"")</f>
        <v/>
      </c>
      <c r="AP41" s="240" t="str">
        <v/>
      </c>
      <c r="AQ41" s="239">
        <v>84</v>
      </c>
      <c r="AR41" s="241" t="str">
        <v>#Error in cont_interp::kruger, too few input points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/>
      <c r="Z42" s="80" t="e">
        <f>$Z$29*_xll.RtGet($AD$32,$AD$33&amp;$Y42&amp;$AD$34,Z$30)</f>
        <v>#VALUE!</v>
      </c>
      <c r="AA42" s="78" t="e">
        <f>$Z$29*_xll.RtGet($AD$32,$AD$33&amp;$Y42&amp;$AD$34,AA$30)</f>
        <v>#VALUE!</v>
      </c>
      <c r="AF42" s="237" t="e">
        <f t="shared" si="20"/>
        <v>#VALUE!</v>
      </c>
      <c r="AG42" s="231" t="str">
        <f t="shared" si="26"/>
        <v/>
      </c>
      <c r="AH42" s="231" t="str">
        <f t="shared" si="21"/>
        <v/>
      </c>
      <c r="AI42" s="238" t="str">
        <f t="shared" si="22"/>
        <v/>
      </c>
      <c r="AJ42" s="239">
        <f t="shared" si="29"/>
        <v>96</v>
      </c>
      <c r="AK42" s="228" t="str">
        <f t="shared" si="23"/>
        <v/>
      </c>
      <c r="AL42" s="228" t="str">
        <f t="shared" si="27"/>
        <v/>
      </c>
      <c r="AM42" s="228" t="b">
        <f t="shared" si="24"/>
        <v>0</v>
      </c>
      <c r="AN42" s="240" t="str">
        <f t="shared" si="25"/>
        <v/>
      </c>
      <c r="AO42" s="239" t="str">
        <f t="array" ref="AO42:AP42">IF(AM42,INDEX($AH$31:$AI$72,AN42,0),"")</f>
        <v/>
      </c>
      <c r="AP42" s="240" t="str">
        <v/>
      </c>
      <c r="AQ42" s="239">
        <v>96</v>
      </c>
      <c r="AR42" s="241" t="str">
        <v>#Error in cont_interp::kruger, too few input points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/>
      <c r="Z43" s="80" t="e">
        <f>$Z$29*_xll.RtGet($AD$32,$AD$33&amp;$Y43&amp;$AD$34,Z$30)</f>
        <v>#VALUE!</v>
      </c>
      <c r="AA43" s="78" t="e">
        <f>$Z$29*_xll.RtGet($AD$32,$AD$33&amp;$Y43&amp;$AD$34,AA$30)</f>
        <v>#VALUE!</v>
      </c>
      <c r="AF43" s="237" t="e">
        <f t="shared" si="20"/>
        <v>#VALUE!</v>
      </c>
      <c r="AG43" s="231" t="str">
        <f t="shared" si="26"/>
        <v/>
      </c>
      <c r="AH43" s="231" t="str">
        <f t="shared" si="21"/>
        <v/>
      </c>
      <c r="AI43" s="238" t="str">
        <f t="shared" si="22"/>
        <v/>
      </c>
      <c r="AJ43" s="239">
        <f t="shared" si="29"/>
        <v>108</v>
      </c>
      <c r="AK43" s="228" t="str">
        <f t="shared" si="23"/>
        <v/>
      </c>
      <c r="AL43" s="228" t="str">
        <f t="shared" si="27"/>
        <v/>
      </c>
      <c r="AM43" s="228" t="b">
        <f t="shared" si="24"/>
        <v>0</v>
      </c>
      <c r="AN43" s="240" t="str">
        <f t="shared" si="25"/>
        <v/>
      </c>
      <c r="AO43" s="239" t="str">
        <f t="array" ref="AO43:AP43">IF(AM43,INDEX($AH$31:$AI$72,AN43,0),"")</f>
        <v/>
      </c>
      <c r="AP43" s="240" t="str">
        <v/>
      </c>
      <c r="AQ43" s="239">
        <v>108</v>
      </c>
      <c r="AR43" s="241" t="str">
        <v>#Error in cont_interp::kruger, too few input points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7" t="e">
        <f t="shared" si="20"/>
        <v>#VALUE!</v>
      </c>
      <c r="AG44" s="231" t="str">
        <f t="shared" si="26"/>
        <v/>
      </c>
      <c r="AH44" s="231" t="str">
        <f t="shared" si="21"/>
        <v/>
      </c>
      <c r="AI44" s="238" t="str">
        <f t="shared" si="22"/>
        <v/>
      </c>
      <c r="AJ44" s="239">
        <f t="shared" si="29"/>
        <v>120</v>
      </c>
      <c r="AK44" s="228" t="str">
        <f t="shared" si="23"/>
        <v/>
      </c>
      <c r="AL44" s="228" t="str">
        <f t="shared" si="27"/>
        <v/>
      </c>
      <c r="AM44" s="228" t="b">
        <f t="shared" si="24"/>
        <v>0</v>
      </c>
      <c r="AN44" s="240" t="str">
        <f t="shared" si="25"/>
        <v/>
      </c>
      <c r="AO44" s="239" t="str">
        <f t="array" ref="AO44:AP44">IF(AM44,INDEX($AH$31:$AI$72,AN44,0),"")</f>
        <v/>
      </c>
      <c r="AP44" s="240" t="str">
        <v/>
      </c>
      <c r="AQ44" s="239">
        <v>120</v>
      </c>
      <c r="AR44" s="241" t="str">
        <v>#Error in cont_interp::kruger, too few input points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7" t="e">
        <f t="shared" si="20"/>
        <v>#VALUE!</v>
      </c>
      <c r="AG45" s="231" t="str">
        <f t="shared" si="26"/>
        <v/>
      </c>
      <c r="AH45" s="231" t="str">
        <f t="shared" si="21"/>
        <v/>
      </c>
      <c r="AI45" s="238" t="str">
        <f t="shared" si="22"/>
        <v/>
      </c>
      <c r="AJ45" s="239">
        <f t="shared" si="29"/>
        <v>132</v>
      </c>
      <c r="AK45" s="228" t="str">
        <f t="shared" si="23"/>
        <v/>
      </c>
      <c r="AL45" s="228" t="str">
        <f t="shared" si="27"/>
        <v/>
      </c>
      <c r="AM45" s="228" t="b">
        <f t="shared" si="24"/>
        <v>0</v>
      </c>
      <c r="AN45" s="240" t="str">
        <f t="shared" si="25"/>
        <v/>
      </c>
      <c r="AO45" s="239" t="str">
        <f t="array" ref="AO45:AP45">IF(AM45,INDEX($AH$31:$AI$72,AN45,0),"")</f>
        <v/>
      </c>
      <c r="AP45" s="240" t="str">
        <v/>
      </c>
      <c r="AQ45" s="239">
        <v>132</v>
      </c>
      <c r="AR45" s="241" t="str">
        <v>#Error in cont_interp::kruger, too few input points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7" t="e">
        <f t="shared" si="20"/>
        <v>#VALUE!</v>
      </c>
      <c r="AG46" s="231" t="str">
        <f t="shared" si="26"/>
        <v/>
      </c>
      <c r="AH46" s="231" t="str">
        <f t="shared" si="21"/>
        <v/>
      </c>
      <c r="AI46" s="238" t="str">
        <f t="shared" si="22"/>
        <v/>
      </c>
      <c r="AJ46" s="239">
        <f t="shared" si="29"/>
        <v>144</v>
      </c>
      <c r="AK46" s="228" t="str">
        <f t="shared" si="23"/>
        <v/>
      </c>
      <c r="AL46" s="228" t="str">
        <f t="shared" si="27"/>
        <v/>
      </c>
      <c r="AM46" s="228" t="b">
        <f t="shared" si="24"/>
        <v>0</v>
      </c>
      <c r="AN46" s="240" t="str">
        <f t="shared" si="25"/>
        <v/>
      </c>
      <c r="AO46" s="239" t="str">
        <f t="array" ref="AO46:AP46">IF(AM46,INDEX($AH$31:$AI$72,AN46,0),"")</f>
        <v/>
      </c>
      <c r="AP46" s="240" t="str">
        <v/>
      </c>
      <c r="AQ46" s="239">
        <v>144</v>
      </c>
      <c r="AR46" s="241" t="str">
        <v>#Error in cont_interp::kruger, too few input points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7" t="e">
        <f t="shared" si="20"/>
        <v>#VALUE!</v>
      </c>
      <c r="AG47" s="231" t="str">
        <f t="shared" si="26"/>
        <v/>
      </c>
      <c r="AH47" s="231" t="str">
        <f t="shared" si="21"/>
        <v/>
      </c>
      <c r="AI47" s="238" t="str">
        <f t="shared" si="22"/>
        <v/>
      </c>
      <c r="AJ47" s="239">
        <f t="shared" si="29"/>
        <v>156</v>
      </c>
      <c r="AK47" s="228" t="str">
        <f t="shared" si="23"/>
        <v/>
      </c>
      <c r="AL47" s="228" t="str">
        <f t="shared" si="27"/>
        <v/>
      </c>
      <c r="AM47" s="228" t="b">
        <f t="shared" si="24"/>
        <v>0</v>
      </c>
      <c r="AN47" s="240" t="str">
        <f t="shared" si="25"/>
        <v/>
      </c>
      <c r="AO47" s="239" t="str">
        <f t="array" ref="AO47:AP47">IF(AM47,INDEX($AH$31:$AI$72,AN47,0),"")</f>
        <v/>
      </c>
      <c r="AP47" s="240" t="str">
        <v/>
      </c>
      <c r="AQ47" s="239">
        <v>156</v>
      </c>
      <c r="AR47" s="241" t="str">
        <v>#Error in cont_interp::kruger, too few input points</v>
      </c>
    </row>
    <row r="48" spans="1:44" ht="11.25" customHeight="1" x14ac:dyDescent="0.2">
      <c r="B48" s="104" t="str">
        <f>"DomDiscCurveName"&amp;IF(ISBLANK(C8),"","#"&amp;C8)</f>
        <v>DomDiscCurveName#USDBASIS.EURON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7" t="e">
        <f t="shared" si="20"/>
        <v>#VALUE!</v>
      </c>
      <c r="AG48" s="231" t="str">
        <f t="shared" si="26"/>
        <v/>
      </c>
      <c r="AH48" s="231" t="str">
        <f t="shared" si="21"/>
        <v/>
      </c>
      <c r="AI48" s="238" t="str">
        <f t="shared" si="22"/>
        <v/>
      </c>
      <c r="AJ48" s="239">
        <f t="shared" si="29"/>
        <v>168</v>
      </c>
      <c r="AK48" s="228" t="str">
        <f t="shared" si="23"/>
        <v/>
      </c>
      <c r="AL48" s="228" t="str">
        <f t="shared" si="27"/>
        <v/>
      </c>
      <c r="AM48" s="228" t="b">
        <f t="shared" si="24"/>
        <v>0</v>
      </c>
      <c r="AN48" s="240" t="str">
        <f t="shared" si="25"/>
        <v/>
      </c>
      <c r="AO48" s="239" t="str">
        <f t="array" ref="AO48:AP48">IF(AM48,INDEX($AH$31:$AI$72,AN48,0),"")</f>
        <v/>
      </c>
      <c r="AP48" s="240" t="str">
        <v/>
      </c>
      <c r="AQ48" s="239">
        <v>168</v>
      </c>
      <c r="AR48" s="241" t="str">
        <v>#Error in cont_interp::kruger, too few input points</v>
      </c>
    </row>
    <row r="49" spans="1:44" ht="11.25" customHeight="1" x14ac:dyDescent="0.2">
      <c r="B49" s="104" t="str">
        <f>"DomFwdCurveName"&amp;IF(ISBLANK(C9),"","#"&amp;C9)</f>
        <v>DomFwdCurveName#USD3M_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7" t="e">
        <f t="shared" si="20"/>
        <v>#VALUE!</v>
      </c>
      <c r="AG49" s="231" t="str">
        <f t="shared" si="26"/>
        <v/>
      </c>
      <c r="AH49" s="231" t="str">
        <f t="shared" si="21"/>
        <v/>
      </c>
      <c r="AI49" s="238" t="str">
        <f t="shared" si="22"/>
        <v/>
      </c>
      <c r="AJ49" s="239">
        <f t="shared" si="29"/>
        <v>180</v>
      </c>
      <c r="AK49" s="228" t="str">
        <f t="shared" si="23"/>
        <v/>
      </c>
      <c r="AL49" s="228" t="str">
        <f t="shared" si="27"/>
        <v/>
      </c>
      <c r="AM49" s="228" t="b">
        <f t="shared" si="24"/>
        <v>0</v>
      </c>
      <c r="AN49" s="240" t="str">
        <f t="shared" si="25"/>
        <v/>
      </c>
      <c r="AO49" s="239" t="str">
        <f t="array" ref="AO49:AP49">IF(AM49,INDEX($AH$31:$AI$72,AN49,0),"")</f>
        <v/>
      </c>
      <c r="AP49" s="240" t="str">
        <v/>
      </c>
      <c r="AQ49" s="239">
        <v>180</v>
      </c>
      <c r="AR49" s="241" t="str">
        <v>#Error in cont_interp::kruger, too few input points</v>
      </c>
    </row>
    <row r="50" spans="1:44" ht="11.25" customHeight="1" x14ac:dyDescent="0.2">
      <c r="B50" s="104" t="str">
        <f>"ForFwdCurveName"&amp;IF(ISBLANK(C10),"","#"&amp;C10)</f>
        <v>ForFwdCurveName#SEK3M_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7" t="e">
        <f t="shared" si="20"/>
        <v>#VALUE!</v>
      </c>
      <c r="AG50" s="231" t="str">
        <f t="shared" si="26"/>
        <v/>
      </c>
      <c r="AH50" s="231" t="str">
        <f t="shared" si="21"/>
        <v/>
      </c>
      <c r="AI50" s="238" t="str">
        <f t="shared" si="22"/>
        <v/>
      </c>
      <c r="AJ50" s="239">
        <f t="shared" si="29"/>
        <v>192</v>
      </c>
      <c r="AK50" s="228" t="str">
        <f t="shared" si="23"/>
        <v/>
      </c>
      <c r="AL50" s="228" t="str">
        <f t="shared" si="27"/>
        <v/>
      </c>
      <c r="AM50" s="228" t="b">
        <f t="shared" si="24"/>
        <v>0</v>
      </c>
      <c r="AN50" s="240" t="str">
        <f t="shared" si="25"/>
        <v/>
      </c>
      <c r="AO50" s="239" t="str">
        <f t="array" ref="AO50:AP50">IF(AM50,INDEX($AH$31:$AI$72,AN50,0),"")</f>
        <v/>
      </c>
      <c r="AP50" s="240" t="str">
        <v/>
      </c>
      <c r="AQ50" s="239">
        <v>192</v>
      </c>
      <c r="AR50" s="241" t="str">
        <v>#Error in cont_interp::kruger, too few input points</v>
      </c>
    </row>
    <row r="51" spans="1:44" ht="11.25" customHeight="1" x14ac:dyDescent="0.2">
      <c r="B51" s="104" t="str">
        <f>"CCSSpreadCurr"&amp;IF(ISBLANK(C7),"","#"&amp;C7)</f>
        <v>CCSSpreadCurr#SEK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7" t="e">
        <f t="shared" si="20"/>
        <v>#VALUE!</v>
      </c>
      <c r="AG51" s="231" t="str">
        <f t="shared" si="26"/>
        <v/>
      </c>
      <c r="AH51" s="231" t="str">
        <f t="shared" si="21"/>
        <v/>
      </c>
      <c r="AI51" s="238" t="str">
        <f t="shared" si="22"/>
        <v/>
      </c>
      <c r="AJ51" s="239">
        <f t="shared" si="29"/>
        <v>204</v>
      </c>
      <c r="AK51" s="228" t="str">
        <f t="shared" si="23"/>
        <v/>
      </c>
      <c r="AL51" s="228" t="str">
        <f t="shared" si="27"/>
        <v/>
      </c>
      <c r="AM51" s="228" t="b">
        <f t="shared" si="24"/>
        <v>0</v>
      </c>
      <c r="AN51" s="240" t="str">
        <f t="shared" si="25"/>
        <v/>
      </c>
      <c r="AO51" s="239" t="str">
        <f t="array" ref="AO51:AP51">IF(AM51,INDEX($AH$31:$AI$72,AN51,0),"")</f>
        <v/>
      </c>
      <c r="AP51" s="240" t="str">
        <v/>
      </c>
      <c r="AQ51" s="239">
        <v>204</v>
      </c>
      <c r="AR51" s="241" t="str">
        <v>#Error in cont_interp::kruger, too few input points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7" t="e">
        <f t="shared" si="20"/>
        <v>#VALUE!</v>
      </c>
      <c r="AG52" s="231" t="str">
        <f t="shared" si="26"/>
        <v/>
      </c>
      <c r="AH52" s="231" t="str">
        <f t="shared" si="21"/>
        <v/>
      </c>
      <c r="AI52" s="238" t="str">
        <f t="shared" si="22"/>
        <v/>
      </c>
      <c r="AJ52" s="239">
        <f t="shared" si="29"/>
        <v>216</v>
      </c>
      <c r="AK52" s="228" t="str">
        <f t="shared" si="23"/>
        <v/>
      </c>
      <c r="AL52" s="228" t="str">
        <f t="shared" si="27"/>
        <v/>
      </c>
      <c r="AM52" s="228" t="b">
        <f t="shared" si="24"/>
        <v>0</v>
      </c>
      <c r="AN52" s="240" t="str">
        <f t="shared" si="25"/>
        <v/>
      </c>
      <c r="AO52" s="239" t="str">
        <f t="array" ref="AO52:AP52">IF(AM52,INDEX($AH$31:$AI$72,AN52,0),"")</f>
        <v/>
      </c>
      <c r="AP52" s="240" t="str">
        <v/>
      </c>
      <c r="AQ52" s="239">
        <v>216</v>
      </c>
      <c r="AR52" s="241" t="str">
        <v>#Error in cont_interp::kruger, too few input points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7" t="e">
        <f t="shared" si="20"/>
        <v>#VALUE!</v>
      </c>
      <c r="AG53" s="231" t="str">
        <f t="shared" si="26"/>
        <v/>
      </c>
      <c r="AH53" s="231" t="str">
        <f t="shared" si="21"/>
        <v/>
      </c>
      <c r="AI53" s="238" t="str">
        <f t="shared" si="22"/>
        <v/>
      </c>
      <c r="AJ53" s="239">
        <f t="shared" si="29"/>
        <v>228</v>
      </c>
      <c r="AK53" s="228" t="str">
        <f t="shared" si="23"/>
        <v/>
      </c>
      <c r="AL53" s="228" t="str">
        <f t="shared" si="27"/>
        <v/>
      </c>
      <c r="AM53" s="228" t="b">
        <f t="shared" si="24"/>
        <v>0</v>
      </c>
      <c r="AN53" s="240" t="str">
        <f t="shared" si="25"/>
        <v/>
      </c>
      <c r="AO53" s="239" t="str">
        <f t="array" ref="AO53:AP53">IF(AM53,INDEX($AH$31:$AI$72,AN53,0),"")</f>
        <v/>
      </c>
      <c r="AP53" s="240" t="str">
        <v/>
      </c>
      <c r="AQ53" s="239">
        <v>228</v>
      </c>
      <c r="AR53" s="241" t="str">
        <v>#Error in cont_interp::kruger, too few input points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7" t="e">
        <f t="shared" si="20"/>
        <v>#VALUE!</v>
      </c>
      <c r="AG54" s="231" t="str">
        <f t="shared" si="26"/>
        <v/>
      </c>
      <c r="AH54" s="231" t="str">
        <f t="shared" si="21"/>
        <v/>
      </c>
      <c r="AI54" s="238" t="str">
        <f t="shared" si="22"/>
        <v/>
      </c>
      <c r="AJ54" s="239">
        <f t="shared" si="29"/>
        <v>240</v>
      </c>
      <c r="AK54" s="228" t="str">
        <f t="shared" si="23"/>
        <v/>
      </c>
      <c r="AL54" s="228" t="str">
        <f t="shared" si="27"/>
        <v/>
      </c>
      <c r="AM54" s="228" t="b">
        <f t="shared" si="24"/>
        <v>0</v>
      </c>
      <c r="AN54" s="240" t="str">
        <f t="shared" si="25"/>
        <v/>
      </c>
      <c r="AO54" s="239" t="str">
        <f t="array" ref="AO54:AP54">IF(AM54,INDEX($AH$31:$AI$72,AN54,0),"")</f>
        <v/>
      </c>
      <c r="AP54" s="240" t="str">
        <v/>
      </c>
      <c r="AQ54" s="239">
        <v>240</v>
      </c>
      <c r="AR54" s="241" t="str">
        <v>#Error in cont_interp::kruger, too few input points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7" t="e">
        <f t="shared" si="20"/>
        <v>#VALUE!</v>
      </c>
      <c r="AG55" s="231" t="str">
        <f t="shared" si="26"/>
        <v/>
      </c>
      <c r="AH55" s="231" t="str">
        <f t="shared" si="21"/>
        <v/>
      </c>
      <c r="AI55" s="238" t="str">
        <f t="shared" si="22"/>
        <v/>
      </c>
      <c r="AJ55" s="239">
        <f t="shared" si="29"/>
        <v>252</v>
      </c>
      <c r="AK55" s="228" t="str">
        <f t="shared" si="23"/>
        <v/>
      </c>
      <c r="AL55" s="228" t="str">
        <f t="shared" si="27"/>
        <v/>
      </c>
      <c r="AM55" s="228" t="b">
        <f t="shared" si="24"/>
        <v>0</v>
      </c>
      <c r="AN55" s="240" t="str">
        <f t="shared" si="25"/>
        <v/>
      </c>
      <c r="AO55" s="239" t="str">
        <f t="array" ref="AO55:AP55">IF(AM55,INDEX($AH$31:$AI$72,AN55,0),"")</f>
        <v/>
      </c>
      <c r="AP55" s="240" t="str">
        <v/>
      </c>
      <c r="AQ55" s="239">
        <v>252</v>
      </c>
      <c r="AR55" s="241" t="str">
        <v>#Error in cont_interp::kruger, too few input points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7" t="e">
        <f t="shared" si="20"/>
        <v>#VALUE!</v>
      </c>
      <c r="AG56" s="231" t="str">
        <f t="shared" si="26"/>
        <v/>
      </c>
      <c r="AH56" s="231" t="str">
        <f t="shared" si="21"/>
        <v/>
      </c>
      <c r="AI56" s="238" t="str">
        <f t="shared" si="22"/>
        <v/>
      </c>
      <c r="AJ56" s="239">
        <f t="shared" si="29"/>
        <v>264</v>
      </c>
      <c r="AK56" s="228" t="str">
        <f t="shared" si="23"/>
        <v/>
      </c>
      <c r="AL56" s="228" t="str">
        <f t="shared" si="27"/>
        <v/>
      </c>
      <c r="AM56" s="228" t="b">
        <f t="shared" si="24"/>
        <v>0</v>
      </c>
      <c r="AN56" s="240" t="str">
        <f t="shared" si="25"/>
        <v/>
      </c>
      <c r="AO56" s="239" t="str">
        <f t="array" ref="AO56:AP56">IF(AM56,INDEX($AH$31:$AI$72,AN56,0),"")</f>
        <v/>
      </c>
      <c r="AP56" s="240" t="str">
        <v/>
      </c>
      <c r="AQ56" s="239">
        <v>264</v>
      </c>
      <c r="AR56" s="241" t="str">
        <v>#Error in cont_interp::kruger, too few input points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7" t="e">
        <f t="shared" si="20"/>
        <v>#VALUE!</v>
      </c>
      <c r="AG57" s="231" t="str">
        <f t="shared" si="26"/>
        <v/>
      </c>
      <c r="AH57" s="231" t="str">
        <f t="shared" si="21"/>
        <v/>
      </c>
      <c r="AI57" s="238" t="str">
        <f t="shared" si="22"/>
        <v/>
      </c>
      <c r="AJ57" s="239">
        <f t="shared" si="29"/>
        <v>276</v>
      </c>
      <c r="AK57" s="228" t="str">
        <f t="shared" si="23"/>
        <v/>
      </c>
      <c r="AL57" s="228" t="str">
        <f t="shared" si="27"/>
        <v/>
      </c>
      <c r="AM57" s="228" t="b">
        <f t="shared" si="24"/>
        <v>0</v>
      </c>
      <c r="AN57" s="240" t="str">
        <f t="shared" si="25"/>
        <v/>
      </c>
      <c r="AO57" s="239" t="str">
        <f t="array" ref="AO57:AP57">IF(AM57,INDEX($AH$31:$AI$72,AN57,0),"")</f>
        <v/>
      </c>
      <c r="AP57" s="240" t="str">
        <v/>
      </c>
      <c r="AQ57" s="239">
        <v>276</v>
      </c>
      <c r="AR57" s="241" t="str">
        <v>#Error in cont_interp::kruger, too few input points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7" t="e">
        <f t="shared" si="20"/>
        <v>#VALUE!</v>
      </c>
      <c r="AG58" s="231" t="str">
        <f t="shared" si="26"/>
        <v/>
      </c>
      <c r="AH58" s="231" t="str">
        <f t="shared" si="21"/>
        <v/>
      </c>
      <c r="AI58" s="238" t="str">
        <f t="shared" si="22"/>
        <v/>
      </c>
      <c r="AJ58" s="239">
        <f t="shared" si="29"/>
        <v>288</v>
      </c>
      <c r="AK58" s="228" t="str">
        <f t="shared" si="23"/>
        <v/>
      </c>
      <c r="AL58" s="228" t="str">
        <f t="shared" si="27"/>
        <v/>
      </c>
      <c r="AM58" s="228" t="b">
        <f t="shared" si="24"/>
        <v>0</v>
      </c>
      <c r="AN58" s="240" t="str">
        <f t="shared" si="25"/>
        <v/>
      </c>
      <c r="AO58" s="239" t="str">
        <f t="array" ref="AO58:AP58">IF(AM58,INDEX($AH$31:$AI$72,AN58,0),"")</f>
        <v/>
      </c>
      <c r="AP58" s="240" t="str">
        <v/>
      </c>
      <c r="AQ58" s="239">
        <v>288</v>
      </c>
      <c r="AR58" s="241" t="str">
        <v>#Error in cont_interp::kruger, too few input points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7" t="e">
        <f t="shared" si="20"/>
        <v>#VALUE!</v>
      </c>
      <c r="AG59" s="231" t="str">
        <f t="shared" si="26"/>
        <v/>
      </c>
      <c r="AH59" s="231" t="str">
        <f t="shared" si="21"/>
        <v/>
      </c>
      <c r="AI59" s="238" t="str">
        <f t="shared" si="22"/>
        <v/>
      </c>
      <c r="AJ59" s="239">
        <f t="shared" si="29"/>
        <v>300</v>
      </c>
      <c r="AK59" s="228" t="str">
        <f t="shared" si="23"/>
        <v/>
      </c>
      <c r="AL59" s="228" t="str">
        <f t="shared" si="27"/>
        <v/>
      </c>
      <c r="AM59" s="228" t="b">
        <f t="shared" si="24"/>
        <v>0</v>
      </c>
      <c r="AN59" s="240" t="str">
        <f t="shared" si="25"/>
        <v/>
      </c>
      <c r="AO59" s="239" t="str">
        <f t="array" ref="AO59:AP59">IF(AM59,INDEX($AH$31:$AI$72,AN59,0),"")</f>
        <v/>
      </c>
      <c r="AP59" s="240" t="str">
        <v/>
      </c>
      <c r="AQ59" s="239">
        <v>300</v>
      </c>
      <c r="AR59" s="241" t="str">
        <v>#Error in cont_interp::kruger, too few input points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7" t="e">
        <f t="shared" si="20"/>
        <v>#VALUE!</v>
      </c>
      <c r="AG60" s="231" t="str">
        <f t="shared" si="26"/>
        <v/>
      </c>
      <c r="AH60" s="231" t="str">
        <f t="shared" si="21"/>
        <v/>
      </c>
      <c r="AI60" s="238" t="str">
        <f t="shared" si="22"/>
        <v/>
      </c>
      <c r="AJ60" s="239">
        <f t="shared" si="29"/>
        <v>312</v>
      </c>
      <c r="AK60" s="228" t="str">
        <f t="shared" si="23"/>
        <v/>
      </c>
      <c r="AL60" s="228" t="str">
        <f t="shared" si="27"/>
        <v/>
      </c>
      <c r="AM60" s="228" t="b">
        <f t="shared" si="24"/>
        <v>0</v>
      </c>
      <c r="AN60" s="240" t="str">
        <f t="shared" si="25"/>
        <v/>
      </c>
      <c r="AO60" s="239" t="str">
        <f t="array" ref="AO60:AP60">IF(AM60,INDEX($AH$31:$AI$72,AN60,0),"")</f>
        <v/>
      </c>
      <c r="AP60" s="240" t="str">
        <v/>
      </c>
      <c r="AQ60" s="242">
        <v>312</v>
      </c>
      <c r="AR60" s="245" t="str">
        <v>#Error in cont_interp::kruger, too few input points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7" t="e">
        <f t="shared" si="20"/>
        <v>#VALUE!</v>
      </c>
      <c r="AG61" s="231" t="str">
        <f t="shared" si="26"/>
        <v/>
      </c>
      <c r="AH61" s="231" t="str">
        <f t="shared" si="21"/>
        <v/>
      </c>
      <c r="AI61" s="238" t="str">
        <f t="shared" si="22"/>
        <v/>
      </c>
      <c r="AJ61" s="239">
        <f t="shared" si="29"/>
        <v>324</v>
      </c>
      <c r="AK61" s="228" t="str">
        <f t="shared" si="23"/>
        <v/>
      </c>
      <c r="AL61" s="228" t="str">
        <f t="shared" si="27"/>
        <v/>
      </c>
      <c r="AM61" s="228" t="b">
        <f t="shared" si="24"/>
        <v>0</v>
      </c>
      <c r="AN61" s="240" t="str">
        <f t="shared" si="25"/>
        <v/>
      </c>
      <c r="AO61" s="243"/>
      <c r="AP61" s="244"/>
      <c r="AQ61" s="254">
        <v>324</v>
      </c>
      <c r="AR61" s="255" t="str">
        <v>#Error in cont_interp::kruger, too few input points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7" t="e">
        <f t="shared" si="20"/>
        <v>#VALUE!</v>
      </c>
      <c r="AG62" s="231" t="str">
        <f t="shared" si="26"/>
        <v/>
      </c>
      <c r="AH62" s="231" t="str">
        <f t="shared" si="21"/>
        <v/>
      </c>
      <c r="AI62" s="238" t="str">
        <f t="shared" si="22"/>
        <v/>
      </c>
      <c r="AJ62" s="239">
        <f t="shared" si="29"/>
        <v>336</v>
      </c>
      <c r="AK62" s="228" t="str">
        <f t="shared" si="23"/>
        <v/>
      </c>
      <c r="AL62" s="228" t="str">
        <f t="shared" si="27"/>
        <v/>
      </c>
      <c r="AM62" s="228" t="b">
        <f t="shared" si="24"/>
        <v>0</v>
      </c>
      <c r="AN62" s="240" t="str">
        <f t="shared" si="25"/>
        <v/>
      </c>
      <c r="AO62" s="243"/>
      <c r="AP62" s="244"/>
      <c r="AQ62" s="256">
        <v>336</v>
      </c>
      <c r="AR62" s="247" t="str">
        <v>#Error in cont_interp::kruger, too few input points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7" t="e">
        <f t="shared" si="20"/>
        <v>#VALUE!</v>
      </c>
      <c r="AG63" s="231" t="str">
        <f t="shared" si="26"/>
        <v/>
      </c>
      <c r="AH63" s="231" t="str">
        <f t="shared" si="21"/>
        <v/>
      </c>
      <c r="AI63" s="238" t="str">
        <f t="shared" si="22"/>
        <v/>
      </c>
      <c r="AJ63" s="239">
        <f t="shared" si="29"/>
        <v>348</v>
      </c>
      <c r="AK63" s="228" t="str">
        <f t="shared" si="23"/>
        <v/>
      </c>
      <c r="AL63" s="228" t="str">
        <f t="shared" si="27"/>
        <v/>
      </c>
      <c r="AM63" s="228" t="b">
        <f t="shared" si="24"/>
        <v>0</v>
      </c>
      <c r="AN63" s="240" t="str">
        <f t="shared" si="25"/>
        <v/>
      </c>
      <c r="AO63" s="239" t="str">
        <f t="array" ref="AO63:AP63">IF(AM63,INDEX($AH$31:$AI$72,AN63,0),"")</f>
        <v/>
      </c>
      <c r="AP63" s="240" t="str">
        <v/>
      </c>
      <c r="AQ63" s="246">
        <v>348</v>
      </c>
      <c r="AR63" s="247" t="str">
        <v>#Error in cont_interp::kruger, too few input points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7" t="e">
        <f t="shared" si="20"/>
        <v>#VALUE!</v>
      </c>
      <c r="AG64" s="231" t="str">
        <f t="shared" si="26"/>
        <v/>
      </c>
      <c r="AH64" s="231" t="str">
        <f t="shared" si="21"/>
        <v/>
      </c>
      <c r="AI64" s="238" t="str">
        <f t="shared" si="22"/>
        <v/>
      </c>
      <c r="AJ64" s="242">
        <f t="shared" si="29"/>
        <v>360</v>
      </c>
      <c r="AK64" s="228" t="str">
        <f t="shared" si="23"/>
        <v/>
      </c>
      <c r="AL64" s="228" t="str">
        <f t="shared" si="27"/>
        <v/>
      </c>
      <c r="AM64" s="228" t="b">
        <f t="shared" si="24"/>
        <v>0</v>
      </c>
      <c r="AN64" s="240" t="str">
        <f t="shared" si="25"/>
        <v/>
      </c>
      <c r="AO64" s="239" t="str">
        <f t="array" ref="AO64:AP64">IF(AM64,INDEX($AH$31:$AI$72,AN64,0),"")</f>
        <v/>
      </c>
      <c r="AP64" s="240" t="str">
        <v/>
      </c>
      <c r="AQ64" s="246">
        <v>360</v>
      </c>
      <c r="AR64" s="247" t="str">
        <v>#Error in cont_interp::kruger, too few input points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7" t="e">
        <f t="shared" si="20"/>
        <v>#VALUE!</v>
      </c>
      <c r="AG65" s="231" t="str">
        <f t="shared" si="26"/>
        <v/>
      </c>
      <c r="AH65" s="231" t="str">
        <f t="shared" si="21"/>
        <v/>
      </c>
      <c r="AI65" s="238" t="str">
        <f t="shared" si="22"/>
        <v/>
      </c>
      <c r="AJ65" s="239">
        <f>+AJ64+60</f>
        <v>420</v>
      </c>
      <c r="AK65" s="228" t="str">
        <f t="shared" si="23"/>
        <v/>
      </c>
      <c r="AL65" s="228" t="str">
        <f t="shared" si="27"/>
        <v/>
      </c>
      <c r="AM65" s="228" t="b">
        <f t="shared" si="24"/>
        <v>0</v>
      </c>
      <c r="AN65" s="240" t="str">
        <f t="shared" si="25"/>
        <v/>
      </c>
      <c r="AO65" s="239" t="str">
        <f t="array" ref="AO65:AP65">IF(AM65,INDEX($AH$31:$AI$72,AN65,0),"")</f>
        <v/>
      </c>
      <c r="AP65" s="240" t="str">
        <v/>
      </c>
      <c r="AQ65" s="246">
        <v>420</v>
      </c>
      <c r="AR65" s="247" t="str">
        <v>#Error in cont_interp::kruger, too few input points</v>
      </c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7" t="e">
        <f t="shared" si="20"/>
        <v>#VALUE!</v>
      </c>
      <c r="AG66" s="231" t="str">
        <f t="shared" si="26"/>
        <v/>
      </c>
      <c r="AH66" s="231" t="str">
        <f t="shared" si="21"/>
        <v/>
      </c>
      <c r="AI66" s="238" t="str">
        <f t="shared" si="22"/>
        <v/>
      </c>
      <c r="AJ66" s="239">
        <f t="shared" ref="AJ66:AJ72" si="30">+AJ65+60</f>
        <v>480</v>
      </c>
      <c r="AK66" s="228" t="str">
        <f t="shared" si="23"/>
        <v/>
      </c>
      <c r="AL66" s="228" t="str">
        <f t="shared" si="27"/>
        <v/>
      </c>
      <c r="AM66" s="228" t="b">
        <f t="shared" si="24"/>
        <v>0</v>
      </c>
      <c r="AN66" s="240" t="str">
        <f t="shared" si="25"/>
        <v/>
      </c>
      <c r="AO66" s="239" t="str">
        <f t="array" ref="AO66:AP66">IF(AM66,INDEX($AH$31:$AI$72,AN66,0),"")</f>
        <v/>
      </c>
      <c r="AP66" s="240" t="str">
        <v/>
      </c>
      <c r="AQ66" s="246">
        <v>480</v>
      </c>
      <c r="AR66" s="247" t="str">
        <v>#Error in cont_interp::kruger, too few input points</v>
      </c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7" t="e">
        <f t="shared" si="20"/>
        <v>#VALUE!</v>
      </c>
      <c r="AG67" s="231" t="str">
        <f t="shared" si="26"/>
        <v/>
      </c>
      <c r="AH67" s="231" t="str">
        <f t="shared" si="21"/>
        <v/>
      </c>
      <c r="AI67" s="238" t="str">
        <f t="shared" si="22"/>
        <v/>
      </c>
      <c r="AJ67" s="239">
        <f t="shared" si="30"/>
        <v>540</v>
      </c>
      <c r="AK67" s="228" t="str">
        <f t="shared" si="23"/>
        <v/>
      </c>
      <c r="AL67" s="228" t="str">
        <f t="shared" si="27"/>
        <v/>
      </c>
      <c r="AM67" s="228" t="b">
        <f t="shared" si="24"/>
        <v>0</v>
      </c>
      <c r="AN67" s="240" t="str">
        <f t="shared" si="25"/>
        <v/>
      </c>
      <c r="AO67" s="239" t="str">
        <f t="array" ref="AO67:AP67">IF(AM67,INDEX($AH$31:$AI$72,AN67,0),"")</f>
        <v/>
      </c>
      <c r="AP67" s="240" t="str">
        <v/>
      </c>
      <c r="AQ67" s="246">
        <v>540</v>
      </c>
      <c r="AR67" s="247" t="str">
        <v>#Error in cont_interp::kruger, too few input points</v>
      </c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7" t="e">
        <f t="shared" si="20"/>
        <v>#VALUE!</v>
      </c>
      <c r="AG68" s="231" t="str">
        <f t="shared" si="26"/>
        <v/>
      </c>
      <c r="AH68" s="231" t="str">
        <f t="shared" si="21"/>
        <v/>
      </c>
      <c r="AI68" s="238" t="str">
        <f t="shared" si="22"/>
        <v/>
      </c>
      <c r="AJ68" s="239">
        <f t="shared" si="30"/>
        <v>600</v>
      </c>
      <c r="AK68" s="228" t="str">
        <f t="shared" si="23"/>
        <v/>
      </c>
      <c r="AL68" s="228" t="str">
        <f t="shared" si="27"/>
        <v/>
      </c>
      <c r="AM68" s="228" t="b">
        <f t="shared" si="24"/>
        <v>0</v>
      </c>
      <c r="AN68" s="240" t="str">
        <f t="shared" si="25"/>
        <v/>
      </c>
      <c r="AO68" s="239" t="str">
        <f t="array" ref="AO68:AP68">IF(AM68,INDEX($AH$31:$AI$72,AN68,0),"")</f>
        <v/>
      </c>
      <c r="AP68" s="240" t="str">
        <v/>
      </c>
      <c r="AQ68" s="246">
        <v>600</v>
      </c>
      <c r="AR68" s="247" t="str">
        <v>#Error in cont_interp::kruger, too few input points</v>
      </c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7" t="e">
        <f t="shared" si="20"/>
        <v>#VALUE!</v>
      </c>
      <c r="AG69" s="231" t="str">
        <f t="shared" si="26"/>
        <v/>
      </c>
      <c r="AH69" s="231" t="str">
        <f t="shared" si="21"/>
        <v/>
      </c>
      <c r="AI69" s="238" t="str">
        <f t="shared" si="22"/>
        <v/>
      </c>
      <c r="AJ69" s="239">
        <f t="shared" si="30"/>
        <v>660</v>
      </c>
      <c r="AK69" s="228" t="str">
        <f t="shared" si="23"/>
        <v/>
      </c>
      <c r="AL69" s="228" t="str">
        <f t="shared" si="27"/>
        <v/>
      </c>
      <c r="AM69" s="228" t="b">
        <f t="shared" si="24"/>
        <v>0</v>
      </c>
      <c r="AN69" s="240" t="str">
        <f t="shared" si="25"/>
        <v/>
      </c>
      <c r="AO69" s="239" t="str">
        <f t="array" ref="AO69:AP69">IF(AM69,INDEX($AH$31:$AI$72,AN69,0),"")</f>
        <v/>
      </c>
      <c r="AP69" s="240" t="str">
        <v/>
      </c>
      <c r="AQ69" s="246">
        <v>660</v>
      </c>
      <c r="AR69" s="247" t="str">
        <v>#Error in cont_interp::kruger, too few input points</v>
      </c>
    </row>
    <row r="70" spans="2:44" ht="11.25" customHeight="1" x14ac:dyDescent="0.2">
      <c r="B70" s="301" t="s">
        <v>221</v>
      </c>
      <c r="C70" s="301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7" t="e">
        <f t="shared" si="20"/>
        <v>#VALUE!</v>
      </c>
      <c r="AG70" s="231" t="str">
        <f t="shared" si="26"/>
        <v/>
      </c>
      <c r="AH70" s="231" t="str">
        <f t="shared" si="21"/>
        <v/>
      </c>
      <c r="AI70" s="238" t="str">
        <f t="shared" si="22"/>
        <v/>
      </c>
      <c r="AJ70" s="239">
        <f t="shared" si="30"/>
        <v>720</v>
      </c>
      <c r="AK70" s="228" t="str">
        <f t="shared" si="23"/>
        <v/>
      </c>
      <c r="AL70" s="228" t="str">
        <f t="shared" si="27"/>
        <v/>
      </c>
      <c r="AM70" s="228" t="b">
        <f t="shared" si="24"/>
        <v>0</v>
      </c>
      <c r="AN70" s="240" t="str">
        <f t="shared" si="25"/>
        <v/>
      </c>
      <c r="AO70" s="239" t="str">
        <f t="array" ref="AO70:AP70">IF(AM70,INDEX($AH$31:$AI$72,AN70,0),"")</f>
        <v/>
      </c>
      <c r="AP70" s="240" t="str">
        <v/>
      </c>
      <c r="AQ70" s="246">
        <v>720</v>
      </c>
      <c r="AR70" s="247" t="str">
        <v>#Error in cont_interp::kruger, too few input points</v>
      </c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7" t="e">
        <f t="shared" si="20"/>
        <v>#VALUE!</v>
      </c>
      <c r="AG71" s="231" t="str">
        <f t="shared" si="26"/>
        <v/>
      </c>
      <c r="AH71" s="231" t="str">
        <f t="shared" si="21"/>
        <v/>
      </c>
      <c r="AI71" s="238" t="str">
        <f t="shared" si="22"/>
        <v/>
      </c>
      <c r="AJ71" s="239">
        <f t="shared" si="30"/>
        <v>780</v>
      </c>
      <c r="AK71" s="228" t="str">
        <f t="shared" si="23"/>
        <v/>
      </c>
      <c r="AL71" s="228" t="str">
        <f t="shared" si="27"/>
        <v/>
      </c>
      <c r="AM71" s="228" t="b">
        <f t="shared" si="24"/>
        <v>0</v>
      </c>
      <c r="AN71" s="240" t="str">
        <f t="shared" si="25"/>
        <v/>
      </c>
      <c r="AO71" s="239" t="str">
        <f t="array" ref="AO71:AP71">IF(AM71,INDEX($AH$31:$AI$72,AN71,0),"")</f>
        <v/>
      </c>
      <c r="AP71" s="240" t="str">
        <v/>
      </c>
      <c r="AQ71" s="246">
        <v>780</v>
      </c>
      <c r="AR71" s="247" t="str">
        <v>#Error in cont_interp::kruger, too few input points</v>
      </c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5" t="e">
        <f t="shared" si="20"/>
        <v>#VALUE!</v>
      </c>
      <c r="AG72" s="248" t="str">
        <f t="shared" si="26"/>
        <v/>
      </c>
      <c r="AH72" s="249" t="str">
        <f>IF(AH30,AQ29,AG72)</f>
        <v/>
      </c>
      <c r="AI72" s="249" t="e">
        <f>IF(AH30,INDEX(AF31:AF72,MATCH(AG29,AG31:AG72,0)),AF72)</f>
        <v>#VALUE!</v>
      </c>
      <c r="AJ72" s="242">
        <f t="shared" si="30"/>
        <v>840</v>
      </c>
      <c r="AK72" s="250" t="str">
        <f t="shared" si="23"/>
        <v/>
      </c>
      <c r="AL72" s="250" t="str">
        <f t="shared" si="27"/>
        <v/>
      </c>
      <c r="AM72" s="250" t="b">
        <f t="shared" si="24"/>
        <v>0</v>
      </c>
      <c r="AN72" s="251" t="str">
        <f t="shared" si="25"/>
        <v/>
      </c>
      <c r="AO72" s="242" t="str">
        <f t="array" ref="AO72:AP72">IF(AM72,INDEX($AH$31:$AI$72,AN72,0),"")</f>
        <v/>
      </c>
      <c r="AP72" s="251" t="str">
        <v/>
      </c>
      <c r="AQ72" s="252">
        <v>840</v>
      </c>
      <c r="AR72" s="253" t="str">
        <v>#Error in cont_interp::kruger, too few input points</v>
      </c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3:E20 E23 E26:E67">
    <cfRule type="cellIs" dxfId="43" priority="9" stopIfTrue="1" operator="equal">
      <formula>FALSE</formula>
    </cfRule>
  </conditionalFormatting>
  <conditionalFormatting sqref="I3:L20 I23:L23">
    <cfRule type="expression" dxfId="42" priority="4" stopIfTrue="1">
      <formula>NOT($E3)</formula>
    </cfRule>
  </conditionalFormatting>
  <conditionalFormatting sqref="I26:L67">
    <cfRule type="expression" dxfId="41" priority="1" stopIfTrue="1">
      <formula>NOT($E26)</formula>
    </cfRule>
  </conditionalFormatting>
  <conditionalFormatting sqref="L3:L20">
    <cfRule type="expression" dxfId="40" priority="5" stopIfTrue="1">
      <formula>ISNUMBER(J3)</formula>
    </cfRule>
    <cfRule type="expression" dxfId="39" priority="8" stopIfTrue="1">
      <formula>ISNUMBER(K3)</formula>
    </cfRule>
  </conditionalFormatting>
  <conditionalFormatting sqref="L23">
    <cfRule type="expression" dxfId="38" priority="3" stopIfTrue="1">
      <formula>ISNUMBER(J23)</formula>
    </cfRule>
    <cfRule type="expression" dxfId="37" priority="7" stopIfTrue="1">
      <formula>ISNUMBER(K23)</formula>
    </cfRule>
  </conditionalFormatting>
  <conditionalFormatting sqref="L26:L67">
    <cfRule type="expression" dxfId="36" priority="2" stopIfTrue="1">
      <formula>ISNUMBER(J26)</formula>
    </cfRule>
    <cfRule type="expression" dxfId="35" priority="6" stopIfTrue="1">
      <formula>ISNUMBER(K26)</formula>
    </cfRule>
  </conditionalFormatting>
  <dataValidations count="8">
    <dataValidation type="list" allowBlank="1" showInputMessage="1" showErrorMessage="1" sqref="C40">
      <formula1>INDEX(dvCurveBootstrapperOutputType,0,1)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4 C33 C37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 tint="0.59999389629810485"/>
    <outlinePr summaryRight="0"/>
  </sheetPr>
  <dimension ref="A1:AR97"/>
  <sheetViews>
    <sheetView showGridLines="0" workbookViewId="0">
      <selection activeCell="AI4" sqref="AI4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3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328" t="s">
        <v>97</v>
      </c>
      <c r="C2" s="32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14</v>
      </c>
      <c r="U2" s="202" t="s">
        <v>96</v>
      </c>
      <c r="V2" s="202" t="s">
        <v>145</v>
      </c>
      <c r="W2"/>
      <c r="X2"/>
      <c r="Y2" s="133" t="s">
        <v>82</v>
      </c>
      <c r="Z2" s="135" t="s">
        <v>71</v>
      </c>
      <c r="AA2" s="134" t="s">
        <v>70</v>
      </c>
      <c r="AF2" s="201" t="s">
        <v>154</v>
      </c>
      <c r="AG2" s="200"/>
      <c r="AH2" s="200"/>
      <c r="AI2" s="199"/>
    </row>
    <row r="3" spans="1:35" ht="11.25" customHeight="1" x14ac:dyDescent="0.2">
      <c r="A3" s="66"/>
      <c r="B3" s="198" t="s">
        <v>95</v>
      </c>
      <c r="C3" s="197">
        <f>EvaluationDate</f>
        <v>41992</v>
      </c>
      <c r="D3" s="66"/>
      <c r="E3" s="206" t="b">
        <v>1</v>
      </c>
      <c r="F3" s="207" t="str">
        <f>Y3</f>
        <v>ON</v>
      </c>
      <c r="G3" s="180">
        <v>0</v>
      </c>
      <c r="H3" s="208" t="s">
        <v>24</v>
      </c>
      <c r="I3" s="204">
        <f t="array" ref="I3:I4">100*AI17:AI18</f>
        <v>0.46685070048990696</v>
      </c>
      <c r="J3" s="209"/>
      <c r="K3" s="210"/>
      <c r="L3" s="209">
        <f t="shared" ref="L3:L20" si="0">IF(ISNUMBER(J3),J3,I3)+K3</f>
        <v>0.46685070048990696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>
        <f t="shared" ref="S3:S20" si="5">IF(LEN(P3)&gt;0,INDEX($L$3:$L$20,$P3),"")</f>
        <v>0.46685070048990696</v>
      </c>
      <c r="U3" s="196">
        <f t="array" ref="U3:V79">_xll.xlCCBasisCurveBootstrapper(C4,C3,C5,C6,L23,S2,Q3:S20,0,U2:V2,S25,R26:S67,C11,C12,C13,C45,B48:B69,C48:C69,C15)</f>
        <v>41992</v>
      </c>
      <c r="V3" s="195">
        <v>1</v>
      </c>
      <c r="W3"/>
      <c r="X3"/>
      <c r="Y3" s="129" t="s">
        <v>94</v>
      </c>
      <c r="Z3" s="129">
        <f>_xll.RtGet($AD$3,$AD$4&amp;$Y3&amp;$AD$5,Z$2)</f>
        <v>0.15</v>
      </c>
      <c r="AA3" s="127">
        <f>_xll.RtGet($AD$3,$AD$4&amp;$Y3&amp;$AD$5,AA$2)</f>
        <v>0.25</v>
      </c>
      <c r="AC3" s="124" t="s">
        <v>68</v>
      </c>
      <c r="AD3" s="123" t="s">
        <v>67</v>
      </c>
      <c r="AF3" s="194" t="s">
        <v>172</v>
      </c>
      <c r="AG3" s="193"/>
      <c r="AH3" s="193"/>
      <c r="AI3" s="217" t="s">
        <v>176</v>
      </c>
    </row>
    <row r="4" spans="1:35" ht="11.25" customHeight="1" x14ac:dyDescent="0.2">
      <c r="A4" s="66"/>
      <c r="B4" s="192" t="s">
        <v>91</v>
      </c>
      <c r="C4" s="191" t="s">
        <v>175</v>
      </c>
      <c r="D4" s="66"/>
      <c r="E4" s="211" t="b">
        <v>1</v>
      </c>
      <c r="F4" s="212" t="str">
        <f>Y4</f>
        <v>TN</v>
      </c>
      <c r="G4" s="213">
        <v>0</v>
      </c>
      <c r="H4" s="214" t="s">
        <v>93</v>
      </c>
      <c r="I4" s="205">
        <v>0.46684638256788702</v>
      </c>
      <c r="J4" s="215"/>
      <c r="K4" s="216"/>
      <c r="L4" s="215">
        <f t="shared" si="0"/>
        <v>0.46684638256788702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>
        <f t="shared" si="5"/>
        <v>0.46684638256788702</v>
      </c>
      <c r="U4" s="72">
        <v>41995</v>
      </c>
      <c r="V4" s="71">
        <v>0.99996109728843907</v>
      </c>
      <c r="W4"/>
      <c r="X4"/>
      <c r="Y4" s="80" t="s">
        <v>92</v>
      </c>
      <c r="Z4" s="80">
        <f>_xll.RtGet($AD$3,$AD$4&amp;$Y4&amp;$AD$5,Z$2)</f>
        <v>0.15</v>
      </c>
      <c r="AA4" s="78">
        <f>_xll.RtGet($AD$3,$AD$4&amp;$Y4&amp;$AD$5,AA$2)</f>
        <v>0.25</v>
      </c>
      <c r="AC4" s="121" t="s">
        <v>66</v>
      </c>
      <c r="AD4" s="120" t="s">
        <v>158</v>
      </c>
      <c r="AF4" s="124" t="s">
        <v>128</v>
      </c>
      <c r="AG4" s="177"/>
      <c r="AH4" s="177"/>
      <c r="AI4" s="190">
        <f>_xll.xlDateWorkFw($C$6,$C$3+1,0)</f>
        <v>41995</v>
      </c>
    </row>
    <row r="5" spans="1:35" ht="11.25" customHeight="1" x14ac:dyDescent="0.2">
      <c r="A5" s="68"/>
      <c r="B5" s="189" t="s">
        <v>98</v>
      </c>
      <c r="C5" s="157" t="s">
        <v>100</v>
      </c>
      <c r="D5" s="66"/>
      <c r="E5" s="91" t="b">
        <v>0</v>
      </c>
      <c r="F5" s="212" t="str">
        <f>Y5</f>
        <v>SN</v>
      </c>
      <c r="G5" s="75">
        <v>0</v>
      </c>
      <c r="H5" s="76" t="s">
        <v>90</v>
      </c>
      <c r="I5" s="90">
        <f>AVERAGE(Z5:AA5)</f>
        <v>0.2</v>
      </c>
      <c r="J5" s="88"/>
      <c r="K5" s="89"/>
      <c r="L5" s="88">
        <f t="shared" si="0"/>
        <v>0.2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>
        <f t="shared" si="5"/>
        <v>0.348854361</v>
      </c>
      <c r="U5" s="72">
        <v>41996</v>
      </c>
      <c r="V5" s="71">
        <v>0.99994813000601546</v>
      </c>
      <c r="W5"/>
      <c r="X5"/>
      <c r="Y5" s="75" t="s">
        <v>89</v>
      </c>
      <c r="Z5" s="75">
        <f>_xll.RtGet($AD$3,$AD$4&amp;$Y5&amp;$AD$5,Z$2)</f>
        <v>0.15</v>
      </c>
      <c r="AA5" s="76">
        <f>_xll.RtGet($AD$3,$AD$4&amp;$Y5&amp;$AD$5,AA$2)</f>
        <v>0.25</v>
      </c>
      <c r="AC5" s="118" t="s">
        <v>63</v>
      </c>
      <c r="AD5" s="117" t="s">
        <v>152</v>
      </c>
      <c r="AF5" s="121" t="s">
        <v>129</v>
      </c>
      <c r="AG5" s="68"/>
      <c r="AH5" s="68"/>
      <c r="AI5" s="187">
        <f>_xll.xlDateWorkFw($C$6,$AI$4+1,0)</f>
        <v>41996</v>
      </c>
    </row>
    <row r="6" spans="1:35" ht="11.25" customHeight="1" x14ac:dyDescent="0.2">
      <c r="A6" s="68"/>
      <c r="B6" s="186" t="s">
        <v>99</v>
      </c>
      <c r="C6" s="119" t="s">
        <v>158</v>
      </c>
      <c r="D6" s="66"/>
      <c r="E6" s="185" t="b">
        <v>1</v>
      </c>
      <c r="F6" s="319">
        <v>1</v>
      </c>
      <c r="G6" s="129">
        <v>1</v>
      </c>
      <c r="H6" s="127" t="s">
        <v>86</v>
      </c>
      <c r="I6" s="154">
        <f>AVERAGE(Z8:AA8)</f>
        <v>0.348854361</v>
      </c>
      <c r="J6" s="152"/>
      <c r="K6" s="153"/>
      <c r="L6" s="152">
        <f t="shared" si="0"/>
        <v>0.348854361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>
        <f t="shared" si="5"/>
        <v>0.50208203799999995</v>
      </c>
      <c r="U6" s="72">
        <v>42003</v>
      </c>
      <c r="V6" s="71">
        <v>0.99988030533282224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3">
        <f>_xll.xlDateWorkFw($C$6,$AI$5+7,0)</f>
        <v>42003</v>
      </c>
    </row>
    <row r="7" spans="1:35" ht="11.25" customHeight="1" x14ac:dyDescent="0.2">
      <c r="A7" s="68"/>
      <c r="B7" s="147" t="s">
        <v>123</v>
      </c>
      <c r="C7" s="136" t="s">
        <v>100</v>
      </c>
      <c r="D7" s="66"/>
      <c r="E7" s="98" t="b">
        <v>1</v>
      </c>
      <c r="F7" s="320">
        <f>Y9</f>
        <v>2</v>
      </c>
      <c r="G7" s="80">
        <v>2</v>
      </c>
      <c r="H7" s="78" t="s">
        <v>86</v>
      </c>
      <c r="I7" s="97">
        <f>AVERAGE(Z9:AA9)</f>
        <v>0.50208203799999995</v>
      </c>
      <c r="J7" s="95"/>
      <c r="K7" s="96"/>
      <c r="L7" s="95">
        <f t="shared" si="0"/>
        <v>0.50208203799999995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>
        <f t="shared" si="5"/>
        <v>0.50608464800000008</v>
      </c>
      <c r="U7" s="72">
        <v>42010</v>
      </c>
      <c r="V7" s="71">
        <v>0.99975292412271088</v>
      </c>
      <c r="W7"/>
      <c r="X7"/>
      <c r="Y7" s="133" t="s">
        <v>82</v>
      </c>
      <c r="Z7" s="135" t="s">
        <v>71</v>
      </c>
      <c r="AA7" s="134" t="s">
        <v>70</v>
      </c>
      <c r="AF7" s="124" t="s">
        <v>161</v>
      </c>
      <c r="AG7" s="177"/>
      <c r="AH7" s="177"/>
      <c r="AI7" s="176">
        <f t="array" ref="AI7:AI9">_xll.xlShmInterpDisc($AI$3,AI4:AI6+0*TYPE(ObjectsTrigger))</f>
        <v>0.99997916710068546</v>
      </c>
    </row>
    <row r="8" spans="1:35" ht="11.25" customHeight="1" x14ac:dyDescent="0.2">
      <c r="A8" s="68"/>
      <c r="B8" s="140" t="s">
        <v>107</v>
      </c>
      <c r="C8" s="119" t="s">
        <v>174</v>
      </c>
      <c r="D8" s="66"/>
      <c r="E8" s="91" t="b">
        <v>1</v>
      </c>
      <c r="F8" s="321">
        <f>Y10</f>
        <v>3</v>
      </c>
      <c r="G8" s="75">
        <v>3</v>
      </c>
      <c r="H8" s="76" t="s">
        <v>86</v>
      </c>
      <c r="I8" s="90">
        <f>AVERAGE(Z10:AA10)</f>
        <v>0.50608464800000008</v>
      </c>
      <c r="J8" s="88"/>
      <c r="K8" s="89"/>
      <c r="L8" s="88">
        <f t="shared" si="0"/>
        <v>0.50608464800000008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>
        <f t="shared" si="5"/>
        <v>0.46924944699999999</v>
      </c>
      <c r="U8" s="72">
        <v>42017</v>
      </c>
      <c r="V8" s="71">
        <v>0.99965301639647575</v>
      </c>
      <c r="W8"/>
      <c r="X8"/>
      <c r="Y8" s="180" t="s">
        <v>85</v>
      </c>
      <c r="Z8" s="129">
        <f>_xll.RtGet($AD$8,$AD$9&amp;$Y8&amp;$AD$10,Z$7)</f>
        <v>0.348854361</v>
      </c>
      <c r="AA8" s="127">
        <f>_xll.RtGet($AD$8,$AD$9&amp;$Y8&amp;$AD$10,AA$7)</f>
        <v>0.348854361</v>
      </c>
      <c r="AC8" s="124" t="s">
        <v>68</v>
      </c>
      <c r="AD8" s="123" t="s">
        <v>102</v>
      </c>
      <c r="AF8" s="24" t="s">
        <v>162</v>
      </c>
      <c r="AG8" s="68"/>
      <c r="AH8" s="68"/>
      <c r="AI8" s="170">
        <v>0.99997222284913789</v>
      </c>
    </row>
    <row r="9" spans="1:35" ht="11.25" customHeight="1" x14ac:dyDescent="0.2">
      <c r="A9" s="68"/>
      <c r="B9" s="140" t="s">
        <v>108</v>
      </c>
      <c r="C9" s="119" t="s">
        <v>144</v>
      </c>
      <c r="D9" s="66"/>
      <c r="E9" s="98" t="b">
        <v>1</v>
      </c>
      <c r="F9" s="322">
        <f t="shared" ref="F9:F20" si="8">Y13</f>
        <v>1</v>
      </c>
      <c r="G9" s="80">
        <v>1</v>
      </c>
      <c r="H9" s="78" t="s">
        <v>81</v>
      </c>
      <c r="I9" s="97">
        <f t="shared" ref="I9:I20" si="9">AVERAGE(Z13:AA13)</f>
        <v>0.46924944699999999</v>
      </c>
      <c r="J9" s="95"/>
      <c r="K9" s="96"/>
      <c r="L9" s="95">
        <f t="shared" si="0"/>
        <v>0.46924944699999999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>
        <f t="shared" si="5"/>
        <v>0.43348439599999999</v>
      </c>
      <c r="U9" s="72">
        <v>42027</v>
      </c>
      <c r="V9" s="71">
        <v>0.99954423825566374</v>
      </c>
      <c r="W9"/>
      <c r="X9"/>
      <c r="Y9" s="80">
        <v>2</v>
      </c>
      <c r="Z9" s="80">
        <f>_xll.RtGet($AD$8,$AD$9&amp;$Y9&amp;$AD$10,Z$7)</f>
        <v>0.50208203799999995</v>
      </c>
      <c r="AA9" s="78">
        <f>_xll.RtGet($AD$8,$AD$9&amp;$Y9&amp;$AD$10,AA$7)</f>
        <v>0.50208203799999995</v>
      </c>
      <c r="AC9" s="121" t="s">
        <v>66</v>
      </c>
      <c r="AD9" s="120" t="s">
        <v>216</v>
      </c>
      <c r="AF9" s="25" t="s">
        <v>163</v>
      </c>
      <c r="AG9" s="168"/>
      <c r="AH9" s="168"/>
      <c r="AI9" s="167">
        <v>0.99994655755416073</v>
      </c>
    </row>
    <row r="10" spans="1:35" ht="11.25" customHeight="1" x14ac:dyDescent="0.2">
      <c r="A10" s="68"/>
      <c r="B10" s="179" t="s">
        <v>109</v>
      </c>
      <c r="C10" s="119" t="s">
        <v>160</v>
      </c>
      <c r="D10" s="66"/>
      <c r="E10" s="98" t="b">
        <v>1</v>
      </c>
      <c r="F10" s="322">
        <f t="shared" si="8"/>
        <v>2</v>
      </c>
      <c r="G10" s="80">
        <v>2</v>
      </c>
      <c r="H10" s="78" t="s">
        <v>81</v>
      </c>
      <c r="I10" s="97">
        <f t="shared" si="9"/>
        <v>0.43348439599999999</v>
      </c>
      <c r="J10" s="95"/>
      <c r="K10" s="96"/>
      <c r="L10" s="95">
        <f t="shared" si="0"/>
        <v>0.43348439599999999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>
        <f t="shared" si="5"/>
        <v>0.43227603300000006</v>
      </c>
      <c r="U10" s="72">
        <v>42058</v>
      </c>
      <c r="V10" s="71">
        <v>0.99920216917199611</v>
      </c>
      <c r="W10"/>
      <c r="X10"/>
      <c r="Y10" s="75">
        <v>3</v>
      </c>
      <c r="Z10" s="75">
        <f>_xll.RtGet($AD$8,$AD$9&amp;$Y10&amp;$AD$10,Z$7)</f>
        <v>0.50608464800000008</v>
      </c>
      <c r="AA10" s="76">
        <f>_xll.RtGet($AD$8,$AD$9&amp;$Y10&amp;$AD$10,AA$7)</f>
        <v>0.50608464800000008</v>
      </c>
      <c r="AC10" s="118" t="s">
        <v>63</v>
      </c>
      <c r="AD10" s="117" t="s">
        <v>103</v>
      </c>
      <c r="AF10" s="178" t="s">
        <v>164</v>
      </c>
      <c r="AG10" s="177"/>
      <c r="AH10" s="177"/>
      <c r="AI10" s="126">
        <v>4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1</v>
      </c>
      <c r="F11" s="322">
        <f t="shared" si="8"/>
        <v>3</v>
      </c>
      <c r="G11" s="80">
        <v>3</v>
      </c>
      <c r="H11" s="78" t="s">
        <v>81</v>
      </c>
      <c r="I11" s="97">
        <f t="shared" si="9"/>
        <v>0.43227603300000006</v>
      </c>
      <c r="J11" s="95"/>
      <c r="K11" s="96"/>
      <c r="L11" s="95">
        <f t="shared" si="0"/>
        <v>0.43227603300000006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>
        <f t="shared" si="5"/>
        <v>0.46076418800000002</v>
      </c>
      <c r="U11" s="72">
        <v>42086</v>
      </c>
      <c r="V11" s="71">
        <v>0.9988686625486789</v>
      </c>
      <c r="W11"/>
      <c r="X11"/>
      <c r="Y11" s="79"/>
      <c r="Z11" s="79"/>
      <c r="AA11" s="79"/>
      <c r="AF11" s="118" t="s">
        <v>220</v>
      </c>
      <c r="AG11" s="168"/>
      <c r="AH11" s="168"/>
      <c r="AI11" s="299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1</v>
      </c>
      <c r="F12" s="322">
        <f t="shared" si="8"/>
        <v>4</v>
      </c>
      <c r="G12" s="80">
        <v>4</v>
      </c>
      <c r="H12" s="78" t="s">
        <v>81</v>
      </c>
      <c r="I12" s="97">
        <f t="shared" si="9"/>
        <v>0.46076418800000002</v>
      </c>
      <c r="J12" s="95"/>
      <c r="K12" s="96"/>
      <c r="L12" s="95">
        <f t="shared" si="0"/>
        <v>0.46076418800000002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>
        <f t="shared" si="5"/>
        <v>0.493325071</v>
      </c>
      <c r="U12" s="72">
        <v>42117</v>
      </c>
      <c r="V12" s="71">
        <v>0.99840192527989569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219</v>
      </c>
      <c r="AG12" s="177"/>
      <c r="AH12" s="177"/>
      <c r="AI12" s="176">
        <f>_xll.xlYrfDayCount(AI5,AI6,AI10)</f>
        <v>1.9444444444444445E-2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1</v>
      </c>
      <c r="F13" s="322">
        <f t="shared" si="8"/>
        <v>5</v>
      </c>
      <c r="G13" s="80">
        <v>5</v>
      </c>
      <c r="H13" s="78" t="s">
        <v>81</v>
      </c>
      <c r="I13" s="97">
        <f t="shared" si="9"/>
        <v>0.493325071</v>
      </c>
      <c r="J13" s="95"/>
      <c r="K13" s="96"/>
      <c r="L13" s="95">
        <f t="shared" si="0"/>
        <v>0.493325071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>
        <f t="shared" si="5"/>
        <v>0.53089070400000005</v>
      </c>
      <c r="U13" s="72">
        <v>42150</v>
      </c>
      <c r="V13" s="71">
        <v>0.99784234834792607</v>
      </c>
      <c r="W13"/>
      <c r="X13"/>
      <c r="Y13" s="80">
        <v>1</v>
      </c>
      <c r="Z13" s="80">
        <f>_xll.RtGet($AD$13,$AD$14&amp;$Y13&amp;$AD$15,Z$12)</f>
        <v>0.46924944699999999</v>
      </c>
      <c r="AA13" s="78">
        <f>_xll.RtGet($AD$13,$AD$14&amp;$Y13&amp;$AD$15,AA$12)</f>
        <v>0.46924944699999999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>
        <f>LN((1+$AI$12*L6/100)*(AI9/AI8))/_xll.xlYrfDayCount($AI$5,$AI$6,$AI$11)</f>
        <v>2.1985594895120781E-3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1</v>
      </c>
      <c r="F14" s="322">
        <f t="shared" si="8"/>
        <v>6</v>
      </c>
      <c r="G14" s="80">
        <v>6</v>
      </c>
      <c r="H14" s="78" t="s">
        <v>81</v>
      </c>
      <c r="I14" s="97">
        <f t="shared" si="9"/>
        <v>0.53089070400000005</v>
      </c>
      <c r="J14" s="95"/>
      <c r="K14" s="96"/>
      <c r="L14" s="95">
        <f t="shared" si="0"/>
        <v>0.53089070400000005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13</v>
      </c>
      <c r="Q14" s="80">
        <f t="shared" si="3"/>
        <v>7</v>
      </c>
      <c r="R14" s="79" t="str">
        <f t="shared" si="4"/>
        <v>m</v>
      </c>
      <c r="S14" s="93">
        <f t="shared" si="5"/>
        <v>0.57130007799999993</v>
      </c>
      <c r="U14" s="72">
        <v>42178</v>
      </c>
      <c r="V14" s="71">
        <v>0.99727150569334666</v>
      </c>
      <c r="W14"/>
      <c r="X14"/>
      <c r="Y14" s="80">
        <v>2</v>
      </c>
      <c r="Z14" s="80">
        <f>_xll.RtGet($AD$13,$AD$14&amp;$Y14&amp;$AD$15,Z$12)</f>
        <v>0.43348439599999999</v>
      </c>
      <c r="AA14" s="78">
        <f>_xll.RtGet($AD$13,$AD$14&amp;$Y14&amp;$AD$15,AA$12)</f>
        <v>0.43348439599999999</v>
      </c>
      <c r="AC14" s="121" t="s">
        <v>66</v>
      </c>
      <c r="AD14" s="120" t="s">
        <v>216</v>
      </c>
      <c r="AF14" s="24" t="s">
        <v>165</v>
      </c>
      <c r="AG14" s="68"/>
      <c r="AH14" s="68"/>
      <c r="AI14" s="170">
        <f>AI7*EXP(-$AI$13*_xll.xlYrfDayCount($C$3,AI4,$AI$11))</f>
        <v>0.99996109728843907</v>
      </c>
    </row>
    <row r="15" spans="1:35" ht="11.25" customHeight="1" x14ac:dyDescent="0.2">
      <c r="A15" s="173">
        <v>90</v>
      </c>
      <c r="B15" s="172" t="s">
        <v>101</v>
      </c>
      <c r="C15" s="171">
        <f>_xll.RtNow(A15&amp;"s")</f>
        <v>0.73553240740875481</v>
      </c>
      <c r="D15" s="66"/>
      <c r="E15" s="98" t="b">
        <v>1</v>
      </c>
      <c r="F15" s="322">
        <f t="shared" si="8"/>
        <v>7</v>
      </c>
      <c r="G15" s="80">
        <v>7</v>
      </c>
      <c r="H15" s="78" t="s">
        <v>81</v>
      </c>
      <c r="I15" s="97">
        <f t="shared" si="9"/>
        <v>0.57130007799999993</v>
      </c>
      <c r="J15" s="95"/>
      <c r="K15" s="96"/>
      <c r="L15" s="95">
        <f t="shared" si="0"/>
        <v>0.57130007799999993</v>
      </c>
      <c r="M15" s="80">
        <f t="shared" si="6"/>
        <v>13</v>
      </c>
      <c r="N15" s="78">
        <f t="shared" si="1"/>
        <v>13</v>
      </c>
      <c r="O15" s="80">
        <f t="shared" si="7"/>
        <v>13</v>
      </c>
      <c r="P15" s="78">
        <f t="shared" si="2"/>
        <v>14</v>
      </c>
      <c r="Q15" s="80">
        <f t="shared" si="3"/>
        <v>8</v>
      </c>
      <c r="R15" s="79" t="str">
        <f t="shared" si="4"/>
        <v>m</v>
      </c>
      <c r="S15" s="93">
        <f t="shared" si="5"/>
        <v>0.62823536599999996</v>
      </c>
      <c r="U15" s="72">
        <v>42208</v>
      </c>
      <c r="V15" s="71">
        <v>0.99659526196186621</v>
      </c>
      <c r="W15"/>
      <c r="X15"/>
      <c r="Y15" s="80">
        <v>3</v>
      </c>
      <c r="Z15" s="80">
        <f>_xll.RtGet($AD$13,$AD$14&amp;$Y15&amp;$AD$15,Z$12)</f>
        <v>0.43227603300000006</v>
      </c>
      <c r="AA15" s="78">
        <f>_xll.RtGet($AD$13,$AD$14&amp;$Y15&amp;$AD$15,AA$12)</f>
        <v>0.43227603300000006</v>
      </c>
      <c r="AB15" s="67"/>
      <c r="AC15" s="118" t="s">
        <v>63</v>
      </c>
      <c r="AD15" s="117" t="s">
        <v>104</v>
      </c>
      <c r="AF15" s="24" t="s">
        <v>166</v>
      </c>
      <c r="AG15" s="68"/>
      <c r="AH15" s="68"/>
      <c r="AI15" s="170">
        <f>AI8*EXP(-$AI$13*_xll.xlYrfDayCount($C$3,AI5,$AI$11))</f>
        <v>0.99994813000601557</v>
      </c>
    </row>
    <row r="16" spans="1:35" ht="11.25" customHeight="1" x14ac:dyDescent="0.2">
      <c r="A16" s="68"/>
      <c r="D16" s="66"/>
      <c r="E16" s="98" t="b">
        <v>1</v>
      </c>
      <c r="F16" s="322">
        <f t="shared" si="8"/>
        <v>8</v>
      </c>
      <c r="G16" s="80">
        <v>8</v>
      </c>
      <c r="H16" s="78" t="s">
        <v>81</v>
      </c>
      <c r="I16" s="97">
        <f t="shared" si="9"/>
        <v>0.62823536599999996</v>
      </c>
      <c r="J16" s="95"/>
      <c r="K16" s="96"/>
      <c r="L16" s="95">
        <f t="shared" si="0"/>
        <v>0.62823536599999996</v>
      </c>
      <c r="M16" s="80">
        <f t="shared" si="6"/>
        <v>14</v>
      </c>
      <c r="N16" s="78">
        <f t="shared" si="1"/>
        <v>14</v>
      </c>
      <c r="O16" s="80">
        <f t="shared" si="7"/>
        <v>14</v>
      </c>
      <c r="P16" s="78">
        <f t="shared" si="2"/>
        <v>15</v>
      </c>
      <c r="Q16" s="80">
        <f t="shared" si="3"/>
        <v>9</v>
      </c>
      <c r="R16" s="79" t="str">
        <f t="shared" si="4"/>
        <v>m</v>
      </c>
      <c r="S16" s="93">
        <f t="shared" si="5"/>
        <v>0.67298786099999997</v>
      </c>
      <c r="U16" s="72">
        <v>42240</v>
      </c>
      <c r="V16" s="71">
        <v>0.99570836425850417</v>
      </c>
      <c r="W16"/>
      <c r="X16"/>
      <c r="Y16" s="80">
        <v>4</v>
      </c>
      <c r="Z16" s="80">
        <f>_xll.RtGet($AD$13,$AD$14&amp;$Y16&amp;$AD$15,Z$12)</f>
        <v>0.46076418800000002</v>
      </c>
      <c r="AA16" s="78">
        <f>_xll.RtGet($AD$13,$AD$14&amp;$Y16&amp;$AD$15,AA$12)</f>
        <v>0.46076418800000002</v>
      </c>
      <c r="AB16" s="67"/>
      <c r="AC16" s="67"/>
      <c r="AD16" s="67"/>
      <c r="AF16" s="25" t="s">
        <v>167</v>
      </c>
      <c r="AG16" s="168"/>
      <c r="AH16" s="168"/>
      <c r="AI16" s="167">
        <f>AI9*EXP(-$AI$13*_xll.xlYrfDayCount($C$3,AI6,$AI$11))</f>
        <v>0.99988030533282246</v>
      </c>
    </row>
    <row r="17" spans="1:44" ht="11.25" customHeight="1" x14ac:dyDescent="0.2">
      <c r="A17" s="68"/>
      <c r="D17" s="66"/>
      <c r="E17" s="98" t="b">
        <v>1</v>
      </c>
      <c r="F17" s="322">
        <f t="shared" si="8"/>
        <v>9</v>
      </c>
      <c r="G17" s="80">
        <v>9</v>
      </c>
      <c r="H17" s="78" t="s">
        <v>81</v>
      </c>
      <c r="I17" s="97">
        <f t="shared" si="9"/>
        <v>0.67298786099999997</v>
      </c>
      <c r="J17" s="95"/>
      <c r="K17" s="96"/>
      <c r="L17" s="95">
        <f t="shared" si="0"/>
        <v>0.67298786099999997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>
        <v>42270</v>
      </c>
      <c r="V17" s="71">
        <v>0.9948523120316014</v>
      </c>
      <c r="W17"/>
      <c r="X17"/>
      <c r="Y17" s="80">
        <v>5</v>
      </c>
      <c r="Z17" s="80">
        <f>_xll.RtGet($AD$13,$AD$14&amp;$Y17&amp;$AD$15,Z$12)</f>
        <v>0.493325071</v>
      </c>
      <c r="AA17" s="78">
        <f>_xll.RtGet($AD$13,$AD$14&amp;$Y17&amp;$AD$15,AA$12)</f>
        <v>0.493325071</v>
      </c>
      <c r="AB17" s="67"/>
      <c r="AC17" s="67"/>
      <c r="AD17" s="67"/>
      <c r="AF17" s="24" t="s">
        <v>168</v>
      </c>
      <c r="AG17" s="68"/>
      <c r="AH17" s="68"/>
      <c r="AI17" s="170">
        <f>(1/AI14-1)/_xll.xlYrfDayCount($C$3,AI4,$AI$10)</f>
        <v>4.6685070048990696E-3</v>
      </c>
    </row>
    <row r="18" spans="1:44" ht="11.25" customHeight="1" x14ac:dyDescent="0.2">
      <c r="A18" s="68"/>
      <c r="C18" s="257" t="s">
        <v>127</v>
      </c>
      <c r="D18" s="66"/>
      <c r="E18" s="98" t="b">
        <v>0</v>
      </c>
      <c r="F18" s="322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>
        <v>42361</v>
      </c>
      <c r="V18" s="71">
        <v>0.99260329393887448</v>
      </c>
      <c r="W18"/>
      <c r="X18"/>
      <c r="Y18" s="80">
        <v>6</v>
      </c>
      <c r="Z18" s="80">
        <f>_xll.RtGet($AD$13,$AD$14&amp;$Y18&amp;$AD$15,Z$12)</f>
        <v>0.53089070400000005</v>
      </c>
      <c r="AA18" s="78">
        <f>_xll.RtGet($AD$13,$AD$14&amp;$Y18&amp;$AD$15,AA$12)</f>
        <v>0.53089070400000005</v>
      </c>
      <c r="AB18" s="67"/>
      <c r="AC18" s="67"/>
      <c r="AD18" s="67"/>
      <c r="AF18" s="24" t="s">
        <v>169</v>
      </c>
      <c r="AG18" s="68"/>
      <c r="AH18" s="68"/>
      <c r="AI18" s="170">
        <f>(AI14/AI15-1)/_xll.xlYrfDayCount(AI4,AI5,$AI$10)</f>
        <v>4.6684638256788702E-3</v>
      </c>
    </row>
    <row r="19" spans="1:44" ht="11.25" customHeight="1" x14ac:dyDescent="0.2">
      <c r="A19" s="68"/>
      <c r="C19" s="258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>
        <v>42727</v>
      </c>
      <c r="V19" s="71">
        <v>0.97776877900640558</v>
      </c>
      <c r="W19"/>
      <c r="X19"/>
      <c r="Y19" s="80">
        <v>7</v>
      </c>
      <c r="Z19" s="80">
        <f>_xll.RtGet($AD$13,$AD$14&amp;$Y19&amp;$AD$15,Z$12)</f>
        <v>0.57130007799999993</v>
      </c>
      <c r="AA19" s="78">
        <f>_xll.RtGet($AD$13,$AD$14&amp;$Y19&amp;$AD$15,AA$12)</f>
        <v>0.57130007799999993</v>
      </c>
      <c r="AB19" s="67"/>
      <c r="AC19" s="67"/>
      <c r="AD19" s="67"/>
      <c r="AF19" s="24" t="s">
        <v>170</v>
      </c>
      <c r="AG19" s="68"/>
      <c r="AH19" s="68"/>
      <c r="AI19" s="170">
        <f>AI17*100-IF(J3&gt;0,J3,I3)</f>
        <v>0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>
        <v>43096</v>
      </c>
      <c r="V20" s="71">
        <v>0.95320758854821397</v>
      </c>
      <c r="W20"/>
      <c r="X20"/>
      <c r="Y20" s="80">
        <v>8</v>
      </c>
      <c r="Z20" s="80">
        <f>_xll.RtGet($AD$13,$AD$14&amp;$Y20&amp;$AD$15,Z$12)</f>
        <v>0.62823536599999996</v>
      </c>
      <c r="AA20" s="78">
        <f>_xll.RtGet($AD$13,$AD$14&amp;$Y20&amp;$AD$15,AA$12)</f>
        <v>0.62823536599999996</v>
      </c>
      <c r="AB20" s="67"/>
      <c r="AC20" s="67"/>
      <c r="AD20" s="67"/>
      <c r="AF20" s="25" t="s">
        <v>171</v>
      </c>
      <c r="AG20" s="168"/>
      <c r="AH20" s="168"/>
      <c r="AI20" s="167">
        <f>AI18*100-IF(J4&gt;0,J4,I4)</f>
        <v>0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>
        <v>43458</v>
      </c>
      <c r="V21" s="71">
        <v>0.92700480224100668</v>
      </c>
      <c r="W21"/>
      <c r="X21"/>
      <c r="Y21" s="80">
        <v>9</v>
      </c>
      <c r="Z21" s="80">
        <f>_xll.RtGet($AD$13,$AD$14&amp;$Y21&amp;$AD$15,Z$12)</f>
        <v>0.67298786099999997</v>
      </c>
      <c r="AA21" s="78">
        <f>_xll.RtGet($AD$13,$AD$14&amp;$Y21&amp;$AD$15,AA$12)</f>
        <v>0.67298786099999997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>
        <v>43822</v>
      </c>
      <c r="V22" s="71">
        <v>0.89983183777686393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C6&amp;C5</f>
        <v>USDEUR</v>
      </c>
      <c r="G23" s="67"/>
      <c r="H23" s="67"/>
      <c r="I23" s="162">
        <f>AVERAGE(Z27:AA27)</f>
        <v>1.2249500000000002</v>
      </c>
      <c r="J23" s="160"/>
      <c r="K23" s="161"/>
      <c r="L23" s="160">
        <f>IF(ISNUMBER(J23),J23,I23)+K23</f>
        <v>1.2249500000000002</v>
      </c>
      <c r="M23" s="67"/>
      <c r="N23" s="67"/>
      <c r="O23" s="67"/>
      <c r="P23" s="67"/>
      <c r="Q23" s="67"/>
      <c r="R23" s="67"/>
      <c r="S23" s="67"/>
      <c r="U23" s="72">
        <v>44553</v>
      </c>
      <c r="V23" s="71">
        <v>0.84487094291210441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328" t="s">
        <v>80</v>
      </c>
      <c r="C24" s="32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>
        <v>45649</v>
      </c>
      <c r="V24" s="71">
        <v>0.76691964082979103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>
        <v>47476</v>
      </c>
      <c r="V25" s="71">
        <v>0.65036442126080307</v>
      </c>
      <c r="W25"/>
      <c r="X25"/>
      <c r="Y25" s="79"/>
      <c r="Z25" s="79"/>
      <c r="AA25" s="79"/>
      <c r="AB25" s="67"/>
      <c r="AC25" s="67"/>
      <c r="AD25" s="67"/>
      <c r="AH25" s="66">
        <f>IF(LEN(AG31)&gt;0,AG31,"")</f>
        <v>3</v>
      </c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20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-0.1825</v>
      </c>
      <c r="J26" s="152"/>
      <c r="K26" s="153"/>
      <c r="L26" s="152">
        <f t="shared" ref="L26:L67" si="13">IF(ISNUMBER(J26),J26,I26)+K26</f>
        <v>-0.1825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-0.1825</v>
      </c>
      <c r="U26" s="72">
        <v>49305</v>
      </c>
      <c r="V26" s="71">
        <v>0.55009398682333011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-0.16750000000000001</v>
      </c>
      <c r="J27" s="95"/>
      <c r="K27" s="96"/>
      <c r="L27" s="95">
        <f t="shared" si="13"/>
        <v>-0.16750000000000001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-0.16750000000000001</v>
      </c>
      <c r="U27" s="72">
        <v>52954</v>
      </c>
      <c r="V27" s="71">
        <v>0.39907837327534523</v>
      </c>
      <c r="W27"/>
      <c r="X27"/>
      <c r="Y27" s="146" t="s">
        <v>100</v>
      </c>
      <c r="Z27" s="145">
        <f>_xll.RtGet($AD$26,$AD$27&amp;$Y27&amp;$AD$28,Z$26)</f>
        <v>1.2249000000000001</v>
      </c>
      <c r="AA27" s="144">
        <f>_xll.RtGet($AD$26,$AD$27&amp;$Y27&amp;$AD$28,AA$26)</f>
        <v>1.2250000000000001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-0.16500000000000001</v>
      </c>
      <c r="J28" s="95"/>
      <c r="K28" s="96"/>
      <c r="L28" s="95">
        <f t="shared" si="13"/>
        <v>-0.16500000000000001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-0.16500000000000001</v>
      </c>
      <c r="U28" s="72" t="e">
        <v>#N/A</v>
      </c>
      <c r="V28" s="71" t="e">
        <v>#N/A</v>
      </c>
      <c r="W28"/>
      <c r="X28"/>
      <c r="AC28" s="118" t="s">
        <v>63</v>
      </c>
      <c r="AD28" s="117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-0.17249999999999999</v>
      </c>
      <c r="J29" s="95"/>
      <c r="K29" s="96"/>
      <c r="L29" s="95">
        <f t="shared" si="13"/>
        <v>-0.17249999999999999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-0.17249999999999999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21"/>
      <c r="AG29" s="222">
        <f>MAX(AG31:AG72)</f>
        <v>360</v>
      </c>
      <c r="AH29" s="221"/>
      <c r="AI29" s="221"/>
      <c r="AJ29" s="221"/>
      <c r="AK29" s="221"/>
      <c r="AL29" s="221"/>
      <c r="AM29" s="221"/>
      <c r="AN29" s="223"/>
      <c r="AO29" s="223"/>
      <c r="AP29" s="223"/>
      <c r="AQ29" s="222">
        <f>MAX(AQ31:AQ60)</f>
        <v>312</v>
      </c>
      <c r="AR29" s="221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-0.1925</v>
      </c>
      <c r="J30" s="95"/>
      <c r="K30" s="96"/>
      <c r="L30" s="95">
        <f t="shared" si="13"/>
        <v>-0.1925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-0.1925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4" t="s">
        <v>124</v>
      </c>
      <c r="AG30" s="224" t="s">
        <v>192</v>
      </c>
      <c r="AH30" s="225" t="b">
        <f>AND(AQ29&gt;AG29,ISERROR(MATCH(AQ29,$AG$31:$AG$72,0)))</f>
        <v>0</v>
      </c>
      <c r="AI30" s="226"/>
      <c r="AJ30" s="226"/>
      <c r="AK30" s="226"/>
      <c r="AL30" s="227">
        <f>COUNT(AK31:AK72)</f>
        <v>13</v>
      </c>
      <c r="AM30" s="228"/>
      <c r="AN30" s="223"/>
      <c r="AO30" s="223"/>
      <c r="AP30" s="223"/>
      <c r="AQ30" s="224" t="s">
        <v>126</v>
      </c>
      <c r="AR30" s="224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-0.21000000000000002</v>
      </c>
      <c r="J31" s="95"/>
      <c r="K31" s="96"/>
      <c r="L31" s="95">
        <f t="shared" si="13"/>
        <v>-0.21000000000000002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-0.21000000000000002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-0.2225</v>
      </c>
      <c r="AA31" s="127">
        <f>$Z$29*_xll.RtGet($AD$32,$AD$33&amp;$Y31&amp;$AD$34,AA$30)</f>
        <v>-0.14250000000000002</v>
      </c>
      <c r="AF31" s="229">
        <f t="shared" ref="AF31:AF72" si="20">AVERAGE(Z31:AA31)</f>
        <v>-0.1825</v>
      </c>
      <c r="AG31" s="230">
        <f>IF(ISNUMBER(AF31),LEFT(Y31,LEN(Y31)-1)*IF(RIGHT(Y31,1)="Y",12,1),"")</f>
        <v>3</v>
      </c>
      <c r="AH31" s="231">
        <f t="shared" ref="AH31:AH71" si="21">IF(LEN(AG31)&gt;0,AG31,"")</f>
        <v>3</v>
      </c>
      <c r="AI31" s="232">
        <f t="shared" ref="AI31:AI71" si="22">IF(LEN(AG31)&gt;0,AF31,"")</f>
        <v>-0.1825</v>
      </c>
      <c r="AJ31" s="233">
        <v>3</v>
      </c>
      <c r="AK31" s="228">
        <f t="shared" ref="AK31:AK72" si="23">IF(LEN(AH31)&gt;0,AJ31,"")</f>
        <v>3</v>
      </c>
      <c r="AL31" s="227">
        <f>IF(AL30&gt;0,1,"")</f>
        <v>1</v>
      </c>
      <c r="AM31" s="234" t="b">
        <f t="shared" ref="AM31:AM72" si="24">LEN(AL31)&gt;0</f>
        <v>1</v>
      </c>
      <c r="AN31" s="235">
        <f t="shared" ref="AN31:AN72" si="25">IF(AM31,SMALL($AK$31:$AK$72,AL31),"")</f>
        <v>3</v>
      </c>
      <c r="AO31" s="234">
        <f t="array" ref="AO31:AP31">IF(AM31,INDEX($AH$31:$AI$72,AN31,0),"")</f>
        <v>9</v>
      </c>
      <c r="AP31" s="235">
        <v>-0.16500000000000001</v>
      </c>
      <c r="AQ31" s="234">
        <f t="array" ref="AQ31:AQ72">AJ31:AJ72</f>
        <v>3</v>
      </c>
      <c r="AR31" s="236">
        <f t="array" ref="AR31:AR72">_xll.xlInterp1D(AO31:INDEX(AO31:AO72,AL30),AP31:INDEX(AP31:AP72,AL30),AQ31:AQ72,"kruger")</f>
        <v>-0.15024691358024692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-0.21000000000000002</v>
      </c>
      <c r="J32" s="95"/>
      <c r="K32" s="96"/>
      <c r="L32" s="95">
        <f t="shared" si="13"/>
        <v>-0.21000000000000002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-0.21000000000000002</v>
      </c>
      <c r="U32" s="72" t="e">
        <v>#N/A</v>
      </c>
      <c r="V32" s="71" t="e">
        <v>#N/A</v>
      </c>
      <c r="Y32" s="81" t="s">
        <v>187</v>
      </c>
      <c r="Z32" s="80">
        <f>$Z$29*_xll.RtGet($AD$32,$AD$33&amp;$Y32&amp;$AD$34,Z$30)</f>
        <v>-0.20750000000000002</v>
      </c>
      <c r="AA32" s="78">
        <f>$Z$29*_xll.RtGet($AD$32,$AD$33&amp;$Y32&amp;$AD$34,AA$30)</f>
        <v>-0.1275</v>
      </c>
      <c r="AC32" s="124" t="s">
        <v>68</v>
      </c>
      <c r="AD32" s="123" t="s">
        <v>67</v>
      </c>
      <c r="AF32" s="237">
        <f t="shared" si="20"/>
        <v>-0.16750000000000001</v>
      </c>
      <c r="AG32" s="231">
        <f t="shared" ref="AG32:AG72" si="26">IF(ISNUMBER(AF32),LEFT(Y32,LEN(Y32)-1)*IF(RIGHT(Y32,1)="Y",12,1),"")</f>
        <v>6</v>
      </c>
      <c r="AH32" s="231">
        <f t="shared" si="21"/>
        <v>6</v>
      </c>
      <c r="AI32" s="238">
        <f t="shared" si="22"/>
        <v>-0.16750000000000001</v>
      </c>
      <c r="AJ32" s="239">
        <f>+AJ31+3</f>
        <v>6</v>
      </c>
      <c r="AK32" s="228">
        <f t="shared" si="23"/>
        <v>6</v>
      </c>
      <c r="AL32" s="228">
        <f t="shared" ref="AL32:AL72" si="27">IF(AL31&lt;$AL$30,AL31+1,"")</f>
        <v>2</v>
      </c>
      <c r="AM32" s="228" t="b">
        <f t="shared" si="24"/>
        <v>1</v>
      </c>
      <c r="AN32" s="240">
        <f t="shared" si="25"/>
        <v>6</v>
      </c>
      <c r="AO32" s="239">
        <f t="array" ref="AO32:AP32">IF(AM32,INDEX($AH$31:$AI$72,AN32,0),"")</f>
        <v>36</v>
      </c>
      <c r="AP32" s="240">
        <v>-0.21000000000000002</v>
      </c>
      <c r="AQ32" s="239">
        <v>6</v>
      </c>
      <c r="AR32" s="241">
        <v>-0.15753086419753087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-0.20750000000000002</v>
      </c>
      <c r="J33" s="95"/>
      <c r="K33" s="96"/>
      <c r="L33" s="95">
        <f t="shared" si="13"/>
        <v>-0.20750000000000002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-0.20750000000000002</v>
      </c>
      <c r="U33" s="72" t="e">
        <v>#N/A</v>
      </c>
      <c r="V33" s="71" t="e">
        <v>#N/A</v>
      </c>
      <c r="Y33" s="81" t="s">
        <v>188</v>
      </c>
      <c r="Z33" s="80">
        <f>$Z$29*_xll.RtGet($AD$32,$AD$33&amp;$Y33&amp;$AD$34,Z$30)</f>
        <v>-0.20500000000000002</v>
      </c>
      <c r="AA33" s="78">
        <f>$Z$29*_xll.RtGet($AD$32,$AD$33&amp;$Y33&amp;$AD$34,AA$30)</f>
        <v>-0.125</v>
      </c>
      <c r="AC33" s="121" t="s">
        <v>66</v>
      </c>
      <c r="AD33" s="120" t="s">
        <v>191</v>
      </c>
      <c r="AF33" s="237">
        <f t="shared" si="20"/>
        <v>-0.16500000000000001</v>
      </c>
      <c r="AG33" s="231">
        <f t="shared" si="26"/>
        <v>9</v>
      </c>
      <c r="AH33" s="231">
        <f t="shared" si="21"/>
        <v>9</v>
      </c>
      <c r="AI33" s="238">
        <f t="shared" si="22"/>
        <v>-0.16500000000000001</v>
      </c>
      <c r="AJ33" s="239">
        <f t="shared" ref="AJ33:AJ34" si="28">+AJ32+3</f>
        <v>9</v>
      </c>
      <c r="AK33" s="228">
        <f t="shared" si="23"/>
        <v>9</v>
      </c>
      <c r="AL33" s="228">
        <f t="shared" si="27"/>
        <v>3</v>
      </c>
      <c r="AM33" s="228" t="b">
        <f t="shared" si="24"/>
        <v>1</v>
      </c>
      <c r="AN33" s="240">
        <f t="shared" si="25"/>
        <v>9</v>
      </c>
      <c r="AO33" s="239">
        <f t="array" ref="AO33:AP33">IF(AM33,INDEX($AH$31:$AI$72,AN33,0),"")</f>
        <v>84</v>
      </c>
      <c r="AP33" s="240">
        <v>-0.21000000000000002</v>
      </c>
      <c r="AQ33" s="239">
        <v>9</v>
      </c>
      <c r="AR33" s="241">
        <v>-0.16500000000000001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-0.21000000000000002</v>
      </c>
      <c r="J34" s="95"/>
      <c r="K34" s="96"/>
      <c r="L34" s="95">
        <f t="shared" si="13"/>
        <v>-0.21000000000000002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-0.21000000000000002</v>
      </c>
      <c r="U34" s="72" t="e">
        <v>#N/A</v>
      </c>
      <c r="V34" s="71" t="e">
        <v>#N/A</v>
      </c>
      <c r="Y34" s="81" t="s">
        <v>177</v>
      </c>
      <c r="Z34" s="80">
        <f>$Z$29*_xll.RtGet($AD$32,$AD$33&amp;$Y34&amp;$AD$34,Z$30)</f>
        <v>-0.21249999999999999</v>
      </c>
      <c r="AA34" s="78">
        <f>$Z$29*_xll.RtGet($AD$32,$AD$33&amp;$Y34&amp;$AD$34,AA$30)</f>
        <v>-0.13250000000000001</v>
      </c>
      <c r="AC34" s="118" t="s">
        <v>63</v>
      </c>
      <c r="AD34" s="117" t="s">
        <v>178</v>
      </c>
      <c r="AF34" s="237">
        <f t="shared" si="20"/>
        <v>-0.17249999999999999</v>
      </c>
      <c r="AG34" s="231">
        <f t="shared" si="26"/>
        <v>12</v>
      </c>
      <c r="AH34" s="231">
        <f t="shared" si="21"/>
        <v>12</v>
      </c>
      <c r="AI34" s="238">
        <f t="shared" si="22"/>
        <v>-0.17249999999999999</v>
      </c>
      <c r="AJ34" s="242">
        <f t="shared" si="28"/>
        <v>12</v>
      </c>
      <c r="AK34" s="228">
        <f t="shared" si="23"/>
        <v>12</v>
      </c>
      <c r="AL34" s="228">
        <f t="shared" si="27"/>
        <v>4</v>
      </c>
      <c r="AM34" s="228" t="b">
        <f t="shared" si="24"/>
        <v>1</v>
      </c>
      <c r="AN34" s="240">
        <f t="shared" si="25"/>
        <v>12</v>
      </c>
      <c r="AO34" s="239">
        <f t="array" ref="AO34:AP34">IF(AM34,INDEX($AH$31:$AI$72,AN34,0),"")</f>
        <v>240</v>
      </c>
      <c r="AP34" s="240">
        <v>-0.1875</v>
      </c>
      <c r="AQ34" s="239">
        <v>12</v>
      </c>
      <c r="AR34" s="241">
        <v>-0.17246913580246914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-0.19500000000000001</v>
      </c>
      <c r="J35" s="95"/>
      <c r="K35" s="96"/>
      <c r="L35" s="95">
        <f t="shared" si="13"/>
        <v>-0.19500000000000001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-0.19500000000000001</v>
      </c>
      <c r="U35" s="72" t="e">
        <v>#N/A</v>
      </c>
      <c r="V35" s="71" t="e">
        <v>#N/A</v>
      </c>
      <c r="Y35" s="81" t="s">
        <v>179</v>
      </c>
      <c r="Z35" s="80">
        <f>$Z$29*_xll.RtGet($AD$32,$AD$33&amp;$Y35&amp;$AD$34,Z$30)</f>
        <v>-0.23250000000000001</v>
      </c>
      <c r="AA35" s="78">
        <f>$Z$29*_xll.RtGet($AD$32,$AD$33&amp;$Y35&amp;$AD$34,AA$30)</f>
        <v>-0.1525</v>
      </c>
      <c r="AF35" s="237">
        <f t="shared" si="20"/>
        <v>-0.1925</v>
      </c>
      <c r="AG35" s="231">
        <f t="shared" si="26"/>
        <v>24</v>
      </c>
      <c r="AH35" s="231">
        <f t="shared" si="21"/>
        <v>24</v>
      </c>
      <c r="AI35" s="238">
        <f t="shared" si="22"/>
        <v>-0.1925</v>
      </c>
      <c r="AJ35" s="239">
        <f>+AJ34+6</f>
        <v>18</v>
      </c>
      <c r="AK35" s="228">
        <f t="shared" si="23"/>
        <v>18</v>
      </c>
      <c r="AL35" s="228">
        <f t="shared" si="27"/>
        <v>5</v>
      </c>
      <c r="AM35" s="228" t="b">
        <f t="shared" si="24"/>
        <v>1</v>
      </c>
      <c r="AN35" s="240">
        <f t="shared" si="25"/>
        <v>18</v>
      </c>
      <c r="AO35" s="239" t="str">
        <f t="array" ref="AO35:AP35">IF(AM35,INDEX($AH$31:$AI$72,AN35,0),"")</f>
        <v/>
      </c>
      <c r="AP35" s="240" t="str">
        <v/>
      </c>
      <c r="AQ35" s="239">
        <v>18</v>
      </c>
      <c r="AR35" s="241">
        <v>-0.18666666666666668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-0.18</v>
      </c>
      <c r="J36" s="95"/>
      <c r="K36" s="96"/>
      <c r="L36" s="95">
        <f t="shared" si="13"/>
        <v>-0.18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-0.18</v>
      </c>
      <c r="U36" s="72" t="e">
        <v>#N/A</v>
      </c>
      <c r="V36" s="71" t="e">
        <v>#N/A</v>
      </c>
      <c r="Y36" s="81" t="s">
        <v>180</v>
      </c>
      <c r="Z36" s="80">
        <f>$Z$29*_xll.RtGet($AD$32,$AD$33&amp;$Y36&amp;$AD$34,Z$30)</f>
        <v>-0.25</v>
      </c>
      <c r="AA36" s="78">
        <f>$Z$29*_xll.RtGet($AD$32,$AD$33&amp;$Y36&amp;$AD$34,AA$30)</f>
        <v>-0.17</v>
      </c>
      <c r="AF36" s="237">
        <f t="shared" si="20"/>
        <v>-0.21000000000000002</v>
      </c>
      <c r="AG36" s="231">
        <f t="shared" si="26"/>
        <v>36</v>
      </c>
      <c r="AH36" s="231">
        <f t="shared" si="21"/>
        <v>36</v>
      </c>
      <c r="AI36" s="238">
        <f t="shared" si="22"/>
        <v>-0.21000000000000002</v>
      </c>
      <c r="AJ36" s="242">
        <f>+AJ35+6</f>
        <v>24</v>
      </c>
      <c r="AK36" s="228">
        <f t="shared" si="23"/>
        <v>24</v>
      </c>
      <c r="AL36" s="228">
        <f t="shared" si="27"/>
        <v>6</v>
      </c>
      <c r="AM36" s="228" t="b">
        <f t="shared" si="24"/>
        <v>1</v>
      </c>
      <c r="AN36" s="240">
        <f t="shared" si="25"/>
        <v>24</v>
      </c>
      <c r="AO36" s="239" t="str">
        <f t="array" ref="AO36:AP36">IF(AM36,INDEX($AH$31:$AI$72,AN36,0),"")</f>
        <v/>
      </c>
      <c r="AP36" s="240" t="str">
        <v/>
      </c>
      <c r="AQ36" s="239">
        <v>24</v>
      </c>
      <c r="AR36" s="241">
        <v>-0.198641975308642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-0.1875</v>
      </c>
      <c r="J37" s="95"/>
      <c r="K37" s="96"/>
      <c r="L37" s="95">
        <f t="shared" si="13"/>
        <v>-0.1875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-0.1875</v>
      </c>
      <c r="U37" s="72" t="e">
        <v>#N/A</v>
      </c>
      <c r="V37" s="71" t="e">
        <v>#N/A</v>
      </c>
      <c r="Y37" s="81" t="s">
        <v>181</v>
      </c>
      <c r="Z37" s="80">
        <f>$Z$29*_xll.RtGet($AD$32,$AD$33&amp;$Y37&amp;$AD$34,Z$30)</f>
        <v>-0.25</v>
      </c>
      <c r="AA37" s="78">
        <f>$Z$29*_xll.RtGet($AD$32,$AD$33&amp;$Y37&amp;$AD$34,AA$30)</f>
        <v>-0.17</v>
      </c>
      <c r="AF37" s="237">
        <f t="shared" si="20"/>
        <v>-0.21000000000000002</v>
      </c>
      <c r="AG37" s="231">
        <f t="shared" si="26"/>
        <v>48</v>
      </c>
      <c r="AH37" s="231">
        <f t="shared" si="21"/>
        <v>48</v>
      </c>
      <c r="AI37" s="238">
        <f t="shared" si="22"/>
        <v>-0.21000000000000002</v>
      </c>
      <c r="AJ37" s="239">
        <f>+AJ36+12</f>
        <v>36</v>
      </c>
      <c r="AK37" s="228">
        <f t="shared" si="23"/>
        <v>36</v>
      </c>
      <c r="AL37" s="228">
        <f t="shared" si="27"/>
        <v>7</v>
      </c>
      <c r="AM37" s="228" t="b">
        <f t="shared" si="24"/>
        <v>1</v>
      </c>
      <c r="AN37" s="240">
        <f t="shared" si="25"/>
        <v>36</v>
      </c>
      <c r="AO37" s="239" t="str">
        <f t="array" ref="AO37:AP37">IF(AM37,INDEX($AH$31:$AI$72,AN37,0),"")</f>
        <v/>
      </c>
      <c r="AP37" s="240" t="str">
        <v/>
      </c>
      <c r="AQ37" s="239">
        <v>36</v>
      </c>
      <c r="AR37" s="241">
        <v>-0.21000000000000002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-0.19750000000000001</v>
      </c>
      <c r="J38" s="95"/>
      <c r="K38" s="96"/>
      <c r="L38" s="95">
        <f t="shared" si="13"/>
        <v>-0.19750000000000001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-0.19750000000000001</v>
      </c>
      <c r="U38" s="72" t="e">
        <v>#N/A</v>
      </c>
      <c r="V38" s="71" t="e">
        <v>#N/A</v>
      </c>
      <c r="Y38" s="81" t="s">
        <v>182</v>
      </c>
      <c r="Z38" s="80">
        <f>$Z$29*_xll.RtGet($AD$32,$AD$33&amp;$Y38&amp;$AD$34,Z$30)</f>
        <v>-0.2475</v>
      </c>
      <c r="AA38" s="78">
        <f>$Z$29*_xll.RtGet($AD$32,$AD$33&amp;$Y38&amp;$AD$34,AA$30)</f>
        <v>-0.16750000000000001</v>
      </c>
      <c r="AF38" s="237">
        <f t="shared" si="20"/>
        <v>-0.20750000000000002</v>
      </c>
      <c r="AG38" s="231">
        <f t="shared" si="26"/>
        <v>60</v>
      </c>
      <c r="AH38" s="231">
        <f t="shared" si="21"/>
        <v>60</v>
      </c>
      <c r="AI38" s="238">
        <f t="shared" si="22"/>
        <v>-0.20750000000000002</v>
      </c>
      <c r="AJ38" s="239">
        <f t="shared" ref="AJ38:AJ64" si="29">+AJ37+12</f>
        <v>48</v>
      </c>
      <c r="AK38" s="228">
        <f t="shared" si="23"/>
        <v>48</v>
      </c>
      <c r="AL38" s="228">
        <f t="shared" si="27"/>
        <v>8</v>
      </c>
      <c r="AM38" s="228" t="b">
        <f t="shared" si="24"/>
        <v>1</v>
      </c>
      <c r="AN38" s="240">
        <f t="shared" si="25"/>
        <v>48</v>
      </c>
      <c r="AO38" s="239" t="e">
        <f t="array" ref="AO38:AP38">IF(AM38,INDEX($AH$31:$AI$72,AN38,0),"")</f>
        <v>#REF!</v>
      </c>
      <c r="AP38" s="240" t="e">
        <v>#REF!</v>
      </c>
      <c r="AQ38" s="239">
        <v>48</v>
      </c>
      <c r="AR38" s="241">
        <v>-0.21000000000000002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-0.25</v>
      </c>
      <c r="AA39" s="78">
        <f>$Z$29*_xll.RtGet($AD$32,$AD$33&amp;$Y39&amp;$AD$34,AA$30)</f>
        <v>-0.17</v>
      </c>
      <c r="AF39" s="237">
        <f t="shared" si="20"/>
        <v>-0.21000000000000002</v>
      </c>
      <c r="AG39" s="231">
        <f t="shared" si="26"/>
        <v>84</v>
      </c>
      <c r="AH39" s="231">
        <f t="shared" si="21"/>
        <v>84</v>
      </c>
      <c r="AI39" s="238">
        <f t="shared" si="22"/>
        <v>-0.21000000000000002</v>
      </c>
      <c r="AJ39" s="239">
        <f t="shared" si="29"/>
        <v>60</v>
      </c>
      <c r="AK39" s="228">
        <f t="shared" si="23"/>
        <v>60</v>
      </c>
      <c r="AL39" s="228">
        <f t="shared" si="27"/>
        <v>9</v>
      </c>
      <c r="AM39" s="228" t="b">
        <f t="shared" si="24"/>
        <v>1</v>
      </c>
      <c r="AN39" s="240">
        <f t="shared" si="25"/>
        <v>60</v>
      </c>
      <c r="AO39" s="239" t="e">
        <f t="array" ref="AO39:AP39">IF(AM39,INDEX($AH$31:$AI$72,AN39,0),"")</f>
        <v>#REF!</v>
      </c>
      <c r="AP39" s="240" t="e">
        <v>#REF!</v>
      </c>
      <c r="AQ39" s="239">
        <v>60</v>
      </c>
      <c r="AR39" s="241">
        <v>-0.21000000000000002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-0.23500000000000001</v>
      </c>
      <c r="AA40" s="78">
        <f>$Z$29*_xll.RtGet($AD$32,$AD$33&amp;$Y40&amp;$AD$34,AA$30)</f>
        <v>-0.155</v>
      </c>
      <c r="AF40" s="237">
        <f t="shared" si="20"/>
        <v>-0.19500000000000001</v>
      </c>
      <c r="AG40" s="231">
        <f t="shared" si="26"/>
        <v>120</v>
      </c>
      <c r="AH40" s="231">
        <f t="shared" si="21"/>
        <v>120</v>
      </c>
      <c r="AI40" s="238">
        <f t="shared" si="22"/>
        <v>-0.19500000000000001</v>
      </c>
      <c r="AJ40" s="239">
        <f t="shared" si="29"/>
        <v>72</v>
      </c>
      <c r="AK40" s="228">
        <f t="shared" si="23"/>
        <v>72</v>
      </c>
      <c r="AL40" s="228">
        <f t="shared" si="27"/>
        <v>10</v>
      </c>
      <c r="AM40" s="228" t="b">
        <f t="shared" si="24"/>
        <v>1</v>
      </c>
      <c r="AN40" s="240">
        <f t="shared" si="25"/>
        <v>72</v>
      </c>
      <c r="AO40" s="239" t="e">
        <f t="array" ref="AO40:AP40">IF(AM40,INDEX($AH$31:$AI$72,AN40,0),"")</f>
        <v>#REF!</v>
      </c>
      <c r="AP40" s="240" t="e">
        <v>#REF!</v>
      </c>
      <c r="AQ40" s="239">
        <v>72</v>
      </c>
      <c r="AR40" s="241">
        <v>-0.21000000000000002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-0.22</v>
      </c>
      <c r="AA41" s="78">
        <f>$Z$29*_xll.RtGet($AD$32,$AD$33&amp;$Y41&amp;$AD$34,AA$30)</f>
        <v>-0.14000000000000001</v>
      </c>
      <c r="AF41" s="237">
        <f t="shared" si="20"/>
        <v>-0.18</v>
      </c>
      <c r="AG41" s="231">
        <f t="shared" si="26"/>
        <v>180</v>
      </c>
      <c r="AH41" s="231">
        <f t="shared" si="21"/>
        <v>180</v>
      </c>
      <c r="AI41" s="238">
        <f t="shared" si="22"/>
        <v>-0.18</v>
      </c>
      <c r="AJ41" s="239">
        <f t="shared" si="29"/>
        <v>84</v>
      </c>
      <c r="AK41" s="228">
        <f t="shared" si="23"/>
        <v>84</v>
      </c>
      <c r="AL41" s="228">
        <f t="shared" si="27"/>
        <v>11</v>
      </c>
      <c r="AM41" s="228" t="b">
        <f t="shared" si="24"/>
        <v>1</v>
      </c>
      <c r="AN41" s="240">
        <f t="shared" si="25"/>
        <v>84</v>
      </c>
      <c r="AO41" s="239" t="e">
        <f t="array" ref="AO41:AP41">IF(AM41,INDEX($AH$31:$AI$72,AN41,0),"")</f>
        <v>#REF!</v>
      </c>
      <c r="AP41" s="240" t="e">
        <v>#REF!</v>
      </c>
      <c r="AQ41" s="239">
        <v>84</v>
      </c>
      <c r="AR41" s="241">
        <v>-0.21000000000000002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-0.22750000000000001</v>
      </c>
      <c r="AA42" s="78">
        <f>$Z$29*_xll.RtGet($AD$32,$AD$33&amp;$Y42&amp;$AD$34,AA$30)</f>
        <v>-0.14749999999999999</v>
      </c>
      <c r="AF42" s="237">
        <f t="shared" si="20"/>
        <v>-0.1875</v>
      </c>
      <c r="AG42" s="231">
        <f t="shared" si="26"/>
        <v>240</v>
      </c>
      <c r="AH42" s="231">
        <f t="shared" si="21"/>
        <v>240</v>
      </c>
      <c r="AI42" s="238">
        <f t="shared" si="22"/>
        <v>-0.1875</v>
      </c>
      <c r="AJ42" s="239">
        <f t="shared" si="29"/>
        <v>96</v>
      </c>
      <c r="AK42" s="228">
        <f t="shared" si="23"/>
        <v>96</v>
      </c>
      <c r="AL42" s="228">
        <f t="shared" si="27"/>
        <v>12</v>
      </c>
      <c r="AM42" s="228" t="b">
        <f t="shared" si="24"/>
        <v>1</v>
      </c>
      <c r="AN42" s="240">
        <f t="shared" si="25"/>
        <v>96</v>
      </c>
      <c r="AO42" s="239" t="e">
        <f t="array" ref="AO42:AP42">IF(AM42,INDEX($AH$31:$AI$72,AN42,0),"")</f>
        <v>#REF!</v>
      </c>
      <c r="AP42" s="240" t="e">
        <v>#REF!</v>
      </c>
      <c r="AQ42" s="239">
        <v>96</v>
      </c>
      <c r="AR42" s="241">
        <v>-0.20980541647701412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-0.23750000000000002</v>
      </c>
      <c r="AA43" s="78">
        <f>$Z$29*_xll.RtGet($AD$32,$AD$33&amp;$Y43&amp;$AD$34,AA$30)</f>
        <v>-0.1575</v>
      </c>
      <c r="AF43" s="237">
        <f t="shared" si="20"/>
        <v>-0.19750000000000001</v>
      </c>
      <c r="AG43" s="231">
        <f t="shared" si="26"/>
        <v>360</v>
      </c>
      <c r="AH43" s="231">
        <f t="shared" si="21"/>
        <v>360</v>
      </c>
      <c r="AI43" s="238">
        <f t="shared" si="22"/>
        <v>-0.19750000000000001</v>
      </c>
      <c r="AJ43" s="239">
        <f t="shared" si="29"/>
        <v>108</v>
      </c>
      <c r="AK43" s="228">
        <f t="shared" si="23"/>
        <v>108</v>
      </c>
      <c r="AL43" s="228">
        <f t="shared" si="27"/>
        <v>13</v>
      </c>
      <c r="AM43" s="228" t="b">
        <f t="shared" si="24"/>
        <v>1</v>
      </c>
      <c r="AN43" s="240">
        <f t="shared" si="25"/>
        <v>108</v>
      </c>
      <c r="AO43" s="239" t="e">
        <f t="array" ref="AO43:AP43">IF(AM43,INDEX($AH$31:$AI$72,AN43,0),"")</f>
        <v>#REF!</v>
      </c>
      <c r="AP43" s="240" t="e">
        <v>#REF!</v>
      </c>
      <c r="AQ43" s="239">
        <v>108</v>
      </c>
      <c r="AR43" s="241">
        <v>-0.20924214838416025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7" t="e">
        <f t="shared" si="20"/>
        <v>#VALUE!</v>
      </c>
      <c r="AG44" s="231" t="str">
        <f t="shared" si="26"/>
        <v/>
      </c>
      <c r="AH44" s="231" t="str">
        <f t="shared" si="21"/>
        <v/>
      </c>
      <c r="AI44" s="238" t="str">
        <f t="shared" si="22"/>
        <v/>
      </c>
      <c r="AJ44" s="239">
        <f t="shared" si="29"/>
        <v>120</v>
      </c>
      <c r="AK44" s="228" t="str">
        <f t="shared" si="23"/>
        <v/>
      </c>
      <c r="AL44" s="228" t="str">
        <f t="shared" si="27"/>
        <v/>
      </c>
      <c r="AM44" s="228" t="b">
        <f t="shared" si="24"/>
        <v>0</v>
      </c>
      <c r="AN44" s="240" t="str">
        <f t="shared" si="25"/>
        <v/>
      </c>
      <c r="AO44" s="239" t="str">
        <f t="array" ref="AO44:AP44">IF(AM44,INDEX($AH$31:$AI$72,AN44,0),"")</f>
        <v/>
      </c>
      <c r="AP44" s="240" t="str">
        <v/>
      </c>
      <c r="AQ44" s="239">
        <v>120</v>
      </c>
      <c r="AR44" s="241">
        <v>-0.20834091943559402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7" t="e">
        <f t="shared" si="20"/>
        <v>#VALUE!</v>
      </c>
      <c r="AG45" s="231" t="str">
        <f t="shared" si="26"/>
        <v/>
      </c>
      <c r="AH45" s="231" t="str">
        <f t="shared" si="21"/>
        <v/>
      </c>
      <c r="AI45" s="238" t="str">
        <f t="shared" si="22"/>
        <v/>
      </c>
      <c r="AJ45" s="239">
        <f t="shared" si="29"/>
        <v>132</v>
      </c>
      <c r="AK45" s="228" t="str">
        <f t="shared" si="23"/>
        <v/>
      </c>
      <c r="AL45" s="228" t="str">
        <f t="shared" si="27"/>
        <v/>
      </c>
      <c r="AM45" s="228" t="b">
        <f t="shared" si="24"/>
        <v>0</v>
      </c>
      <c r="AN45" s="240" t="str">
        <f t="shared" si="25"/>
        <v/>
      </c>
      <c r="AO45" s="239" t="str">
        <f t="array" ref="AO45:AP45">IF(AM45,INDEX($AH$31:$AI$72,AN45,0),"")</f>
        <v/>
      </c>
      <c r="AP45" s="240" t="str">
        <v/>
      </c>
      <c r="AQ45" s="239">
        <v>132</v>
      </c>
      <c r="AR45" s="241">
        <v>-0.20713245334547112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7" t="e">
        <f t="shared" si="20"/>
        <v>#VALUE!</v>
      </c>
      <c r="AG46" s="231" t="str">
        <f t="shared" si="26"/>
        <v/>
      </c>
      <c r="AH46" s="231" t="str">
        <f t="shared" si="21"/>
        <v/>
      </c>
      <c r="AI46" s="238" t="str">
        <f t="shared" si="22"/>
        <v/>
      </c>
      <c r="AJ46" s="239">
        <f t="shared" si="29"/>
        <v>144</v>
      </c>
      <c r="AK46" s="228" t="str">
        <f t="shared" si="23"/>
        <v/>
      </c>
      <c r="AL46" s="228" t="str">
        <f t="shared" si="27"/>
        <v/>
      </c>
      <c r="AM46" s="228" t="b">
        <f t="shared" si="24"/>
        <v>0</v>
      </c>
      <c r="AN46" s="240" t="str">
        <f t="shared" si="25"/>
        <v/>
      </c>
      <c r="AO46" s="239" t="str">
        <f t="array" ref="AO46:AP46">IF(AM46,INDEX($AH$31:$AI$72,AN46,0),"")</f>
        <v/>
      </c>
      <c r="AP46" s="240" t="str">
        <v/>
      </c>
      <c r="AQ46" s="239">
        <v>144</v>
      </c>
      <c r="AR46" s="241">
        <v>-0.20564747382794721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7" t="e">
        <f t="shared" si="20"/>
        <v>#VALUE!</v>
      </c>
      <c r="AG47" s="231" t="str">
        <f t="shared" si="26"/>
        <v/>
      </c>
      <c r="AH47" s="231" t="str">
        <f t="shared" si="21"/>
        <v/>
      </c>
      <c r="AI47" s="238" t="str">
        <f t="shared" si="22"/>
        <v/>
      </c>
      <c r="AJ47" s="239">
        <f t="shared" si="29"/>
        <v>156</v>
      </c>
      <c r="AK47" s="228" t="str">
        <f t="shared" si="23"/>
        <v/>
      </c>
      <c r="AL47" s="228" t="str">
        <f t="shared" si="27"/>
        <v/>
      </c>
      <c r="AM47" s="228" t="b">
        <f t="shared" si="24"/>
        <v>0</v>
      </c>
      <c r="AN47" s="240" t="str">
        <f t="shared" si="25"/>
        <v/>
      </c>
      <c r="AO47" s="239" t="str">
        <f t="array" ref="AO47:AP47">IF(AM47,INDEX($AH$31:$AI$72,AN47,0),"")</f>
        <v/>
      </c>
      <c r="AP47" s="240" t="str">
        <v/>
      </c>
      <c r="AQ47" s="239">
        <v>156</v>
      </c>
      <c r="AR47" s="241">
        <v>-0.20391670459717798</v>
      </c>
    </row>
    <row r="48" spans="1:44" ht="11.25" customHeight="1" x14ac:dyDescent="0.2">
      <c r="B48" s="104" t="str">
        <f>"DomDiscCurveName"&amp;IF(ISBLANK(C8),"","#"&amp;C8)</f>
        <v>DomDiscCurveName#EURSTD_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7" t="e">
        <f t="shared" si="20"/>
        <v>#VALUE!</v>
      </c>
      <c r="AG48" s="231" t="str">
        <f t="shared" si="26"/>
        <v/>
      </c>
      <c r="AH48" s="231" t="str">
        <f t="shared" si="21"/>
        <v/>
      </c>
      <c r="AI48" s="238" t="str">
        <f t="shared" si="22"/>
        <v/>
      </c>
      <c r="AJ48" s="239">
        <f t="shared" si="29"/>
        <v>168</v>
      </c>
      <c r="AK48" s="228" t="str">
        <f t="shared" si="23"/>
        <v/>
      </c>
      <c r="AL48" s="228" t="str">
        <f t="shared" si="27"/>
        <v/>
      </c>
      <c r="AM48" s="228" t="b">
        <f t="shared" si="24"/>
        <v>0</v>
      </c>
      <c r="AN48" s="240" t="str">
        <f t="shared" si="25"/>
        <v/>
      </c>
      <c r="AO48" s="239" t="str">
        <f t="array" ref="AO48:AP48">IF(AM48,INDEX($AH$31:$AI$72,AN48,0),"")</f>
        <v/>
      </c>
      <c r="AP48" s="240" t="str">
        <v/>
      </c>
      <c r="AQ48" s="239">
        <v>168</v>
      </c>
      <c r="AR48" s="241">
        <v>-0.20197086936731909</v>
      </c>
    </row>
    <row r="49" spans="1:44" ht="11.25" customHeight="1" x14ac:dyDescent="0.2">
      <c r="B49" s="104" t="str">
        <f>"DomFwdCurveName"&amp;IF(ISBLANK(C9),"","#"&amp;C9)</f>
        <v>DomFwdCurveName#EUR3M_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7" t="e">
        <f t="shared" si="20"/>
        <v>#VALUE!</v>
      </c>
      <c r="AG49" s="231" t="str">
        <f t="shared" si="26"/>
        <v/>
      </c>
      <c r="AH49" s="231" t="str">
        <f t="shared" si="21"/>
        <v/>
      </c>
      <c r="AI49" s="238" t="str">
        <f t="shared" si="22"/>
        <v/>
      </c>
      <c r="AJ49" s="239">
        <f t="shared" si="29"/>
        <v>180</v>
      </c>
      <c r="AK49" s="228" t="str">
        <f t="shared" si="23"/>
        <v/>
      </c>
      <c r="AL49" s="228" t="str">
        <f t="shared" si="27"/>
        <v/>
      </c>
      <c r="AM49" s="228" t="b">
        <f t="shared" si="24"/>
        <v>0</v>
      </c>
      <c r="AN49" s="240" t="str">
        <f t="shared" si="25"/>
        <v/>
      </c>
      <c r="AO49" s="239" t="str">
        <f t="array" ref="AO49:AP49">IF(AM49,INDEX($AH$31:$AI$72,AN49,0),"")</f>
        <v/>
      </c>
      <c r="AP49" s="240" t="str">
        <v/>
      </c>
      <c r="AQ49" s="239">
        <v>180</v>
      </c>
      <c r="AR49" s="241">
        <v>-0.19984069185252618</v>
      </c>
    </row>
    <row r="50" spans="1:44" ht="11.25" customHeight="1" x14ac:dyDescent="0.2">
      <c r="B50" s="104" t="str">
        <f>"ForFwdCurveName"&amp;IF(ISBLANK(C10),"","#"&amp;C10)</f>
        <v>ForFwdCurveName#USD3M_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7" t="e">
        <f t="shared" si="20"/>
        <v>#VALUE!</v>
      </c>
      <c r="AG50" s="231" t="str">
        <f t="shared" si="26"/>
        <v/>
      </c>
      <c r="AH50" s="231" t="str">
        <f t="shared" si="21"/>
        <v/>
      </c>
      <c r="AI50" s="238" t="str">
        <f t="shared" si="22"/>
        <v/>
      </c>
      <c r="AJ50" s="239">
        <f t="shared" si="29"/>
        <v>192</v>
      </c>
      <c r="AK50" s="228" t="str">
        <f t="shared" si="23"/>
        <v/>
      </c>
      <c r="AL50" s="228" t="str">
        <f t="shared" si="27"/>
        <v/>
      </c>
      <c r="AM50" s="228" t="b">
        <f t="shared" si="24"/>
        <v>0</v>
      </c>
      <c r="AN50" s="240" t="str">
        <f t="shared" si="25"/>
        <v/>
      </c>
      <c r="AO50" s="239" t="str">
        <f t="array" ref="AO50:AP50">IF(AM50,INDEX($AH$31:$AI$72,AN50,0),"")</f>
        <v/>
      </c>
      <c r="AP50" s="240" t="str">
        <v/>
      </c>
      <c r="AQ50" s="239">
        <v>192</v>
      </c>
      <c r="AR50" s="241">
        <v>-0.19755689576695495</v>
      </c>
    </row>
    <row r="51" spans="1:44" ht="11.25" customHeight="1" x14ac:dyDescent="0.2">
      <c r="B51" s="104" t="str">
        <f>"CCSSpreadCurr"&amp;IF(ISBLANK(C7),"","#"&amp;C7)</f>
        <v>CCSSpreadCurr#EUR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7" t="e">
        <f t="shared" si="20"/>
        <v>#VALUE!</v>
      </c>
      <c r="AG51" s="231" t="str">
        <f t="shared" si="26"/>
        <v/>
      </c>
      <c r="AH51" s="231" t="str">
        <f t="shared" si="21"/>
        <v/>
      </c>
      <c r="AI51" s="238" t="str">
        <f t="shared" si="22"/>
        <v/>
      </c>
      <c r="AJ51" s="239">
        <f t="shared" si="29"/>
        <v>204</v>
      </c>
      <c r="AK51" s="228" t="str">
        <f t="shared" si="23"/>
        <v/>
      </c>
      <c r="AL51" s="228" t="str">
        <f t="shared" si="27"/>
        <v/>
      </c>
      <c r="AM51" s="228" t="b">
        <f t="shared" si="24"/>
        <v>0</v>
      </c>
      <c r="AN51" s="240" t="str">
        <f t="shared" si="25"/>
        <v/>
      </c>
      <c r="AO51" s="239" t="str">
        <f t="array" ref="AO51:AP51">IF(AM51,INDEX($AH$31:$AI$72,AN51,0),"")</f>
        <v/>
      </c>
      <c r="AP51" s="240" t="str">
        <v/>
      </c>
      <c r="AQ51" s="239">
        <v>204</v>
      </c>
      <c r="AR51" s="241">
        <v>-0.19515020482476103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7" t="e">
        <f t="shared" si="20"/>
        <v>#VALUE!</v>
      </c>
      <c r="AG52" s="231" t="str">
        <f t="shared" si="26"/>
        <v/>
      </c>
      <c r="AH52" s="231" t="str">
        <f t="shared" si="21"/>
        <v/>
      </c>
      <c r="AI52" s="238" t="str">
        <f t="shared" si="22"/>
        <v/>
      </c>
      <c r="AJ52" s="239">
        <f t="shared" si="29"/>
        <v>216</v>
      </c>
      <c r="AK52" s="228" t="str">
        <f t="shared" si="23"/>
        <v/>
      </c>
      <c r="AL52" s="228" t="str">
        <f t="shared" si="27"/>
        <v/>
      </c>
      <c r="AM52" s="228" t="b">
        <f t="shared" si="24"/>
        <v>0</v>
      </c>
      <c r="AN52" s="240" t="str">
        <f t="shared" si="25"/>
        <v/>
      </c>
      <c r="AO52" s="239" t="str">
        <f t="array" ref="AO52:AP52">IF(AM52,INDEX($AH$31:$AI$72,AN52,0),"")</f>
        <v/>
      </c>
      <c r="AP52" s="240" t="str">
        <v/>
      </c>
      <c r="AQ52" s="239">
        <v>216</v>
      </c>
      <c r="AR52" s="241">
        <v>-0.19265134274010015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7" t="e">
        <f t="shared" si="20"/>
        <v>#VALUE!</v>
      </c>
      <c r="AG53" s="231" t="str">
        <f t="shared" si="26"/>
        <v/>
      </c>
      <c r="AH53" s="231" t="str">
        <f t="shared" si="21"/>
        <v/>
      </c>
      <c r="AI53" s="238" t="str">
        <f t="shared" si="22"/>
        <v/>
      </c>
      <c r="AJ53" s="239">
        <f t="shared" si="29"/>
        <v>228</v>
      </c>
      <c r="AK53" s="228" t="str">
        <f t="shared" si="23"/>
        <v/>
      </c>
      <c r="AL53" s="228" t="str">
        <f t="shared" si="27"/>
        <v/>
      </c>
      <c r="AM53" s="228" t="b">
        <f t="shared" si="24"/>
        <v>0</v>
      </c>
      <c r="AN53" s="240" t="str">
        <f t="shared" si="25"/>
        <v/>
      </c>
      <c r="AO53" s="239" t="str">
        <f t="array" ref="AO53:AP53">IF(AM53,INDEX($AH$31:$AI$72,AN53,0),"")</f>
        <v/>
      </c>
      <c r="AP53" s="240" t="str">
        <v/>
      </c>
      <c r="AQ53" s="239">
        <v>228</v>
      </c>
      <c r="AR53" s="241">
        <v>-0.19009103322712789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7" t="e">
        <f t="shared" si="20"/>
        <v>#VALUE!</v>
      </c>
      <c r="AG54" s="231" t="str">
        <f t="shared" si="26"/>
        <v/>
      </c>
      <c r="AH54" s="231" t="str">
        <f t="shared" si="21"/>
        <v/>
      </c>
      <c r="AI54" s="238" t="str">
        <f t="shared" si="22"/>
        <v/>
      </c>
      <c r="AJ54" s="239">
        <f t="shared" si="29"/>
        <v>240</v>
      </c>
      <c r="AK54" s="228" t="str">
        <f t="shared" si="23"/>
        <v/>
      </c>
      <c r="AL54" s="228" t="str">
        <f t="shared" si="27"/>
        <v/>
      </c>
      <c r="AM54" s="228" t="b">
        <f t="shared" si="24"/>
        <v>0</v>
      </c>
      <c r="AN54" s="240" t="str">
        <f t="shared" si="25"/>
        <v/>
      </c>
      <c r="AO54" s="239" t="str">
        <f t="array" ref="AO54:AP54">IF(AM54,INDEX($AH$31:$AI$72,AN54,0),"")</f>
        <v/>
      </c>
      <c r="AP54" s="240" t="str">
        <v/>
      </c>
      <c r="AQ54" s="239">
        <v>240</v>
      </c>
      <c r="AR54" s="241">
        <v>-0.1875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7" t="e">
        <f t="shared" si="20"/>
        <v>#VALUE!</v>
      </c>
      <c r="AG55" s="231" t="str">
        <f t="shared" si="26"/>
        <v/>
      </c>
      <c r="AH55" s="231" t="str">
        <f t="shared" si="21"/>
        <v/>
      </c>
      <c r="AI55" s="238" t="str">
        <f t="shared" si="22"/>
        <v/>
      </c>
      <c r="AJ55" s="239">
        <f t="shared" si="29"/>
        <v>252</v>
      </c>
      <c r="AK55" s="228" t="str">
        <f t="shared" si="23"/>
        <v/>
      </c>
      <c r="AL55" s="228" t="str">
        <f t="shared" si="27"/>
        <v/>
      </c>
      <c r="AM55" s="228" t="b">
        <f t="shared" si="24"/>
        <v>0</v>
      </c>
      <c r="AN55" s="240" t="str">
        <f t="shared" si="25"/>
        <v/>
      </c>
      <c r="AO55" s="239" t="str">
        <f t="array" ref="AO55:AP55">IF(AM55,INDEX($AH$31:$AI$72,AN55,0),"")</f>
        <v/>
      </c>
      <c r="AP55" s="240" t="str">
        <v/>
      </c>
      <c r="AQ55" s="239">
        <v>252</v>
      </c>
      <c r="AR55" s="241">
        <v>-0.18490896677287211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7" t="e">
        <f t="shared" si="20"/>
        <v>#VALUE!</v>
      </c>
      <c r="AG56" s="231" t="str">
        <f t="shared" si="26"/>
        <v/>
      </c>
      <c r="AH56" s="231" t="str">
        <f t="shared" si="21"/>
        <v/>
      </c>
      <c r="AI56" s="238" t="str">
        <f t="shared" si="22"/>
        <v/>
      </c>
      <c r="AJ56" s="239">
        <f t="shared" si="29"/>
        <v>264</v>
      </c>
      <c r="AK56" s="228" t="str">
        <f t="shared" si="23"/>
        <v/>
      </c>
      <c r="AL56" s="228" t="str">
        <f t="shared" si="27"/>
        <v/>
      </c>
      <c r="AM56" s="228" t="b">
        <f t="shared" si="24"/>
        <v>0</v>
      </c>
      <c r="AN56" s="240" t="str">
        <f t="shared" si="25"/>
        <v/>
      </c>
      <c r="AO56" s="239" t="str">
        <f t="array" ref="AO56:AP56">IF(AM56,INDEX($AH$31:$AI$72,AN56,0),"")</f>
        <v/>
      </c>
      <c r="AP56" s="240" t="str">
        <v/>
      </c>
      <c r="AQ56" s="239">
        <v>264</v>
      </c>
      <c r="AR56" s="241">
        <v>-0.18234865725989985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7" t="e">
        <f t="shared" si="20"/>
        <v>#VALUE!</v>
      </c>
      <c r="AG57" s="231" t="str">
        <f t="shared" si="26"/>
        <v/>
      </c>
      <c r="AH57" s="231" t="str">
        <f t="shared" si="21"/>
        <v/>
      </c>
      <c r="AI57" s="238" t="str">
        <f t="shared" si="22"/>
        <v/>
      </c>
      <c r="AJ57" s="239">
        <f t="shared" si="29"/>
        <v>276</v>
      </c>
      <c r="AK57" s="228" t="str">
        <f t="shared" si="23"/>
        <v/>
      </c>
      <c r="AL57" s="228" t="str">
        <f t="shared" si="27"/>
        <v/>
      </c>
      <c r="AM57" s="228" t="b">
        <f t="shared" si="24"/>
        <v>0</v>
      </c>
      <c r="AN57" s="240" t="str">
        <f t="shared" si="25"/>
        <v/>
      </c>
      <c r="AO57" s="239" t="str">
        <f t="array" ref="AO57:AP57">IF(AM57,INDEX($AH$31:$AI$72,AN57,0),"")</f>
        <v/>
      </c>
      <c r="AP57" s="240" t="str">
        <v/>
      </c>
      <c r="AQ57" s="239">
        <v>276</v>
      </c>
      <c r="AR57" s="241">
        <v>-0.17984979517523894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7" t="e">
        <f t="shared" si="20"/>
        <v>#VALUE!</v>
      </c>
      <c r="AG58" s="231" t="str">
        <f t="shared" si="26"/>
        <v/>
      </c>
      <c r="AH58" s="231" t="str">
        <f t="shared" si="21"/>
        <v/>
      </c>
      <c r="AI58" s="238" t="str">
        <f t="shared" si="22"/>
        <v/>
      </c>
      <c r="AJ58" s="239">
        <f t="shared" si="29"/>
        <v>288</v>
      </c>
      <c r="AK58" s="228" t="str">
        <f t="shared" si="23"/>
        <v/>
      </c>
      <c r="AL58" s="228" t="str">
        <f t="shared" si="27"/>
        <v/>
      </c>
      <c r="AM58" s="228" t="b">
        <f t="shared" si="24"/>
        <v>0</v>
      </c>
      <c r="AN58" s="240" t="str">
        <f t="shared" si="25"/>
        <v/>
      </c>
      <c r="AO58" s="239" t="str">
        <f t="array" ref="AO58:AP58">IF(AM58,INDEX($AH$31:$AI$72,AN58,0),"")</f>
        <v/>
      </c>
      <c r="AP58" s="240" t="str">
        <v/>
      </c>
      <c r="AQ58" s="239">
        <v>288</v>
      </c>
      <c r="AR58" s="241">
        <v>-0.17744310423304505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7" t="e">
        <f t="shared" si="20"/>
        <v>#VALUE!</v>
      </c>
      <c r="AG59" s="231" t="str">
        <f t="shared" si="26"/>
        <v/>
      </c>
      <c r="AH59" s="231" t="str">
        <f t="shared" si="21"/>
        <v/>
      </c>
      <c r="AI59" s="238" t="str">
        <f t="shared" si="22"/>
        <v/>
      </c>
      <c r="AJ59" s="239">
        <f t="shared" si="29"/>
        <v>300</v>
      </c>
      <c r="AK59" s="228" t="str">
        <f t="shared" si="23"/>
        <v/>
      </c>
      <c r="AL59" s="228" t="str">
        <f t="shared" si="27"/>
        <v/>
      </c>
      <c r="AM59" s="228" t="b">
        <f t="shared" si="24"/>
        <v>0</v>
      </c>
      <c r="AN59" s="240" t="str">
        <f t="shared" si="25"/>
        <v/>
      </c>
      <c r="AO59" s="239" t="str">
        <f t="array" ref="AO59:AP59">IF(AM59,INDEX($AH$31:$AI$72,AN59,0),"")</f>
        <v/>
      </c>
      <c r="AP59" s="240" t="str">
        <v/>
      </c>
      <c r="AQ59" s="239">
        <v>300</v>
      </c>
      <c r="AR59" s="241">
        <v>-0.17515930814747382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7" t="e">
        <f t="shared" si="20"/>
        <v>#VALUE!</v>
      </c>
      <c r="AG60" s="231" t="str">
        <f t="shared" si="26"/>
        <v/>
      </c>
      <c r="AH60" s="231" t="str">
        <f t="shared" si="21"/>
        <v/>
      </c>
      <c r="AI60" s="238" t="str">
        <f t="shared" si="22"/>
        <v/>
      </c>
      <c r="AJ60" s="239">
        <f t="shared" si="29"/>
        <v>312</v>
      </c>
      <c r="AK60" s="228" t="str">
        <f t="shared" si="23"/>
        <v/>
      </c>
      <c r="AL60" s="228" t="str">
        <f t="shared" si="27"/>
        <v/>
      </c>
      <c r="AM60" s="228" t="b">
        <f t="shared" si="24"/>
        <v>0</v>
      </c>
      <c r="AN60" s="240" t="str">
        <f t="shared" si="25"/>
        <v/>
      </c>
      <c r="AO60" s="239" t="str">
        <f t="array" ref="AO60:AP60">IF(AM60,INDEX($AH$31:$AI$72,AN60,0),"")</f>
        <v/>
      </c>
      <c r="AP60" s="240" t="str">
        <v/>
      </c>
      <c r="AQ60" s="242">
        <v>312</v>
      </c>
      <c r="AR60" s="245">
        <v>-0.17302913063268091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7" t="e">
        <f t="shared" si="20"/>
        <v>#VALUE!</v>
      </c>
      <c r="AG61" s="231" t="str">
        <f t="shared" si="26"/>
        <v/>
      </c>
      <c r="AH61" s="231" t="str">
        <f t="shared" si="21"/>
        <v/>
      </c>
      <c r="AI61" s="238" t="str">
        <f t="shared" si="22"/>
        <v/>
      </c>
      <c r="AJ61" s="239">
        <f t="shared" si="29"/>
        <v>324</v>
      </c>
      <c r="AK61" s="228" t="str">
        <f t="shared" si="23"/>
        <v/>
      </c>
      <c r="AL61" s="228" t="str">
        <f t="shared" si="27"/>
        <v/>
      </c>
      <c r="AM61" s="228" t="b">
        <f t="shared" si="24"/>
        <v>0</v>
      </c>
      <c r="AN61" s="240" t="str">
        <f t="shared" si="25"/>
        <v/>
      </c>
      <c r="AO61" s="243"/>
      <c r="AP61" s="244"/>
      <c r="AQ61" s="254">
        <v>324</v>
      </c>
      <c r="AR61" s="255">
        <v>-0.17108329540282202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7" t="e">
        <f t="shared" si="20"/>
        <v>#VALUE!</v>
      </c>
      <c r="AG62" s="231" t="str">
        <f t="shared" si="26"/>
        <v/>
      </c>
      <c r="AH62" s="231" t="str">
        <f t="shared" si="21"/>
        <v/>
      </c>
      <c r="AI62" s="238" t="str">
        <f t="shared" si="22"/>
        <v/>
      </c>
      <c r="AJ62" s="239">
        <f t="shared" si="29"/>
        <v>336</v>
      </c>
      <c r="AK62" s="228" t="str">
        <f t="shared" si="23"/>
        <v/>
      </c>
      <c r="AL62" s="228" t="str">
        <f t="shared" si="27"/>
        <v/>
      </c>
      <c r="AM62" s="228" t="b">
        <f t="shared" si="24"/>
        <v>0</v>
      </c>
      <c r="AN62" s="240" t="str">
        <f t="shared" si="25"/>
        <v/>
      </c>
      <c r="AO62" s="243"/>
      <c r="AP62" s="244"/>
      <c r="AQ62" s="256">
        <v>336</v>
      </c>
      <c r="AR62" s="247">
        <v>-0.16935252617205276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7" t="e">
        <f t="shared" si="20"/>
        <v>#VALUE!</v>
      </c>
      <c r="AG63" s="231" t="str">
        <f t="shared" si="26"/>
        <v/>
      </c>
      <c r="AH63" s="231" t="str">
        <f t="shared" si="21"/>
        <v/>
      </c>
      <c r="AI63" s="238" t="str">
        <f t="shared" si="22"/>
        <v/>
      </c>
      <c r="AJ63" s="239">
        <f t="shared" si="29"/>
        <v>348</v>
      </c>
      <c r="AK63" s="228" t="str">
        <f t="shared" si="23"/>
        <v/>
      </c>
      <c r="AL63" s="228" t="str">
        <f t="shared" si="27"/>
        <v/>
      </c>
      <c r="AM63" s="228" t="b">
        <f t="shared" si="24"/>
        <v>0</v>
      </c>
      <c r="AN63" s="240" t="str">
        <f t="shared" si="25"/>
        <v/>
      </c>
      <c r="AO63" s="239" t="str">
        <f t="array" ref="AO63:AP63">IF(AM63,INDEX($AH$31:$AI$72,AN63,0),"")</f>
        <v/>
      </c>
      <c r="AP63" s="240" t="str">
        <v/>
      </c>
      <c r="AQ63" s="246">
        <v>348</v>
      </c>
      <c r="AR63" s="247">
        <v>-0.16786754665452885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7" t="e">
        <f t="shared" si="20"/>
        <v>#VALUE!</v>
      </c>
      <c r="AG64" s="231" t="str">
        <f t="shared" si="26"/>
        <v/>
      </c>
      <c r="AH64" s="231" t="str">
        <f t="shared" si="21"/>
        <v/>
      </c>
      <c r="AI64" s="238" t="str">
        <f t="shared" si="22"/>
        <v/>
      </c>
      <c r="AJ64" s="242">
        <f t="shared" si="29"/>
        <v>360</v>
      </c>
      <c r="AK64" s="228" t="str">
        <f t="shared" si="23"/>
        <v/>
      </c>
      <c r="AL64" s="228" t="str">
        <f t="shared" si="27"/>
        <v/>
      </c>
      <c r="AM64" s="228" t="b">
        <f t="shared" si="24"/>
        <v>0</v>
      </c>
      <c r="AN64" s="240" t="str">
        <f t="shared" si="25"/>
        <v/>
      </c>
      <c r="AO64" s="239" t="str">
        <f t="array" ref="AO64:AP64">IF(AM64,INDEX($AH$31:$AI$72,AN64,0),"")</f>
        <v/>
      </c>
      <c r="AP64" s="240" t="str">
        <v/>
      </c>
      <c r="AQ64" s="246">
        <v>360</v>
      </c>
      <c r="AR64" s="247">
        <v>-0.16665908056440598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7" t="e">
        <f t="shared" si="20"/>
        <v>#VALUE!</v>
      </c>
      <c r="AG65" s="231" t="str">
        <f t="shared" si="26"/>
        <v/>
      </c>
      <c r="AH65" s="231" t="str">
        <f t="shared" si="21"/>
        <v/>
      </c>
      <c r="AI65" s="238" t="str">
        <f t="shared" si="22"/>
        <v/>
      </c>
      <c r="AJ65" s="239">
        <f>+AJ64+60</f>
        <v>420</v>
      </c>
      <c r="AK65" s="228" t="str">
        <f t="shared" si="23"/>
        <v/>
      </c>
      <c r="AL65" s="228" t="str">
        <f t="shared" si="27"/>
        <v/>
      </c>
      <c r="AM65" s="228" t="b">
        <f t="shared" si="24"/>
        <v>0</v>
      </c>
      <c r="AN65" s="240" t="str">
        <f t="shared" si="25"/>
        <v/>
      </c>
      <c r="AO65" s="239" t="str">
        <f t="array" ref="AO65:AP65">IF(AM65,INDEX($AH$31:$AI$72,AN65,0),"")</f>
        <v/>
      </c>
      <c r="AP65" s="240" t="str">
        <v/>
      </c>
      <c r="AQ65" s="246">
        <v>420</v>
      </c>
      <c r="AR65" s="247">
        <v>-0.16583978152025486</v>
      </c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7" t="e">
        <f t="shared" si="20"/>
        <v>#VALUE!</v>
      </c>
      <c r="AG66" s="231" t="str">
        <f t="shared" si="26"/>
        <v/>
      </c>
      <c r="AH66" s="231" t="str">
        <f t="shared" si="21"/>
        <v/>
      </c>
      <c r="AI66" s="238" t="str">
        <f t="shared" si="22"/>
        <v/>
      </c>
      <c r="AJ66" s="239">
        <f t="shared" ref="AJ66:AJ72" si="30">+AJ65+60</f>
        <v>480</v>
      </c>
      <c r="AK66" s="228" t="str">
        <f t="shared" si="23"/>
        <v/>
      </c>
      <c r="AL66" s="228" t="str">
        <f t="shared" si="27"/>
        <v/>
      </c>
      <c r="AM66" s="228" t="b">
        <f t="shared" si="24"/>
        <v>0</v>
      </c>
      <c r="AN66" s="240" t="str">
        <f t="shared" si="25"/>
        <v/>
      </c>
      <c r="AO66" s="239" t="str">
        <f t="array" ref="AO66:AP66">IF(AM66,INDEX($AH$31:$AI$72,AN66,0),"")</f>
        <v/>
      </c>
      <c r="AP66" s="240" t="str">
        <v/>
      </c>
      <c r="AQ66" s="246">
        <v>480</v>
      </c>
      <c r="AR66" s="247">
        <v>-0.17654187528447879</v>
      </c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7" t="e">
        <f t="shared" si="20"/>
        <v>#VALUE!</v>
      </c>
      <c r="AG67" s="231" t="str">
        <f t="shared" si="26"/>
        <v/>
      </c>
      <c r="AH67" s="231" t="str">
        <f t="shared" si="21"/>
        <v/>
      </c>
      <c r="AI67" s="238" t="str">
        <f t="shared" si="22"/>
        <v/>
      </c>
      <c r="AJ67" s="239">
        <f t="shared" si="30"/>
        <v>540</v>
      </c>
      <c r="AK67" s="228" t="str">
        <f t="shared" si="23"/>
        <v/>
      </c>
      <c r="AL67" s="228" t="str">
        <f t="shared" si="27"/>
        <v/>
      </c>
      <c r="AM67" s="228" t="b">
        <f t="shared" si="24"/>
        <v>0</v>
      </c>
      <c r="AN67" s="240" t="str">
        <f t="shared" si="25"/>
        <v/>
      </c>
      <c r="AO67" s="239" t="str">
        <f t="array" ref="AO67:AP67">IF(AM67,INDEX($AH$31:$AI$72,AN67,0),"")</f>
        <v/>
      </c>
      <c r="AP67" s="240" t="str">
        <v/>
      </c>
      <c r="AQ67" s="246">
        <v>540</v>
      </c>
      <c r="AR67" s="247">
        <v>-0.20260582612653613</v>
      </c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7" t="e">
        <f t="shared" si="20"/>
        <v>#VALUE!</v>
      </c>
      <c r="AG68" s="231" t="str">
        <f t="shared" si="26"/>
        <v/>
      </c>
      <c r="AH68" s="231" t="str">
        <f t="shared" si="21"/>
        <v/>
      </c>
      <c r="AI68" s="238" t="str">
        <f t="shared" si="22"/>
        <v/>
      </c>
      <c r="AJ68" s="239">
        <f t="shared" si="30"/>
        <v>600</v>
      </c>
      <c r="AK68" s="228" t="str">
        <f t="shared" si="23"/>
        <v/>
      </c>
      <c r="AL68" s="228" t="str">
        <f t="shared" si="27"/>
        <v/>
      </c>
      <c r="AM68" s="228" t="b">
        <f t="shared" si="24"/>
        <v>0</v>
      </c>
      <c r="AN68" s="240" t="str">
        <f t="shared" si="25"/>
        <v/>
      </c>
      <c r="AO68" s="239" t="str">
        <f t="array" ref="AO68:AP68">IF(AM68,INDEX($AH$31:$AI$72,AN68,0),"")</f>
        <v/>
      </c>
      <c r="AP68" s="240" t="str">
        <v/>
      </c>
      <c r="AQ68" s="246">
        <v>600</v>
      </c>
      <c r="AR68" s="247">
        <v>-0.2478720983158853</v>
      </c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7" t="e">
        <f t="shared" si="20"/>
        <v>#VALUE!</v>
      </c>
      <c r="AG69" s="231" t="str">
        <f t="shared" si="26"/>
        <v/>
      </c>
      <c r="AH69" s="231" t="str">
        <f t="shared" si="21"/>
        <v/>
      </c>
      <c r="AI69" s="238" t="str">
        <f t="shared" si="22"/>
        <v/>
      </c>
      <c r="AJ69" s="239">
        <f t="shared" si="30"/>
        <v>660</v>
      </c>
      <c r="AK69" s="228" t="str">
        <f t="shared" si="23"/>
        <v/>
      </c>
      <c r="AL69" s="228" t="str">
        <f t="shared" si="27"/>
        <v/>
      </c>
      <c r="AM69" s="228" t="b">
        <f t="shared" si="24"/>
        <v>0</v>
      </c>
      <c r="AN69" s="240" t="str">
        <f t="shared" si="25"/>
        <v/>
      </c>
      <c r="AO69" s="239" t="str">
        <f t="array" ref="AO69:AP69">IF(AM69,INDEX($AH$31:$AI$72,AN69,0),"")</f>
        <v/>
      </c>
      <c r="AP69" s="240" t="str">
        <v/>
      </c>
      <c r="AQ69" s="246">
        <v>660</v>
      </c>
      <c r="AR69" s="247">
        <v>-0.3161811561219845</v>
      </c>
    </row>
    <row r="70" spans="2:44" ht="11.25" customHeight="1" x14ac:dyDescent="0.2">
      <c r="B70" s="301" t="s">
        <v>221</v>
      </c>
      <c r="C70" s="301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7" t="e">
        <f t="shared" si="20"/>
        <v>#VALUE!</v>
      </c>
      <c r="AG70" s="231" t="str">
        <f t="shared" si="26"/>
        <v/>
      </c>
      <c r="AH70" s="231" t="str">
        <f t="shared" si="21"/>
        <v/>
      </c>
      <c r="AI70" s="238" t="str">
        <f t="shared" si="22"/>
        <v/>
      </c>
      <c r="AJ70" s="239">
        <f t="shared" si="30"/>
        <v>720</v>
      </c>
      <c r="AK70" s="228" t="str">
        <f t="shared" si="23"/>
        <v/>
      </c>
      <c r="AL70" s="228" t="str">
        <f t="shared" si="27"/>
        <v/>
      </c>
      <c r="AM70" s="228" t="b">
        <f t="shared" si="24"/>
        <v>0</v>
      </c>
      <c r="AN70" s="240" t="str">
        <f t="shared" si="25"/>
        <v/>
      </c>
      <c r="AO70" s="239" t="str">
        <f t="array" ref="AO70:AP70">IF(AM70,INDEX($AH$31:$AI$72,AN70,0),"")</f>
        <v/>
      </c>
      <c r="AP70" s="240" t="str">
        <v/>
      </c>
      <c r="AQ70" s="246">
        <v>720</v>
      </c>
      <c r="AR70" s="247">
        <v>-0.4113734638142923</v>
      </c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7" t="e">
        <f t="shared" si="20"/>
        <v>#VALUE!</v>
      </c>
      <c r="AG71" s="231" t="str">
        <f t="shared" si="26"/>
        <v/>
      </c>
      <c r="AH71" s="231" t="str">
        <f t="shared" si="21"/>
        <v/>
      </c>
      <c r="AI71" s="238" t="str">
        <f t="shared" si="22"/>
        <v/>
      </c>
      <c r="AJ71" s="239">
        <f t="shared" si="30"/>
        <v>780</v>
      </c>
      <c r="AK71" s="228" t="str">
        <f t="shared" si="23"/>
        <v/>
      </c>
      <c r="AL71" s="228" t="str">
        <f t="shared" si="27"/>
        <v/>
      </c>
      <c r="AM71" s="228" t="b">
        <f t="shared" si="24"/>
        <v>0</v>
      </c>
      <c r="AN71" s="240" t="str">
        <f t="shared" si="25"/>
        <v/>
      </c>
      <c r="AO71" s="239" t="str">
        <f t="array" ref="AO71:AP71">IF(AM71,INDEX($AH$31:$AI$72,AN71,0),"")</f>
        <v/>
      </c>
      <c r="AP71" s="240" t="str">
        <v/>
      </c>
      <c r="AQ71" s="246">
        <v>780</v>
      </c>
      <c r="AR71" s="247">
        <v>-0.53728948566226697</v>
      </c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5" t="e">
        <f t="shared" si="20"/>
        <v>#VALUE!</v>
      </c>
      <c r="AG72" s="248" t="str">
        <f t="shared" si="26"/>
        <v/>
      </c>
      <c r="AH72" s="249" t="str">
        <f>IF(AH30,AQ29,AG72)</f>
        <v/>
      </c>
      <c r="AI72" s="249" t="e">
        <f>IF(AH30,INDEX(AF31:AF72,MATCH(AG29,AG31:AG72,0)),AF72)</f>
        <v>#VALUE!</v>
      </c>
      <c r="AJ72" s="242">
        <f t="shared" si="30"/>
        <v>840</v>
      </c>
      <c r="AK72" s="250" t="str">
        <f t="shared" si="23"/>
        <v/>
      </c>
      <c r="AL72" s="250" t="str">
        <f t="shared" si="27"/>
        <v/>
      </c>
      <c r="AM72" s="250" t="b">
        <f t="shared" si="24"/>
        <v>0</v>
      </c>
      <c r="AN72" s="251" t="str">
        <f t="shared" si="25"/>
        <v/>
      </c>
      <c r="AO72" s="242" t="str">
        <f t="array" ref="AO72:AP72">IF(AM72,INDEX($AH$31:$AI$72,AN72,0),"")</f>
        <v/>
      </c>
      <c r="AP72" s="251" t="str">
        <v/>
      </c>
      <c r="AQ72" s="252">
        <v>840</v>
      </c>
      <c r="AR72" s="253">
        <v>-0.69776968593536659</v>
      </c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3:E20 E23 E26:E67">
    <cfRule type="cellIs" dxfId="34" priority="9" stopIfTrue="1" operator="equal">
      <formula>FALSE</formula>
    </cfRule>
  </conditionalFormatting>
  <conditionalFormatting sqref="I3:L20 I23:L23">
    <cfRule type="expression" dxfId="33" priority="4" stopIfTrue="1">
      <formula>NOT($E3)</formula>
    </cfRule>
  </conditionalFormatting>
  <conditionalFormatting sqref="I26:L67">
    <cfRule type="expression" dxfId="32" priority="1" stopIfTrue="1">
      <formula>NOT($E26)</formula>
    </cfRule>
  </conditionalFormatting>
  <conditionalFormatting sqref="L3:L20">
    <cfRule type="expression" dxfId="31" priority="5" stopIfTrue="1">
      <formula>ISNUMBER(J3)</formula>
    </cfRule>
    <cfRule type="expression" dxfId="30" priority="8" stopIfTrue="1">
      <formula>ISNUMBER(K3)</formula>
    </cfRule>
  </conditionalFormatting>
  <conditionalFormatting sqref="L23">
    <cfRule type="expression" dxfId="29" priority="3" stopIfTrue="1">
      <formula>ISNUMBER(J23)</formula>
    </cfRule>
    <cfRule type="expression" dxfId="28" priority="7" stopIfTrue="1">
      <formula>ISNUMBER(K23)</formula>
    </cfRule>
  </conditionalFormatting>
  <conditionalFormatting sqref="L26:L67">
    <cfRule type="expression" dxfId="27" priority="2" stopIfTrue="1">
      <formula>ISNUMBER(J26)</formula>
    </cfRule>
    <cfRule type="expression" dxfId="26" priority="6" stopIfTrue="1">
      <formula>ISNUMBER(K26)</formula>
    </cfRule>
  </conditionalFormatting>
  <dataValidations count="8">
    <dataValidation type="list" allowBlank="1" showInputMessage="1" showErrorMessage="1" sqref="C14 C33 C37">
      <formula1>INDEX(dvCurveBootstrapperDayCount,0,1)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40">
      <formula1>INDEX(dvCurveBootstrapperOutputType,0,1)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3" tint="0.59999389629810485"/>
    <outlinePr summaryRight="0"/>
  </sheetPr>
  <dimension ref="A1:AR97"/>
  <sheetViews>
    <sheetView showGridLines="0" workbookViewId="0">
      <selection activeCell="C9" sqref="C9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11.1640625" style="66" customWidth="1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3.66406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3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328" t="s">
        <v>97</v>
      </c>
      <c r="C2" s="32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0</v>
      </c>
      <c r="U2" s="202" t="s">
        <v>96</v>
      </c>
      <c r="V2" s="202" t="s">
        <v>145</v>
      </c>
      <c r="W2"/>
      <c r="X2"/>
      <c r="Y2" s="224" t="s">
        <v>82</v>
      </c>
      <c r="Z2" s="307" t="s">
        <v>71</v>
      </c>
      <c r="AA2" s="308" t="s">
        <v>70</v>
      </c>
      <c r="AB2" s="221"/>
      <c r="AC2" s="221"/>
      <c r="AD2" s="221"/>
      <c r="AF2" s="201" t="s">
        <v>154</v>
      </c>
      <c r="AG2" s="200"/>
      <c r="AH2" s="200"/>
      <c r="AI2" s="199"/>
    </row>
    <row r="3" spans="1:35" ht="11.25" customHeight="1" x14ac:dyDescent="0.2">
      <c r="A3" s="66"/>
      <c r="B3" s="198" t="s">
        <v>95</v>
      </c>
      <c r="C3" s="197">
        <f>EvaluationDate</f>
        <v>41992</v>
      </c>
      <c r="D3" s="66"/>
      <c r="E3" s="206" t="b">
        <v>0</v>
      </c>
      <c r="F3" s="207" t="str">
        <f>Y3</f>
        <v>ON</v>
      </c>
      <c r="G3" s="180">
        <v>0</v>
      </c>
      <c r="H3" s="208" t="s">
        <v>24</v>
      </c>
      <c r="I3" s="204" t="e">
        <f t="array" ref="I3:I4">100*AI17:AI18</f>
        <v>#VALUE!</v>
      </c>
      <c r="J3" s="209"/>
      <c r="K3" s="210"/>
      <c r="L3" s="209" t="e">
        <f t="shared" ref="L3:L20" si="0">IF(ISNUMBER(J3),J3,I3)+K3</f>
        <v>#VALUE!</v>
      </c>
      <c r="M3" s="129">
        <v>1</v>
      </c>
      <c r="N3" s="127" t="str">
        <f t="shared" ref="N3:N20" si="1">IF(E3,M3,"")</f>
        <v/>
      </c>
      <c r="O3" s="73" t="str">
        <f>IF($S$2&gt;0,1,"")</f>
        <v/>
      </c>
      <c r="P3" s="127" t="str">
        <f t="shared" ref="P3:P20" si="2">IF(LEN(O3)&gt;0,SMALL($N$3:$N$20,O3),"")</f>
        <v/>
      </c>
      <c r="Q3" s="129" t="str">
        <f t="shared" ref="Q3:Q20" si="3">IF(LEN(O3)&gt;0,INDEX($G$3:$G$20,$P3),"")</f>
        <v/>
      </c>
      <c r="R3" s="128" t="str">
        <f t="shared" ref="R3:R20" si="4">IF(LEN(P3)&gt;0,INDEX($H$3:$H$20,$P3),"")</f>
        <v/>
      </c>
      <c r="S3" s="150" t="str">
        <f t="shared" ref="S3:S20" si="5">IF(LEN(P3)&gt;0,INDEX($L$3:$L$20,$P3),"")</f>
        <v/>
      </c>
      <c r="U3" s="196">
        <f t="array" ref="U3:V79">_xll.xlCCBasisCurveBootstrapper(C4,C3,C5,C6,L23,S2,Q3:S20,0,U2:V2,S25,R26:S67,C11,C12,C13,C45,B48:B69,C48:C69,C15)</f>
        <v>41992</v>
      </c>
      <c r="V3" s="195">
        <v>1</v>
      </c>
      <c r="W3"/>
      <c r="X3"/>
      <c r="Y3" s="229" t="s">
        <v>94</v>
      </c>
      <c r="Z3" s="229">
        <f>_xll.RtGet($AD$3,$AD$4&amp;$Y3&amp;$AD$5,Z$2)</f>
        <v>0.47000000000000003</v>
      </c>
      <c r="AA3" s="232">
        <f>_xll.RtGet($AD$3,$AD$4&amp;$Y3&amp;$AD$5,AA$2)</f>
        <v>0.57000000000000006</v>
      </c>
      <c r="AB3" s="221"/>
      <c r="AC3" s="309" t="s">
        <v>68</v>
      </c>
      <c r="AD3" s="310" t="s">
        <v>67</v>
      </c>
      <c r="AF3" s="194" t="s">
        <v>172</v>
      </c>
      <c r="AG3" s="193"/>
      <c r="AH3" s="193"/>
      <c r="AI3" s="217" t="s">
        <v>231</v>
      </c>
    </row>
    <row r="4" spans="1:35" ht="11.25" customHeight="1" x14ac:dyDescent="0.2">
      <c r="A4" s="66"/>
      <c r="B4" s="192" t="s">
        <v>91</v>
      </c>
      <c r="C4" s="191" t="s">
        <v>227</v>
      </c>
      <c r="D4" s="66"/>
      <c r="E4" s="211" t="b">
        <v>0</v>
      </c>
      <c r="F4" s="212" t="str">
        <f>Y4</f>
        <v>TN</v>
      </c>
      <c r="G4" s="213">
        <v>0</v>
      </c>
      <c r="H4" s="214" t="s">
        <v>93</v>
      </c>
      <c r="I4" s="205" t="e">
        <v>#VALUE!</v>
      </c>
      <c r="J4" s="215"/>
      <c r="K4" s="216"/>
      <c r="L4" s="215" t="e">
        <f t="shared" si="0"/>
        <v>#VALUE!</v>
      </c>
      <c r="M4" s="80">
        <f t="shared" ref="M4:M20" si="6">M3+1</f>
        <v>2</v>
      </c>
      <c r="N4" s="78" t="str">
        <f t="shared" si="1"/>
        <v/>
      </c>
      <c r="O4" s="80" t="str">
        <f t="shared" ref="O4:O20" si="7">IF(O3&lt;$S$2,O3+1,"")</f>
        <v/>
      </c>
      <c r="P4" s="78" t="str">
        <f t="shared" si="2"/>
        <v/>
      </c>
      <c r="Q4" s="80" t="str">
        <f t="shared" si="3"/>
        <v/>
      </c>
      <c r="R4" s="79" t="str">
        <f t="shared" si="4"/>
        <v/>
      </c>
      <c r="S4" s="93" t="str">
        <f t="shared" si="5"/>
        <v/>
      </c>
      <c r="U4" s="72">
        <v>42361</v>
      </c>
      <c r="V4" s="71">
        <v>0.99575362277498747</v>
      </c>
      <c r="W4"/>
      <c r="X4"/>
      <c r="Y4" s="237" t="s">
        <v>92</v>
      </c>
      <c r="Z4" s="237">
        <f>_xll.RtGet($AD$3,$AD$4&amp;$Y4&amp;$AD$5,Z$2)</f>
        <v>0.47000000000000003</v>
      </c>
      <c r="AA4" s="238">
        <f>_xll.RtGet($AD$3,$AD$4&amp;$Y4&amp;$AD$5,AA$2)</f>
        <v>0.57000000000000006</v>
      </c>
      <c r="AB4" s="221"/>
      <c r="AC4" s="311" t="s">
        <v>66</v>
      </c>
      <c r="AD4" s="312" t="s">
        <v>153</v>
      </c>
      <c r="AF4" s="124" t="s">
        <v>128</v>
      </c>
      <c r="AG4" s="177"/>
      <c r="AH4" s="177"/>
      <c r="AI4" s="190">
        <f>_xll.xlDateWorkFw($C$6,$C$3+1,0)</f>
        <v>41995</v>
      </c>
    </row>
    <row r="5" spans="1:35" ht="11.25" customHeight="1" x14ac:dyDescent="0.2">
      <c r="A5" s="68"/>
      <c r="B5" s="189" t="s">
        <v>98</v>
      </c>
      <c r="C5" s="157" t="s">
        <v>100</v>
      </c>
      <c r="D5" s="66"/>
      <c r="E5" s="91" t="b">
        <v>0</v>
      </c>
      <c r="F5" s="188" t="str">
        <f>Y5</f>
        <v>SN</v>
      </c>
      <c r="G5" s="75">
        <v>0</v>
      </c>
      <c r="H5" s="76" t="s">
        <v>90</v>
      </c>
      <c r="I5" s="90">
        <f>AVERAGE(Z5:AA5)</f>
        <v>0.52</v>
      </c>
      <c r="J5" s="88"/>
      <c r="K5" s="89"/>
      <c r="L5" s="88">
        <f t="shared" si="0"/>
        <v>0.52</v>
      </c>
      <c r="M5" s="80">
        <f t="shared" si="6"/>
        <v>3</v>
      </c>
      <c r="N5" s="78" t="str">
        <f t="shared" si="1"/>
        <v/>
      </c>
      <c r="O5" s="80" t="str">
        <f t="shared" si="7"/>
        <v/>
      </c>
      <c r="P5" s="78" t="str">
        <f t="shared" si="2"/>
        <v/>
      </c>
      <c r="Q5" s="80" t="str">
        <f t="shared" si="3"/>
        <v/>
      </c>
      <c r="R5" s="79" t="str">
        <f t="shared" si="4"/>
        <v/>
      </c>
      <c r="S5" s="93" t="str">
        <f t="shared" si="5"/>
        <v/>
      </c>
      <c r="U5" s="72">
        <v>42727</v>
      </c>
      <c r="V5" s="71">
        <v>0.99151271007643205</v>
      </c>
      <c r="W5"/>
      <c r="X5"/>
      <c r="Y5" s="225" t="s">
        <v>89</v>
      </c>
      <c r="Z5" s="225">
        <f>_xll.RtGet($AD$3,$AD$4&amp;$Y5&amp;$AD$5,Z$2)</f>
        <v>0.47000000000000003</v>
      </c>
      <c r="AA5" s="313">
        <f>_xll.RtGet($AD$3,$AD$4&amp;$Y5&amp;$AD$5,AA$2)</f>
        <v>0.57000000000000006</v>
      </c>
      <c r="AB5" s="221"/>
      <c r="AC5" s="314" t="s">
        <v>63</v>
      </c>
      <c r="AD5" s="315" t="s">
        <v>152</v>
      </c>
      <c r="AF5" s="121" t="s">
        <v>129</v>
      </c>
      <c r="AG5" s="68"/>
      <c r="AH5" s="68"/>
      <c r="AI5" s="187">
        <f>_xll.xlDateWorkFw($C$6,$AI$4+1,0)</f>
        <v>41996</v>
      </c>
    </row>
    <row r="6" spans="1:35" ht="11.25" customHeight="1" x14ac:dyDescent="0.2">
      <c r="A6" s="68"/>
      <c r="B6" s="186" t="s">
        <v>99</v>
      </c>
      <c r="C6" s="119" t="s">
        <v>222</v>
      </c>
      <c r="D6" s="66"/>
      <c r="E6" s="185" t="b">
        <v>0</v>
      </c>
      <c r="F6" s="184">
        <v>1</v>
      </c>
      <c r="G6" s="129">
        <v>1</v>
      </c>
      <c r="H6" s="127" t="s">
        <v>86</v>
      </c>
      <c r="I6" s="154" t="e">
        <f>AVERAGE(Z8:AA8)</f>
        <v>#DIV/0!</v>
      </c>
      <c r="J6" s="152"/>
      <c r="K6" s="153"/>
      <c r="L6" s="152" t="e">
        <f t="shared" si="0"/>
        <v>#DIV/0!</v>
      </c>
      <c r="M6" s="80">
        <f t="shared" si="6"/>
        <v>4</v>
      </c>
      <c r="N6" s="78" t="str">
        <f t="shared" si="1"/>
        <v/>
      </c>
      <c r="O6" s="80" t="str">
        <f t="shared" si="7"/>
        <v/>
      </c>
      <c r="P6" s="78" t="str">
        <f t="shared" si="2"/>
        <v/>
      </c>
      <c r="Q6" s="80" t="str">
        <f t="shared" si="3"/>
        <v/>
      </c>
      <c r="R6" s="79" t="str">
        <f t="shared" si="4"/>
        <v/>
      </c>
      <c r="S6" s="93" t="str">
        <f t="shared" si="5"/>
        <v/>
      </c>
      <c r="U6" s="72">
        <v>43096</v>
      </c>
      <c r="V6" s="71">
        <v>0.98198403721832883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3">
        <f>_xll.xlDateWorkFw($C$6,$AI$5+7,0)</f>
        <v>42003</v>
      </c>
    </row>
    <row r="7" spans="1:35" ht="11.25" customHeight="1" x14ac:dyDescent="0.2">
      <c r="A7" s="68"/>
      <c r="B7" s="147" t="s">
        <v>123</v>
      </c>
      <c r="C7" s="136" t="s">
        <v>222</v>
      </c>
      <c r="D7" s="66"/>
      <c r="E7" s="98" t="b">
        <v>0</v>
      </c>
      <c r="F7" s="182">
        <f>Y9</f>
        <v>2</v>
      </c>
      <c r="G7" s="80">
        <v>2</v>
      </c>
      <c r="H7" s="78" t="s">
        <v>86</v>
      </c>
      <c r="I7" s="97" t="e">
        <f>AVERAGE(Z9:AA9)</f>
        <v>#DIV/0!</v>
      </c>
      <c r="J7" s="95"/>
      <c r="K7" s="96"/>
      <c r="L7" s="95" t="e">
        <f t="shared" si="0"/>
        <v>#DIV/0!</v>
      </c>
      <c r="M7" s="80">
        <f t="shared" si="6"/>
        <v>5</v>
      </c>
      <c r="N7" s="78" t="str">
        <f t="shared" si="1"/>
        <v/>
      </c>
      <c r="O7" s="80" t="str">
        <f t="shared" si="7"/>
        <v/>
      </c>
      <c r="P7" s="78" t="str">
        <f t="shared" si="2"/>
        <v/>
      </c>
      <c r="Q7" s="80" t="str">
        <f t="shared" si="3"/>
        <v/>
      </c>
      <c r="R7" s="79" t="str">
        <f t="shared" si="4"/>
        <v/>
      </c>
      <c r="S7" s="93" t="str">
        <f t="shared" si="5"/>
        <v/>
      </c>
      <c r="U7" s="72">
        <v>43461</v>
      </c>
      <c r="V7" s="71">
        <v>0.96965572933154898</v>
      </c>
      <c r="W7"/>
      <c r="X7"/>
      <c r="Y7" s="133" t="s">
        <v>82</v>
      </c>
      <c r="Z7" s="135" t="s">
        <v>71</v>
      </c>
      <c r="AA7" s="134" t="s">
        <v>70</v>
      </c>
      <c r="AF7" s="124" t="s">
        <v>234</v>
      </c>
      <c r="AG7" s="177"/>
      <c r="AH7" s="177"/>
      <c r="AI7" s="176" t="str">
        <f t="array" ref="AI7:AI9">_xll.xlShmInterpDisc($AI$3,AI4:AI6+0*TYPE(ObjectsTrigger))</f>
        <v>Date before first TermStructure's date.</v>
      </c>
    </row>
    <row r="8" spans="1:35" ht="11.25" customHeight="1" x14ac:dyDescent="0.2">
      <c r="A8" s="68"/>
      <c r="B8" s="140" t="s">
        <v>107</v>
      </c>
      <c r="C8" s="119" t="s">
        <v>174</v>
      </c>
      <c r="D8" s="66"/>
      <c r="E8" s="91" t="b">
        <v>0</v>
      </c>
      <c r="F8" s="181">
        <f>Y10</f>
        <v>3</v>
      </c>
      <c r="G8" s="75">
        <v>3</v>
      </c>
      <c r="H8" s="76" t="s">
        <v>86</v>
      </c>
      <c r="I8" s="90" t="e">
        <f>AVERAGE(Z10:AA10)</f>
        <v>#DIV/0!</v>
      </c>
      <c r="J8" s="88"/>
      <c r="K8" s="89"/>
      <c r="L8" s="88" t="e">
        <f t="shared" si="0"/>
        <v>#DIV/0!</v>
      </c>
      <c r="M8" s="80">
        <f t="shared" si="6"/>
        <v>6</v>
      </c>
      <c r="N8" s="78" t="str">
        <f t="shared" si="1"/>
        <v/>
      </c>
      <c r="O8" s="80" t="str">
        <f t="shared" si="7"/>
        <v/>
      </c>
      <c r="P8" s="78" t="str">
        <f t="shared" si="2"/>
        <v/>
      </c>
      <c r="Q8" s="80" t="str">
        <f t="shared" si="3"/>
        <v/>
      </c>
      <c r="R8" s="79" t="str">
        <f t="shared" si="4"/>
        <v/>
      </c>
      <c r="S8" s="93" t="str">
        <f t="shared" si="5"/>
        <v/>
      </c>
      <c r="U8" s="72">
        <v>43822</v>
      </c>
      <c r="V8" s="71">
        <v>0.95347666176591317</v>
      </c>
      <c r="W8"/>
      <c r="X8"/>
      <c r="Y8" s="180" t="s">
        <v>85</v>
      </c>
      <c r="Z8" s="129" t="str">
        <f>_xll.RtGet($AD$8,$AD$9&amp;$Y8&amp;$AD$10,Z$7)</f>
        <v>#N/A RIC Not Found</v>
      </c>
      <c r="AA8" s="127" t="str">
        <f>_xll.RtGet($AD$8,$AD$9&amp;$Y8&amp;$AD$10,AA$7)</f>
        <v>#N/A RIC Not Found</v>
      </c>
      <c r="AC8" s="124" t="s">
        <v>68</v>
      </c>
      <c r="AD8" s="123" t="s">
        <v>102</v>
      </c>
      <c r="AF8" s="24" t="s">
        <v>235</v>
      </c>
      <c r="AG8" s="68"/>
      <c r="AH8" s="68"/>
      <c r="AI8" s="170" t="str">
        <v>Date before first TermStructure's date.</v>
      </c>
    </row>
    <row r="9" spans="1:35" ht="11.25" customHeight="1" x14ac:dyDescent="0.2">
      <c r="A9" s="68"/>
      <c r="B9" s="140" t="s">
        <v>108</v>
      </c>
      <c r="C9" s="119" t="s">
        <v>144</v>
      </c>
      <c r="D9" s="66"/>
      <c r="E9" s="98" t="b">
        <v>0</v>
      </c>
      <c r="F9" s="169">
        <f t="shared" ref="F9:F20" si="8">Y13</f>
        <v>1</v>
      </c>
      <c r="G9" s="80">
        <v>1</v>
      </c>
      <c r="H9" s="78" t="s">
        <v>81</v>
      </c>
      <c r="I9" s="97" t="e">
        <f t="shared" ref="I9:I20" si="9">AVERAGE(Z13:AA13)</f>
        <v>#DIV/0!</v>
      </c>
      <c r="J9" s="95"/>
      <c r="K9" s="96"/>
      <c r="L9" s="95" t="e">
        <f t="shared" si="0"/>
        <v>#DIV/0!</v>
      </c>
      <c r="M9" s="80">
        <f t="shared" si="6"/>
        <v>7</v>
      </c>
      <c r="N9" s="78" t="str">
        <f t="shared" si="1"/>
        <v/>
      </c>
      <c r="O9" s="80" t="str">
        <f t="shared" si="7"/>
        <v/>
      </c>
      <c r="P9" s="78" t="str">
        <f t="shared" si="2"/>
        <v/>
      </c>
      <c r="Q9" s="80" t="str">
        <f t="shared" si="3"/>
        <v/>
      </c>
      <c r="R9" s="79" t="str">
        <f t="shared" si="4"/>
        <v/>
      </c>
      <c r="S9" s="93" t="str">
        <f t="shared" si="5"/>
        <v/>
      </c>
      <c r="U9" s="72">
        <v>44553</v>
      </c>
      <c r="V9" s="71">
        <v>0.91420810772472261</v>
      </c>
      <c r="W9"/>
      <c r="X9"/>
      <c r="Y9" s="80">
        <v>2</v>
      </c>
      <c r="Z9" s="80" t="str">
        <f>_xll.RtGet($AD$8,$AD$9&amp;$Y9&amp;$AD$10,Z$7)</f>
        <v>#N/A RIC Not Found</v>
      </c>
      <c r="AA9" s="78" t="str">
        <f>_xll.RtGet($AD$8,$AD$9&amp;$Y9&amp;$AD$10,AA$7)</f>
        <v>#N/A RIC Not Found</v>
      </c>
      <c r="AC9" s="121" t="s">
        <v>66</v>
      </c>
      <c r="AD9" s="120"/>
      <c r="AF9" s="25" t="s">
        <v>236</v>
      </c>
      <c r="AG9" s="168"/>
      <c r="AH9" s="168"/>
      <c r="AI9" s="167" t="str">
        <v>Date before first TermStructure's date.</v>
      </c>
    </row>
    <row r="10" spans="1:35" ht="11.25" customHeight="1" x14ac:dyDescent="0.2">
      <c r="A10" s="68"/>
      <c r="B10" s="179" t="s">
        <v>109</v>
      </c>
      <c r="C10" s="119" t="s">
        <v>230</v>
      </c>
      <c r="D10" s="66"/>
      <c r="E10" s="98" t="b">
        <v>0</v>
      </c>
      <c r="F10" s="169">
        <f t="shared" si="8"/>
        <v>2</v>
      </c>
      <c r="G10" s="80">
        <v>2</v>
      </c>
      <c r="H10" s="78" t="s">
        <v>81</v>
      </c>
      <c r="I10" s="97" t="e">
        <f t="shared" si="9"/>
        <v>#DIV/0!</v>
      </c>
      <c r="J10" s="95"/>
      <c r="K10" s="96"/>
      <c r="L10" s="95" t="e">
        <f t="shared" si="0"/>
        <v>#DIV/0!</v>
      </c>
      <c r="M10" s="80">
        <f t="shared" si="6"/>
        <v>8</v>
      </c>
      <c r="N10" s="78" t="str">
        <f t="shared" si="1"/>
        <v/>
      </c>
      <c r="O10" s="80" t="str">
        <f t="shared" si="7"/>
        <v/>
      </c>
      <c r="P10" s="78" t="str">
        <f t="shared" si="2"/>
        <v/>
      </c>
      <c r="Q10" s="80" t="str">
        <f t="shared" si="3"/>
        <v/>
      </c>
      <c r="R10" s="79" t="str">
        <f t="shared" si="4"/>
        <v/>
      </c>
      <c r="S10" s="93" t="str">
        <f t="shared" si="5"/>
        <v/>
      </c>
      <c r="U10" s="72">
        <v>45649</v>
      </c>
      <c r="V10" s="71">
        <v>0.8474174300498174</v>
      </c>
      <c r="W10"/>
      <c r="X10"/>
      <c r="Y10" s="75">
        <v>3</v>
      </c>
      <c r="Z10" s="75" t="str">
        <f>_xll.RtGet($AD$8,$AD$9&amp;$Y10&amp;$AD$10,Z$7)</f>
        <v>#N/A RIC Not Found</v>
      </c>
      <c r="AA10" s="76" t="str">
        <f>_xll.RtGet($AD$8,$AD$9&amp;$Y10&amp;$AD$10,AA$7)</f>
        <v>#N/A RIC Not Found</v>
      </c>
      <c r="AC10" s="118" t="s">
        <v>63</v>
      </c>
      <c r="AD10" s="117" t="s">
        <v>103</v>
      </c>
      <c r="AF10" s="178" t="s">
        <v>237</v>
      </c>
      <c r="AG10" s="177"/>
      <c r="AH10" s="177"/>
      <c r="AI10" s="126">
        <v>7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0</v>
      </c>
      <c r="F11" s="169">
        <f t="shared" si="8"/>
        <v>3</v>
      </c>
      <c r="G11" s="80">
        <v>3</v>
      </c>
      <c r="H11" s="78" t="s">
        <v>81</v>
      </c>
      <c r="I11" s="97" t="e">
        <f t="shared" si="9"/>
        <v>#DIV/0!</v>
      </c>
      <c r="J11" s="95"/>
      <c r="K11" s="96"/>
      <c r="L11" s="95" t="e">
        <f t="shared" si="0"/>
        <v>#DIV/0!</v>
      </c>
      <c r="M11" s="80">
        <f t="shared" si="6"/>
        <v>9</v>
      </c>
      <c r="N11" s="78" t="str">
        <f t="shared" si="1"/>
        <v/>
      </c>
      <c r="O11" s="80" t="str">
        <f t="shared" si="7"/>
        <v/>
      </c>
      <c r="P11" s="78" t="str">
        <f t="shared" si="2"/>
        <v/>
      </c>
      <c r="Q11" s="80" t="str">
        <f t="shared" si="3"/>
        <v/>
      </c>
      <c r="R11" s="79" t="str">
        <f t="shared" si="4"/>
        <v/>
      </c>
      <c r="S11" s="93" t="str">
        <f t="shared" si="5"/>
        <v/>
      </c>
      <c r="U11" s="72">
        <v>47479</v>
      </c>
      <c r="V11" s="71">
        <v>0.73278117253822239</v>
      </c>
      <c r="W11"/>
      <c r="X11"/>
      <c r="Y11" s="79"/>
      <c r="Z11" s="79"/>
      <c r="AA11" s="79"/>
      <c r="AF11" s="118" t="s">
        <v>220</v>
      </c>
      <c r="AG11" s="168"/>
      <c r="AH11" s="168"/>
      <c r="AI11" s="299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0</v>
      </c>
      <c r="F12" s="169">
        <f t="shared" si="8"/>
        <v>4</v>
      </c>
      <c r="G12" s="80">
        <v>4</v>
      </c>
      <c r="H12" s="78" t="s">
        <v>81</v>
      </c>
      <c r="I12" s="97" t="e">
        <f t="shared" si="9"/>
        <v>#DIV/0!</v>
      </c>
      <c r="J12" s="95"/>
      <c r="K12" s="96"/>
      <c r="L12" s="95" t="e">
        <f t="shared" si="0"/>
        <v>#DIV/0!</v>
      </c>
      <c r="M12" s="80">
        <f t="shared" si="6"/>
        <v>10</v>
      </c>
      <c r="N12" s="78" t="str">
        <f t="shared" si="1"/>
        <v/>
      </c>
      <c r="O12" s="80" t="str">
        <f t="shared" si="7"/>
        <v/>
      </c>
      <c r="P12" s="78" t="str">
        <f t="shared" si="2"/>
        <v/>
      </c>
      <c r="Q12" s="80" t="str">
        <f t="shared" si="3"/>
        <v/>
      </c>
      <c r="R12" s="79" t="str">
        <f t="shared" si="4"/>
        <v/>
      </c>
      <c r="S12" s="93" t="str">
        <f t="shared" si="5"/>
        <v/>
      </c>
      <c r="U12" s="72">
        <v>49305</v>
      </c>
      <c r="V12" s="71">
        <v>0.62904483617747087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219</v>
      </c>
      <c r="AG12" s="177"/>
      <c r="AH12" s="177"/>
      <c r="AI12" s="176">
        <f>_xll.xlYrfDayCount(AI5,AI6,AI10)</f>
        <v>1.9178082191780823E-2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0</v>
      </c>
      <c r="F13" s="169">
        <f t="shared" si="8"/>
        <v>5</v>
      </c>
      <c r="G13" s="80">
        <v>5</v>
      </c>
      <c r="H13" s="78" t="s">
        <v>81</v>
      </c>
      <c r="I13" s="97" t="e">
        <f t="shared" si="9"/>
        <v>#DIV/0!</v>
      </c>
      <c r="J13" s="95"/>
      <c r="K13" s="96"/>
      <c r="L13" s="95" t="e">
        <f t="shared" si="0"/>
        <v>#DIV/0!</v>
      </c>
      <c r="M13" s="80">
        <f t="shared" si="6"/>
        <v>11</v>
      </c>
      <c r="N13" s="78" t="str">
        <f t="shared" si="1"/>
        <v/>
      </c>
      <c r="O13" s="80" t="str">
        <f t="shared" si="7"/>
        <v/>
      </c>
      <c r="P13" s="78" t="str">
        <f t="shared" si="2"/>
        <v/>
      </c>
      <c r="Q13" s="80" t="str">
        <f t="shared" si="3"/>
        <v/>
      </c>
      <c r="R13" s="79" t="str">
        <f t="shared" si="4"/>
        <v/>
      </c>
      <c r="S13" s="93" t="str">
        <f t="shared" si="5"/>
        <v/>
      </c>
      <c r="U13" s="72" t="e">
        <v>#N/A</v>
      </c>
      <c r="V13" s="71" t="e">
        <v>#N/A</v>
      </c>
      <c r="W13"/>
      <c r="X13"/>
      <c r="Y13" s="80">
        <v>1</v>
      </c>
      <c r="Z13" s="80" t="str">
        <f>_xll.RtGet($AD$13,$AD$14&amp;$Y13&amp;$AD$15,Z$12)</f>
        <v>#N/A RIC Not Found</v>
      </c>
      <c r="AA13" s="78" t="str">
        <f>_xll.RtGet($AD$13,$AD$14&amp;$Y13&amp;$AD$15,AA$12)</f>
        <v>#N/A RIC Not Found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 t="e">
        <f>LN((1+$AI$12*L6/100)*(AI9/AI8))/_xll.xlYrfDayCount($AI$5,$AI$6,$AI$11)</f>
        <v>#DIV/0!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0</v>
      </c>
      <c r="F14" s="169">
        <f t="shared" si="8"/>
        <v>6</v>
      </c>
      <c r="G14" s="80">
        <v>6</v>
      </c>
      <c r="H14" s="78" t="s">
        <v>81</v>
      </c>
      <c r="I14" s="97">
        <f t="shared" si="9"/>
        <v>-9.2241785000000007E-2</v>
      </c>
      <c r="J14" s="95"/>
      <c r="K14" s="96"/>
      <c r="L14" s="95">
        <f t="shared" si="0"/>
        <v>-9.2241785000000007E-2</v>
      </c>
      <c r="M14" s="80">
        <f t="shared" si="6"/>
        <v>12</v>
      </c>
      <c r="N14" s="78" t="str">
        <f t="shared" si="1"/>
        <v/>
      </c>
      <c r="O14" s="80" t="str">
        <f t="shared" si="7"/>
        <v/>
      </c>
      <c r="P14" s="78" t="str">
        <f t="shared" si="2"/>
        <v/>
      </c>
      <c r="Q14" s="80" t="str">
        <f t="shared" si="3"/>
        <v/>
      </c>
      <c r="R14" s="79" t="str">
        <f t="shared" si="4"/>
        <v/>
      </c>
      <c r="S14" s="93" t="str">
        <f t="shared" si="5"/>
        <v/>
      </c>
      <c r="U14" s="72" t="e">
        <v>#N/A</v>
      </c>
      <c r="V14" s="71" t="e">
        <v>#N/A</v>
      </c>
      <c r="W14"/>
      <c r="X14"/>
      <c r="Y14" s="80">
        <v>2</v>
      </c>
      <c r="Z14" s="80" t="str">
        <f>_xll.RtGet($AD$13,$AD$14&amp;$Y14&amp;$AD$15,Z$12)</f>
        <v>#N/A RIC Not Found</v>
      </c>
      <c r="AA14" s="78" t="str">
        <f>_xll.RtGet($AD$13,$AD$14&amp;$Y14&amp;$AD$15,AA$12)</f>
        <v>#N/A RIC Not Found</v>
      </c>
      <c r="AC14" s="121" t="s">
        <v>66</v>
      </c>
      <c r="AD14" s="120"/>
      <c r="AF14" s="24" t="s">
        <v>238</v>
      </c>
      <c r="AG14" s="68"/>
      <c r="AH14" s="68"/>
      <c r="AI14" s="170" t="e">
        <f>AI7*EXP(-$AI$13*_xll.xlYrfDayCount($C$3,AI4,$AI$11))</f>
        <v>#VALUE!</v>
      </c>
    </row>
    <row r="15" spans="1:35" ht="11.25" customHeight="1" x14ac:dyDescent="0.2">
      <c r="A15" s="173">
        <v>90</v>
      </c>
      <c r="B15" s="172" t="s">
        <v>101</v>
      </c>
      <c r="C15" s="171">
        <f>_xll.RtNow(A15&amp;"s")</f>
        <v>0.73553240740875481</v>
      </c>
      <c r="D15" s="66"/>
      <c r="E15" s="98" t="b">
        <v>0</v>
      </c>
      <c r="F15" s="169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 t="e">
        <v>#N/A</v>
      </c>
      <c r="V15" s="71" t="e">
        <v>#N/A</v>
      </c>
      <c r="W15"/>
      <c r="X15"/>
      <c r="Y15" s="80">
        <v>3</v>
      </c>
      <c r="Z15" s="80" t="str">
        <f>_xll.RtGet($AD$13,$AD$14&amp;$Y15&amp;$AD$15,Z$12)</f>
        <v>#N/A RIC Not Found</v>
      </c>
      <c r="AA15" s="78" t="str">
        <f>_xll.RtGet($AD$13,$AD$14&amp;$Y15&amp;$AD$15,AA$12)</f>
        <v>#N/A RIC Not Found</v>
      </c>
      <c r="AB15" s="67"/>
      <c r="AC15" s="118" t="s">
        <v>63</v>
      </c>
      <c r="AD15" s="117" t="s">
        <v>104</v>
      </c>
      <c r="AF15" s="24" t="s">
        <v>239</v>
      </c>
      <c r="AG15" s="68"/>
      <c r="AH15" s="68"/>
      <c r="AI15" s="170" t="e">
        <f>AI8*EXP(-$AI$13*_xll.xlYrfDayCount($C$3,AI5,$AI$11))</f>
        <v>#VALUE!</v>
      </c>
    </row>
    <row r="16" spans="1:35" ht="11.25" customHeight="1" x14ac:dyDescent="0.2">
      <c r="A16" s="68"/>
      <c r="D16" s="66"/>
      <c r="E16" s="98" t="b">
        <v>0</v>
      </c>
      <c r="F16" s="169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 t="e">
        <v>#N/A</v>
      </c>
      <c r="V16" s="71" t="e">
        <v>#N/A</v>
      </c>
      <c r="W16"/>
      <c r="X16"/>
      <c r="Y16" s="80">
        <v>4</v>
      </c>
      <c r="Z16" s="80" t="str">
        <f>_xll.RtGet($AD$13,$AD$14&amp;$Y16&amp;$AD$15,Z$12)</f>
        <v>#N/A RIC Not Found</v>
      </c>
      <c r="AA16" s="78" t="str">
        <f>_xll.RtGet($AD$13,$AD$14&amp;$Y16&amp;$AD$15,AA$12)</f>
        <v>#N/A RIC Not Found</v>
      </c>
      <c r="AB16" s="67"/>
      <c r="AC16" s="67"/>
      <c r="AD16" s="67"/>
      <c r="AF16" s="25" t="s">
        <v>240</v>
      </c>
      <c r="AG16" s="168"/>
      <c r="AH16" s="168"/>
      <c r="AI16" s="167" t="e">
        <f>AI9*EXP(-$AI$13*_xll.xlYrfDayCount($C$3,AI6,$AI$11))</f>
        <v>#VALUE!</v>
      </c>
    </row>
    <row r="17" spans="1:44" ht="11.25" customHeight="1" x14ac:dyDescent="0.2">
      <c r="A17" s="68"/>
      <c r="D17" s="66"/>
      <c r="E17" s="98" t="b">
        <v>0</v>
      </c>
      <c r="F17" s="169">
        <f t="shared" si="8"/>
        <v>9</v>
      </c>
      <c r="G17" s="80">
        <v>9</v>
      </c>
      <c r="H17" s="78" t="s">
        <v>81</v>
      </c>
      <c r="I17" s="97" t="e">
        <f t="shared" si="9"/>
        <v>#DIV/0!</v>
      </c>
      <c r="J17" s="95"/>
      <c r="K17" s="96"/>
      <c r="L17" s="95" t="e">
        <f t="shared" si="0"/>
        <v>#DIV/0!</v>
      </c>
      <c r="M17" s="80">
        <f t="shared" si="6"/>
        <v>15</v>
      </c>
      <c r="N17" s="78" t="str">
        <f t="shared" si="1"/>
        <v/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 t="e">
        <v>#N/A</v>
      </c>
      <c r="V17" s="71" t="e">
        <v>#N/A</v>
      </c>
      <c r="W17"/>
      <c r="X17"/>
      <c r="Y17" s="80">
        <v>5</v>
      </c>
      <c r="Z17" s="80" t="str">
        <f>_xll.RtGet($AD$13,$AD$14&amp;$Y17&amp;$AD$15,Z$12)</f>
        <v>#N/A RIC Not Found</v>
      </c>
      <c r="AA17" s="78" t="str">
        <f>_xll.RtGet($AD$13,$AD$14&amp;$Y17&amp;$AD$15,AA$12)</f>
        <v>#N/A RIC Not Found</v>
      </c>
      <c r="AB17" s="67"/>
      <c r="AC17" s="67"/>
      <c r="AD17" s="67"/>
      <c r="AF17" s="24" t="s">
        <v>241</v>
      </c>
      <c r="AG17" s="68"/>
      <c r="AH17" s="68"/>
      <c r="AI17" s="170" t="e">
        <f>(1/AI14-1)/_xll.xlYrfDayCount($C$3,AI4,$AI$10)</f>
        <v>#VALUE!</v>
      </c>
    </row>
    <row r="18" spans="1:44" ht="11.25" customHeight="1" x14ac:dyDescent="0.2">
      <c r="A18" s="68"/>
      <c r="C18" s="257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 t="e">
        <v>#N/A</v>
      </c>
      <c r="V18" s="71" t="e">
        <v>#N/A</v>
      </c>
      <c r="W18"/>
      <c r="X18"/>
      <c r="Y18" s="80">
        <v>6</v>
      </c>
      <c r="Z18" s="80">
        <f>_xll.RtGet($AD$13,$AD$14&amp;$Y18&amp;$AD$15,Z$12)</f>
        <v>-9.2241785000000007E-2</v>
      </c>
      <c r="AA18" s="78">
        <f>_xll.RtGet($AD$13,$AD$14&amp;$Y18&amp;$AD$15,AA$12)</f>
        <v>-9.2241785000000007E-2</v>
      </c>
      <c r="AB18" s="67"/>
      <c r="AC18" s="67"/>
      <c r="AD18" s="67"/>
      <c r="AF18" s="24" t="s">
        <v>242</v>
      </c>
      <c r="AG18" s="68"/>
      <c r="AH18" s="68"/>
      <c r="AI18" s="170" t="e">
        <f>(AI14/AI15-1)/_xll.xlYrfDayCount(AI4,AI5,$AI$10)</f>
        <v>#VALUE!</v>
      </c>
    </row>
    <row r="19" spans="1:44" ht="11.25" customHeight="1" x14ac:dyDescent="0.2">
      <c r="A19" s="68"/>
      <c r="C19" s="258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 t="e">
        <v>#N/A</v>
      </c>
      <c r="V19" s="71" t="e">
        <v>#N/A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243</v>
      </c>
      <c r="AG19" s="68"/>
      <c r="AH19" s="68"/>
      <c r="AI19" s="170" t="e">
        <f>AI17*100-IF(J3&gt;0,J3,I3)</f>
        <v>#VALUE!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 t="e">
        <v>#N/A</v>
      </c>
      <c r="V20" s="71" t="e">
        <v>#N/A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244</v>
      </c>
      <c r="AG20" s="168"/>
      <c r="AH20" s="168"/>
      <c r="AI20" s="167" t="e">
        <f>AI18*100-IF(J4&gt;0,J4,I4)</f>
        <v>#VALUE!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 t="e">
        <v>#N/A</v>
      </c>
      <c r="V21" s="71" t="e">
        <v>#N/A</v>
      </c>
      <c r="W21"/>
      <c r="X21"/>
      <c r="Y21" s="80">
        <v>9</v>
      </c>
      <c r="Z21" s="80" t="str">
        <f>_xll.RtGet($AD$13,$AD$14&amp;$Y21&amp;$AD$15,Z$12)</f>
        <v>#N/A RIC Not Found</v>
      </c>
      <c r="AA21" s="78" t="str">
        <f>_xll.RtGet($AD$13,$AD$14&amp;$Y21&amp;$AD$15,AA$12)</f>
        <v>#N/A RIC Not Found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 t="e">
        <v>#N/A</v>
      </c>
      <c r="V22" s="71" t="e">
        <v>#N/A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C6&amp;C5</f>
        <v>SEKEUR</v>
      </c>
      <c r="G23" s="67"/>
      <c r="H23" s="67"/>
      <c r="I23" s="162">
        <f>AVERAGE(Z27:AA27)</f>
        <v>9.4593999999999987</v>
      </c>
      <c r="J23" s="160"/>
      <c r="K23" s="161"/>
      <c r="L23" s="160">
        <f>IF(ISNUMBER(J23),J23,I23)+K23</f>
        <v>9.4593999999999987</v>
      </c>
      <c r="M23" s="67"/>
      <c r="N23" s="67"/>
      <c r="O23" s="67"/>
      <c r="P23" s="67"/>
      <c r="Q23" s="67"/>
      <c r="R23" s="67"/>
      <c r="S23" s="67"/>
      <c r="U23" s="72" t="e">
        <v>#N/A</v>
      </c>
      <c r="V23" s="71" t="e">
        <v>#N/A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K23"/>
      <c r="AL23"/>
      <c r="AM23"/>
    </row>
    <row r="24" spans="1:44" ht="11.25" customHeight="1" x14ac:dyDescent="0.2">
      <c r="A24" s="68"/>
      <c r="B24" s="328" t="s">
        <v>80</v>
      </c>
      <c r="C24" s="32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 t="e">
        <v>#N/A</v>
      </c>
      <c r="V24" s="71" t="e">
        <v>#N/A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9</v>
      </c>
      <c r="U25" s="72" t="e">
        <v>#N/A</v>
      </c>
      <c r="V25" s="71" t="e">
        <v>#N/A</v>
      </c>
      <c r="W25"/>
      <c r="X25"/>
      <c r="Y25" s="79"/>
      <c r="Z25" s="79"/>
      <c r="AA25" s="79"/>
      <c r="AB25" s="67"/>
      <c r="AC25" s="67"/>
      <c r="AD25" s="67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20">
        <f t="shared" ref="F26:F67" si="11">IF($C$19,IF(LEN(AQ31)&gt;0,AQ31,""),IF(LEN(AG31)&gt;0,AG31,""))</f>
        <v>12</v>
      </c>
      <c r="G26" s="68"/>
      <c r="H26" s="68"/>
      <c r="I26" s="154">
        <f t="shared" ref="I26:I67" si="12">IF($C$19,AR31,AF31)</f>
        <v>4.2499999999999996E-2</v>
      </c>
      <c r="J26" s="152"/>
      <c r="K26" s="153"/>
      <c r="L26" s="152">
        <f t="shared" ref="L26:L67" si="13">IF(ISNUMBER(J26),J26,I26)+K26</f>
        <v>4.2499999999999996E-2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12</v>
      </c>
      <c r="S26" s="150">
        <f t="shared" ref="S26:S67" si="17">IF(LEN(P26)&gt;0,INDEX($L$26:$L$67,$P26),"")</f>
        <v>4.2499999999999996E-2</v>
      </c>
      <c r="U26" s="72" t="e">
        <v>#N/A</v>
      </c>
      <c r="V26" s="71" t="e">
        <v>#N/A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24</v>
      </c>
      <c r="G27" s="68"/>
      <c r="I27" s="97">
        <f t="shared" si="12"/>
        <v>6.5000000000000002E-2</v>
      </c>
      <c r="J27" s="95"/>
      <c r="K27" s="96"/>
      <c r="L27" s="95">
        <f t="shared" si="13"/>
        <v>6.5000000000000002E-2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24</v>
      </c>
      <c r="S27" s="93">
        <f t="shared" si="17"/>
        <v>6.5000000000000002E-2</v>
      </c>
      <c r="U27" s="72" t="e">
        <v>#N/A</v>
      </c>
      <c r="V27" s="71" t="e">
        <v>#N/A</v>
      </c>
      <c r="W27"/>
      <c r="X27"/>
      <c r="Y27" s="146" t="s">
        <v>245</v>
      </c>
      <c r="Z27" s="145">
        <f>_xll.RtGet($AD$26,$AD$27&amp;$Y27&amp;$AD$28,Z$26)</f>
        <v>9.4568999999999992</v>
      </c>
      <c r="AA27" s="144">
        <f>_xll.RtGet($AD$26,$AD$27&amp;$Y27&amp;$AD$28,AA$26)</f>
        <v>9.4619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36</v>
      </c>
      <c r="G28" s="68"/>
      <c r="I28" s="97">
        <f t="shared" si="12"/>
        <v>9.2499999999999999E-2</v>
      </c>
      <c r="J28" s="95"/>
      <c r="K28" s="96"/>
      <c r="L28" s="95">
        <f t="shared" si="13"/>
        <v>9.2499999999999999E-2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36</v>
      </c>
      <c r="S28" s="93">
        <f t="shared" si="17"/>
        <v>9.2499999999999999E-2</v>
      </c>
      <c r="U28" s="72" t="e">
        <v>#N/A</v>
      </c>
      <c r="V28" s="71" t="e">
        <v>#N/A</v>
      </c>
      <c r="W28"/>
      <c r="X28"/>
      <c r="AC28" s="118" t="s">
        <v>63</v>
      </c>
      <c r="AD28" s="117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48</v>
      </c>
      <c r="G29" s="68"/>
      <c r="I29" s="97">
        <f t="shared" si="12"/>
        <v>0.11499999999999999</v>
      </c>
      <c r="J29" s="95"/>
      <c r="K29" s="96"/>
      <c r="L29" s="95">
        <f t="shared" si="13"/>
        <v>0.11499999999999999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48</v>
      </c>
      <c r="S29" s="93">
        <f t="shared" si="17"/>
        <v>0.11499999999999999</v>
      </c>
      <c r="U29" s="72" t="e">
        <v>#N/A</v>
      </c>
      <c r="V29" s="71" t="e">
        <v>#N/A</v>
      </c>
      <c r="W29"/>
      <c r="X29"/>
      <c r="Y29" s="133" t="s">
        <v>132</v>
      </c>
      <c r="Z29" s="316">
        <v>0.01</v>
      </c>
      <c r="AF29" s="221"/>
      <c r="AG29" s="222">
        <f>MAX(AG31:AG72)</f>
        <v>240</v>
      </c>
      <c r="AH29" s="221"/>
      <c r="AI29" s="221"/>
      <c r="AJ29" s="221"/>
      <c r="AK29" s="221"/>
      <c r="AL29" s="221"/>
      <c r="AM29" s="221"/>
      <c r="AN29" s="223"/>
      <c r="AO29" s="223"/>
      <c r="AP29" s="223"/>
      <c r="AQ29" s="222">
        <f>MAX(AQ31:AQ60)</f>
        <v>312</v>
      </c>
      <c r="AR29" s="221"/>
    </row>
    <row r="30" spans="1:44" ht="11.25" customHeight="1" x14ac:dyDescent="0.2">
      <c r="A30" s="122"/>
      <c r="B30" s="137" t="s">
        <v>113</v>
      </c>
      <c r="C30" s="136" t="s">
        <v>100</v>
      </c>
      <c r="E30" s="98" t="b">
        <f t="shared" si="10"/>
        <v>1</v>
      </c>
      <c r="F30" s="169">
        <f t="shared" si="11"/>
        <v>60</v>
      </c>
      <c r="G30" s="68"/>
      <c r="I30" s="97">
        <f t="shared" si="12"/>
        <v>0.14250000000000002</v>
      </c>
      <c r="J30" s="95"/>
      <c r="K30" s="96"/>
      <c r="L30" s="95">
        <f t="shared" si="13"/>
        <v>0.14250000000000002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60</v>
      </c>
      <c r="S30" s="93">
        <f t="shared" si="17"/>
        <v>0.14250000000000002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4" t="s">
        <v>124</v>
      </c>
      <c r="AG30" s="224" t="s">
        <v>192</v>
      </c>
      <c r="AH30" s="225" t="b">
        <f>AND(AQ29&gt;AG29,ISERROR(MATCH(AQ29,$AG$31:$AG$72,0)))</f>
        <v>1</v>
      </c>
      <c r="AI30" s="226"/>
      <c r="AJ30" s="226"/>
      <c r="AK30" s="226"/>
      <c r="AL30" s="227">
        <f>COUNT(AK31:AK72)</f>
        <v>10</v>
      </c>
      <c r="AM30" s="228"/>
      <c r="AN30" s="223"/>
      <c r="AO30" s="223"/>
      <c r="AP30" s="223"/>
      <c r="AQ30" s="224" t="s">
        <v>126</v>
      </c>
      <c r="AR30" s="224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84</v>
      </c>
      <c r="G31" s="68"/>
      <c r="I31" s="97">
        <f t="shared" si="12"/>
        <v>0.16500000000000001</v>
      </c>
      <c r="J31" s="95"/>
      <c r="K31" s="96"/>
      <c r="L31" s="95">
        <f t="shared" si="13"/>
        <v>0.16500000000000001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84</v>
      </c>
      <c r="S31" s="93">
        <f t="shared" si="17"/>
        <v>0.16500000000000001</v>
      </c>
      <c r="U31" s="72" t="e">
        <v>#N/A</v>
      </c>
      <c r="V31" s="71" t="e">
        <v>#N/A</v>
      </c>
      <c r="W31"/>
      <c r="X31"/>
      <c r="Y31" s="130" t="s">
        <v>177</v>
      </c>
      <c r="Z31" s="219">
        <f>$Z$29*_xll.RtGet($AD$32,$AD$33&amp;$Y31&amp;$AD$34,Z$30)</f>
        <v>1.2500000000000001E-2</v>
      </c>
      <c r="AA31" s="127">
        <f>$Z$29*_xll.RtGet($AD$32,$AD$33&amp;$Y31&amp;$AD$34,AA$30)</f>
        <v>7.2499999999999995E-2</v>
      </c>
      <c r="AF31" s="229">
        <f t="shared" ref="AF31:AF72" si="20">AVERAGE(Z31:AA31)</f>
        <v>4.2499999999999996E-2</v>
      </c>
      <c r="AG31" s="230">
        <f>IF(ISNUMBER(AF31),LEFT(Y31,LEN(Y31)-1)*IF(RIGHT(Y31,1)="Y",12,1),"")</f>
        <v>12</v>
      </c>
      <c r="AH31" s="231">
        <f t="shared" ref="AH31:AH71" si="21">IF(LEN(AG31)&gt;0,AG31,"")</f>
        <v>12</v>
      </c>
      <c r="AI31" s="232">
        <f t="shared" ref="AI31:AI71" si="22">IF(LEN(AG31)&gt;0,AF31,"")</f>
        <v>4.2499999999999996E-2</v>
      </c>
      <c r="AJ31" s="233">
        <v>3</v>
      </c>
      <c r="AK31" s="228">
        <f t="shared" ref="AK31:AK72" si="23">IF(LEN(AH31)&gt;0,AJ31,"")</f>
        <v>3</v>
      </c>
      <c r="AL31" s="227">
        <f>IF(AL30&gt;0,1,"")</f>
        <v>1</v>
      </c>
      <c r="AM31" s="234" t="b">
        <f t="shared" ref="AM31:AM72" si="24">LEN(AL31)&gt;0</f>
        <v>1</v>
      </c>
      <c r="AN31" s="235">
        <f t="shared" ref="AN31:AN72" si="25">IF(AM31,SMALL($AK$31:$AK$72,AL31),"")</f>
        <v>3</v>
      </c>
      <c r="AO31" s="234">
        <f t="array" ref="AO31:AP31">IF(AM31,INDEX($AH$31:$AI$72,AN31,0),"")</f>
        <v>36</v>
      </c>
      <c r="AP31" s="235">
        <v>9.2499999999999999E-2</v>
      </c>
      <c r="AQ31" s="234">
        <f t="array" ref="AQ31:AQ72">AJ31:AJ72</f>
        <v>3</v>
      </c>
      <c r="AR31" s="236" t="str">
        <f t="array" ref="AR31:AR72">_xll.xlInterp1D(AO31:INDEX(AO31:AO72,AL30),AP31:INDEX(AP31:AP72,AL30),AQ31:AQ72,"kruger")</f>
        <v>#Error in cont_interp::kruger, too few input points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120</v>
      </c>
      <c r="G32" s="68"/>
      <c r="I32" s="97">
        <f t="shared" si="12"/>
        <v>0.19</v>
      </c>
      <c r="J32" s="95"/>
      <c r="K32" s="96"/>
      <c r="L32" s="95">
        <f t="shared" si="13"/>
        <v>0.19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120</v>
      </c>
      <c r="S32" s="93">
        <f t="shared" si="17"/>
        <v>0.19</v>
      </c>
      <c r="U32" s="72" t="e">
        <v>#N/A</v>
      </c>
      <c r="V32" s="71" t="e">
        <v>#N/A</v>
      </c>
      <c r="W32"/>
      <c r="Y32" s="81" t="s">
        <v>179</v>
      </c>
      <c r="Z32" s="80">
        <f>$Z$29*_xll.RtGet($AD$32,$AD$33&amp;$Y32&amp;$AD$34,Z$30)</f>
        <v>3.5000000000000003E-2</v>
      </c>
      <c r="AA32" s="78">
        <f>$Z$29*_xll.RtGet($AD$32,$AD$33&amp;$Y32&amp;$AD$34,AA$30)</f>
        <v>9.5000000000000001E-2</v>
      </c>
      <c r="AC32" s="124" t="s">
        <v>68</v>
      </c>
      <c r="AD32" s="123" t="s">
        <v>67</v>
      </c>
      <c r="AF32" s="237">
        <f t="shared" si="20"/>
        <v>6.5000000000000002E-2</v>
      </c>
      <c r="AG32" s="231">
        <f t="shared" ref="AG32:AG72" si="26">IF(ISNUMBER(AF32),LEFT(Y32,LEN(Y32)-1)*IF(RIGHT(Y32,1)="Y",12,1),"")</f>
        <v>24</v>
      </c>
      <c r="AH32" s="231">
        <f t="shared" si="21"/>
        <v>24</v>
      </c>
      <c r="AI32" s="238">
        <f t="shared" si="22"/>
        <v>6.5000000000000002E-2</v>
      </c>
      <c r="AJ32" s="239">
        <f>+AJ31+3</f>
        <v>6</v>
      </c>
      <c r="AK32" s="228">
        <f t="shared" si="23"/>
        <v>6</v>
      </c>
      <c r="AL32" s="228">
        <f t="shared" ref="AL32:AL72" si="27">IF(AL31&lt;$AL$30,AL31+1,"")</f>
        <v>2</v>
      </c>
      <c r="AM32" s="228" t="b">
        <f t="shared" si="24"/>
        <v>1</v>
      </c>
      <c r="AN32" s="240">
        <f t="shared" si="25"/>
        <v>6</v>
      </c>
      <c r="AO32" s="239">
        <f t="array" ref="AO32:AP32">IF(AM32,INDEX($AH$31:$AI$72,AN32,0),"")</f>
        <v>84</v>
      </c>
      <c r="AP32" s="240">
        <v>0.16500000000000001</v>
      </c>
      <c r="AQ32" s="239">
        <v>6</v>
      </c>
      <c r="AR32" s="241" t="str">
        <v>#Error in cont_interp::kruger, too few input points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180</v>
      </c>
      <c r="G33" s="68"/>
      <c r="I33" s="97">
        <f t="shared" si="12"/>
        <v>0.24249999999999999</v>
      </c>
      <c r="J33" s="95"/>
      <c r="K33" s="96"/>
      <c r="L33" s="95">
        <f t="shared" si="13"/>
        <v>0.24249999999999999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180</v>
      </c>
      <c r="S33" s="93">
        <f t="shared" si="17"/>
        <v>0.24249999999999999</v>
      </c>
      <c r="U33" s="72" t="e">
        <v>#N/A</v>
      </c>
      <c r="V33" s="71" t="e">
        <v>#N/A</v>
      </c>
      <c r="W33"/>
      <c r="Y33" s="81" t="s">
        <v>180</v>
      </c>
      <c r="Z33" s="80">
        <f>$Z$29*_xll.RtGet($AD$32,$AD$33&amp;$Y33&amp;$AD$34,Z$30)</f>
        <v>6.25E-2</v>
      </c>
      <c r="AA33" s="78">
        <f>$Z$29*_xll.RtGet($AD$32,$AD$33&amp;$Y33&amp;$AD$34,AA$30)</f>
        <v>0.1225</v>
      </c>
      <c r="AC33" s="121" t="s">
        <v>66</v>
      </c>
      <c r="AD33" s="120" t="s">
        <v>246</v>
      </c>
      <c r="AF33" s="237">
        <f t="shared" si="20"/>
        <v>9.2499999999999999E-2</v>
      </c>
      <c r="AG33" s="231">
        <f t="shared" si="26"/>
        <v>36</v>
      </c>
      <c r="AH33" s="231">
        <f t="shared" si="21"/>
        <v>36</v>
      </c>
      <c r="AI33" s="238">
        <f t="shared" si="22"/>
        <v>9.2499999999999999E-2</v>
      </c>
      <c r="AJ33" s="239">
        <f t="shared" ref="AJ33:AJ34" si="28">+AJ32+3</f>
        <v>9</v>
      </c>
      <c r="AK33" s="228">
        <f t="shared" si="23"/>
        <v>9</v>
      </c>
      <c r="AL33" s="228">
        <f t="shared" si="27"/>
        <v>3</v>
      </c>
      <c r="AM33" s="228" t="b">
        <f t="shared" si="24"/>
        <v>1</v>
      </c>
      <c r="AN33" s="240">
        <f t="shared" si="25"/>
        <v>9</v>
      </c>
      <c r="AO33" s="239">
        <f t="array" ref="AO33:AP33">IF(AM33,INDEX($AH$31:$AI$72,AN33,0),"")</f>
        <v>240</v>
      </c>
      <c r="AP33" s="240">
        <v>0.29000000000000004</v>
      </c>
      <c r="AQ33" s="239">
        <v>9</v>
      </c>
      <c r="AR33" s="241" t="str">
        <v>#Error in cont_interp::kruger, too few input points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240</v>
      </c>
      <c r="G34" s="68"/>
      <c r="I34" s="97">
        <f t="shared" si="12"/>
        <v>0.29000000000000004</v>
      </c>
      <c r="J34" s="95"/>
      <c r="K34" s="96"/>
      <c r="L34" s="95">
        <f t="shared" si="13"/>
        <v>0.29000000000000004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240</v>
      </c>
      <c r="S34" s="93">
        <f t="shared" si="17"/>
        <v>0.29000000000000004</v>
      </c>
      <c r="U34" s="72" t="e">
        <v>#N/A</v>
      </c>
      <c r="V34" s="71" t="e">
        <v>#N/A</v>
      </c>
      <c r="Y34" s="81" t="s">
        <v>181</v>
      </c>
      <c r="Z34" s="80">
        <f>$Z$29*_xll.RtGet($AD$32,$AD$33&amp;$Y34&amp;$AD$34,Z$30)</f>
        <v>8.5000000000000006E-2</v>
      </c>
      <c r="AA34" s="78">
        <f>$Z$29*_xll.RtGet($AD$32,$AD$33&amp;$Y34&amp;$AD$34,AA$30)</f>
        <v>0.14499999999999999</v>
      </c>
      <c r="AC34" s="118" t="s">
        <v>63</v>
      </c>
      <c r="AD34" s="218" t="s">
        <v>178</v>
      </c>
      <c r="AF34" s="237">
        <f t="shared" si="20"/>
        <v>0.11499999999999999</v>
      </c>
      <c r="AG34" s="231">
        <f t="shared" si="26"/>
        <v>48</v>
      </c>
      <c r="AH34" s="231">
        <f t="shared" si="21"/>
        <v>48</v>
      </c>
      <c r="AI34" s="238">
        <f t="shared" si="22"/>
        <v>0.11499999999999999</v>
      </c>
      <c r="AJ34" s="242">
        <f t="shared" si="28"/>
        <v>12</v>
      </c>
      <c r="AK34" s="228">
        <f t="shared" si="23"/>
        <v>12</v>
      </c>
      <c r="AL34" s="228">
        <f t="shared" si="27"/>
        <v>4</v>
      </c>
      <c r="AM34" s="228" t="b">
        <f t="shared" si="24"/>
        <v>1</v>
      </c>
      <c r="AN34" s="240">
        <f t="shared" si="25"/>
        <v>12</v>
      </c>
      <c r="AO34" s="239" t="str">
        <f t="array" ref="AO34:AP34">IF(AM34,INDEX($AH$31:$AI$72,AN34,0),"")</f>
        <v/>
      </c>
      <c r="AP34" s="240" t="str">
        <v/>
      </c>
      <c r="AQ34" s="239">
        <v>12</v>
      </c>
      <c r="AR34" s="241" t="str">
        <v>#Error in cont_interp::kruger, too few input points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0</v>
      </c>
      <c r="F35" s="169" t="str">
        <f t="shared" si="11"/>
        <v/>
      </c>
      <c r="G35" s="68"/>
      <c r="I35" s="97" t="e">
        <f t="shared" si="12"/>
        <v>#VALUE!</v>
      </c>
      <c r="J35" s="95"/>
      <c r="K35" s="96"/>
      <c r="L35" s="95" t="e">
        <f t="shared" si="13"/>
        <v>#VALUE!</v>
      </c>
      <c r="M35" s="80">
        <f t="shared" si="18"/>
        <v>10</v>
      </c>
      <c r="N35" s="78" t="str">
        <f t="shared" si="14"/>
        <v/>
      </c>
      <c r="O35" s="80" t="str">
        <f t="shared" si="19"/>
        <v/>
      </c>
      <c r="P35" s="78" t="str">
        <f t="shared" si="15"/>
        <v/>
      </c>
      <c r="Q35" s="68"/>
      <c r="R35" s="94" t="str">
        <f t="shared" si="16"/>
        <v/>
      </c>
      <c r="S35" s="93" t="str">
        <f t="shared" si="17"/>
        <v/>
      </c>
      <c r="U35" s="72" t="e">
        <v>#N/A</v>
      </c>
      <c r="V35" s="71" t="e">
        <v>#N/A</v>
      </c>
      <c r="W35"/>
      <c r="Y35" s="81" t="s">
        <v>182</v>
      </c>
      <c r="Z35" s="80">
        <f>$Z$29*_xll.RtGet($AD$32,$AD$33&amp;$Y35&amp;$AD$34,Z$30)</f>
        <v>0.1125</v>
      </c>
      <c r="AA35" s="78">
        <f>$Z$29*_xll.RtGet($AD$32,$AD$33&amp;$Y35&amp;$AD$34,AA$30)</f>
        <v>0.17250000000000001</v>
      </c>
      <c r="AF35" s="237">
        <f t="shared" si="20"/>
        <v>0.14250000000000002</v>
      </c>
      <c r="AG35" s="231">
        <f t="shared" si="26"/>
        <v>60</v>
      </c>
      <c r="AH35" s="231">
        <f t="shared" si="21"/>
        <v>60</v>
      </c>
      <c r="AI35" s="238">
        <f t="shared" si="22"/>
        <v>0.14250000000000002</v>
      </c>
      <c r="AJ35" s="239">
        <f>+AJ34+6</f>
        <v>18</v>
      </c>
      <c r="AK35" s="228">
        <f t="shared" si="23"/>
        <v>18</v>
      </c>
      <c r="AL35" s="228">
        <f t="shared" si="27"/>
        <v>5</v>
      </c>
      <c r="AM35" s="228" t="b">
        <f t="shared" si="24"/>
        <v>1</v>
      </c>
      <c r="AN35" s="240">
        <f t="shared" si="25"/>
        <v>18</v>
      </c>
      <c r="AO35" s="239" t="str">
        <f t="array" ref="AO35:AP35">IF(AM35,INDEX($AH$31:$AI$72,AN35,0),"")</f>
        <v/>
      </c>
      <c r="AP35" s="240" t="str">
        <v/>
      </c>
      <c r="AQ35" s="239">
        <v>18</v>
      </c>
      <c r="AR35" s="241" t="str">
        <v>#Error in cont_interp::kruger, too few input points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0</v>
      </c>
      <c r="F36" s="169" t="str">
        <f t="shared" si="11"/>
        <v/>
      </c>
      <c r="G36" s="68"/>
      <c r="I36" s="97" t="e">
        <f t="shared" si="12"/>
        <v>#VALUE!</v>
      </c>
      <c r="J36" s="95"/>
      <c r="K36" s="96"/>
      <c r="L36" s="95" t="e">
        <f t="shared" si="13"/>
        <v>#VALUE!</v>
      </c>
      <c r="M36" s="80">
        <f t="shared" si="18"/>
        <v>11</v>
      </c>
      <c r="N36" s="78" t="str">
        <f t="shared" si="14"/>
        <v/>
      </c>
      <c r="O36" s="80" t="str">
        <f t="shared" si="19"/>
        <v/>
      </c>
      <c r="P36" s="78" t="str">
        <f t="shared" si="15"/>
        <v/>
      </c>
      <c r="Q36" s="68"/>
      <c r="R36" s="94" t="str">
        <f t="shared" si="16"/>
        <v/>
      </c>
      <c r="S36" s="93" t="str">
        <f t="shared" si="17"/>
        <v/>
      </c>
      <c r="U36" s="72" t="e">
        <v>#N/A</v>
      </c>
      <c r="V36" s="71" t="e">
        <v>#N/A</v>
      </c>
      <c r="Y36" s="81" t="s">
        <v>183</v>
      </c>
      <c r="Z36" s="80">
        <f>$Z$29*_xll.RtGet($AD$32,$AD$33&amp;$Y36&amp;$AD$34,Z$30)</f>
        <v>0.13500000000000001</v>
      </c>
      <c r="AA36" s="78">
        <f>$Z$29*_xll.RtGet($AD$32,$AD$33&amp;$Y36&amp;$AD$34,AA$30)</f>
        <v>0.19500000000000001</v>
      </c>
      <c r="AF36" s="237">
        <f t="shared" si="20"/>
        <v>0.16500000000000001</v>
      </c>
      <c r="AG36" s="231">
        <f t="shared" si="26"/>
        <v>84</v>
      </c>
      <c r="AH36" s="231">
        <f t="shared" si="21"/>
        <v>84</v>
      </c>
      <c r="AI36" s="238">
        <f t="shared" si="22"/>
        <v>0.16500000000000001</v>
      </c>
      <c r="AJ36" s="242">
        <f>+AJ35+6</f>
        <v>24</v>
      </c>
      <c r="AK36" s="228">
        <f t="shared" si="23"/>
        <v>24</v>
      </c>
      <c r="AL36" s="228">
        <f t="shared" si="27"/>
        <v>6</v>
      </c>
      <c r="AM36" s="228" t="b">
        <f t="shared" si="24"/>
        <v>1</v>
      </c>
      <c r="AN36" s="240">
        <f t="shared" si="25"/>
        <v>24</v>
      </c>
      <c r="AO36" s="239" t="str">
        <f t="array" ref="AO36:AP36">IF(AM36,INDEX($AH$31:$AI$72,AN36,0),"")</f>
        <v/>
      </c>
      <c r="AP36" s="240" t="str">
        <v/>
      </c>
      <c r="AQ36" s="239">
        <v>24</v>
      </c>
      <c r="AR36" s="241" t="str">
        <v>#Error in cont_interp::kruger, too few input points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0</v>
      </c>
      <c r="F37" s="169" t="str">
        <f t="shared" si="11"/>
        <v/>
      </c>
      <c r="G37" s="68"/>
      <c r="I37" s="97" t="e">
        <f t="shared" si="12"/>
        <v>#VALUE!</v>
      </c>
      <c r="J37" s="95"/>
      <c r="K37" s="96"/>
      <c r="L37" s="95" t="e">
        <f t="shared" si="13"/>
        <v>#VALUE!</v>
      </c>
      <c r="M37" s="80">
        <f t="shared" si="18"/>
        <v>12</v>
      </c>
      <c r="N37" s="78" t="str">
        <f t="shared" si="14"/>
        <v/>
      </c>
      <c r="O37" s="80" t="str">
        <f t="shared" si="19"/>
        <v/>
      </c>
      <c r="P37" s="78" t="str">
        <f t="shared" si="15"/>
        <v/>
      </c>
      <c r="Q37" s="68"/>
      <c r="R37" s="94" t="str">
        <f t="shared" si="16"/>
        <v/>
      </c>
      <c r="S37" s="93" t="str">
        <f t="shared" si="17"/>
        <v/>
      </c>
      <c r="U37" s="72" t="e">
        <v>#N/A</v>
      </c>
      <c r="V37" s="71" t="e">
        <v>#N/A</v>
      </c>
      <c r="Y37" s="81" t="s">
        <v>184</v>
      </c>
      <c r="Z37" s="80">
        <f>$Z$29*_xll.RtGet($AD$32,$AD$33&amp;$Y37&amp;$AD$34,Z$30)</f>
        <v>0.16</v>
      </c>
      <c r="AA37" s="78">
        <f>$Z$29*_xll.RtGet($AD$32,$AD$33&amp;$Y37&amp;$AD$34,AA$30)</f>
        <v>0.22</v>
      </c>
      <c r="AF37" s="237">
        <f t="shared" si="20"/>
        <v>0.19</v>
      </c>
      <c r="AG37" s="231">
        <f t="shared" si="26"/>
        <v>120</v>
      </c>
      <c r="AH37" s="231">
        <f t="shared" si="21"/>
        <v>120</v>
      </c>
      <c r="AI37" s="238">
        <f t="shared" si="22"/>
        <v>0.19</v>
      </c>
      <c r="AJ37" s="239">
        <f>+AJ36+12</f>
        <v>36</v>
      </c>
      <c r="AK37" s="228">
        <f t="shared" si="23"/>
        <v>36</v>
      </c>
      <c r="AL37" s="228">
        <f t="shared" si="27"/>
        <v>7</v>
      </c>
      <c r="AM37" s="228" t="b">
        <f t="shared" si="24"/>
        <v>1</v>
      </c>
      <c r="AN37" s="240">
        <f t="shared" si="25"/>
        <v>36</v>
      </c>
      <c r="AO37" s="239" t="str">
        <f t="array" ref="AO37:AP37">IF(AM37,INDEX($AH$31:$AI$72,AN37,0),"")</f>
        <v/>
      </c>
      <c r="AP37" s="240" t="str">
        <v/>
      </c>
      <c r="AQ37" s="239">
        <v>36</v>
      </c>
      <c r="AR37" s="241" t="str">
        <v>#Error in cont_interp::kruger, too few input points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0</v>
      </c>
      <c r="F38" s="169" t="str">
        <f t="shared" si="11"/>
        <v/>
      </c>
      <c r="G38" s="68"/>
      <c r="I38" s="97" t="e">
        <f t="shared" si="12"/>
        <v>#VALUE!</v>
      </c>
      <c r="J38" s="95"/>
      <c r="K38" s="96"/>
      <c r="L38" s="95" t="e">
        <f t="shared" si="13"/>
        <v>#VALUE!</v>
      </c>
      <c r="M38" s="80">
        <f t="shared" si="18"/>
        <v>13</v>
      </c>
      <c r="N38" s="78" t="str">
        <f t="shared" si="14"/>
        <v/>
      </c>
      <c r="O38" s="80" t="str">
        <f t="shared" si="19"/>
        <v/>
      </c>
      <c r="P38" s="78" t="str">
        <f t="shared" si="15"/>
        <v/>
      </c>
      <c r="Q38" s="68"/>
      <c r="R38" s="94" t="str">
        <f t="shared" si="16"/>
        <v/>
      </c>
      <c r="S38" s="93" t="str">
        <f t="shared" si="17"/>
        <v/>
      </c>
      <c r="U38" s="72" t="e">
        <v>#N/A</v>
      </c>
      <c r="V38" s="71" t="e">
        <v>#N/A</v>
      </c>
      <c r="Y38" s="81" t="s">
        <v>185</v>
      </c>
      <c r="Z38" s="80">
        <f>$Z$29*_xll.RtGet($AD$32,$AD$33&amp;$Y38&amp;$AD$34,Z$30)</f>
        <v>0.21249999999999999</v>
      </c>
      <c r="AA38" s="78">
        <f>$Z$29*_xll.RtGet($AD$32,$AD$33&amp;$Y38&amp;$AD$34,AA$30)</f>
        <v>0.27250000000000002</v>
      </c>
      <c r="AF38" s="237">
        <f t="shared" si="20"/>
        <v>0.24249999999999999</v>
      </c>
      <c r="AG38" s="231">
        <f t="shared" si="26"/>
        <v>180</v>
      </c>
      <c r="AH38" s="231">
        <f t="shared" si="21"/>
        <v>180</v>
      </c>
      <c r="AI38" s="238">
        <f t="shared" si="22"/>
        <v>0.24249999999999999</v>
      </c>
      <c r="AJ38" s="239">
        <f t="shared" ref="AJ38:AJ64" si="29">+AJ37+12</f>
        <v>48</v>
      </c>
      <c r="AK38" s="228">
        <f t="shared" si="23"/>
        <v>48</v>
      </c>
      <c r="AL38" s="228">
        <f t="shared" si="27"/>
        <v>8</v>
      </c>
      <c r="AM38" s="228" t="b">
        <f t="shared" si="24"/>
        <v>1</v>
      </c>
      <c r="AN38" s="240">
        <f t="shared" si="25"/>
        <v>48</v>
      </c>
      <c r="AO38" s="239" t="e">
        <f t="array" ref="AO38:AP38">IF(AM38,INDEX($AH$31:$AI$72,AN38,0),"")</f>
        <v>#REF!</v>
      </c>
      <c r="AP38" s="240" t="e">
        <v>#REF!</v>
      </c>
      <c r="AQ38" s="239">
        <v>48</v>
      </c>
      <c r="AR38" s="241" t="str">
        <v>#Error in cont_interp::kruger, too few input points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189</v>
      </c>
      <c r="Z39" s="80">
        <f>$Z$29*_xll.RtGet($AD$32,$AD$33&amp;$Y39&amp;$AD$34,Z$30)</f>
        <v>0.26</v>
      </c>
      <c r="AA39" s="78">
        <f>$Z$29*_xll.RtGet($AD$32,$AD$33&amp;$Y39&amp;$AD$34,AA$30)</f>
        <v>0.32</v>
      </c>
      <c r="AF39" s="237">
        <f t="shared" si="20"/>
        <v>0.29000000000000004</v>
      </c>
      <c r="AG39" s="231">
        <f t="shared" si="26"/>
        <v>240</v>
      </c>
      <c r="AH39" s="231">
        <f t="shared" si="21"/>
        <v>240</v>
      </c>
      <c r="AI39" s="238">
        <f t="shared" si="22"/>
        <v>0.29000000000000004</v>
      </c>
      <c r="AJ39" s="239">
        <f t="shared" si="29"/>
        <v>60</v>
      </c>
      <c r="AK39" s="228">
        <f t="shared" si="23"/>
        <v>60</v>
      </c>
      <c r="AL39" s="228">
        <f t="shared" si="27"/>
        <v>9</v>
      </c>
      <c r="AM39" s="228" t="b">
        <f t="shared" si="24"/>
        <v>1</v>
      </c>
      <c r="AN39" s="240">
        <f t="shared" si="25"/>
        <v>60</v>
      </c>
      <c r="AO39" s="239" t="e">
        <f t="array" ref="AO39:AP39">IF(AM39,INDEX($AH$31:$AI$72,AN39,0),"")</f>
        <v>#REF!</v>
      </c>
      <c r="AP39" s="240" t="e">
        <v>#REF!</v>
      </c>
      <c r="AQ39" s="239">
        <v>60</v>
      </c>
      <c r="AR39" s="241" t="str">
        <v>#Error in cont_interp::kruger, too few input points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/>
      <c r="Z40" s="80" t="e">
        <f>$Z$29*_xll.RtGet($AD$32,$AD$33&amp;$Y40&amp;$AD$34,Z$30)</f>
        <v>#VALUE!</v>
      </c>
      <c r="AA40" s="78" t="e">
        <f>$Z$29*_xll.RtGet($AD$32,$AD$33&amp;$Y40&amp;$AD$34,AA$30)</f>
        <v>#VALUE!</v>
      </c>
      <c r="AC40"/>
      <c r="AF40" s="237" t="e">
        <f t="shared" si="20"/>
        <v>#VALUE!</v>
      </c>
      <c r="AG40" s="231" t="str">
        <f t="shared" si="26"/>
        <v/>
      </c>
      <c r="AH40" s="231" t="str">
        <f t="shared" si="21"/>
        <v/>
      </c>
      <c r="AI40" s="238" t="str">
        <f t="shared" si="22"/>
        <v/>
      </c>
      <c r="AJ40" s="239">
        <f t="shared" si="29"/>
        <v>72</v>
      </c>
      <c r="AK40" s="228" t="str">
        <f t="shared" si="23"/>
        <v/>
      </c>
      <c r="AL40" s="228">
        <f t="shared" si="27"/>
        <v>10</v>
      </c>
      <c r="AM40" s="228" t="b">
        <f t="shared" si="24"/>
        <v>1</v>
      </c>
      <c r="AN40" s="240">
        <f t="shared" si="25"/>
        <v>840</v>
      </c>
      <c r="AO40" s="239" t="e">
        <f t="array" ref="AO40:AP40">IF(AM40,INDEX($AH$31:$AI$72,AN40,0),"")</f>
        <v>#REF!</v>
      </c>
      <c r="AP40" s="240" t="e">
        <v>#REF!</v>
      </c>
      <c r="AQ40" s="239">
        <v>72</v>
      </c>
      <c r="AR40" s="241" t="str">
        <v>#Error in cont_interp::kruger, too few input points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/>
      <c r="Z41" s="80" t="e">
        <f>$Z$29*_xll.RtGet($AD$32,$AD$33&amp;$Y41&amp;$AD$34,Z$30)</f>
        <v>#VALUE!</v>
      </c>
      <c r="AA41" s="78" t="e">
        <f>$Z$29*_xll.RtGet($AD$32,$AD$33&amp;$Y41&amp;$AD$34,AA$30)</f>
        <v>#VALUE!</v>
      </c>
      <c r="AF41" s="237" t="e">
        <f t="shared" si="20"/>
        <v>#VALUE!</v>
      </c>
      <c r="AG41" s="231" t="str">
        <f t="shared" si="26"/>
        <v/>
      </c>
      <c r="AH41" s="231" t="str">
        <f t="shared" si="21"/>
        <v/>
      </c>
      <c r="AI41" s="238" t="str">
        <f t="shared" si="22"/>
        <v/>
      </c>
      <c r="AJ41" s="239">
        <f t="shared" si="29"/>
        <v>84</v>
      </c>
      <c r="AK41" s="228" t="str">
        <f t="shared" si="23"/>
        <v/>
      </c>
      <c r="AL41" s="228" t="str">
        <f t="shared" si="27"/>
        <v/>
      </c>
      <c r="AM41" s="228" t="b">
        <f t="shared" si="24"/>
        <v>0</v>
      </c>
      <c r="AN41" s="240" t="str">
        <f t="shared" si="25"/>
        <v/>
      </c>
      <c r="AO41" s="239" t="str">
        <f t="array" ref="AO41:AP41">IF(AM41,INDEX($AH$31:$AI$72,AN41,0),"")</f>
        <v/>
      </c>
      <c r="AP41" s="240" t="str">
        <v/>
      </c>
      <c r="AQ41" s="239">
        <v>84</v>
      </c>
      <c r="AR41" s="241" t="str">
        <v>#Error in cont_interp::kruger, too few input points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/>
      <c r="Z42" s="80" t="e">
        <f>$Z$29*_xll.RtGet($AD$32,$AD$33&amp;$Y42&amp;$AD$34,Z$30)</f>
        <v>#VALUE!</v>
      </c>
      <c r="AA42" s="78" t="e">
        <f>$Z$29*_xll.RtGet($AD$32,$AD$33&amp;$Y42&amp;$AD$34,AA$30)</f>
        <v>#VALUE!</v>
      </c>
      <c r="AF42" s="237" t="e">
        <f t="shared" si="20"/>
        <v>#VALUE!</v>
      </c>
      <c r="AG42" s="231" t="str">
        <f t="shared" si="26"/>
        <v/>
      </c>
      <c r="AH42" s="231" t="str">
        <f t="shared" si="21"/>
        <v/>
      </c>
      <c r="AI42" s="238" t="str">
        <f t="shared" si="22"/>
        <v/>
      </c>
      <c r="AJ42" s="239">
        <f t="shared" si="29"/>
        <v>96</v>
      </c>
      <c r="AK42" s="228" t="str">
        <f t="shared" si="23"/>
        <v/>
      </c>
      <c r="AL42" s="228" t="str">
        <f t="shared" si="27"/>
        <v/>
      </c>
      <c r="AM42" s="228" t="b">
        <f t="shared" si="24"/>
        <v>0</v>
      </c>
      <c r="AN42" s="240" t="str">
        <f t="shared" si="25"/>
        <v/>
      </c>
      <c r="AO42" s="239" t="str">
        <f t="array" ref="AO42:AP42">IF(AM42,INDEX($AH$31:$AI$72,AN42,0),"")</f>
        <v/>
      </c>
      <c r="AP42" s="240" t="str">
        <v/>
      </c>
      <c r="AQ42" s="239">
        <v>96</v>
      </c>
      <c r="AR42" s="241" t="str">
        <v>#Error in cont_interp::kruger, too few input points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/>
      <c r="Z43" s="80" t="e">
        <f>$Z$29*_xll.RtGet($AD$32,$AD$33&amp;$Y43&amp;$AD$34,Z$30)</f>
        <v>#VALUE!</v>
      </c>
      <c r="AA43" s="78" t="e">
        <f>$Z$29*_xll.RtGet($AD$32,$AD$33&amp;$Y43&amp;$AD$34,AA$30)</f>
        <v>#VALUE!</v>
      </c>
      <c r="AF43" s="237" t="e">
        <f t="shared" si="20"/>
        <v>#VALUE!</v>
      </c>
      <c r="AG43" s="231" t="str">
        <f t="shared" si="26"/>
        <v/>
      </c>
      <c r="AH43" s="231" t="str">
        <f t="shared" si="21"/>
        <v/>
      </c>
      <c r="AI43" s="238" t="str">
        <f t="shared" si="22"/>
        <v/>
      </c>
      <c r="AJ43" s="239">
        <f t="shared" si="29"/>
        <v>108</v>
      </c>
      <c r="AK43" s="228" t="str">
        <f t="shared" si="23"/>
        <v/>
      </c>
      <c r="AL43" s="228" t="str">
        <f t="shared" si="27"/>
        <v/>
      </c>
      <c r="AM43" s="228" t="b">
        <f t="shared" si="24"/>
        <v>0</v>
      </c>
      <c r="AN43" s="240" t="str">
        <f t="shared" si="25"/>
        <v/>
      </c>
      <c r="AO43" s="239" t="str">
        <f t="array" ref="AO43:AP43">IF(AM43,INDEX($AH$31:$AI$72,AN43,0),"")</f>
        <v/>
      </c>
      <c r="AP43" s="240" t="str">
        <v/>
      </c>
      <c r="AQ43" s="239">
        <v>108</v>
      </c>
      <c r="AR43" s="241" t="str">
        <v>#Error in cont_interp::kruger, too few input points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7" t="e">
        <f t="shared" si="20"/>
        <v>#VALUE!</v>
      </c>
      <c r="AG44" s="231" t="str">
        <f t="shared" si="26"/>
        <v/>
      </c>
      <c r="AH44" s="231" t="str">
        <f t="shared" si="21"/>
        <v/>
      </c>
      <c r="AI44" s="238" t="str">
        <f t="shared" si="22"/>
        <v/>
      </c>
      <c r="AJ44" s="239">
        <f t="shared" si="29"/>
        <v>120</v>
      </c>
      <c r="AK44" s="228" t="str">
        <f t="shared" si="23"/>
        <v/>
      </c>
      <c r="AL44" s="228" t="str">
        <f t="shared" si="27"/>
        <v/>
      </c>
      <c r="AM44" s="228" t="b">
        <f t="shared" si="24"/>
        <v>0</v>
      </c>
      <c r="AN44" s="240" t="str">
        <f t="shared" si="25"/>
        <v/>
      </c>
      <c r="AO44" s="239" t="str">
        <f t="array" ref="AO44:AP44">IF(AM44,INDEX($AH$31:$AI$72,AN44,0),"")</f>
        <v/>
      </c>
      <c r="AP44" s="240" t="str">
        <v/>
      </c>
      <c r="AQ44" s="239">
        <v>120</v>
      </c>
      <c r="AR44" s="241" t="str">
        <v>#Error in cont_interp::kruger, too few input points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7" t="e">
        <f t="shared" si="20"/>
        <v>#VALUE!</v>
      </c>
      <c r="AG45" s="231" t="str">
        <f t="shared" si="26"/>
        <v/>
      </c>
      <c r="AH45" s="231" t="str">
        <f t="shared" si="21"/>
        <v/>
      </c>
      <c r="AI45" s="238" t="str">
        <f t="shared" si="22"/>
        <v/>
      </c>
      <c r="AJ45" s="239">
        <f t="shared" si="29"/>
        <v>132</v>
      </c>
      <c r="AK45" s="228" t="str">
        <f t="shared" si="23"/>
        <v/>
      </c>
      <c r="AL45" s="228" t="str">
        <f t="shared" si="27"/>
        <v/>
      </c>
      <c r="AM45" s="228" t="b">
        <f t="shared" si="24"/>
        <v>0</v>
      </c>
      <c r="AN45" s="240" t="str">
        <f t="shared" si="25"/>
        <v/>
      </c>
      <c r="AO45" s="239" t="str">
        <f t="array" ref="AO45:AP45">IF(AM45,INDEX($AH$31:$AI$72,AN45,0),"")</f>
        <v/>
      </c>
      <c r="AP45" s="240" t="str">
        <v/>
      </c>
      <c r="AQ45" s="239">
        <v>132</v>
      </c>
      <c r="AR45" s="241" t="str">
        <v>#Error in cont_interp::kruger, too few input points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7" t="e">
        <f t="shared" si="20"/>
        <v>#VALUE!</v>
      </c>
      <c r="AG46" s="231" t="str">
        <f t="shared" si="26"/>
        <v/>
      </c>
      <c r="AH46" s="231" t="str">
        <f t="shared" si="21"/>
        <v/>
      </c>
      <c r="AI46" s="238" t="str">
        <f t="shared" si="22"/>
        <v/>
      </c>
      <c r="AJ46" s="239">
        <f t="shared" si="29"/>
        <v>144</v>
      </c>
      <c r="AK46" s="228" t="str">
        <f t="shared" si="23"/>
        <v/>
      </c>
      <c r="AL46" s="228" t="str">
        <f t="shared" si="27"/>
        <v/>
      </c>
      <c r="AM46" s="228" t="b">
        <f t="shared" si="24"/>
        <v>0</v>
      </c>
      <c r="AN46" s="240" t="str">
        <f t="shared" si="25"/>
        <v/>
      </c>
      <c r="AO46" s="239" t="str">
        <f t="array" ref="AO46:AP46">IF(AM46,INDEX($AH$31:$AI$72,AN46,0),"")</f>
        <v/>
      </c>
      <c r="AP46" s="240" t="str">
        <v/>
      </c>
      <c r="AQ46" s="239">
        <v>144</v>
      </c>
      <c r="AR46" s="241" t="str">
        <v>#Error in cont_interp::kruger, too few input points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7" t="e">
        <f t="shared" si="20"/>
        <v>#VALUE!</v>
      </c>
      <c r="AG47" s="231" t="str">
        <f t="shared" si="26"/>
        <v/>
      </c>
      <c r="AH47" s="231" t="str">
        <f t="shared" si="21"/>
        <v/>
      </c>
      <c r="AI47" s="238" t="str">
        <f t="shared" si="22"/>
        <v/>
      </c>
      <c r="AJ47" s="239">
        <f t="shared" si="29"/>
        <v>156</v>
      </c>
      <c r="AK47" s="228" t="str">
        <f t="shared" si="23"/>
        <v/>
      </c>
      <c r="AL47" s="228" t="str">
        <f t="shared" si="27"/>
        <v/>
      </c>
      <c r="AM47" s="228" t="b">
        <f t="shared" si="24"/>
        <v>0</v>
      </c>
      <c r="AN47" s="240" t="str">
        <f t="shared" si="25"/>
        <v/>
      </c>
      <c r="AO47" s="239" t="str">
        <f t="array" ref="AO47:AP47">IF(AM47,INDEX($AH$31:$AI$72,AN47,0),"")</f>
        <v/>
      </c>
      <c r="AP47" s="240" t="str">
        <v/>
      </c>
      <c r="AQ47" s="239">
        <v>156</v>
      </c>
      <c r="AR47" s="241" t="str">
        <v>#Error in cont_interp::kruger, too few input points</v>
      </c>
    </row>
    <row r="48" spans="1:44" ht="11.25" customHeight="1" x14ac:dyDescent="0.2">
      <c r="B48" s="104" t="str">
        <f>"DomDiscCurveName"&amp;IF(ISBLANK(C8),"","#"&amp;C8)</f>
        <v>DomDiscCurveName#EURSTD_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7" t="e">
        <f t="shared" si="20"/>
        <v>#VALUE!</v>
      </c>
      <c r="AG48" s="231" t="str">
        <f t="shared" si="26"/>
        <v/>
      </c>
      <c r="AH48" s="231" t="str">
        <f t="shared" si="21"/>
        <v/>
      </c>
      <c r="AI48" s="238" t="str">
        <f t="shared" si="22"/>
        <v/>
      </c>
      <c r="AJ48" s="239">
        <f t="shared" si="29"/>
        <v>168</v>
      </c>
      <c r="AK48" s="228" t="str">
        <f t="shared" si="23"/>
        <v/>
      </c>
      <c r="AL48" s="228" t="str">
        <f t="shared" si="27"/>
        <v/>
      </c>
      <c r="AM48" s="228" t="b">
        <f t="shared" si="24"/>
        <v>0</v>
      </c>
      <c r="AN48" s="240" t="str">
        <f t="shared" si="25"/>
        <v/>
      </c>
      <c r="AO48" s="239" t="str">
        <f t="array" ref="AO48:AP48">IF(AM48,INDEX($AH$31:$AI$72,AN48,0),"")</f>
        <v/>
      </c>
      <c r="AP48" s="240" t="str">
        <v/>
      </c>
      <c r="AQ48" s="239">
        <v>168</v>
      </c>
      <c r="AR48" s="241" t="str">
        <v>#Error in cont_interp::kruger, too few input points</v>
      </c>
    </row>
    <row r="49" spans="1:44" ht="11.25" customHeight="1" x14ac:dyDescent="0.2">
      <c r="B49" s="104" t="str">
        <f>"DomFwdCurveName"&amp;IF(ISBLANK(C9),"","#"&amp;C9)</f>
        <v>DomFwdCurveName#EUR3M_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7" t="e">
        <f t="shared" si="20"/>
        <v>#VALUE!</v>
      </c>
      <c r="AG49" s="231" t="str">
        <f t="shared" si="26"/>
        <v/>
      </c>
      <c r="AH49" s="231" t="str">
        <f t="shared" si="21"/>
        <v/>
      </c>
      <c r="AI49" s="238" t="str">
        <f t="shared" si="22"/>
        <v/>
      </c>
      <c r="AJ49" s="239">
        <f t="shared" si="29"/>
        <v>180</v>
      </c>
      <c r="AK49" s="228" t="str">
        <f t="shared" si="23"/>
        <v/>
      </c>
      <c r="AL49" s="228" t="str">
        <f t="shared" si="27"/>
        <v/>
      </c>
      <c r="AM49" s="228" t="b">
        <f t="shared" si="24"/>
        <v>0</v>
      </c>
      <c r="AN49" s="240" t="str">
        <f t="shared" si="25"/>
        <v/>
      </c>
      <c r="AO49" s="239" t="str">
        <f t="array" ref="AO49:AP49">IF(AM49,INDEX($AH$31:$AI$72,AN49,0),"")</f>
        <v/>
      </c>
      <c r="AP49" s="240" t="str">
        <v/>
      </c>
      <c r="AQ49" s="239">
        <v>180</v>
      </c>
      <c r="AR49" s="241" t="str">
        <v>#Error in cont_interp::kruger, too few input points</v>
      </c>
    </row>
    <row r="50" spans="1:44" ht="11.25" customHeight="1" x14ac:dyDescent="0.2">
      <c r="B50" s="104" t="str">
        <f>"ForFwdCurveName"&amp;IF(ISBLANK(C10),"","#"&amp;C10)</f>
        <v>ForFwdCurveName#SEK3M_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7" t="e">
        <f t="shared" si="20"/>
        <v>#VALUE!</v>
      </c>
      <c r="AG50" s="231" t="str">
        <f t="shared" si="26"/>
        <v/>
      </c>
      <c r="AH50" s="231" t="str">
        <f t="shared" si="21"/>
        <v/>
      </c>
      <c r="AI50" s="238" t="str">
        <f t="shared" si="22"/>
        <v/>
      </c>
      <c r="AJ50" s="239">
        <f t="shared" si="29"/>
        <v>192</v>
      </c>
      <c r="AK50" s="228" t="str">
        <f t="shared" si="23"/>
        <v/>
      </c>
      <c r="AL50" s="228" t="str">
        <f t="shared" si="27"/>
        <v/>
      </c>
      <c r="AM50" s="228" t="b">
        <f t="shared" si="24"/>
        <v>0</v>
      </c>
      <c r="AN50" s="240" t="str">
        <f t="shared" si="25"/>
        <v/>
      </c>
      <c r="AO50" s="239" t="str">
        <f t="array" ref="AO50:AP50">IF(AM50,INDEX($AH$31:$AI$72,AN50,0),"")</f>
        <v/>
      </c>
      <c r="AP50" s="240" t="str">
        <v/>
      </c>
      <c r="AQ50" s="239">
        <v>192</v>
      </c>
      <c r="AR50" s="241" t="str">
        <v>#Error in cont_interp::kruger, too few input points</v>
      </c>
    </row>
    <row r="51" spans="1:44" ht="11.25" customHeight="1" x14ac:dyDescent="0.2">
      <c r="B51" s="104" t="str">
        <f>"CCSSpreadCurr"&amp;IF(ISBLANK(C7),"","#"&amp;C7)</f>
        <v>CCSSpreadCurr#SEK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7" t="e">
        <f t="shared" si="20"/>
        <v>#VALUE!</v>
      </c>
      <c r="AG51" s="231" t="str">
        <f t="shared" si="26"/>
        <v/>
      </c>
      <c r="AH51" s="231" t="str">
        <f t="shared" si="21"/>
        <v/>
      </c>
      <c r="AI51" s="238" t="str">
        <f t="shared" si="22"/>
        <v/>
      </c>
      <c r="AJ51" s="239">
        <f t="shared" si="29"/>
        <v>204</v>
      </c>
      <c r="AK51" s="228" t="str">
        <f t="shared" si="23"/>
        <v/>
      </c>
      <c r="AL51" s="228" t="str">
        <f t="shared" si="27"/>
        <v/>
      </c>
      <c r="AM51" s="228" t="b">
        <f t="shared" si="24"/>
        <v>0</v>
      </c>
      <c r="AN51" s="240" t="str">
        <f t="shared" si="25"/>
        <v/>
      </c>
      <c r="AO51" s="239" t="str">
        <f t="array" ref="AO51:AP51">IF(AM51,INDEX($AH$31:$AI$72,AN51,0),"")</f>
        <v/>
      </c>
      <c r="AP51" s="240" t="str">
        <v/>
      </c>
      <c r="AQ51" s="239">
        <v>204</v>
      </c>
      <c r="AR51" s="241" t="str">
        <v>#Error in cont_interp::kruger, too few input points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7" t="e">
        <f t="shared" si="20"/>
        <v>#VALUE!</v>
      </c>
      <c r="AG52" s="231" t="str">
        <f t="shared" si="26"/>
        <v/>
      </c>
      <c r="AH52" s="231" t="str">
        <f t="shared" si="21"/>
        <v/>
      </c>
      <c r="AI52" s="238" t="str">
        <f t="shared" si="22"/>
        <v/>
      </c>
      <c r="AJ52" s="239">
        <f t="shared" si="29"/>
        <v>216</v>
      </c>
      <c r="AK52" s="228" t="str">
        <f t="shared" si="23"/>
        <v/>
      </c>
      <c r="AL52" s="228" t="str">
        <f t="shared" si="27"/>
        <v/>
      </c>
      <c r="AM52" s="228" t="b">
        <f t="shared" si="24"/>
        <v>0</v>
      </c>
      <c r="AN52" s="240" t="str">
        <f t="shared" si="25"/>
        <v/>
      </c>
      <c r="AO52" s="239" t="str">
        <f t="array" ref="AO52:AP52">IF(AM52,INDEX($AH$31:$AI$72,AN52,0),"")</f>
        <v/>
      </c>
      <c r="AP52" s="240" t="str">
        <v/>
      </c>
      <c r="AQ52" s="239">
        <v>216</v>
      </c>
      <c r="AR52" s="241" t="str">
        <v>#Error in cont_interp::kruger, too few input points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7" t="e">
        <f t="shared" si="20"/>
        <v>#VALUE!</v>
      </c>
      <c r="AG53" s="231" t="str">
        <f t="shared" si="26"/>
        <v/>
      </c>
      <c r="AH53" s="231" t="str">
        <f t="shared" si="21"/>
        <v/>
      </c>
      <c r="AI53" s="238" t="str">
        <f t="shared" si="22"/>
        <v/>
      </c>
      <c r="AJ53" s="239">
        <f t="shared" si="29"/>
        <v>228</v>
      </c>
      <c r="AK53" s="228" t="str">
        <f t="shared" si="23"/>
        <v/>
      </c>
      <c r="AL53" s="228" t="str">
        <f t="shared" si="27"/>
        <v/>
      </c>
      <c r="AM53" s="228" t="b">
        <f t="shared" si="24"/>
        <v>0</v>
      </c>
      <c r="AN53" s="240" t="str">
        <f t="shared" si="25"/>
        <v/>
      </c>
      <c r="AO53" s="239" t="str">
        <f t="array" ref="AO53:AP53">IF(AM53,INDEX($AH$31:$AI$72,AN53,0),"")</f>
        <v/>
      </c>
      <c r="AP53" s="240" t="str">
        <v/>
      </c>
      <c r="AQ53" s="239">
        <v>228</v>
      </c>
      <c r="AR53" s="241" t="str">
        <v>#Error in cont_interp::kruger, too few input points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7" t="e">
        <f t="shared" si="20"/>
        <v>#VALUE!</v>
      </c>
      <c r="AG54" s="231" t="str">
        <f t="shared" si="26"/>
        <v/>
      </c>
      <c r="AH54" s="231" t="str">
        <f t="shared" si="21"/>
        <v/>
      </c>
      <c r="AI54" s="238" t="str">
        <f t="shared" si="22"/>
        <v/>
      </c>
      <c r="AJ54" s="239">
        <f t="shared" si="29"/>
        <v>240</v>
      </c>
      <c r="AK54" s="228" t="str">
        <f t="shared" si="23"/>
        <v/>
      </c>
      <c r="AL54" s="228" t="str">
        <f t="shared" si="27"/>
        <v/>
      </c>
      <c r="AM54" s="228" t="b">
        <f t="shared" si="24"/>
        <v>0</v>
      </c>
      <c r="AN54" s="240" t="str">
        <f t="shared" si="25"/>
        <v/>
      </c>
      <c r="AO54" s="239" t="str">
        <f t="array" ref="AO54:AP54">IF(AM54,INDEX($AH$31:$AI$72,AN54,0),"")</f>
        <v/>
      </c>
      <c r="AP54" s="240" t="str">
        <v/>
      </c>
      <c r="AQ54" s="239">
        <v>240</v>
      </c>
      <c r="AR54" s="241" t="str">
        <v>#Error in cont_interp::kruger, too few input points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7" t="e">
        <f t="shared" si="20"/>
        <v>#VALUE!</v>
      </c>
      <c r="AG55" s="231" t="str">
        <f t="shared" si="26"/>
        <v/>
      </c>
      <c r="AH55" s="231" t="str">
        <f t="shared" si="21"/>
        <v/>
      </c>
      <c r="AI55" s="238" t="str">
        <f t="shared" si="22"/>
        <v/>
      </c>
      <c r="AJ55" s="239">
        <f t="shared" si="29"/>
        <v>252</v>
      </c>
      <c r="AK55" s="228" t="str">
        <f t="shared" si="23"/>
        <v/>
      </c>
      <c r="AL55" s="228" t="str">
        <f t="shared" si="27"/>
        <v/>
      </c>
      <c r="AM55" s="228" t="b">
        <f t="shared" si="24"/>
        <v>0</v>
      </c>
      <c r="AN55" s="240" t="str">
        <f t="shared" si="25"/>
        <v/>
      </c>
      <c r="AO55" s="239" t="str">
        <f t="array" ref="AO55:AP55">IF(AM55,INDEX($AH$31:$AI$72,AN55,0),"")</f>
        <v/>
      </c>
      <c r="AP55" s="240" t="str">
        <v/>
      </c>
      <c r="AQ55" s="239">
        <v>252</v>
      </c>
      <c r="AR55" s="241" t="str">
        <v>#Error in cont_interp::kruger, too few input points</v>
      </c>
    </row>
    <row r="56" spans="1:44" ht="11.25" customHeight="1" x14ac:dyDescent="0.2">
      <c r="A56" s="102"/>
      <c r="B56" s="104" t="str">
        <f>"CCSM2MCurr"&amp;IF(ISBLANK(C30),"","#"&amp;C30)</f>
        <v>CCSM2MCurr#EUR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7" t="e">
        <f t="shared" si="20"/>
        <v>#VALUE!</v>
      </c>
      <c r="AG56" s="231" t="str">
        <f t="shared" si="26"/>
        <v/>
      </c>
      <c r="AH56" s="231" t="str">
        <f t="shared" si="21"/>
        <v/>
      </c>
      <c r="AI56" s="238" t="str">
        <f t="shared" si="22"/>
        <v/>
      </c>
      <c r="AJ56" s="239">
        <f t="shared" si="29"/>
        <v>264</v>
      </c>
      <c r="AK56" s="228" t="str">
        <f t="shared" si="23"/>
        <v/>
      </c>
      <c r="AL56" s="228" t="str">
        <f t="shared" si="27"/>
        <v/>
      </c>
      <c r="AM56" s="228" t="b">
        <f t="shared" si="24"/>
        <v>0</v>
      </c>
      <c r="AN56" s="240" t="str">
        <f t="shared" si="25"/>
        <v/>
      </c>
      <c r="AO56" s="239" t="str">
        <f t="array" ref="AO56:AP56">IF(AM56,INDEX($AH$31:$AI$72,AN56,0),"")</f>
        <v/>
      </c>
      <c r="AP56" s="240" t="str">
        <v/>
      </c>
      <c r="AQ56" s="239">
        <v>264</v>
      </c>
      <c r="AR56" s="241" t="str">
        <v>#Error in cont_interp::kruger, too few input points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7" t="e">
        <f t="shared" si="20"/>
        <v>#VALUE!</v>
      </c>
      <c r="AG57" s="231" t="str">
        <f t="shared" si="26"/>
        <v/>
      </c>
      <c r="AH57" s="231" t="str">
        <f t="shared" si="21"/>
        <v/>
      </c>
      <c r="AI57" s="238" t="str">
        <f t="shared" si="22"/>
        <v/>
      </c>
      <c r="AJ57" s="239">
        <f t="shared" si="29"/>
        <v>276</v>
      </c>
      <c r="AK57" s="228" t="str">
        <f t="shared" si="23"/>
        <v/>
      </c>
      <c r="AL57" s="228" t="str">
        <f t="shared" si="27"/>
        <v/>
      </c>
      <c r="AM57" s="228" t="b">
        <f t="shared" si="24"/>
        <v>0</v>
      </c>
      <c r="AN57" s="240" t="str">
        <f t="shared" si="25"/>
        <v/>
      </c>
      <c r="AO57" s="239" t="str">
        <f t="array" ref="AO57:AP57">IF(AM57,INDEX($AH$31:$AI$72,AN57,0),"")</f>
        <v/>
      </c>
      <c r="AP57" s="240" t="str">
        <v/>
      </c>
      <c r="AQ57" s="239">
        <v>276</v>
      </c>
      <c r="AR57" s="241" t="str">
        <v>#Error in cont_interp::kruger, too few input points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7" t="e">
        <f t="shared" si="20"/>
        <v>#VALUE!</v>
      </c>
      <c r="AG58" s="231" t="str">
        <f t="shared" si="26"/>
        <v/>
      </c>
      <c r="AH58" s="231" t="str">
        <f t="shared" si="21"/>
        <v/>
      </c>
      <c r="AI58" s="238" t="str">
        <f t="shared" si="22"/>
        <v/>
      </c>
      <c r="AJ58" s="239">
        <f t="shared" si="29"/>
        <v>288</v>
      </c>
      <c r="AK58" s="228" t="str">
        <f t="shared" si="23"/>
        <v/>
      </c>
      <c r="AL58" s="228" t="str">
        <f t="shared" si="27"/>
        <v/>
      </c>
      <c r="AM58" s="228" t="b">
        <f t="shared" si="24"/>
        <v>0</v>
      </c>
      <c r="AN58" s="240" t="str">
        <f t="shared" si="25"/>
        <v/>
      </c>
      <c r="AO58" s="239" t="str">
        <f t="array" ref="AO58:AP58">IF(AM58,INDEX($AH$31:$AI$72,AN58,0),"")</f>
        <v/>
      </c>
      <c r="AP58" s="240" t="str">
        <v/>
      </c>
      <c r="AQ58" s="239">
        <v>288</v>
      </c>
      <c r="AR58" s="241" t="str">
        <v>#Error in cont_interp::kruger, too few input points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7" t="e">
        <f t="shared" si="20"/>
        <v>#VALUE!</v>
      </c>
      <c r="AG59" s="231" t="str">
        <f t="shared" si="26"/>
        <v/>
      </c>
      <c r="AH59" s="231" t="str">
        <f t="shared" si="21"/>
        <v/>
      </c>
      <c r="AI59" s="238" t="str">
        <f t="shared" si="22"/>
        <v/>
      </c>
      <c r="AJ59" s="239">
        <f t="shared" si="29"/>
        <v>300</v>
      </c>
      <c r="AK59" s="228" t="str">
        <f t="shared" si="23"/>
        <v/>
      </c>
      <c r="AL59" s="228" t="str">
        <f t="shared" si="27"/>
        <v/>
      </c>
      <c r="AM59" s="228" t="b">
        <f t="shared" si="24"/>
        <v>0</v>
      </c>
      <c r="AN59" s="240" t="str">
        <f t="shared" si="25"/>
        <v/>
      </c>
      <c r="AO59" s="239" t="str">
        <f t="array" ref="AO59:AP59">IF(AM59,INDEX($AH$31:$AI$72,AN59,0),"")</f>
        <v/>
      </c>
      <c r="AP59" s="240" t="str">
        <v/>
      </c>
      <c r="AQ59" s="239">
        <v>300</v>
      </c>
      <c r="AR59" s="241" t="str">
        <v>#Error in cont_interp::kruger, too few input points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7" t="e">
        <f t="shared" si="20"/>
        <v>#VALUE!</v>
      </c>
      <c r="AG60" s="231" t="str">
        <f t="shared" si="26"/>
        <v/>
      </c>
      <c r="AH60" s="231" t="str">
        <f t="shared" si="21"/>
        <v/>
      </c>
      <c r="AI60" s="238" t="str">
        <f t="shared" si="22"/>
        <v/>
      </c>
      <c r="AJ60" s="239">
        <f t="shared" si="29"/>
        <v>312</v>
      </c>
      <c r="AK60" s="228" t="str">
        <f t="shared" si="23"/>
        <v/>
      </c>
      <c r="AL60" s="228" t="str">
        <f t="shared" si="27"/>
        <v/>
      </c>
      <c r="AM60" s="228" t="b">
        <f t="shared" si="24"/>
        <v>0</v>
      </c>
      <c r="AN60" s="240" t="str">
        <f t="shared" si="25"/>
        <v/>
      </c>
      <c r="AO60" s="239" t="str">
        <f t="array" ref="AO60:AP60">IF(AM60,INDEX($AH$31:$AI$72,AN60,0),"")</f>
        <v/>
      </c>
      <c r="AP60" s="240" t="str">
        <v/>
      </c>
      <c r="AQ60" s="242">
        <v>312</v>
      </c>
      <c r="AR60" s="245" t="str">
        <v>#Error in cont_interp::kruger, too few input points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7" t="e">
        <f t="shared" si="20"/>
        <v>#VALUE!</v>
      </c>
      <c r="AG61" s="231" t="str">
        <f t="shared" si="26"/>
        <v/>
      </c>
      <c r="AH61" s="231" t="str">
        <f t="shared" si="21"/>
        <v/>
      </c>
      <c r="AI61" s="238" t="str">
        <f t="shared" si="22"/>
        <v/>
      </c>
      <c r="AJ61" s="239">
        <f t="shared" si="29"/>
        <v>324</v>
      </c>
      <c r="AK61" s="228" t="str">
        <f t="shared" si="23"/>
        <v/>
      </c>
      <c r="AL61" s="228" t="str">
        <f t="shared" si="27"/>
        <v/>
      </c>
      <c r="AM61" s="228" t="b">
        <f t="shared" si="24"/>
        <v>0</v>
      </c>
      <c r="AN61" s="240" t="str">
        <f t="shared" si="25"/>
        <v/>
      </c>
      <c r="AO61" s="243"/>
      <c r="AP61" s="244"/>
      <c r="AQ61" s="254">
        <v>324</v>
      </c>
      <c r="AR61" s="255" t="str">
        <v>#Error in cont_interp::kruger, too few input points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7" t="e">
        <f t="shared" si="20"/>
        <v>#VALUE!</v>
      </c>
      <c r="AG62" s="231" t="str">
        <f t="shared" si="26"/>
        <v/>
      </c>
      <c r="AH62" s="231" t="str">
        <f t="shared" si="21"/>
        <v/>
      </c>
      <c r="AI62" s="238" t="str">
        <f t="shared" si="22"/>
        <v/>
      </c>
      <c r="AJ62" s="239">
        <f t="shared" si="29"/>
        <v>336</v>
      </c>
      <c r="AK62" s="228" t="str">
        <f t="shared" si="23"/>
        <v/>
      </c>
      <c r="AL62" s="228" t="str">
        <f t="shared" si="27"/>
        <v/>
      </c>
      <c r="AM62" s="228" t="b">
        <f t="shared" si="24"/>
        <v>0</v>
      </c>
      <c r="AN62" s="240" t="str">
        <f t="shared" si="25"/>
        <v/>
      </c>
      <c r="AO62" s="243"/>
      <c r="AP62" s="244"/>
      <c r="AQ62" s="256">
        <v>336</v>
      </c>
      <c r="AR62" s="247" t="str">
        <v>#Error in cont_interp::kruger, too few input points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7" t="e">
        <f t="shared" si="20"/>
        <v>#VALUE!</v>
      </c>
      <c r="AG63" s="231" t="str">
        <f t="shared" si="26"/>
        <v/>
      </c>
      <c r="AH63" s="231" t="str">
        <f t="shared" si="21"/>
        <v/>
      </c>
      <c r="AI63" s="238" t="str">
        <f t="shared" si="22"/>
        <v/>
      </c>
      <c r="AJ63" s="239">
        <f t="shared" si="29"/>
        <v>348</v>
      </c>
      <c r="AK63" s="228" t="str">
        <f t="shared" si="23"/>
        <v/>
      </c>
      <c r="AL63" s="228" t="str">
        <f t="shared" si="27"/>
        <v/>
      </c>
      <c r="AM63" s="228" t="b">
        <f t="shared" si="24"/>
        <v>0</v>
      </c>
      <c r="AN63" s="240" t="str">
        <f t="shared" si="25"/>
        <v/>
      </c>
      <c r="AO63" s="239" t="str">
        <f t="array" ref="AO63:AP63">IF(AM63,INDEX($AH$31:$AI$72,AN63,0),"")</f>
        <v/>
      </c>
      <c r="AP63" s="240" t="str">
        <v/>
      </c>
      <c r="AQ63" s="246">
        <v>348</v>
      </c>
      <c r="AR63" s="247" t="str">
        <v>#Error in cont_interp::kruger, too few input points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7" t="e">
        <f t="shared" si="20"/>
        <v>#VALUE!</v>
      </c>
      <c r="AG64" s="231" t="str">
        <f t="shared" si="26"/>
        <v/>
      </c>
      <c r="AH64" s="231" t="str">
        <f t="shared" si="21"/>
        <v/>
      </c>
      <c r="AI64" s="238" t="str">
        <f t="shared" si="22"/>
        <v/>
      </c>
      <c r="AJ64" s="242">
        <f t="shared" si="29"/>
        <v>360</v>
      </c>
      <c r="AK64" s="228" t="str">
        <f t="shared" si="23"/>
        <v/>
      </c>
      <c r="AL64" s="228" t="str">
        <f t="shared" si="27"/>
        <v/>
      </c>
      <c r="AM64" s="228" t="b">
        <f t="shared" si="24"/>
        <v>0</v>
      </c>
      <c r="AN64" s="240" t="str">
        <f t="shared" si="25"/>
        <v/>
      </c>
      <c r="AO64" s="239" t="str">
        <f t="array" ref="AO64:AP64">IF(AM64,INDEX($AH$31:$AI$72,AN64,0),"")</f>
        <v/>
      </c>
      <c r="AP64" s="240" t="str">
        <v/>
      </c>
      <c r="AQ64" s="246">
        <v>360</v>
      </c>
      <c r="AR64" s="247" t="str">
        <v>#Error in cont_interp::kruger, too few input points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7" t="e">
        <f t="shared" si="20"/>
        <v>#VALUE!</v>
      </c>
      <c r="AG65" s="231" t="str">
        <f t="shared" si="26"/>
        <v/>
      </c>
      <c r="AH65" s="231" t="str">
        <f t="shared" si="21"/>
        <v/>
      </c>
      <c r="AI65" s="238" t="str">
        <f t="shared" si="22"/>
        <v/>
      </c>
      <c r="AJ65" s="239">
        <f>+AJ64+60</f>
        <v>420</v>
      </c>
      <c r="AK65" s="228" t="str">
        <f t="shared" si="23"/>
        <v/>
      </c>
      <c r="AL65" s="228" t="str">
        <f t="shared" si="27"/>
        <v/>
      </c>
      <c r="AM65" s="228" t="b">
        <f t="shared" si="24"/>
        <v>0</v>
      </c>
      <c r="AN65" s="240" t="str">
        <f t="shared" si="25"/>
        <v/>
      </c>
      <c r="AO65" s="239" t="str">
        <f t="array" ref="AO65:AP65">IF(AM65,INDEX($AH$31:$AI$72,AN65,0),"")</f>
        <v/>
      </c>
      <c r="AP65" s="240" t="str">
        <v/>
      </c>
      <c r="AQ65" s="246">
        <v>420</v>
      </c>
      <c r="AR65" s="247" t="str">
        <v>#Error in cont_interp::kruger, too few input points</v>
      </c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7" t="e">
        <f t="shared" si="20"/>
        <v>#VALUE!</v>
      </c>
      <c r="AG66" s="231" t="str">
        <f t="shared" si="26"/>
        <v/>
      </c>
      <c r="AH66" s="231" t="str">
        <f t="shared" si="21"/>
        <v/>
      </c>
      <c r="AI66" s="238" t="str">
        <f t="shared" si="22"/>
        <v/>
      </c>
      <c r="AJ66" s="239">
        <f t="shared" ref="AJ66:AJ72" si="30">+AJ65+60</f>
        <v>480</v>
      </c>
      <c r="AK66" s="228" t="str">
        <f t="shared" si="23"/>
        <v/>
      </c>
      <c r="AL66" s="228" t="str">
        <f t="shared" si="27"/>
        <v/>
      </c>
      <c r="AM66" s="228" t="b">
        <f t="shared" si="24"/>
        <v>0</v>
      </c>
      <c r="AN66" s="240" t="str">
        <f t="shared" si="25"/>
        <v/>
      </c>
      <c r="AO66" s="239" t="str">
        <f t="array" ref="AO66:AP66">IF(AM66,INDEX($AH$31:$AI$72,AN66,0),"")</f>
        <v/>
      </c>
      <c r="AP66" s="240" t="str">
        <v/>
      </c>
      <c r="AQ66" s="246">
        <v>480</v>
      </c>
      <c r="AR66" s="247" t="str">
        <v>#Error in cont_interp::kruger, too few input points</v>
      </c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7" t="e">
        <f t="shared" si="20"/>
        <v>#VALUE!</v>
      </c>
      <c r="AG67" s="231" t="str">
        <f t="shared" si="26"/>
        <v/>
      </c>
      <c r="AH67" s="231" t="str">
        <f t="shared" si="21"/>
        <v/>
      </c>
      <c r="AI67" s="238" t="str">
        <f t="shared" si="22"/>
        <v/>
      </c>
      <c r="AJ67" s="239">
        <f t="shared" si="30"/>
        <v>540</v>
      </c>
      <c r="AK67" s="228" t="str">
        <f t="shared" si="23"/>
        <v/>
      </c>
      <c r="AL67" s="228" t="str">
        <f t="shared" si="27"/>
        <v/>
      </c>
      <c r="AM67" s="228" t="b">
        <f t="shared" si="24"/>
        <v>0</v>
      </c>
      <c r="AN67" s="240" t="str">
        <f t="shared" si="25"/>
        <v/>
      </c>
      <c r="AO67" s="239" t="str">
        <f t="array" ref="AO67:AP67">IF(AM67,INDEX($AH$31:$AI$72,AN67,0),"")</f>
        <v/>
      </c>
      <c r="AP67" s="240" t="str">
        <v/>
      </c>
      <c r="AQ67" s="246">
        <v>540</v>
      </c>
      <c r="AR67" s="247" t="str">
        <v>#Error in cont_interp::kruger, too few input points</v>
      </c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7" t="e">
        <f t="shared" si="20"/>
        <v>#VALUE!</v>
      </c>
      <c r="AG68" s="231" t="str">
        <f t="shared" si="26"/>
        <v/>
      </c>
      <c r="AH68" s="231" t="str">
        <f t="shared" si="21"/>
        <v/>
      </c>
      <c r="AI68" s="238" t="str">
        <f t="shared" si="22"/>
        <v/>
      </c>
      <c r="AJ68" s="239">
        <f t="shared" si="30"/>
        <v>600</v>
      </c>
      <c r="AK68" s="228" t="str">
        <f t="shared" si="23"/>
        <v/>
      </c>
      <c r="AL68" s="228" t="str">
        <f t="shared" si="27"/>
        <v/>
      </c>
      <c r="AM68" s="228" t="b">
        <f t="shared" si="24"/>
        <v>0</v>
      </c>
      <c r="AN68" s="240" t="str">
        <f t="shared" si="25"/>
        <v/>
      </c>
      <c r="AO68" s="239" t="str">
        <f t="array" ref="AO68:AP68">IF(AM68,INDEX($AH$31:$AI$72,AN68,0),"")</f>
        <v/>
      </c>
      <c r="AP68" s="240" t="str">
        <v/>
      </c>
      <c r="AQ68" s="246">
        <v>600</v>
      </c>
      <c r="AR68" s="247" t="str">
        <v>#Error in cont_interp::kruger, too few input points</v>
      </c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7" t="e">
        <f t="shared" si="20"/>
        <v>#VALUE!</v>
      </c>
      <c r="AG69" s="231" t="str">
        <f t="shared" si="26"/>
        <v/>
      </c>
      <c r="AH69" s="231" t="str">
        <f t="shared" si="21"/>
        <v/>
      </c>
      <c r="AI69" s="238" t="str">
        <f t="shared" si="22"/>
        <v/>
      </c>
      <c r="AJ69" s="239">
        <f t="shared" si="30"/>
        <v>660</v>
      </c>
      <c r="AK69" s="228" t="str">
        <f t="shared" si="23"/>
        <v/>
      </c>
      <c r="AL69" s="228" t="str">
        <f t="shared" si="27"/>
        <v/>
      </c>
      <c r="AM69" s="228" t="b">
        <f t="shared" si="24"/>
        <v>0</v>
      </c>
      <c r="AN69" s="240" t="str">
        <f t="shared" si="25"/>
        <v/>
      </c>
      <c r="AO69" s="239" t="str">
        <f t="array" ref="AO69:AP69">IF(AM69,INDEX($AH$31:$AI$72,AN69,0),"")</f>
        <v/>
      </c>
      <c r="AP69" s="240" t="str">
        <v/>
      </c>
      <c r="AQ69" s="246">
        <v>660</v>
      </c>
      <c r="AR69" s="247" t="str">
        <v>#Error in cont_interp::kruger, too few input points</v>
      </c>
    </row>
    <row r="70" spans="2:44" ht="11.25" customHeight="1" x14ac:dyDescent="0.2">
      <c r="B70" s="301" t="s">
        <v>221</v>
      </c>
      <c r="C70" s="301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7" t="e">
        <f t="shared" si="20"/>
        <v>#VALUE!</v>
      </c>
      <c r="AG70" s="231" t="str">
        <f t="shared" si="26"/>
        <v/>
      </c>
      <c r="AH70" s="231" t="str">
        <f t="shared" si="21"/>
        <v/>
      </c>
      <c r="AI70" s="238" t="str">
        <f t="shared" si="22"/>
        <v/>
      </c>
      <c r="AJ70" s="239">
        <f t="shared" si="30"/>
        <v>720</v>
      </c>
      <c r="AK70" s="228" t="str">
        <f t="shared" si="23"/>
        <v/>
      </c>
      <c r="AL70" s="228" t="str">
        <f t="shared" si="27"/>
        <v/>
      </c>
      <c r="AM70" s="228" t="b">
        <f t="shared" si="24"/>
        <v>0</v>
      </c>
      <c r="AN70" s="240" t="str">
        <f t="shared" si="25"/>
        <v/>
      </c>
      <c r="AO70" s="239" t="str">
        <f t="array" ref="AO70:AP70">IF(AM70,INDEX($AH$31:$AI$72,AN70,0),"")</f>
        <v/>
      </c>
      <c r="AP70" s="240" t="str">
        <v/>
      </c>
      <c r="AQ70" s="246">
        <v>720</v>
      </c>
      <c r="AR70" s="247" t="str">
        <v>#Error in cont_interp::kruger, too few input points</v>
      </c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7" t="e">
        <f t="shared" si="20"/>
        <v>#VALUE!</v>
      </c>
      <c r="AG71" s="231" t="str">
        <f t="shared" si="26"/>
        <v/>
      </c>
      <c r="AH71" s="231" t="str">
        <f t="shared" si="21"/>
        <v/>
      </c>
      <c r="AI71" s="238" t="str">
        <f t="shared" si="22"/>
        <v/>
      </c>
      <c r="AJ71" s="239">
        <f t="shared" si="30"/>
        <v>780</v>
      </c>
      <c r="AK71" s="228" t="str">
        <f t="shared" si="23"/>
        <v/>
      </c>
      <c r="AL71" s="228" t="str">
        <f t="shared" si="27"/>
        <v/>
      </c>
      <c r="AM71" s="228" t="b">
        <f t="shared" si="24"/>
        <v>0</v>
      </c>
      <c r="AN71" s="240" t="str">
        <f t="shared" si="25"/>
        <v/>
      </c>
      <c r="AO71" s="239" t="str">
        <f t="array" ref="AO71:AP71">IF(AM71,INDEX($AH$31:$AI$72,AN71,0),"")</f>
        <v/>
      </c>
      <c r="AP71" s="240" t="str">
        <v/>
      </c>
      <c r="AQ71" s="246">
        <v>780</v>
      </c>
      <c r="AR71" s="247" t="str">
        <v>#Error in cont_interp::kruger, too few input points</v>
      </c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5" t="e">
        <f t="shared" si="20"/>
        <v>#VALUE!</v>
      </c>
      <c r="AG72" s="248" t="str">
        <f t="shared" si="26"/>
        <v/>
      </c>
      <c r="AH72" s="249">
        <f>IF(AH30,AQ29,AG72)</f>
        <v>312</v>
      </c>
      <c r="AI72" s="249">
        <f>IF(AH30,INDEX(AF31:AF72,MATCH(AG29,AG31:AG72,0)),AF72)</f>
        <v>0.29000000000000004</v>
      </c>
      <c r="AJ72" s="242">
        <f t="shared" si="30"/>
        <v>840</v>
      </c>
      <c r="AK72" s="250">
        <f t="shared" si="23"/>
        <v>840</v>
      </c>
      <c r="AL72" s="250" t="str">
        <f t="shared" si="27"/>
        <v/>
      </c>
      <c r="AM72" s="250" t="b">
        <f t="shared" si="24"/>
        <v>0</v>
      </c>
      <c r="AN72" s="251" t="str">
        <f t="shared" si="25"/>
        <v/>
      </c>
      <c r="AO72" s="242" t="str">
        <f t="array" ref="AO72:AP72">IF(AM72,INDEX($AH$31:$AI$72,AN72,0),"")</f>
        <v/>
      </c>
      <c r="AP72" s="251" t="str">
        <v/>
      </c>
      <c r="AQ72" s="252">
        <v>840</v>
      </c>
      <c r="AR72" s="253" t="str">
        <v>#Error in cont_interp::kruger, too few input points</v>
      </c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3:E20 E23 E26:E67">
    <cfRule type="cellIs" dxfId="25" priority="9" stopIfTrue="1" operator="equal">
      <formula>FALSE</formula>
    </cfRule>
  </conditionalFormatting>
  <conditionalFormatting sqref="I3:L20 I23:L23">
    <cfRule type="expression" dxfId="24" priority="4" stopIfTrue="1">
      <formula>NOT($E3)</formula>
    </cfRule>
  </conditionalFormatting>
  <conditionalFormatting sqref="I26:L67">
    <cfRule type="expression" dxfId="23" priority="1" stopIfTrue="1">
      <formula>NOT($E26)</formula>
    </cfRule>
  </conditionalFormatting>
  <conditionalFormatting sqref="L3:L20">
    <cfRule type="expression" dxfId="22" priority="5" stopIfTrue="1">
      <formula>ISNUMBER(J3)</formula>
    </cfRule>
    <cfRule type="expression" dxfId="21" priority="8" stopIfTrue="1">
      <formula>ISNUMBER(K3)</formula>
    </cfRule>
  </conditionalFormatting>
  <conditionalFormatting sqref="L23">
    <cfRule type="expression" dxfId="20" priority="3" stopIfTrue="1">
      <formula>ISNUMBER(J23)</formula>
    </cfRule>
    <cfRule type="expression" dxfId="19" priority="7" stopIfTrue="1">
      <formula>ISNUMBER(K23)</formula>
    </cfRule>
  </conditionalFormatting>
  <conditionalFormatting sqref="L26:L67">
    <cfRule type="expression" dxfId="18" priority="2" stopIfTrue="1">
      <formula>ISNUMBER(J26)</formula>
    </cfRule>
    <cfRule type="expression" dxfId="17" priority="6" stopIfTrue="1">
      <formula>ISNUMBER(K26)</formula>
    </cfRule>
  </conditionalFormatting>
  <dataValidations count="8">
    <dataValidation type="list" allowBlank="1" showInputMessage="1" showErrorMessage="1" sqref="C40">
      <formula1>INDEX(dvCurveBootstrapperOutputType,0,1)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4 C33 C37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 tint="0.59999389629810485"/>
    <outlinePr summaryRight="0"/>
  </sheetPr>
  <dimension ref="A1:AR97"/>
  <sheetViews>
    <sheetView showGridLines="0" workbookViewId="0">
      <selection activeCell="Z32" sqref="Z32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11.1640625" style="66" customWidth="1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3.3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3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328" t="s">
        <v>97</v>
      </c>
      <c r="C2" s="329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0</v>
      </c>
      <c r="U2" s="202" t="s">
        <v>96</v>
      </c>
      <c r="V2" s="202" t="s">
        <v>145</v>
      </c>
      <c r="W2"/>
      <c r="X2"/>
      <c r="Y2" s="133" t="s">
        <v>82</v>
      </c>
      <c r="Z2" s="135" t="s">
        <v>71</v>
      </c>
      <c r="AA2" s="134" t="s">
        <v>70</v>
      </c>
      <c r="AF2" s="201" t="s">
        <v>154</v>
      </c>
      <c r="AG2" s="200"/>
      <c r="AH2" s="200"/>
      <c r="AI2" s="199"/>
    </row>
    <row r="3" spans="1:35" ht="11.25" customHeight="1" x14ac:dyDescent="0.2">
      <c r="A3" s="66"/>
      <c r="B3" s="198" t="s">
        <v>95</v>
      </c>
      <c r="C3" s="197">
        <f>EvaluationDate</f>
        <v>41992</v>
      </c>
      <c r="D3" s="66"/>
      <c r="E3" s="206" t="b">
        <v>0</v>
      </c>
      <c r="F3" s="207" t="str">
        <f>Y3</f>
        <v>ON</v>
      </c>
      <c r="G3" s="180">
        <v>0</v>
      </c>
      <c r="H3" s="208" t="s">
        <v>24</v>
      </c>
      <c r="I3" s="204" t="e">
        <f t="array" ref="I3:I4">AI17:AI18</f>
        <v>#VALUE!</v>
      </c>
      <c r="J3" s="209"/>
      <c r="K3" s="210"/>
      <c r="L3" s="209" t="e">
        <f t="shared" ref="L3:L20" si="0">IF(ISNUMBER(J3),J3,I3)+K3</f>
        <v>#VALUE!</v>
      </c>
      <c r="M3" s="129">
        <v>1</v>
      </c>
      <c r="N3" s="127" t="str">
        <f t="shared" ref="N3:N20" si="1">IF(E3,M3,"")</f>
        <v/>
      </c>
      <c r="O3" s="73" t="str">
        <f>IF($S$2&gt;0,1,"")</f>
        <v/>
      </c>
      <c r="P3" s="127" t="str">
        <f t="shared" ref="P3:P20" si="2">IF(LEN(O3)&gt;0,SMALL($N$3:$N$20,O3),"")</f>
        <v/>
      </c>
      <c r="Q3" s="129" t="str">
        <f t="shared" ref="Q3:Q20" si="3">IF(LEN(O3)&gt;0,INDEX($G$3:$G$20,$P3),"")</f>
        <v/>
      </c>
      <c r="R3" s="128" t="str">
        <f t="shared" ref="R3:R20" si="4">IF(LEN(P3)&gt;0,INDEX($H$3:$H$20,$P3),"")</f>
        <v/>
      </c>
      <c r="S3" s="150" t="str">
        <f t="shared" ref="S3:S20" si="5">IF(LEN(P3)&gt;0,INDEX($L$3:$L$20,$P3),"")</f>
        <v/>
      </c>
      <c r="U3" s="196">
        <f t="array" ref="U3:V79">_xll.xlCCBasisCurveBootstrapper(C4,C3,C5,C6,L23,S2,Q3:S20,0,U2:V2,S25,R26:S67,C11,C12,C13,C45,B48:B69,C48:C69,C15)</f>
        <v>41992</v>
      </c>
      <c r="V3" s="195">
        <v>1</v>
      </c>
      <c r="W3"/>
      <c r="X3"/>
      <c r="Y3" s="129" t="s">
        <v>94</v>
      </c>
      <c r="Z3" s="129">
        <f>_xll.RtGet($AD$3,$AD$4&amp;$Y3&amp;$AD$5,Z$2)</f>
        <v>0.47000000000000003</v>
      </c>
      <c r="AA3" s="127">
        <f>_xll.RtGet($AD$3,$AD$4&amp;$Y3&amp;$AD$5,AA$2)</f>
        <v>0.57000000000000006</v>
      </c>
      <c r="AC3" s="124" t="s">
        <v>68</v>
      </c>
      <c r="AD3" s="123" t="s">
        <v>67</v>
      </c>
      <c r="AF3" s="194" t="s">
        <v>172</v>
      </c>
      <c r="AG3" s="193"/>
      <c r="AH3" s="193"/>
      <c r="AI3" s="217" t="s">
        <v>232</v>
      </c>
    </row>
    <row r="4" spans="1:35" ht="11.25" customHeight="1" x14ac:dyDescent="0.2">
      <c r="A4" s="66"/>
      <c r="B4" s="192" t="s">
        <v>91</v>
      </c>
      <c r="C4" s="191" t="s">
        <v>228</v>
      </c>
      <c r="D4" s="66"/>
      <c r="E4" s="211" t="b">
        <v>0</v>
      </c>
      <c r="F4" s="212" t="str">
        <f>Y4</f>
        <v>TN</v>
      </c>
      <c r="G4" s="213">
        <v>0</v>
      </c>
      <c r="H4" s="214" t="s">
        <v>93</v>
      </c>
      <c r="I4" s="205" t="e">
        <v>#VALUE!</v>
      </c>
      <c r="J4" s="215"/>
      <c r="K4" s="216"/>
      <c r="L4" s="215" t="e">
        <f t="shared" si="0"/>
        <v>#VALUE!</v>
      </c>
      <c r="M4" s="80">
        <f t="shared" ref="M4:M20" si="6">M3+1</f>
        <v>2</v>
      </c>
      <c r="N4" s="78" t="str">
        <f t="shared" si="1"/>
        <v/>
      </c>
      <c r="O4" s="80" t="str">
        <f t="shared" ref="O4:O20" si="7">IF(O3&lt;$S$2,O3+1,"")</f>
        <v/>
      </c>
      <c r="P4" s="78" t="str">
        <f t="shared" si="2"/>
        <v/>
      </c>
      <c r="Q4" s="80" t="str">
        <f t="shared" si="3"/>
        <v/>
      </c>
      <c r="R4" s="79" t="str">
        <f t="shared" si="4"/>
        <v/>
      </c>
      <c r="S4" s="93" t="str">
        <f t="shared" si="5"/>
        <v/>
      </c>
      <c r="U4" s="72">
        <v>42361</v>
      </c>
      <c r="V4" s="71">
        <v>0.99565115609043275</v>
      </c>
      <c r="W4"/>
      <c r="X4"/>
      <c r="Y4" s="80" t="s">
        <v>92</v>
      </c>
      <c r="Z4" s="80">
        <f>_xll.RtGet($AD$3,$AD$4&amp;$Y4&amp;$AD$5,Z$2)</f>
        <v>0.47000000000000003</v>
      </c>
      <c r="AA4" s="78">
        <f>_xll.RtGet($AD$3,$AD$4&amp;$Y4&amp;$AD$5,AA$2)</f>
        <v>0.57000000000000006</v>
      </c>
      <c r="AC4" s="121" t="s">
        <v>66</v>
      </c>
      <c r="AD4" s="120" t="s">
        <v>153</v>
      </c>
      <c r="AF4" s="124" t="s">
        <v>128</v>
      </c>
      <c r="AG4" s="177"/>
      <c r="AH4" s="177"/>
      <c r="AI4" s="190">
        <f>_xll.xlDateWorkFw($C$6,$C$3+1,0)</f>
        <v>41995</v>
      </c>
    </row>
    <row r="5" spans="1:35" ht="11.25" customHeight="1" x14ac:dyDescent="0.2">
      <c r="A5" s="68"/>
      <c r="B5" s="189" t="s">
        <v>98</v>
      </c>
      <c r="C5" s="157" t="s">
        <v>158</v>
      </c>
      <c r="D5" s="66"/>
      <c r="E5" s="91" t="b">
        <v>0</v>
      </c>
      <c r="F5" s="188" t="str">
        <f>Y5</f>
        <v>SN</v>
      </c>
      <c r="G5" s="75">
        <v>0</v>
      </c>
      <c r="H5" s="76" t="s">
        <v>90</v>
      </c>
      <c r="I5" s="90">
        <f>AVERAGE(Z5:AA5)</f>
        <v>0.52</v>
      </c>
      <c r="J5" s="88"/>
      <c r="K5" s="89"/>
      <c r="L5" s="88">
        <f t="shared" si="0"/>
        <v>0.52</v>
      </c>
      <c r="M5" s="80">
        <f t="shared" si="6"/>
        <v>3</v>
      </c>
      <c r="N5" s="78" t="str">
        <f t="shared" si="1"/>
        <v/>
      </c>
      <c r="O5" s="80" t="str">
        <f t="shared" si="7"/>
        <v/>
      </c>
      <c r="P5" s="78" t="str">
        <f t="shared" si="2"/>
        <v/>
      </c>
      <c r="Q5" s="80" t="str">
        <f t="shared" si="3"/>
        <v/>
      </c>
      <c r="R5" s="79" t="str">
        <f t="shared" si="4"/>
        <v/>
      </c>
      <c r="S5" s="93" t="str">
        <f t="shared" si="5"/>
        <v/>
      </c>
      <c r="U5" s="72">
        <v>42727</v>
      </c>
      <c r="V5" s="71">
        <v>0.99115702986025389</v>
      </c>
      <c r="W5"/>
      <c r="X5"/>
      <c r="Y5" s="75" t="s">
        <v>89</v>
      </c>
      <c r="Z5" s="75">
        <f>_xll.RtGet($AD$3,$AD$4&amp;$Y5&amp;$AD$5,Z$2)</f>
        <v>0.47000000000000003</v>
      </c>
      <c r="AA5" s="76">
        <f>_xll.RtGet($AD$3,$AD$4&amp;$Y5&amp;$AD$5,AA$2)</f>
        <v>0.57000000000000006</v>
      </c>
      <c r="AC5" s="118" t="s">
        <v>63</v>
      </c>
      <c r="AD5" s="117" t="s">
        <v>152</v>
      </c>
      <c r="AF5" s="121" t="s">
        <v>129</v>
      </c>
      <c r="AG5" s="68"/>
      <c r="AH5" s="68"/>
      <c r="AI5" s="187">
        <f>_xll.xlDateWorkFw($C$6,$AI$4+1,0)</f>
        <v>41996</v>
      </c>
    </row>
    <row r="6" spans="1:35" ht="11.25" customHeight="1" x14ac:dyDescent="0.2">
      <c r="A6" s="68"/>
      <c r="B6" s="186" t="s">
        <v>99</v>
      </c>
      <c r="C6" s="119" t="s">
        <v>222</v>
      </c>
      <c r="D6" s="66"/>
      <c r="E6" s="185" t="b">
        <v>0</v>
      </c>
      <c r="F6" s="184">
        <v>1</v>
      </c>
      <c r="G6" s="129">
        <v>1</v>
      </c>
      <c r="H6" s="127" t="s">
        <v>86</v>
      </c>
      <c r="I6" s="154" t="e">
        <f>AVERAGE(Z8:AA8)</f>
        <v>#DIV/0!</v>
      </c>
      <c r="J6" s="152"/>
      <c r="K6" s="153"/>
      <c r="L6" s="152" t="e">
        <f t="shared" si="0"/>
        <v>#DIV/0!</v>
      </c>
      <c r="M6" s="80">
        <f t="shared" si="6"/>
        <v>4</v>
      </c>
      <c r="N6" s="78" t="str">
        <f t="shared" si="1"/>
        <v/>
      </c>
      <c r="O6" s="80" t="str">
        <f t="shared" si="7"/>
        <v/>
      </c>
      <c r="P6" s="78" t="str">
        <f t="shared" si="2"/>
        <v/>
      </c>
      <c r="Q6" s="80" t="str">
        <f t="shared" si="3"/>
        <v/>
      </c>
      <c r="R6" s="79" t="str">
        <f t="shared" si="4"/>
        <v/>
      </c>
      <c r="S6" s="93" t="str">
        <f t="shared" si="5"/>
        <v/>
      </c>
      <c r="U6" s="72">
        <v>43096</v>
      </c>
      <c r="V6" s="71">
        <v>0.98122669338803936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3">
        <f>_xll.xlDateWorkFw($C$6,$AI$5+7,0)</f>
        <v>42003</v>
      </c>
    </row>
    <row r="7" spans="1:35" ht="11.25" customHeight="1" x14ac:dyDescent="0.2">
      <c r="A7" s="68"/>
      <c r="B7" s="147" t="s">
        <v>123</v>
      </c>
      <c r="C7" s="136" t="s">
        <v>222</v>
      </c>
      <c r="D7" s="66"/>
      <c r="E7" s="98" t="b">
        <v>0</v>
      </c>
      <c r="F7" s="182">
        <f>Y9</f>
        <v>2</v>
      </c>
      <c r="G7" s="80">
        <v>2</v>
      </c>
      <c r="H7" s="78" t="s">
        <v>86</v>
      </c>
      <c r="I7" s="97" t="e">
        <f>AVERAGE(Z9:AA9)</f>
        <v>#DIV/0!</v>
      </c>
      <c r="J7" s="95"/>
      <c r="K7" s="96"/>
      <c r="L7" s="95" t="e">
        <f t="shared" si="0"/>
        <v>#DIV/0!</v>
      </c>
      <c r="M7" s="80">
        <f t="shared" si="6"/>
        <v>5</v>
      </c>
      <c r="N7" s="78" t="str">
        <f t="shared" si="1"/>
        <v/>
      </c>
      <c r="O7" s="80" t="str">
        <f t="shared" si="7"/>
        <v/>
      </c>
      <c r="P7" s="78" t="str">
        <f t="shared" si="2"/>
        <v/>
      </c>
      <c r="Q7" s="80" t="str">
        <f t="shared" si="3"/>
        <v/>
      </c>
      <c r="R7" s="79" t="str">
        <f t="shared" si="4"/>
        <v/>
      </c>
      <c r="S7" s="93" t="str">
        <f t="shared" si="5"/>
        <v/>
      </c>
      <c r="U7" s="72">
        <v>43461</v>
      </c>
      <c r="V7" s="71">
        <v>0.96866232427514765</v>
      </c>
      <c r="W7"/>
      <c r="X7"/>
      <c r="Y7" s="133" t="s">
        <v>82</v>
      </c>
      <c r="Z7" s="135" t="s">
        <v>71</v>
      </c>
      <c r="AA7" s="134" t="s">
        <v>70</v>
      </c>
      <c r="AF7" s="124" t="s">
        <v>234</v>
      </c>
      <c r="AG7" s="177"/>
      <c r="AH7" s="177"/>
      <c r="AI7" s="176" t="str">
        <f t="array" ref="AI7:AI9">_xll.xlShmInterpDisc($AI$3,AI4:AI6+0*TYPE(ObjectsTrigger))</f>
        <v>Date before first TermStructure's date.</v>
      </c>
    </row>
    <row r="8" spans="1:35" ht="11.25" customHeight="1" x14ac:dyDescent="0.2">
      <c r="A8" s="68"/>
      <c r="B8" s="140" t="s">
        <v>107</v>
      </c>
      <c r="C8" s="119" t="s">
        <v>175</v>
      </c>
      <c r="D8" s="66"/>
      <c r="E8" s="91" t="b">
        <v>0</v>
      </c>
      <c r="F8" s="181">
        <f>Y10</f>
        <v>3</v>
      </c>
      <c r="G8" s="75">
        <v>3</v>
      </c>
      <c r="H8" s="76" t="s">
        <v>86</v>
      </c>
      <c r="I8" s="90" t="e">
        <f>AVERAGE(Z10:AA10)</f>
        <v>#DIV/0!</v>
      </c>
      <c r="J8" s="88"/>
      <c r="K8" s="89"/>
      <c r="L8" s="88" t="e">
        <f t="shared" si="0"/>
        <v>#DIV/0!</v>
      </c>
      <c r="M8" s="80">
        <f t="shared" si="6"/>
        <v>6</v>
      </c>
      <c r="N8" s="78" t="str">
        <f t="shared" si="1"/>
        <v/>
      </c>
      <c r="O8" s="80" t="str">
        <f t="shared" si="7"/>
        <v/>
      </c>
      <c r="P8" s="78" t="str">
        <f t="shared" si="2"/>
        <v/>
      </c>
      <c r="Q8" s="80" t="str">
        <f t="shared" si="3"/>
        <v/>
      </c>
      <c r="R8" s="79" t="str">
        <f t="shared" si="4"/>
        <v/>
      </c>
      <c r="S8" s="93" t="str">
        <f t="shared" si="5"/>
        <v/>
      </c>
      <c r="U8" s="72">
        <v>43822</v>
      </c>
      <c r="V8" s="71">
        <v>0.9523753872073325</v>
      </c>
      <c r="W8"/>
      <c r="X8"/>
      <c r="Y8" s="180" t="s">
        <v>85</v>
      </c>
      <c r="Z8" s="129" t="str">
        <f>_xll.RtGet($AD$8,$AD$9&amp;$Y8&amp;$AD$10,Z$7)</f>
        <v>#N/A RIC Not Found</v>
      </c>
      <c r="AA8" s="127" t="str">
        <f>_xll.RtGet($AD$8,$AD$9&amp;$Y8&amp;$AD$10,AA$7)</f>
        <v>#N/A RIC Not Found</v>
      </c>
      <c r="AC8" s="124" t="s">
        <v>68</v>
      </c>
      <c r="AD8" s="123" t="s">
        <v>102</v>
      </c>
      <c r="AF8" s="24" t="s">
        <v>235</v>
      </c>
      <c r="AG8" s="68"/>
      <c r="AH8" s="68"/>
      <c r="AI8" s="170" t="str">
        <v>Date before first TermStructure's date.</v>
      </c>
    </row>
    <row r="9" spans="1:35" ht="11.25" customHeight="1" x14ac:dyDescent="0.2">
      <c r="A9" s="68"/>
      <c r="B9" s="140" t="s">
        <v>108</v>
      </c>
      <c r="C9" s="119" t="s">
        <v>160</v>
      </c>
      <c r="D9" s="66"/>
      <c r="E9" s="98" t="b">
        <v>0</v>
      </c>
      <c r="F9" s="169">
        <f t="shared" ref="F9:F20" si="8">Y13</f>
        <v>1</v>
      </c>
      <c r="G9" s="80">
        <v>1</v>
      </c>
      <c r="H9" s="78" t="s">
        <v>81</v>
      </c>
      <c r="I9" s="97" t="e">
        <f t="shared" ref="I9:I20" si="9">AVERAGE(Z13:AA13)</f>
        <v>#DIV/0!</v>
      </c>
      <c r="J9" s="95"/>
      <c r="K9" s="96"/>
      <c r="L9" s="95" t="e">
        <f t="shared" si="0"/>
        <v>#DIV/0!</v>
      </c>
      <c r="M9" s="80">
        <f t="shared" si="6"/>
        <v>7</v>
      </c>
      <c r="N9" s="78" t="str">
        <f t="shared" si="1"/>
        <v/>
      </c>
      <c r="O9" s="80" t="str">
        <f t="shared" si="7"/>
        <v/>
      </c>
      <c r="P9" s="78" t="str">
        <f t="shared" si="2"/>
        <v/>
      </c>
      <c r="Q9" s="80" t="str">
        <f t="shared" si="3"/>
        <v/>
      </c>
      <c r="R9" s="79" t="str">
        <f t="shared" si="4"/>
        <v/>
      </c>
      <c r="S9" s="93" t="str">
        <f t="shared" si="5"/>
        <v/>
      </c>
      <c r="U9" s="72">
        <v>44553</v>
      </c>
      <c r="V9" s="71">
        <v>0.91205392371461935</v>
      </c>
      <c r="W9"/>
      <c r="X9"/>
      <c r="Y9" s="80">
        <v>2</v>
      </c>
      <c r="Z9" s="80" t="str">
        <f>_xll.RtGet($AD$8,$AD$9&amp;$Y9&amp;$AD$10,Z$7)</f>
        <v>#N/A RIC Not Found</v>
      </c>
      <c r="AA9" s="78" t="str">
        <f>_xll.RtGet($AD$8,$AD$9&amp;$Y9&amp;$AD$10,AA$7)</f>
        <v>#N/A RIC Not Found</v>
      </c>
      <c r="AC9" s="121" t="s">
        <v>66</v>
      </c>
      <c r="AD9" s="120"/>
      <c r="AF9" s="25" t="s">
        <v>236</v>
      </c>
      <c r="AG9" s="168"/>
      <c r="AH9" s="168"/>
      <c r="AI9" s="167" t="str">
        <v>Date before first TermStructure's date.</v>
      </c>
    </row>
    <row r="10" spans="1:35" ht="11.25" customHeight="1" x14ac:dyDescent="0.2">
      <c r="A10" s="68"/>
      <c r="B10" s="179" t="s">
        <v>109</v>
      </c>
      <c r="C10" s="119" t="s">
        <v>230</v>
      </c>
      <c r="D10" s="66"/>
      <c r="E10" s="98" t="b">
        <v>0</v>
      </c>
      <c r="F10" s="169">
        <f t="shared" si="8"/>
        <v>2</v>
      </c>
      <c r="G10" s="80">
        <v>2</v>
      </c>
      <c r="H10" s="78" t="s">
        <v>81</v>
      </c>
      <c r="I10" s="97" t="e">
        <f t="shared" si="9"/>
        <v>#DIV/0!</v>
      </c>
      <c r="J10" s="95"/>
      <c r="K10" s="96"/>
      <c r="L10" s="95" t="e">
        <f t="shared" si="0"/>
        <v>#DIV/0!</v>
      </c>
      <c r="M10" s="80">
        <f t="shared" si="6"/>
        <v>8</v>
      </c>
      <c r="N10" s="78" t="str">
        <f t="shared" si="1"/>
        <v/>
      </c>
      <c r="O10" s="80" t="str">
        <f t="shared" si="7"/>
        <v/>
      </c>
      <c r="P10" s="78" t="str">
        <f t="shared" si="2"/>
        <v/>
      </c>
      <c r="Q10" s="80" t="str">
        <f t="shared" si="3"/>
        <v/>
      </c>
      <c r="R10" s="79" t="str">
        <f t="shared" si="4"/>
        <v/>
      </c>
      <c r="S10" s="93" t="str">
        <f t="shared" si="5"/>
        <v/>
      </c>
      <c r="U10" s="72">
        <v>45649</v>
      </c>
      <c r="V10" s="71">
        <v>0.84361076580471461</v>
      </c>
      <c r="W10"/>
      <c r="X10"/>
      <c r="Y10" s="75">
        <v>3</v>
      </c>
      <c r="Z10" s="75" t="str">
        <f>_xll.RtGet($AD$8,$AD$9&amp;$Y10&amp;$AD$10,Z$7)</f>
        <v>#N/A RIC Not Found</v>
      </c>
      <c r="AA10" s="76" t="str">
        <f>_xll.RtGet($AD$8,$AD$9&amp;$Y10&amp;$AD$10,AA$7)</f>
        <v>#N/A RIC Not Found</v>
      </c>
      <c r="AC10" s="118" t="s">
        <v>63</v>
      </c>
      <c r="AD10" s="117" t="s">
        <v>103</v>
      </c>
      <c r="AF10" s="178" t="s">
        <v>237</v>
      </c>
      <c r="AG10" s="177"/>
      <c r="AH10" s="177"/>
      <c r="AI10" s="126">
        <v>7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0</v>
      </c>
      <c r="F11" s="169">
        <f t="shared" si="8"/>
        <v>3</v>
      </c>
      <c r="G11" s="80">
        <v>3</v>
      </c>
      <c r="H11" s="78" t="s">
        <v>81</v>
      </c>
      <c r="I11" s="97" t="e">
        <f t="shared" si="9"/>
        <v>#DIV/0!</v>
      </c>
      <c r="J11" s="95"/>
      <c r="K11" s="96"/>
      <c r="L11" s="95" t="e">
        <f t="shared" si="0"/>
        <v>#DIV/0!</v>
      </c>
      <c r="M11" s="80">
        <f t="shared" si="6"/>
        <v>9</v>
      </c>
      <c r="N11" s="78" t="str">
        <f t="shared" si="1"/>
        <v/>
      </c>
      <c r="O11" s="80" t="str">
        <f t="shared" si="7"/>
        <v/>
      </c>
      <c r="P11" s="78" t="str">
        <f t="shared" si="2"/>
        <v/>
      </c>
      <c r="Q11" s="80" t="str">
        <f t="shared" si="3"/>
        <v/>
      </c>
      <c r="R11" s="79" t="str">
        <f t="shared" si="4"/>
        <v/>
      </c>
      <c r="S11" s="93" t="str">
        <f t="shared" si="5"/>
        <v/>
      </c>
      <c r="U11" s="72">
        <v>47479</v>
      </c>
      <c r="V11" s="71">
        <v>0.72590318278086052</v>
      </c>
      <c r="W11"/>
      <c r="X11"/>
      <c r="Y11" s="79"/>
      <c r="Z11" s="79"/>
      <c r="AA11" s="79"/>
      <c r="AF11" s="118" t="s">
        <v>220</v>
      </c>
      <c r="AG11" s="168"/>
      <c r="AH11" s="168"/>
      <c r="AI11" s="299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0</v>
      </c>
      <c r="F12" s="169">
        <f t="shared" si="8"/>
        <v>4</v>
      </c>
      <c r="G12" s="80">
        <v>4</v>
      </c>
      <c r="H12" s="78" t="s">
        <v>81</v>
      </c>
      <c r="I12" s="97" t="e">
        <f t="shared" si="9"/>
        <v>#DIV/0!</v>
      </c>
      <c r="J12" s="95"/>
      <c r="K12" s="96"/>
      <c r="L12" s="95" t="e">
        <f t="shared" si="0"/>
        <v>#DIV/0!</v>
      </c>
      <c r="M12" s="80">
        <f t="shared" si="6"/>
        <v>10</v>
      </c>
      <c r="N12" s="78" t="str">
        <f t="shared" si="1"/>
        <v/>
      </c>
      <c r="O12" s="80" t="str">
        <f t="shared" si="7"/>
        <v/>
      </c>
      <c r="P12" s="78" t="str">
        <f t="shared" si="2"/>
        <v/>
      </c>
      <c r="Q12" s="80" t="str">
        <f t="shared" si="3"/>
        <v/>
      </c>
      <c r="R12" s="79" t="str">
        <f t="shared" si="4"/>
        <v/>
      </c>
      <c r="S12" s="93" t="str">
        <f t="shared" si="5"/>
        <v/>
      </c>
      <c r="U12" s="72">
        <v>49305</v>
      </c>
      <c r="V12" s="71">
        <v>0.61754486465230718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219</v>
      </c>
      <c r="AG12" s="177"/>
      <c r="AH12" s="177"/>
      <c r="AI12" s="176">
        <f>_xll.xlYrfDayCount(AI5,AI6,AI10)</f>
        <v>1.9178082191780823E-2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0</v>
      </c>
      <c r="F13" s="169">
        <f t="shared" si="8"/>
        <v>5</v>
      </c>
      <c r="G13" s="80">
        <v>5</v>
      </c>
      <c r="H13" s="78" t="s">
        <v>81</v>
      </c>
      <c r="I13" s="97" t="e">
        <f t="shared" si="9"/>
        <v>#DIV/0!</v>
      </c>
      <c r="J13" s="95"/>
      <c r="K13" s="96"/>
      <c r="L13" s="95" t="e">
        <f t="shared" si="0"/>
        <v>#DIV/0!</v>
      </c>
      <c r="M13" s="80">
        <f t="shared" si="6"/>
        <v>11</v>
      </c>
      <c r="N13" s="78" t="str">
        <f t="shared" si="1"/>
        <v/>
      </c>
      <c r="O13" s="80" t="str">
        <f t="shared" si="7"/>
        <v/>
      </c>
      <c r="P13" s="78" t="str">
        <f t="shared" si="2"/>
        <v/>
      </c>
      <c r="Q13" s="80" t="str">
        <f t="shared" si="3"/>
        <v/>
      </c>
      <c r="R13" s="79" t="str">
        <f t="shared" si="4"/>
        <v/>
      </c>
      <c r="S13" s="93" t="str">
        <f t="shared" si="5"/>
        <v/>
      </c>
      <c r="U13" s="72">
        <v>52954</v>
      </c>
      <c r="V13" s="71">
        <v>0.46575448055255109</v>
      </c>
      <c r="W13"/>
      <c r="X13"/>
      <c r="Y13" s="80">
        <v>1</v>
      </c>
      <c r="Z13" s="80" t="str">
        <f>_xll.RtGet($AD$13,$AD$14&amp;$Y13&amp;$AD$15,Z$12)</f>
        <v>#N/A RIC Not Found</v>
      </c>
      <c r="AA13" s="78" t="str">
        <f>_xll.RtGet($AD$13,$AD$14&amp;$Y13&amp;$AD$15,AA$12)</f>
        <v>#N/A RIC Not Found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 t="e">
        <f>LN((1+$AI$12*L6/100)*(AI9/AI8))/_xll.xlYrfDayCount($AI$5,$AI$6,$AI$11)</f>
        <v>#DIV/0!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0</v>
      </c>
      <c r="F14" s="169">
        <f t="shared" si="8"/>
        <v>6</v>
      </c>
      <c r="G14" s="80">
        <v>6</v>
      </c>
      <c r="H14" s="78" t="s">
        <v>81</v>
      </c>
      <c r="I14" s="97">
        <f t="shared" si="9"/>
        <v>-9.2241785000000007E-2</v>
      </c>
      <c r="J14" s="95"/>
      <c r="K14" s="96"/>
      <c r="L14" s="95">
        <f t="shared" si="0"/>
        <v>-9.2241785000000007E-2</v>
      </c>
      <c r="M14" s="80">
        <f t="shared" si="6"/>
        <v>12</v>
      </c>
      <c r="N14" s="78" t="str">
        <f t="shared" si="1"/>
        <v/>
      </c>
      <c r="O14" s="80" t="str">
        <f t="shared" si="7"/>
        <v/>
      </c>
      <c r="P14" s="78" t="str">
        <f t="shared" si="2"/>
        <v/>
      </c>
      <c r="Q14" s="80" t="str">
        <f t="shared" si="3"/>
        <v/>
      </c>
      <c r="R14" s="79" t="str">
        <f t="shared" si="4"/>
        <v/>
      </c>
      <c r="S14" s="93" t="str">
        <f t="shared" si="5"/>
        <v/>
      </c>
      <c r="U14" s="72" t="e">
        <v>#N/A</v>
      </c>
      <c r="V14" s="71" t="e">
        <v>#N/A</v>
      </c>
      <c r="W14"/>
      <c r="X14"/>
      <c r="Y14" s="80">
        <v>2</v>
      </c>
      <c r="Z14" s="80" t="str">
        <f>_xll.RtGet($AD$13,$AD$14&amp;$Y14&amp;$AD$15,Z$12)</f>
        <v>#N/A RIC Not Found</v>
      </c>
      <c r="AA14" s="78" t="str">
        <f>_xll.RtGet($AD$13,$AD$14&amp;$Y14&amp;$AD$15,AA$12)</f>
        <v>#N/A RIC Not Found</v>
      </c>
      <c r="AC14" s="121" t="s">
        <v>66</v>
      </c>
      <c r="AD14" s="120"/>
      <c r="AF14" s="24" t="s">
        <v>238</v>
      </c>
      <c r="AG14" s="68"/>
      <c r="AH14" s="68"/>
      <c r="AI14" s="170" t="e">
        <f>AI7*EXP(-$AI$13*_xll.xlYrfDayCount($C$3,AI4,$AI$11))</f>
        <v>#VALUE!</v>
      </c>
    </row>
    <row r="15" spans="1:35" ht="11.25" customHeight="1" x14ac:dyDescent="0.2">
      <c r="A15" s="173">
        <v>90</v>
      </c>
      <c r="B15" s="172" t="s">
        <v>101</v>
      </c>
      <c r="C15" s="171">
        <f>_xll.RtNow(A15&amp;"s")</f>
        <v>0.73553240740875481</v>
      </c>
      <c r="D15" s="66"/>
      <c r="E15" s="98" t="b">
        <v>0</v>
      </c>
      <c r="F15" s="169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 t="e">
        <v>#N/A</v>
      </c>
      <c r="V15" s="71" t="e">
        <v>#N/A</v>
      </c>
      <c r="W15"/>
      <c r="X15"/>
      <c r="Y15" s="80">
        <v>3</v>
      </c>
      <c r="Z15" s="80" t="str">
        <f>_xll.RtGet($AD$13,$AD$14&amp;$Y15&amp;$AD$15,Z$12)</f>
        <v>#N/A RIC Not Found</v>
      </c>
      <c r="AA15" s="78" t="str">
        <f>_xll.RtGet($AD$13,$AD$14&amp;$Y15&amp;$AD$15,AA$12)</f>
        <v>#N/A RIC Not Found</v>
      </c>
      <c r="AB15" s="67"/>
      <c r="AC15" s="118" t="s">
        <v>63</v>
      </c>
      <c r="AD15" s="117" t="s">
        <v>104</v>
      </c>
      <c r="AF15" s="24" t="s">
        <v>239</v>
      </c>
      <c r="AG15" s="68"/>
      <c r="AH15" s="68"/>
      <c r="AI15" s="170" t="e">
        <f>AI8*EXP(-$AI$13*_xll.xlYrfDayCount($C$3,AI5,$AI$11))</f>
        <v>#VALUE!</v>
      </c>
    </row>
    <row r="16" spans="1:35" ht="11.25" customHeight="1" x14ac:dyDescent="0.2">
      <c r="A16" s="68"/>
      <c r="D16" s="66"/>
      <c r="E16" s="98" t="b">
        <v>0</v>
      </c>
      <c r="F16" s="169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 t="e">
        <v>#N/A</v>
      </c>
      <c r="V16" s="71" t="e">
        <v>#N/A</v>
      </c>
      <c r="W16"/>
      <c r="X16"/>
      <c r="Y16" s="80">
        <v>4</v>
      </c>
      <c r="Z16" s="80" t="str">
        <f>_xll.RtGet($AD$13,$AD$14&amp;$Y16&amp;$AD$15,Z$12)</f>
        <v>#N/A RIC Not Found</v>
      </c>
      <c r="AA16" s="78" t="str">
        <f>_xll.RtGet($AD$13,$AD$14&amp;$Y16&amp;$AD$15,AA$12)</f>
        <v>#N/A RIC Not Found</v>
      </c>
      <c r="AB16" s="67"/>
      <c r="AC16" s="67"/>
      <c r="AD16" s="67"/>
      <c r="AF16" s="25" t="s">
        <v>240</v>
      </c>
      <c r="AG16" s="168"/>
      <c r="AH16" s="168"/>
      <c r="AI16" s="167" t="e">
        <f>AI9*EXP(-$AI$13*_xll.xlYrfDayCount($C$3,AI6,$AI$11))</f>
        <v>#VALUE!</v>
      </c>
    </row>
    <row r="17" spans="1:44" ht="11.25" customHeight="1" x14ac:dyDescent="0.2">
      <c r="A17" s="68"/>
      <c r="D17" s="66"/>
      <c r="E17" s="98" t="b">
        <v>0</v>
      </c>
      <c r="F17" s="169">
        <f t="shared" si="8"/>
        <v>9</v>
      </c>
      <c r="G17" s="80">
        <v>9</v>
      </c>
      <c r="H17" s="78" t="s">
        <v>81</v>
      </c>
      <c r="I17" s="97" t="e">
        <f t="shared" si="9"/>
        <v>#DIV/0!</v>
      </c>
      <c r="J17" s="95"/>
      <c r="K17" s="96"/>
      <c r="L17" s="95" t="e">
        <f t="shared" si="0"/>
        <v>#DIV/0!</v>
      </c>
      <c r="M17" s="80">
        <f t="shared" si="6"/>
        <v>15</v>
      </c>
      <c r="N17" s="78" t="str">
        <f t="shared" si="1"/>
        <v/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 t="e">
        <v>#N/A</v>
      </c>
      <c r="V17" s="71" t="e">
        <v>#N/A</v>
      </c>
      <c r="W17"/>
      <c r="X17"/>
      <c r="Y17" s="80">
        <v>5</v>
      </c>
      <c r="Z17" s="80" t="str">
        <f>_xll.RtGet($AD$13,$AD$14&amp;$Y17&amp;$AD$15,Z$12)</f>
        <v>#N/A RIC Not Found</v>
      </c>
      <c r="AA17" s="78" t="str">
        <f>_xll.RtGet($AD$13,$AD$14&amp;$Y17&amp;$AD$15,AA$12)</f>
        <v>#N/A RIC Not Found</v>
      </c>
      <c r="AB17" s="67"/>
      <c r="AC17" s="67"/>
      <c r="AD17" s="67"/>
      <c r="AF17" s="24" t="s">
        <v>241</v>
      </c>
      <c r="AG17" s="68"/>
      <c r="AH17" s="68"/>
      <c r="AI17" s="170" t="e">
        <f>(1/AI14-1)/_xll.xlYrfDayCount($C$3,AI4,$AI$10)</f>
        <v>#VALUE!</v>
      </c>
    </row>
    <row r="18" spans="1:44" ht="11.25" customHeight="1" x14ac:dyDescent="0.2">
      <c r="A18" s="68"/>
      <c r="C18" s="257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 t="e">
        <v>#N/A</v>
      </c>
      <c r="V18" s="71" t="e">
        <v>#N/A</v>
      </c>
      <c r="W18"/>
      <c r="X18"/>
      <c r="Y18" s="80">
        <v>6</v>
      </c>
      <c r="Z18" s="80">
        <f>_xll.RtGet($AD$13,$AD$14&amp;$Y18&amp;$AD$15,Z$12)</f>
        <v>-9.2241785000000007E-2</v>
      </c>
      <c r="AA18" s="78">
        <f>_xll.RtGet($AD$13,$AD$14&amp;$Y18&amp;$AD$15,AA$12)</f>
        <v>-9.2241785000000007E-2</v>
      </c>
      <c r="AB18" s="67"/>
      <c r="AC18" s="67"/>
      <c r="AD18" s="67"/>
      <c r="AF18" s="24" t="s">
        <v>242</v>
      </c>
      <c r="AG18" s="68"/>
      <c r="AH18" s="68"/>
      <c r="AI18" s="170" t="e">
        <f>(AI14/AI15-1)/_xll.xlYrfDayCount(AI4,AI5,$AI$10)</f>
        <v>#VALUE!</v>
      </c>
    </row>
    <row r="19" spans="1:44" ht="11.25" customHeight="1" x14ac:dyDescent="0.2">
      <c r="A19" s="68"/>
      <c r="C19" s="258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 t="e">
        <v>#N/A</v>
      </c>
      <c r="V19" s="71" t="e">
        <v>#N/A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243</v>
      </c>
      <c r="AG19" s="68"/>
      <c r="AH19" s="68"/>
      <c r="AI19" s="170" t="e">
        <f>AI17*100-IF(J3&gt;0,J3,I3)</f>
        <v>#VALUE!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 t="e">
        <v>#N/A</v>
      </c>
      <c r="V20" s="71" t="e">
        <v>#N/A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244</v>
      </c>
      <c r="AG20" s="168"/>
      <c r="AH20" s="168"/>
      <c r="AI20" s="167" t="e">
        <f>AI18*100-IF(J4&gt;0,J4,I4)</f>
        <v>#VALUE!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 t="e">
        <v>#N/A</v>
      </c>
      <c r="V21" s="71" t="e">
        <v>#N/A</v>
      </c>
      <c r="W21"/>
      <c r="X21"/>
      <c r="Y21" s="80">
        <v>9</v>
      </c>
      <c r="Z21" s="80" t="str">
        <f>_xll.RtGet($AD$13,$AD$14&amp;$Y21&amp;$AD$15,Z$12)</f>
        <v>#N/A RIC Not Found</v>
      </c>
      <c r="AA21" s="78" t="str">
        <f>_xll.RtGet($AD$13,$AD$14&amp;$Y21&amp;$AD$15,AA$12)</f>
        <v>#N/A RIC Not Found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 t="e">
        <v>#N/A</v>
      </c>
      <c r="V22" s="71" t="e">
        <v>#N/A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C6&amp;C5</f>
        <v>SEKUSD</v>
      </c>
      <c r="G23" s="67"/>
      <c r="H23" s="67"/>
      <c r="I23" s="162">
        <f>AVERAGE(Z27:AA27)</f>
        <v>7.7222999999999997</v>
      </c>
      <c r="J23" s="160"/>
      <c r="K23" s="161"/>
      <c r="L23" s="160">
        <f>IF(ISNUMBER(J23),J23,I23)+K23</f>
        <v>7.7222999999999997</v>
      </c>
      <c r="M23" s="67"/>
      <c r="N23" s="67"/>
      <c r="O23" s="67"/>
      <c r="P23" s="67"/>
      <c r="Q23" s="67"/>
      <c r="R23" s="67"/>
      <c r="S23" s="67"/>
      <c r="U23" s="72" t="e">
        <v>#N/A</v>
      </c>
      <c r="V23" s="71" t="e">
        <v>#N/A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K23"/>
      <c r="AL23"/>
      <c r="AM23"/>
    </row>
    <row r="24" spans="1:44" ht="11.25" customHeight="1" x14ac:dyDescent="0.2">
      <c r="A24" s="68"/>
      <c r="B24" s="328" t="s">
        <v>80</v>
      </c>
      <c r="C24" s="329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 t="e">
        <v>#N/A</v>
      </c>
      <c r="V24" s="71" t="e">
        <v>#N/A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10</v>
      </c>
      <c r="U25" s="72" t="e">
        <v>#N/A</v>
      </c>
      <c r="V25" s="71" t="e">
        <v>#N/A</v>
      </c>
      <c r="W25"/>
      <c r="X25"/>
      <c r="Y25" s="79"/>
      <c r="Z25" s="79"/>
      <c r="AA25" s="79"/>
      <c r="AB25" s="67"/>
      <c r="AC25" s="67"/>
      <c r="AD25" s="67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20">
        <f t="shared" ref="F26:F67" si="11">IF($C$19,IF(LEN(AQ31)&gt;0,AQ31,""),IF(LEN(AG31)&gt;0,AG31,""))</f>
        <v>12</v>
      </c>
      <c r="G26" s="68"/>
      <c r="H26" s="68"/>
      <c r="I26" s="154">
        <f t="shared" ref="I26:I67" si="12">IF($C$19,AR31,AF31)</f>
        <v>-0.12</v>
      </c>
      <c r="J26" s="152"/>
      <c r="K26" s="153"/>
      <c r="L26" s="152">
        <f t="shared" ref="L26:L67" si="13">IF(ISNUMBER(J26),J26,I26)+K26</f>
        <v>-0.12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12</v>
      </c>
      <c r="S26" s="150">
        <f t="shared" ref="S26:S67" si="17">IF(LEN(P26)&gt;0,INDEX($L$26:$L$67,$P26),"")</f>
        <v>-0.12</v>
      </c>
      <c r="U26" s="72" t="e">
        <v>#N/A</v>
      </c>
      <c r="V26" s="71" t="e">
        <v>#N/A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24</v>
      </c>
      <c r="G27" s="68"/>
      <c r="I27" s="97">
        <f t="shared" si="12"/>
        <v>-0.11000000000000001</v>
      </c>
      <c r="J27" s="95"/>
      <c r="K27" s="96"/>
      <c r="L27" s="95">
        <f t="shared" si="13"/>
        <v>-0.11000000000000001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24</v>
      </c>
      <c r="S27" s="93">
        <f t="shared" si="17"/>
        <v>-0.11000000000000001</v>
      </c>
      <c r="U27" s="72" t="e">
        <v>#N/A</v>
      </c>
      <c r="V27" s="71" t="e">
        <v>#N/A</v>
      </c>
      <c r="W27"/>
      <c r="X27"/>
      <c r="Y27" s="146" t="s">
        <v>222</v>
      </c>
      <c r="Z27" s="145">
        <f>_xll.RtGet($AD$26,$AD$27&amp;$Y27&amp;$AD$28,Z$26)</f>
        <v>7.7207999999999997</v>
      </c>
      <c r="AA27" s="144">
        <f>_xll.RtGet($AD$26,$AD$27&amp;$Y27&amp;$AD$28,AA$26)</f>
        <v>7.7237999999999998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36</v>
      </c>
      <c r="G28" s="68"/>
      <c r="I28" s="97">
        <f t="shared" si="12"/>
        <v>-9.2499999999999999E-2</v>
      </c>
      <c r="J28" s="95"/>
      <c r="K28" s="96"/>
      <c r="L28" s="95">
        <f t="shared" si="13"/>
        <v>-9.2499999999999999E-2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36</v>
      </c>
      <c r="S28" s="93">
        <f t="shared" si="17"/>
        <v>-9.2499999999999999E-2</v>
      </c>
      <c r="U28" s="72" t="e">
        <v>#N/A</v>
      </c>
      <c r="V28" s="71" t="e">
        <v>#N/A</v>
      </c>
      <c r="W28"/>
      <c r="X28"/>
      <c r="AC28" s="118" t="s">
        <v>63</v>
      </c>
      <c r="AD28" s="117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48</v>
      </c>
      <c r="G29" s="68"/>
      <c r="I29" s="97">
        <f t="shared" si="12"/>
        <v>-7.0000000000000007E-2</v>
      </c>
      <c r="J29" s="95"/>
      <c r="K29" s="96"/>
      <c r="L29" s="95">
        <f t="shared" si="13"/>
        <v>-7.0000000000000007E-2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48</v>
      </c>
      <c r="S29" s="93">
        <f t="shared" si="17"/>
        <v>-7.0000000000000007E-2</v>
      </c>
      <c r="U29" s="72" t="e">
        <v>#N/A</v>
      </c>
      <c r="V29" s="71" t="e">
        <v>#N/A</v>
      </c>
      <c r="W29"/>
      <c r="X29"/>
      <c r="Y29" s="133" t="s">
        <v>132</v>
      </c>
      <c r="Z29" s="316">
        <v>0.01</v>
      </c>
      <c r="AF29" s="221"/>
      <c r="AG29" s="222">
        <f>MAX(AG31:AG72)</f>
        <v>360</v>
      </c>
      <c r="AH29" s="221"/>
      <c r="AI29" s="221"/>
      <c r="AJ29" s="221"/>
      <c r="AK29" s="221"/>
      <c r="AL29" s="221"/>
      <c r="AM29" s="221"/>
      <c r="AN29" s="223"/>
      <c r="AO29" s="223"/>
      <c r="AP29" s="223"/>
      <c r="AQ29" s="222">
        <f>MAX(AQ31:AQ60)</f>
        <v>312</v>
      </c>
      <c r="AR29" s="221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60</v>
      </c>
      <c r="G30" s="68"/>
      <c r="I30" s="97">
        <f t="shared" si="12"/>
        <v>-4.2499999999999996E-2</v>
      </c>
      <c r="J30" s="95"/>
      <c r="K30" s="96"/>
      <c r="L30" s="95">
        <f t="shared" si="13"/>
        <v>-4.2499999999999996E-2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60</v>
      </c>
      <c r="S30" s="93">
        <f t="shared" si="17"/>
        <v>-4.2499999999999996E-2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4" t="s">
        <v>124</v>
      </c>
      <c r="AG30" s="224" t="s">
        <v>192</v>
      </c>
      <c r="AH30" s="225" t="b">
        <f>AND(AQ29&gt;AG29,ISERROR(MATCH(AQ29,$AG$31:$AG$72,0)))</f>
        <v>0</v>
      </c>
      <c r="AI30" s="226"/>
      <c r="AJ30" s="226"/>
      <c r="AK30" s="226"/>
      <c r="AL30" s="227">
        <f>COUNT(AK31:AK72)</f>
        <v>10</v>
      </c>
      <c r="AM30" s="228"/>
      <c r="AN30" s="223"/>
      <c r="AO30" s="223"/>
      <c r="AP30" s="223"/>
      <c r="AQ30" s="224" t="s">
        <v>126</v>
      </c>
      <c r="AR30" s="224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84</v>
      </c>
      <c r="G31" s="68"/>
      <c r="I31" s="97">
        <f t="shared" si="12"/>
        <v>-1.2500000000000001E-2</v>
      </c>
      <c r="J31" s="95"/>
      <c r="K31" s="96"/>
      <c r="L31" s="95">
        <f t="shared" si="13"/>
        <v>-1.2500000000000001E-2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84</v>
      </c>
      <c r="S31" s="93">
        <f t="shared" si="17"/>
        <v>-1.2500000000000001E-2</v>
      </c>
      <c r="U31" s="72" t="e">
        <v>#N/A</v>
      </c>
      <c r="V31" s="71" t="e">
        <v>#N/A</v>
      </c>
      <c r="W31"/>
      <c r="X31"/>
      <c r="Y31" s="130" t="s">
        <v>177</v>
      </c>
      <c r="Z31" s="219">
        <f>$Z$29*_xll.RtGet($AD$32,$AD$33&amp;$Y31&amp;$AD$34,Z$30)</f>
        <v>-0.15</v>
      </c>
      <c r="AA31" s="127">
        <f>$Z$29*_xll.RtGet($AD$32,$AD$33&amp;$Y31&amp;$AD$34,AA$30)</f>
        <v>-0.09</v>
      </c>
      <c r="AF31" s="229">
        <f t="shared" ref="AF31:AF72" si="20">AVERAGE(Z31:AA31)</f>
        <v>-0.12</v>
      </c>
      <c r="AG31" s="230">
        <f>IF(ISNUMBER(AF31),LEFT(Y31,LEN(Y31)-1)*IF(RIGHT(Y31,1)="Y",12,1),"")</f>
        <v>12</v>
      </c>
      <c r="AH31" s="231">
        <f t="shared" ref="AH31:AH71" si="21">IF(LEN(AG31)&gt;0,AG31,"")</f>
        <v>12</v>
      </c>
      <c r="AI31" s="232">
        <f t="shared" ref="AI31:AI71" si="22">IF(LEN(AG31)&gt;0,AF31,"")</f>
        <v>-0.12</v>
      </c>
      <c r="AJ31" s="233">
        <v>3</v>
      </c>
      <c r="AK31" s="228">
        <f t="shared" ref="AK31:AK72" si="23">IF(LEN(AH31)&gt;0,AJ31,"")</f>
        <v>3</v>
      </c>
      <c r="AL31" s="227">
        <f>IF(AL30&gt;0,1,"")</f>
        <v>1</v>
      </c>
      <c r="AM31" s="234" t="b">
        <f t="shared" ref="AM31:AM72" si="24">LEN(AL31)&gt;0</f>
        <v>1</v>
      </c>
      <c r="AN31" s="235">
        <f t="shared" ref="AN31:AN72" si="25">IF(AM31,SMALL($AK$31:$AK$72,AL31),"")</f>
        <v>3</v>
      </c>
      <c r="AO31" s="234">
        <f t="array" ref="AO31:AP31">IF(AM31,INDEX($AH$31:$AI$72,AN31,0),"")</f>
        <v>36</v>
      </c>
      <c r="AP31" s="235">
        <v>-9.2499999999999999E-2</v>
      </c>
      <c r="AQ31" s="234">
        <f t="array" ref="AQ31:AQ72">AJ31:AJ72</f>
        <v>3</v>
      </c>
      <c r="AR31" s="236" t="str">
        <f t="array" ref="AR31:AR72">_xll.xlInterp1D(AO31:INDEX(AO31:AO72,AL30),AP31:INDEX(AP31:AP72,AL30),AQ31:AQ72,"kruger")</f>
        <v>#Error in cont_interp::kruger, too few input points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120</v>
      </c>
      <c r="G32" s="68"/>
      <c r="I32" s="97">
        <f t="shared" si="12"/>
        <v>3.7500000000000006E-2</v>
      </c>
      <c r="J32" s="95"/>
      <c r="K32" s="96"/>
      <c r="L32" s="95">
        <f t="shared" si="13"/>
        <v>3.7500000000000006E-2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120</v>
      </c>
      <c r="S32" s="93">
        <f t="shared" si="17"/>
        <v>3.7500000000000006E-2</v>
      </c>
      <c r="U32" s="72" t="e">
        <v>#N/A</v>
      </c>
      <c r="V32" s="71" t="e">
        <v>#N/A</v>
      </c>
      <c r="W32"/>
      <c r="Y32" s="81" t="s">
        <v>179</v>
      </c>
      <c r="Z32" s="80">
        <f>$Z$29*_xll.RtGet($AD$32,$AD$33&amp;$Y32&amp;$AD$34,Z$30)</f>
        <v>-0.14000000000000001</v>
      </c>
      <c r="AA32" s="78">
        <f>$Z$29*_xll.RtGet($AD$32,$AD$33&amp;$Y32&amp;$AD$34,AA$30)</f>
        <v>-0.08</v>
      </c>
      <c r="AC32" s="124" t="s">
        <v>68</v>
      </c>
      <c r="AD32" s="123" t="s">
        <v>67</v>
      </c>
      <c r="AF32" s="237">
        <f t="shared" si="20"/>
        <v>-0.11000000000000001</v>
      </c>
      <c r="AG32" s="231">
        <f t="shared" ref="AG32:AG72" si="26">IF(ISNUMBER(AF32),LEFT(Y32,LEN(Y32)-1)*IF(RIGHT(Y32,1)="Y",12,1),"")</f>
        <v>24</v>
      </c>
      <c r="AH32" s="231">
        <f t="shared" si="21"/>
        <v>24</v>
      </c>
      <c r="AI32" s="238">
        <f t="shared" si="22"/>
        <v>-0.11000000000000001</v>
      </c>
      <c r="AJ32" s="239">
        <f>+AJ31+3</f>
        <v>6</v>
      </c>
      <c r="AK32" s="228">
        <f t="shared" si="23"/>
        <v>6</v>
      </c>
      <c r="AL32" s="228">
        <f t="shared" ref="AL32:AL72" si="27">IF(AL31&lt;$AL$30,AL31+1,"")</f>
        <v>2</v>
      </c>
      <c r="AM32" s="228" t="b">
        <f t="shared" si="24"/>
        <v>1</v>
      </c>
      <c r="AN32" s="240">
        <f t="shared" si="25"/>
        <v>6</v>
      </c>
      <c r="AO32" s="239">
        <f t="array" ref="AO32:AP32">IF(AM32,INDEX($AH$31:$AI$72,AN32,0),"")</f>
        <v>84</v>
      </c>
      <c r="AP32" s="240">
        <v>-1.2500000000000001E-2</v>
      </c>
      <c r="AQ32" s="239">
        <v>6</v>
      </c>
      <c r="AR32" s="241" t="str">
        <v>#Error in cont_interp::kruger, too few input points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180</v>
      </c>
      <c r="G33" s="68"/>
      <c r="I33" s="97">
        <f t="shared" si="12"/>
        <v>0.12</v>
      </c>
      <c r="J33" s="95"/>
      <c r="K33" s="96"/>
      <c r="L33" s="95">
        <f t="shared" si="13"/>
        <v>0.12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180</v>
      </c>
      <c r="S33" s="93">
        <f t="shared" si="17"/>
        <v>0.12</v>
      </c>
      <c r="U33" s="72" t="e">
        <v>#N/A</v>
      </c>
      <c r="V33" s="71" t="e">
        <v>#N/A</v>
      </c>
      <c r="W33"/>
      <c r="Y33" s="81" t="s">
        <v>180</v>
      </c>
      <c r="Z33" s="80">
        <f>$Z$29*_xll.RtGet($AD$32,$AD$33&amp;$Y33&amp;$AD$34,Z$30)</f>
        <v>-0.1225</v>
      </c>
      <c r="AA33" s="78">
        <f>$Z$29*_xll.RtGet($AD$32,$AD$33&amp;$Y33&amp;$AD$34,AA$30)</f>
        <v>-6.25E-2</v>
      </c>
      <c r="AC33" s="121" t="s">
        <v>66</v>
      </c>
      <c r="AD33" s="120" t="s">
        <v>233</v>
      </c>
      <c r="AF33" s="237">
        <f t="shared" si="20"/>
        <v>-9.2499999999999999E-2</v>
      </c>
      <c r="AG33" s="231">
        <f t="shared" si="26"/>
        <v>36</v>
      </c>
      <c r="AH33" s="231">
        <f t="shared" si="21"/>
        <v>36</v>
      </c>
      <c r="AI33" s="238">
        <f t="shared" si="22"/>
        <v>-9.2499999999999999E-2</v>
      </c>
      <c r="AJ33" s="239">
        <f t="shared" ref="AJ33:AJ34" si="28">+AJ32+3</f>
        <v>9</v>
      </c>
      <c r="AK33" s="228">
        <f t="shared" si="23"/>
        <v>9</v>
      </c>
      <c r="AL33" s="228">
        <f t="shared" si="27"/>
        <v>3</v>
      </c>
      <c r="AM33" s="228" t="b">
        <f t="shared" si="24"/>
        <v>1</v>
      </c>
      <c r="AN33" s="240">
        <f t="shared" si="25"/>
        <v>9</v>
      </c>
      <c r="AO33" s="239">
        <f t="array" ref="AO33:AP33">IF(AM33,INDEX($AH$31:$AI$72,AN33,0),"")</f>
        <v>240</v>
      </c>
      <c r="AP33" s="240">
        <v>0.185</v>
      </c>
      <c r="AQ33" s="239">
        <v>9</v>
      </c>
      <c r="AR33" s="241" t="str">
        <v>#Error in cont_interp::kruger, too few input points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240</v>
      </c>
      <c r="G34" s="68"/>
      <c r="I34" s="97">
        <f t="shared" si="12"/>
        <v>0.185</v>
      </c>
      <c r="J34" s="95"/>
      <c r="K34" s="96"/>
      <c r="L34" s="95">
        <f t="shared" si="13"/>
        <v>0.185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240</v>
      </c>
      <c r="S34" s="93">
        <f t="shared" si="17"/>
        <v>0.185</v>
      </c>
      <c r="U34" s="72" t="e">
        <v>#N/A</v>
      </c>
      <c r="V34" s="71" t="e">
        <v>#N/A</v>
      </c>
      <c r="Y34" s="81" t="s">
        <v>181</v>
      </c>
      <c r="Z34" s="80">
        <f>$Z$29*_xll.RtGet($AD$32,$AD$33&amp;$Y34&amp;$AD$34,Z$30)</f>
        <v>-0.1</v>
      </c>
      <c r="AA34" s="78">
        <f>$Z$29*_xll.RtGet($AD$32,$AD$33&amp;$Y34&amp;$AD$34,AA$30)</f>
        <v>-0.04</v>
      </c>
      <c r="AC34" s="118" t="s">
        <v>63</v>
      </c>
      <c r="AD34" s="218" t="s">
        <v>178</v>
      </c>
      <c r="AF34" s="237">
        <f t="shared" si="20"/>
        <v>-7.0000000000000007E-2</v>
      </c>
      <c r="AG34" s="231">
        <f t="shared" si="26"/>
        <v>48</v>
      </c>
      <c r="AH34" s="231">
        <f t="shared" si="21"/>
        <v>48</v>
      </c>
      <c r="AI34" s="238">
        <f t="shared" si="22"/>
        <v>-7.0000000000000007E-2</v>
      </c>
      <c r="AJ34" s="242">
        <f t="shared" si="28"/>
        <v>12</v>
      </c>
      <c r="AK34" s="228">
        <f t="shared" si="23"/>
        <v>12</v>
      </c>
      <c r="AL34" s="228">
        <f t="shared" si="27"/>
        <v>4</v>
      </c>
      <c r="AM34" s="228" t="b">
        <f t="shared" si="24"/>
        <v>1</v>
      </c>
      <c r="AN34" s="240">
        <f t="shared" si="25"/>
        <v>12</v>
      </c>
      <c r="AO34" s="239" t="str">
        <f t="array" ref="AO34:AP34">IF(AM34,INDEX($AH$31:$AI$72,AN34,0),"")</f>
        <v/>
      </c>
      <c r="AP34" s="240" t="str">
        <v/>
      </c>
      <c r="AQ34" s="239">
        <v>12</v>
      </c>
      <c r="AR34" s="241" t="str">
        <v>#Error in cont_interp::kruger, too few input points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360</v>
      </c>
      <c r="G35" s="68"/>
      <c r="I35" s="97">
        <f t="shared" si="12"/>
        <v>0.24</v>
      </c>
      <c r="J35" s="95"/>
      <c r="K35" s="96"/>
      <c r="L35" s="95">
        <f t="shared" si="13"/>
        <v>0.24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360</v>
      </c>
      <c r="S35" s="93">
        <f t="shared" si="17"/>
        <v>0.24</v>
      </c>
      <c r="U35" s="72" t="e">
        <v>#N/A</v>
      </c>
      <c r="V35" s="71" t="e">
        <v>#N/A</v>
      </c>
      <c r="W35"/>
      <c r="Y35" s="81" t="s">
        <v>182</v>
      </c>
      <c r="Z35" s="80">
        <f>$Z$29*_xll.RtGet($AD$32,$AD$33&amp;$Y35&amp;$AD$34,Z$30)</f>
        <v>-7.2499999999999995E-2</v>
      </c>
      <c r="AA35" s="78">
        <f>$Z$29*_xll.RtGet($AD$32,$AD$33&amp;$Y35&amp;$AD$34,AA$30)</f>
        <v>-1.2500000000000001E-2</v>
      </c>
      <c r="AF35" s="237">
        <f t="shared" si="20"/>
        <v>-4.2499999999999996E-2</v>
      </c>
      <c r="AG35" s="231">
        <f t="shared" si="26"/>
        <v>60</v>
      </c>
      <c r="AH35" s="231">
        <f t="shared" si="21"/>
        <v>60</v>
      </c>
      <c r="AI35" s="238">
        <f t="shared" si="22"/>
        <v>-4.2499999999999996E-2</v>
      </c>
      <c r="AJ35" s="239">
        <f>+AJ34+6</f>
        <v>18</v>
      </c>
      <c r="AK35" s="228">
        <f t="shared" si="23"/>
        <v>18</v>
      </c>
      <c r="AL35" s="228">
        <f t="shared" si="27"/>
        <v>5</v>
      </c>
      <c r="AM35" s="228" t="b">
        <f t="shared" si="24"/>
        <v>1</v>
      </c>
      <c r="AN35" s="240">
        <f t="shared" si="25"/>
        <v>18</v>
      </c>
      <c r="AO35" s="239" t="str">
        <f t="array" ref="AO35:AP35">IF(AM35,INDEX($AH$31:$AI$72,AN35,0),"")</f>
        <v/>
      </c>
      <c r="AP35" s="240" t="str">
        <v/>
      </c>
      <c r="AQ35" s="239">
        <v>18</v>
      </c>
      <c r="AR35" s="241" t="str">
        <v>#Error in cont_interp::kruger, too few input points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0</v>
      </c>
      <c r="F36" s="169" t="str">
        <f t="shared" si="11"/>
        <v/>
      </c>
      <c r="G36" s="68"/>
      <c r="I36" s="97" t="e">
        <f t="shared" si="12"/>
        <v>#VALUE!</v>
      </c>
      <c r="J36" s="95"/>
      <c r="K36" s="96"/>
      <c r="L36" s="95" t="e">
        <f t="shared" si="13"/>
        <v>#VALUE!</v>
      </c>
      <c r="M36" s="80">
        <f t="shared" si="18"/>
        <v>11</v>
      </c>
      <c r="N36" s="78" t="str">
        <f t="shared" si="14"/>
        <v/>
      </c>
      <c r="O36" s="80" t="str">
        <f t="shared" si="19"/>
        <v/>
      </c>
      <c r="P36" s="78" t="str">
        <f t="shared" si="15"/>
        <v/>
      </c>
      <c r="Q36" s="68"/>
      <c r="R36" s="94" t="str">
        <f t="shared" si="16"/>
        <v/>
      </c>
      <c r="S36" s="93" t="str">
        <f t="shared" si="17"/>
        <v/>
      </c>
      <c r="U36" s="72" t="e">
        <v>#N/A</v>
      </c>
      <c r="V36" s="71" t="e">
        <v>#N/A</v>
      </c>
      <c r="Y36" s="81" t="s">
        <v>183</v>
      </c>
      <c r="Z36" s="80">
        <f>$Z$29*_xll.RtGet($AD$32,$AD$33&amp;$Y36&amp;$AD$34,Z$30)</f>
        <v>-4.2500000000000003E-2</v>
      </c>
      <c r="AA36" s="78">
        <f>$Z$29*_xll.RtGet($AD$32,$AD$33&amp;$Y36&amp;$AD$34,AA$30)</f>
        <v>1.7500000000000002E-2</v>
      </c>
      <c r="AF36" s="237">
        <f t="shared" si="20"/>
        <v>-1.2500000000000001E-2</v>
      </c>
      <c r="AG36" s="231">
        <f t="shared" si="26"/>
        <v>84</v>
      </c>
      <c r="AH36" s="231">
        <f t="shared" si="21"/>
        <v>84</v>
      </c>
      <c r="AI36" s="238">
        <f t="shared" si="22"/>
        <v>-1.2500000000000001E-2</v>
      </c>
      <c r="AJ36" s="242">
        <f>+AJ35+6</f>
        <v>24</v>
      </c>
      <c r="AK36" s="228">
        <f t="shared" si="23"/>
        <v>24</v>
      </c>
      <c r="AL36" s="228">
        <f t="shared" si="27"/>
        <v>6</v>
      </c>
      <c r="AM36" s="228" t="b">
        <f t="shared" si="24"/>
        <v>1</v>
      </c>
      <c r="AN36" s="240">
        <f t="shared" si="25"/>
        <v>24</v>
      </c>
      <c r="AO36" s="239" t="str">
        <f t="array" ref="AO36:AP36">IF(AM36,INDEX($AH$31:$AI$72,AN36,0),"")</f>
        <v/>
      </c>
      <c r="AP36" s="240" t="str">
        <v/>
      </c>
      <c r="AQ36" s="239">
        <v>24</v>
      </c>
      <c r="AR36" s="241" t="str">
        <v>#Error in cont_interp::kruger, too few input points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0</v>
      </c>
      <c r="F37" s="169" t="str">
        <f t="shared" si="11"/>
        <v/>
      </c>
      <c r="G37" s="68"/>
      <c r="I37" s="97" t="e">
        <f t="shared" si="12"/>
        <v>#VALUE!</v>
      </c>
      <c r="J37" s="95"/>
      <c r="K37" s="96"/>
      <c r="L37" s="95" t="e">
        <f t="shared" si="13"/>
        <v>#VALUE!</v>
      </c>
      <c r="M37" s="80">
        <f t="shared" si="18"/>
        <v>12</v>
      </c>
      <c r="N37" s="78" t="str">
        <f t="shared" si="14"/>
        <v/>
      </c>
      <c r="O37" s="80" t="str">
        <f t="shared" si="19"/>
        <v/>
      </c>
      <c r="P37" s="78" t="str">
        <f t="shared" si="15"/>
        <v/>
      </c>
      <c r="Q37" s="68"/>
      <c r="R37" s="94" t="str">
        <f t="shared" si="16"/>
        <v/>
      </c>
      <c r="S37" s="93" t="str">
        <f t="shared" si="17"/>
        <v/>
      </c>
      <c r="U37" s="72" t="e">
        <v>#N/A</v>
      </c>
      <c r="V37" s="71" t="e">
        <v>#N/A</v>
      </c>
      <c r="Y37" s="81" t="s">
        <v>184</v>
      </c>
      <c r="Z37" s="80">
        <f>$Z$29*_xll.RtGet($AD$32,$AD$33&amp;$Y37&amp;$AD$34,Z$30)</f>
        <v>7.4999999999999997E-3</v>
      </c>
      <c r="AA37" s="78">
        <f>$Z$29*_xll.RtGet($AD$32,$AD$33&amp;$Y37&amp;$AD$34,AA$30)</f>
        <v>6.7500000000000004E-2</v>
      </c>
      <c r="AF37" s="237">
        <f t="shared" si="20"/>
        <v>3.7500000000000006E-2</v>
      </c>
      <c r="AG37" s="231">
        <f t="shared" si="26"/>
        <v>120</v>
      </c>
      <c r="AH37" s="231">
        <f t="shared" si="21"/>
        <v>120</v>
      </c>
      <c r="AI37" s="238">
        <f t="shared" si="22"/>
        <v>3.7500000000000006E-2</v>
      </c>
      <c r="AJ37" s="239">
        <f>+AJ36+12</f>
        <v>36</v>
      </c>
      <c r="AK37" s="228">
        <f t="shared" si="23"/>
        <v>36</v>
      </c>
      <c r="AL37" s="228">
        <f t="shared" si="27"/>
        <v>7</v>
      </c>
      <c r="AM37" s="228" t="b">
        <f t="shared" si="24"/>
        <v>1</v>
      </c>
      <c r="AN37" s="240">
        <f t="shared" si="25"/>
        <v>36</v>
      </c>
      <c r="AO37" s="239" t="str">
        <f t="array" ref="AO37:AP37">IF(AM37,INDEX($AH$31:$AI$72,AN37,0),"")</f>
        <v/>
      </c>
      <c r="AP37" s="240" t="str">
        <v/>
      </c>
      <c r="AQ37" s="239">
        <v>36</v>
      </c>
      <c r="AR37" s="241" t="str">
        <v>#Error in cont_interp::kruger, too few input points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0</v>
      </c>
      <c r="F38" s="169" t="str">
        <f t="shared" si="11"/>
        <v/>
      </c>
      <c r="G38" s="68"/>
      <c r="I38" s="97" t="e">
        <f t="shared" si="12"/>
        <v>#VALUE!</v>
      </c>
      <c r="J38" s="95"/>
      <c r="K38" s="96"/>
      <c r="L38" s="95" t="e">
        <f t="shared" si="13"/>
        <v>#VALUE!</v>
      </c>
      <c r="M38" s="80">
        <f t="shared" si="18"/>
        <v>13</v>
      </c>
      <c r="N38" s="78" t="str">
        <f t="shared" si="14"/>
        <v/>
      </c>
      <c r="O38" s="80" t="str">
        <f t="shared" si="19"/>
        <v/>
      </c>
      <c r="P38" s="78" t="str">
        <f t="shared" si="15"/>
        <v/>
      </c>
      <c r="Q38" s="68"/>
      <c r="R38" s="94" t="str">
        <f t="shared" si="16"/>
        <v/>
      </c>
      <c r="S38" s="93" t="str">
        <f t="shared" si="17"/>
        <v/>
      </c>
      <c r="U38" s="72" t="e">
        <v>#N/A</v>
      </c>
      <c r="V38" s="71" t="e">
        <v>#N/A</v>
      </c>
      <c r="Y38" s="81" t="s">
        <v>185</v>
      </c>
      <c r="Z38" s="80">
        <f>$Z$29*_xll.RtGet($AD$32,$AD$33&amp;$Y38&amp;$AD$34,Z$30)</f>
        <v>0.09</v>
      </c>
      <c r="AA38" s="78">
        <f>$Z$29*_xll.RtGet($AD$32,$AD$33&amp;$Y38&amp;$AD$34,AA$30)</f>
        <v>0.15</v>
      </c>
      <c r="AF38" s="237">
        <f t="shared" si="20"/>
        <v>0.12</v>
      </c>
      <c r="AG38" s="231">
        <f t="shared" si="26"/>
        <v>180</v>
      </c>
      <c r="AH38" s="231">
        <f t="shared" si="21"/>
        <v>180</v>
      </c>
      <c r="AI38" s="238">
        <f t="shared" si="22"/>
        <v>0.12</v>
      </c>
      <c r="AJ38" s="239">
        <f t="shared" ref="AJ38:AJ64" si="29">+AJ37+12</f>
        <v>48</v>
      </c>
      <c r="AK38" s="228">
        <f t="shared" si="23"/>
        <v>48</v>
      </c>
      <c r="AL38" s="228">
        <f t="shared" si="27"/>
        <v>8</v>
      </c>
      <c r="AM38" s="228" t="b">
        <f t="shared" si="24"/>
        <v>1</v>
      </c>
      <c r="AN38" s="240">
        <f t="shared" si="25"/>
        <v>48</v>
      </c>
      <c r="AO38" s="239" t="e">
        <f t="array" ref="AO38:AP38">IF(AM38,INDEX($AH$31:$AI$72,AN38,0),"")</f>
        <v>#REF!</v>
      </c>
      <c r="AP38" s="240" t="e">
        <v>#REF!</v>
      </c>
      <c r="AQ38" s="239">
        <v>48</v>
      </c>
      <c r="AR38" s="241" t="str">
        <v>#Error in cont_interp::kruger, too few input points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189</v>
      </c>
      <c r="Z39" s="80">
        <f>$Z$29*_xll.RtGet($AD$32,$AD$33&amp;$Y39&amp;$AD$34,Z$30)</f>
        <v>0.155</v>
      </c>
      <c r="AA39" s="78">
        <f>$Z$29*_xll.RtGet($AD$32,$AD$33&amp;$Y39&amp;$AD$34,AA$30)</f>
        <v>0.215</v>
      </c>
      <c r="AF39" s="237">
        <f t="shared" si="20"/>
        <v>0.185</v>
      </c>
      <c r="AG39" s="231">
        <f t="shared" si="26"/>
        <v>240</v>
      </c>
      <c r="AH39" s="231">
        <f t="shared" si="21"/>
        <v>240</v>
      </c>
      <c r="AI39" s="238">
        <f t="shared" si="22"/>
        <v>0.185</v>
      </c>
      <c r="AJ39" s="239">
        <f t="shared" si="29"/>
        <v>60</v>
      </c>
      <c r="AK39" s="228">
        <f t="shared" si="23"/>
        <v>60</v>
      </c>
      <c r="AL39" s="228">
        <f t="shared" si="27"/>
        <v>9</v>
      </c>
      <c r="AM39" s="228" t="b">
        <f t="shared" si="24"/>
        <v>1</v>
      </c>
      <c r="AN39" s="240">
        <f t="shared" si="25"/>
        <v>60</v>
      </c>
      <c r="AO39" s="239" t="e">
        <f t="array" ref="AO39:AP39">IF(AM39,INDEX($AH$31:$AI$72,AN39,0),"")</f>
        <v>#REF!</v>
      </c>
      <c r="AP39" s="240" t="e">
        <v>#REF!</v>
      </c>
      <c r="AQ39" s="239">
        <v>60</v>
      </c>
      <c r="AR39" s="241" t="str">
        <v>#Error in cont_interp::kruger, too few input points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190</v>
      </c>
      <c r="Z40" s="80">
        <f>$Z$29*_xll.RtGet($AD$32,$AD$33&amp;$Y40&amp;$AD$34,Z$30)</f>
        <v>0.21</v>
      </c>
      <c r="AA40" s="78">
        <f>$Z$29*_xll.RtGet($AD$32,$AD$33&amp;$Y40&amp;$AD$34,AA$30)</f>
        <v>0.27</v>
      </c>
      <c r="AF40" s="237">
        <f t="shared" si="20"/>
        <v>0.24</v>
      </c>
      <c r="AG40" s="231">
        <f t="shared" si="26"/>
        <v>360</v>
      </c>
      <c r="AH40" s="231">
        <f t="shared" si="21"/>
        <v>360</v>
      </c>
      <c r="AI40" s="238">
        <f t="shared" si="22"/>
        <v>0.24</v>
      </c>
      <c r="AJ40" s="239">
        <f t="shared" si="29"/>
        <v>72</v>
      </c>
      <c r="AK40" s="228">
        <f t="shared" si="23"/>
        <v>72</v>
      </c>
      <c r="AL40" s="228">
        <f t="shared" si="27"/>
        <v>10</v>
      </c>
      <c r="AM40" s="228" t="b">
        <f t="shared" si="24"/>
        <v>1</v>
      </c>
      <c r="AN40" s="240">
        <f t="shared" si="25"/>
        <v>72</v>
      </c>
      <c r="AO40" s="239" t="e">
        <f t="array" ref="AO40:AP40">IF(AM40,INDEX($AH$31:$AI$72,AN40,0),"")</f>
        <v>#REF!</v>
      </c>
      <c r="AP40" s="240" t="e">
        <v>#REF!</v>
      </c>
      <c r="AQ40" s="239">
        <v>72</v>
      </c>
      <c r="AR40" s="241" t="str">
        <v>#Error in cont_interp::kruger, too few input points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/>
      <c r="Z41" s="80" t="e">
        <f>$Z$29*_xll.RtGet($AD$32,$AD$33&amp;$Y41&amp;$AD$34,Z$30)</f>
        <v>#VALUE!</v>
      </c>
      <c r="AA41" s="78" t="e">
        <f>$Z$29*_xll.RtGet($AD$32,$AD$33&amp;$Y41&amp;$AD$34,AA$30)</f>
        <v>#VALUE!</v>
      </c>
      <c r="AF41" s="237" t="e">
        <f t="shared" si="20"/>
        <v>#VALUE!</v>
      </c>
      <c r="AG41" s="231" t="str">
        <f t="shared" si="26"/>
        <v/>
      </c>
      <c r="AH41" s="231" t="str">
        <f t="shared" si="21"/>
        <v/>
      </c>
      <c r="AI41" s="238" t="str">
        <f t="shared" si="22"/>
        <v/>
      </c>
      <c r="AJ41" s="239">
        <f t="shared" si="29"/>
        <v>84</v>
      </c>
      <c r="AK41" s="228" t="str">
        <f t="shared" si="23"/>
        <v/>
      </c>
      <c r="AL41" s="228" t="str">
        <f t="shared" si="27"/>
        <v/>
      </c>
      <c r="AM41" s="228" t="b">
        <f t="shared" si="24"/>
        <v>0</v>
      </c>
      <c r="AN41" s="240" t="str">
        <f t="shared" si="25"/>
        <v/>
      </c>
      <c r="AO41" s="239" t="str">
        <f t="array" ref="AO41:AP41">IF(AM41,INDEX($AH$31:$AI$72,AN41,0),"")</f>
        <v/>
      </c>
      <c r="AP41" s="240" t="str">
        <v/>
      </c>
      <c r="AQ41" s="239">
        <v>84</v>
      </c>
      <c r="AR41" s="241" t="str">
        <v>#Error in cont_interp::kruger, too few input points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/>
      <c r="Z42" s="80" t="e">
        <f>$Z$29*_xll.RtGet($AD$32,$AD$33&amp;$Y42&amp;$AD$34,Z$30)</f>
        <v>#VALUE!</v>
      </c>
      <c r="AA42" s="78" t="e">
        <f>$Z$29*_xll.RtGet($AD$32,$AD$33&amp;$Y42&amp;$AD$34,AA$30)</f>
        <v>#VALUE!</v>
      </c>
      <c r="AF42" s="237" t="e">
        <f t="shared" si="20"/>
        <v>#VALUE!</v>
      </c>
      <c r="AG42" s="231" t="str">
        <f t="shared" si="26"/>
        <v/>
      </c>
      <c r="AH42" s="231" t="str">
        <f t="shared" si="21"/>
        <v/>
      </c>
      <c r="AI42" s="238" t="str">
        <f t="shared" si="22"/>
        <v/>
      </c>
      <c r="AJ42" s="239">
        <f t="shared" si="29"/>
        <v>96</v>
      </c>
      <c r="AK42" s="228" t="str">
        <f t="shared" si="23"/>
        <v/>
      </c>
      <c r="AL42" s="228" t="str">
        <f t="shared" si="27"/>
        <v/>
      </c>
      <c r="AM42" s="228" t="b">
        <f t="shared" si="24"/>
        <v>0</v>
      </c>
      <c r="AN42" s="240" t="str">
        <f t="shared" si="25"/>
        <v/>
      </c>
      <c r="AO42" s="239" t="str">
        <f t="array" ref="AO42:AP42">IF(AM42,INDEX($AH$31:$AI$72,AN42,0),"")</f>
        <v/>
      </c>
      <c r="AP42" s="240" t="str">
        <v/>
      </c>
      <c r="AQ42" s="239">
        <v>96</v>
      </c>
      <c r="AR42" s="241" t="str">
        <v>#Error in cont_interp::kruger, too few input points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/>
      <c r="Z43" s="80" t="e">
        <f>$Z$29*_xll.RtGet($AD$32,$AD$33&amp;$Y43&amp;$AD$34,Z$30)</f>
        <v>#VALUE!</v>
      </c>
      <c r="AA43" s="78" t="e">
        <f>$Z$29*_xll.RtGet($AD$32,$AD$33&amp;$Y43&amp;$AD$34,AA$30)</f>
        <v>#VALUE!</v>
      </c>
      <c r="AF43" s="237" t="e">
        <f t="shared" si="20"/>
        <v>#VALUE!</v>
      </c>
      <c r="AG43" s="231" t="str">
        <f t="shared" si="26"/>
        <v/>
      </c>
      <c r="AH43" s="231" t="str">
        <f t="shared" si="21"/>
        <v/>
      </c>
      <c r="AI43" s="238" t="str">
        <f t="shared" si="22"/>
        <v/>
      </c>
      <c r="AJ43" s="239">
        <f t="shared" si="29"/>
        <v>108</v>
      </c>
      <c r="AK43" s="228" t="str">
        <f t="shared" si="23"/>
        <v/>
      </c>
      <c r="AL43" s="228" t="str">
        <f t="shared" si="27"/>
        <v/>
      </c>
      <c r="AM43" s="228" t="b">
        <f t="shared" si="24"/>
        <v>0</v>
      </c>
      <c r="AN43" s="240" t="str">
        <f t="shared" si="25"/>
        <v/>
      </c>
      <c r="AO43" s="239" t="str">
        <f t="array" ref="AO43:AP43">IF(AM43,INDEX($AH$31:$AI$72,AN43,0),"")</f>
        <v/>
      </c>
      <c r="AP43" s="240" t="str">
        <v/>
      </c>
      <c r="AQ43" s="239">
        <v>108</v>
      </c>
      <c r="AR43" s="241" t="str">
        <v>#Error in cont_interp::kruger, too few input points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7" t="e">
        <f t="shared" si="20"/>
        <v>#VALUE!</v>
      </c>
      <c r="AG44" s="231" t="str">
        <f t="shared" si="26"/>
        <v/>
      </c>
      <c r="AH44" s="231" t="str">
        <f t="shared" si="21"/>
        <v/>
      </c>
      <c r="AI44" s="238" t="str">
        <f t="shared" si="22"/>
        <v/>
      </c>
      <c r="AJ44" s="239">
        <f t="shared" si="29"/>
        <v>120</v>
      </c>
      <c r="AK44" s="228" t="str">
        <f t="shared" si="23"/>
        <v/>
      </c>
      <c r="AL44" s="228" t="str">
        <f t="shared" si="27"/>
        <v/>
      </c>
      <c r="AM44" s="228" t="b">
        <f t="shared" si="24"/>
        <v>0</v>
      </c>
      <c r="AN44" s="240" t="str">
        <f t="shared" si="25"/>
        <v/>
      </c>
      <c r="AO44" s="239" t="str">
        <f t="array" ref="AO44:AP44">IF(AM44,INDEX($AH$31:$AI$72,AN44,0),"")</f>
        <v/>
      </c>
      <c r="AP44" s="240" t="str">
        <v/>
      </c>
      <c r="AQ44" s="239">
        <v>120</v>
      </c>
      <c r="AR44" s="241" t="str">
        <v>#Error in cont_interp::kruger, too few input points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7" t="e">
        <f t="shared" si="20"/>
        <v>#VALUE!</v>
      </c>
      <c r="AG45" s="231" t="str">
        <f t="shared" si="26"/>
        <v/>
      </c>
      <c r="AH45" s="231" t="str">
        <f t="shared" si="21"/>
        <v/>
      </c>
      <c r="AI45" s="238" t="str">
        <f t="shared" si="22"/>
        <v/>
      </c>
      <c r="AJ45" s="239">
        <f t="shared" si="29"/>
        <v>132</v>
      </c>
      <c r="AK45" s="228" t="str">
        <f t="shared" si="23"/>
        <v/>
      </c>
      <c r="AL45" s="228" t="str">
        <f t="shared" si="27"/>
        <v/>
      </c>
      <c r="AM45" s="228" t="b">
        <f t="shared" si="24"/>
        <v>0</v>
      </c>
      <c r="AN45" s="240" t="str">
        <f t="shared" si="25"/>
        <v/>
      </c>
      <c r="AO45" s="239" t="str">
        <f t="array" ref="AO45:AP45">IF(AM45,INDEX($AH$31:$AI$72,AN45,0),"")</f>
        <v/>
      </c>
      <c r="AP45" s="240" t="str">
        <v/>
      </c>
      <c r="AQ45" s="239">
        <v>132</v>
      </c>
      <c r="AR45" s="241" t="str">
        <v>#Error in cont_interp::kruger, too few input points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7" t="e">
        <f t="shared" si="20"/>
        <v>#VALUE!</v>
      </c>
      <c r="AG46" s="231" t="str">
        <f t="shared" si="26"/>
        <v/>
      </c>
      <c r="AH46" s="231" t="str">
        <f t="shared" si="21"/>
        <v/>
      </c>
      <c r="AI46" s="238" t="str">
        <f t="shared" si="22"/>
        <v/>
      </c>
      <c r="AJ46" s="239">
        <f t="shared" si="29"/>
        <v>144</v>
      </c>
      <c r="AK46" s="228" t="str">
        <f t="shared" si="23"/>
        <v/>
      </c>
      <c r="AL46" s="228" t="str">
        <f t="shared" si="27"/>
        <v/>
      </c>
      <c r="AM46" s="228" t="b">
        <f t="shared" si="24"/>
        <v>0</v>
      </c>
      <c r="AN46" s="240" t="str">
        <f t="shared" si="25"/>
        <v/>
      </c>
      <c r="AO46" s="239" t="str">
        <f t="array" ref="AO46:AP46">IF(AM46,INDEX($AH$31:$AI$72,AN46,0),"")</f>
        <v/>
      </c>
      <c r="AP46" s="240" t="str">
        <v/>
      </c>
      <c r="AQ46" s="239">
        <v>144</v>
      </c>
      <c r="AR46" s="241" t="str">
        <v>#Error in cont_interp::kruger, too few input points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7" t="e">
        <f t="shared" si="20"/>
        <v>#VALUE!</v>
      </c>
      <c r="AG47" s="231" t="str">
        <f t="shared" si="26"/>
        <v/>
      </c>
      <c r="AH47" s="231" t="str">
        <f t="shared" si="21"/>
        <v/>
      </c>
      <c r="AI47" s="238" t="str">
        <f t="shared" si="22"/>
        <v/>
      </c>
      <c r="AJ47" s="239">
        <f t="shared" si="29"/>
        <v>156</v>
      </c>
      <c r="AK47" s="228" t="str">
        <f t="shared" si="23"/>
        <v/>
      </c>
      <c r="AL47" s="228" t="str">
        <f t="shared" si="27"/>
        <v/>
      </c>
      <c r="AM47" s="228" t="b">
        <f t="shared" si="24"/>
        <v>0</v>
      </c>
      <c r="AN47" s="240" t="str">
        <f t="shared" si="25"/>
        <v/>
      </c>
      <c r="AO47" s="239" t="str">
        <f t="array" ref="AO47:AP47">IF(AM47,INDEX($AH$31:$AI$72,AN47,0),"")</f>
        <v/>
      </c>
      <c r="AP47" s="240" t="str">
        <v/>
      </c>
      <c r="AQ47" s="239">
        <v>156</v>
      </c>
      <c r="AR47" s="241" t="str">
        <v>#Error in cont_interp::kruger, too few input points</v>
      </c>
    </row>
    <row r="48" spans="1:44" ht="11.25" customHeight="1" x14ac:dyDescent="0.2">
      <c r="B48" s="104" t="str">
        <f>"DomDiscCurveName"&amp;IF(ISBLANK(C8),"","#"&amp;C8)</f>
        <v>DomDiscCurveName#USDBASIS.EURSTD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7" t="e">
        <f t="shared" si="20"/>
        <v>#VALUE!</v>
      </c>
      <c r="AG48" s="231" t="str">
        <f t="shared" si="26"/>
        <v/>
      </c>
      <c r="AH48" s="231" t="str">
        <f t="shared" si="21"/>
        <v/>
      </c>
      <c r="AI48" s="238" t="str">
        <f t="shared" si="22"/>
        <v/>
      </c>
      <c r="AJ48" s="239">
        <f t="shared" si="29"/>
        <v>168</v>
      </c>
      <c r="AK48" s="228" t="str">
        <f t="shared" si="23"/>
        <v/>
      </c>
      <c r="AL48" s="228" t="str">
        <f t="shared" si="27"/>
        <v/>
      </c>
      <c r="AM48" s="228" t="b">
        <f t="shared" si="24"/>
        <v>0</v>
      </c>
      <c r="AN48" s="240" t="str">
        <f t="shared" si="25"/>
        <v/>
      </c>
      <c r="AO48" s="239" t="str">
        <f t="array" ref="AO48:AP48">IF(AM48,INDEX($AH$31:$AI$72,AN48,0),"")</f>
        <v/>
      </c>
      <c r="AP48" s="240" t="str">
        <v/>
      </c>
      <c r="AQ48" s="239">
        <v>168</v>
      </c>
      <c r="AR48" s="241" t="str">
        <v>#Error in cont_interp::kruger, too few input points</v>
      </c>
    </row>
    <row r="49" spans="1:44" ht="11.25" customHeight="1" x14ac:dyDescent="0.2">
      <c r="B49" s="104" t="str">
        <f>"DomFwdCurveName"&amp;IF(ISBLANK(C9),"","#"&amp;C9)</f>
        <v>DomFwdCurveName#USD3M_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7" t="e">
        <f t="shared" si="20"/>
        <v>#VALUE!</v>
      </c>
      <c r="AG49" s="231" t="str">
        <f t="shared" si="26"/>
        <v/>
      </c>
      <c r="AH49" s="231" t="str">
        <f t="shared" si="21"/>
        <v/>
      </c>
      <c r="AI49" s="238" t="str">
        <f t="shared" si="22"/>
        <v/>
      </c>
      <c r="AJ49" s="239">
        <f t="shared" si="29"/>
        <v>180</v>
      </c>
      <c r="AK49" s="228" t="str">
        <f t="shared" si="23"/>
        <v/>
      </c>
      <c r="AL49" s="228" t="str">
        <f t="shared" si="27"/>
        <v/>
      </c>
      <c r="AM49" s="228" t="b">
        <f t="shared" si="24"/>
        <v>0</v>
      </c>
      <c r="AN49" s="240" t="str">
        <f t="shared" si="25"/>
        <v/>
      </c>
      <c r="AO49" s="239" t="str">
        <f t="array" ref="AO49:AP49">IF(AM49,INDEX($AH$31:$AI$72,AN49,0),"")</f>
        <v/>
      </c>
      <c r="AP49" s="240" t="str">
        <v/>
      </c>
      <c r="AQ49" s="239">
        <v>180</v>
      </c>
      <c r="AR49" s="241" t="str">
        <v>#Error in cont_interp::kruger, too few input points</v>
      </c>
    </row>
    <row r="50" spans="1:44" ht="11.25" customHeight="1" x14ac:dyDescent="0.2">
      <c r="B50" s="104" t="str">
        <f>"ForFwdCurveName"&amp;IF(ISBLANK(C10),"","#"&amp;C10)</f>
        <v>ForFwdCurveName#SEK3M_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7" t="e">
        <f t="shared" si="20"/>
        <v>#VALUE!</v>
      </c>
      <c r="AG50" s="231" t="str">
        <f t="shared" si="26"/>
        <v/>
      </c>
      <c r="AH50" s="231" t="str">
        <f t="shared" si="21"/>
        <v/>
      </c>
      <c r="AI50" s="238" t="str">
        <f t="shared" si="22"/>
        <v/>
      </c>
      <c r="AJ50" s="239">
        <f t="shared" si="29"/>
        <v>192</v>
      </c>
      <c r="AK50" s="228" t="str">
        <f t="shared" si="23"/>
        <v/>
      </c>
      <c r="AL50" s="228" t="str">
        <f t="shared" si="27"/>
        <v/>
      </c>
      <c r="AM50" s="228" t="b">
        <f t="shared" si="24"/>
        <v>0</v>
      </c>
      <c r="AN50" s="240" t="str">
        <f t="shared" si="25"/>
        <v/>
      </c>
      <c r="AO50" s="239" t="str">
        <f t="array" ref="AO50:AP50">IF(AM50,INDEX($AH$31:$AI$72,AN50,0),"")</f>
        <v/>
      </c>
      <c r="AP50" s="240" t="str">
        <v/>
      </c>
      <c r="AQ50" s="239">
        <v>192</v>
      </c>
      <c r="AR50" s="241" t="str">
        <v>#Error in cont_interp::kruger, too few input points</v>
      </c>
    </row>
    <row r="51" spans="1:44" ht="11.25" customHeight="1" x14ac:dyDescent="0.2">
      <c r="B51" s="104" t="str">
        <f>"CCSSpreadCurr"&amp;IF(ISBLANK(C7),"","#"&amp;C7)</f>
        <v>CCSSpreadCurr#SEK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7" t="e">
        <f t="shared" si="20"/>
        <v>#VALUE!</v>
      </c>
      <c r="AG51" s="231" t="str">
        <f t="shared" si="26"/>
        <v/>
      </c>
      <c r="AH51" s="231" t="str">
        <f t="shared" si="21"/>
        <v/>
      </c>
      <c r="AI51" s="238" t="str">
        <f t="shared" si="22"/>
        <v/>
      </c>
      <c r="AJ51" s="239">
        <f t="shared" si="29"/>
        <v>204</v>
      </c>
      <c r="AK51" s="228" t="str">
        <f t="shared" si="23"/>
        <v/>
      </c>
      <c r="AL51" s="228" t="str">
        <f t="shared" si="27"/>
        <v/>
      </c>
      <c r="AM51" s="228" t="b">
        <f t="shared" si="24"/>
        <v>0</v>
      </c>
      <c r="AN51" s="240" t="str">
        <f t="shared" si="25"/>
        <v/>
      </c>
      <c r="AO51" s="239" t="str">
        <f t="array" ref="AO51:AP51">IF(AM51,INDEX($AH$31:$AI$72,AN51,0),"")</f>
        <v/>
      </c>
      <c r="AP51" s="240" t="str">
        <v/>
      </c>
      <c r="AQ51" s="239">
        <v>204</v>
      </c>
      <c r="AR51" s="241" t="str">
        <v>#Error in cont_interp::kruger, too few input points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7" t="e">
        <f t="shared" si="20"/>
        <v>#VALUE!</v>
      </c>
      <c r="AG52" s="231" t="str">
        <f t="shared" si="26"/>
        <v/>
      </c>
      <c r="AH52" s="231" t="str">
        <f t="shared" si="21"/>
        <v/>
      </c>
      <c r="AI52" s="238" t="str">
        <f t="shared" si="22"/>
        <v/>
      </c>
      <c r="AJ52" s="239">
        <f t="shared" si="29"/>
        <v>216</v>
      </c>
      <c r="AK52" s="228" t="str">
        <f t="shared" si="23"/>
        <v/>
      </c>
      <c r="AL52" s="228" t="str">
        <f t="shared" si="27"/>
        <v/>
      </c>
      <c r="AM52" s="228" t="b">
        <f t="shared" si="24"/>
        <v>0</v>
      </c>
      <c r="AN52" s="240" t="str">
        <f t="shared" si="25"/>
        <v/>
      </c>
      <c r="AO52" s="239" t="str">
        <f t="array" ref="AO52:AP52">IF(AM52,INDEX($AH$31:$AI$72,AN52,0),"")</f>
        <v/>
      </c>
      <c r="AP52" s="240" t="str">
        <v/>
      </c>
      <c r="AQ52" s="239">
        <v>216</v>
      </c>
      <c r="AR52" s="241" t="str">
        <v>#Error in cont_interp::kruger, too few input points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7" t="e">
        <f t="shared" si="20"/>
        <v>#VALUE!</v>
      </c>
      <c r="AG53" s="231" t="str">
        <f t="shared" si="26"/>
        <v/>
      </c>
      <c r="AH53" s="231" t="str">
        <f t="shared" si="21"/>
        <v/>
      </c>
      <c r="AI53" s="238" t="str">
        <f t="shared" si="22"/>
        <v/>
      </c>
      <c r="AJ53" s="239">
        <f t="shared" si="29"/>
        <v>228</v>
      </c>
      <c r="AK53" s="228" t="str">
        <f t="shared" si="23"/>
        <v/>
      </c>
      <c r="AL53" s="228" t="str">
        <f t="shared" si="27"/>
        <v/>
      </c>
      <c r="AM53" s="228" t="b">
        <f t="shared" si="24"/>
        <v>0</v>
      </c>
      <c r="AN53" s="240" t="str">
        <f t="shared" si="25"/>
        <v/>
      </c>
      <c r="AO53" s="239" t="str">
        <f t="array" ref="AO53:AP53">IF(AM53,INDEX($AH$31:$AI$72,AN53,0),"")</f>
        <v/>
      </c>
      <c r="AP53" s="240" t="str">
        <v/>
      </c>
      <c r="AQ53" s="239">
        <v>228</v>
      </c>
      <c r="AR53" s="241" t="str">
        <v>#Error in cont_interp::kruger, too few input points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7" t="e">
        <f t="shared" si="20"/>
        <v>#VALUE!</v>
      </c>
      <c r="AG54" s="231" t="str">
        <f t="shared" si="26"/>
        <v/>
      </c>
      <c r="AH54" s="231" t="str">
        <f t="shared" si="21"/>
        <v/>
      </c>
      <c r="AI54" s="238" t="str">
        <f t="shared" si="22"/>
        <v/>
      </c>
      <c r="AJ54" s="239">
        <f t="shared" si="29"/>
        <v>240</v>
      </c>
      <c r="AK54" s="228" t="str">
        <f t="shared" si="23"/>
        <v/>
      </c>
      <c r="AL54" s="228" t="str">
        <f t="shared" si="27"/>
        <v/>
      </c>
      <c r="AM54" s="228" t="b">
        <f t="shared" si="24"/>
        <v>0</v>
      </c>
      <c r="AN54" s="240" t="str">
        <f t="shared" si="25"/>
        <v/>
      </c>
      <c r="AO54" s="239" t="str">
        <f t="array" ref="AO54:AP54">IF(AM54,INDEX($AH$31:$AI$72,AN54,0),"")</f>
        <v/>
      </c>
      <c r="AP54" s="240" t="str">
        <v/>
      </c>
      <c r="AQ54" s="239">
        <v>240</v>
      </c>
      <c r="AR54" s="241" t="str">
        <v>#Error in cont_interp::kruger, too few input points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7" t="e">
        <f t="shared" si="20"/>
        <v>#VALUE!</v>
      </c>
      <c r="AG55" s="231" t="str">
        <f t="shared" si="26"/>
        <v/>
      </c>
      <c r="AH55" s="231" t="str">
        <f t="shared" si="21"/>
        <v/>
      </c>
      <c r="AI55" s="238" t="str">
        <f t="shared" si="22"/>
        <v/>
      </c>
      <c r="AJ55" s="239">
        <f t="shared" si="29"/>
        <v>252</v>
      </c>
      <c r="AK55" s="228" t="str">
        <f t="shared" si="23"/>
        <v/>
      </c>
      <c r="AL55" s="228" t="str">
        <f t="shared" si="27"/>
        <v/>
      </c>
      <c r="AM55" s="228" t="b">
        <f t="shared" si="24"/>
        <v>0</v>
      </c>
      <c r="AN55" s="240" t="str">
        <f t="shared" si="25"/>
        <v/>
      </c>
      <c r="AO55" s="239" t="str">
        <f t="array" ref="AO55:AP55">IF(AM55,INDEX($AH$31:$AI$72,AN55,0),"")</f>
        <v/>
      </c>
      <c r="AP55" s="240" t="str">
        <v/>
      </c>
      <c r="AQ55" s="239">
        <v>252</v>
      </c>
      <c r="AR55" s="241" t="str">
        <v>#Error in cont_interp::kruger, too few input points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7" t="e">
        <f t="shared" si="20"/>
        <v>#VALUE!</v>
      </c>
      <c r="AG56" s="231" t="str">
        <f t="shared" si="26"/>
        <v/>
      </c>
      <c r="AH56" s="231" t="str">
        <f t="shared" si="21"/>
        <v/>
      </c>
      <c r="AI56" s="238" t="str">
        <f t="shared" si="22"/>
        <v/>
      </c>
      <c r="AJ56" s="239">
        <f t="shared" si="29"/>
        <v>264</v>
      </c>
      <c r="AK56" s="228" t="str">
        <f t="shared" si="23"/>
        <v/>
      </c>
      <c r="AL56" s="228" t="str">
        <f t="shared" si="27"/>
        <v/>
      </c>
      <c r="AM56" s="228" t="b">
        <f t="shared" si="24"/>
        <v>0</v>
      </c>
      <c r="AN56" s="240" t="str">
        <f t="shared" si="25"/>
        <v/>
      </c>
      <c r="AO56" s="239" t="str">
        <f t="array" ref="AO56:AP56">IF(AM56,INDEX($AH$31:$AI$72,AN56,0),"")</f>
        <v/>
      </c>
      <c r="AP56" s="240" t="str">
        <v/>
      </c>
      <c r="AQ56" s="239">
        <v>264</v>
      </c>
      <c r="AR56" s="241" t="str">
        <v>#Error in cont_interp::kruger, too few input points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7" t="e">
        <f t="shared" si="20"/>
        <v>#VALUE!</v>
      </c>
      <c r="AG57" s="231" t="str">
        <f t="shared" si="26"/>
        <v/>
      </c>
      <c r="AH57" s="231" t="str">
        <f t="shared" si="21"/>
        <v/>
      </c>
      <c r="AI57" s="238" t="str">
        <f t="shared" si="22"/>
        <v/>
      </c>
      <c r="AJ57" s="239">
        <f t="shared" si="29"/>
        <v>276</v>
      </c>
      <c r="AK57" s="228" t="str">
        <f t="shared" si="23"/>
        <v/>
      </c>
      <c r="AL57" s="228" t="str">
        <f t="shared" si="27"/>
        <v/>
      </c>
      <c r="AM57" s="228" t="b">
        <f t="shared" si="24"/>
        <v>0</v>
      </c>
      <c r="AN57" s="240" t="str">
        <f t="shared" si="25"/>
        <v/>
      </c>
      <c r="AO57" s="239" t="str">
        <f t="array" ref="AO57:AP57">IF(AM57,INDEX($AH$31:$AI$72,AN57,0),"")</f>
        <v/>
      </c>
      <c r="AP57" s="240" t="str">
        <v/>
      </c>
      <c r="AQ57" s="239">
        <v>276</v>
      </c>
      <c r="AR57" s="241" t="str">
        <v>#Error in cont_interp::kruger, too few input points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7" t="e">
        <f t="shared" si="20"/>
        <v>#VALUE!</v>
      </c>
      <c r="AG58" s="231" t="str">
        <f t="shared" si="26"/>
        <v/>
      </c>
      <c r="AH58" s="231" t="str">
        <f t="shared" si="21"/>
        <v/>
      </c>
      <c r="AI58" s="238" t="str">
        <f t="shared" si="22"/>
        <v/>
      </c>
      <c r="AJ58" s="239">
        <f t="shared" si="29"/>
        <v>288</v>
      </c>
      <c r="AK58" s="228" t="str">
        <f t="shared" si="23"/>
        <v/>
      </c>
      <c r="AL58" s="228" t="str">
        <f t="shared" si="27"/>
        <v/>
      </c>
      <c r="AM58" s="228" t="b">
        <f t="shared" si="24"/>
        <v>0</v>
      </c>
      <c r="AN58" s="240" t="str">
        <f t="shared" si="25"/>
        <v/>
      </c>
      <c r="AO58" s="239" t="str">
        <f t="array" ref="AO58:AP58">IF(AM58,INDEX($AH$31:$AI$72,AN58,0),"")</f>
        <v/>
      </c>
      <c r="AP58" s="240" t="str">
        <v/>
      </c>
      <c r="AQ58" s="239">
        <v>288</v>
      </c>
      <c r="AR58" s="241" t="str">
        <v>#Error in cont_interp::kruger, too few input points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7" t="e">
        <f t="shared" si="20"/>
        <v>#VALUE!</v>
      </c>
      <c r="AG59" s="231" t="str">
        <f t="shared" si="26"/>
        <v/>
      </c>
      <c r="AH59" s="231" t="str">
        <f t="shared" si="21"/>
        <v/>
      </c>
      <c r="AI59" s="238" t="str">
        <f t="shared" si="22"/>
        <v/>
      </c>
      <c r="AJ59" s="239">
        <f t="shared" si="29"/>
        <v>300</v>
      </c>
      <c r="AK59" s="228" t="str">
        <f t="shared" si="23"/>
        <v/>
      </c>
      <c r="AL59" s="228" t="str">
        <f t="shared" si="27"/>
        <v/>
      </c>
      <c r="AM59" s="228" t="b">
        <f t="shared" si="24"/>
        <v>0</v>
      </c>
      <c r="AN59" s="240" t="str">
        <f t="shared" si="25"/>
        <v/>
      </c>
      <c r="AO59" s="239" t="str">
        <f t="array" ref="AO59:AP59">IF(AM59,INDEX($AH$31:$AI$72,AN59,0),"")</f>
        <v/>
      </c>
      <c r="AP59" s="240" t="str">
        <v/>
      </c>
      <c r="AQ59" s="239">
        <v>300</v>
      </c>
      <c r="AR59" s="241" t="str">
        <v>#Error in cont_interp::kruger, too few input points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7" t="e">
        <f t="shared" si="20"/>
        <v>#VALUE!</v>
      </c>
      <c r="AG60" s="231" t="str">
        <f t="shared" si="26"/>
        <v/>
      </c>
      <c r="AH60" s="231" t="str">
        <f t="shared" si="21"/>
        <v/>
      </c>
      <c r="AI60" s="238" t="str">
        <f t="shared" si="22"/>
        <v/>
      </c>
      <c r="AJ60" s="239">
        <f t="shared" si="29"/>
        <v>312</v>
      </c>
      <c r="AK60" s="228" t="str">
        <f t="shared" si="23"/>
        <v/>
      </c>
      <c r="AL60" s="228" t="str">
        <f t="shared" si="27"/>
        <v/>
      </c>
      <c r="AM60" s="228" t="b">
        <f t="shared" si="24"/>
        <v>0</v>
      </c>
      <c r="AN60" s="240" t="str">
        <f t="shared" si="25"/>
        <v/>
      </c>
      <c r="AO60" s="239" t="str">
        <f t="array" ref="AO60:AP60">IF(AM60,INDEX($AH$31:$AI$72,AN60,0),"")</f>
        <v/>
      </c>
      <c r="AP60" s="240" t="str">
        <v/>
      </c>
      <c r="AQ60" s="242">
        <v>312</v>
      </c>
      <c r="AR60" s="245" t="str">
        <v>#Error in cont_interp::kruger, too few input points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7" t="e">
        <f t="shared" si="20"/>
        <v>#VALUE!</v>
      </c>
      <c r="AG61" s="231" t="str">
        <f t="shared" si="26"/>
        <v/>
      </c>
      <c r="AH61" s="231" t="str">
        <f t="shared" si="21"/>
        <v/>
      </c>
      <c r="AI61" s="238" t="str">
        <f t="shared" si="22"/>
        <v/>
      </c>
      <c r="AJ61" s="239">
        <f t="shared" si="29"/>
        <v>324</v>
      </c>
      <c r="AK61" s="228" t="str">
        <f t="shared" si="23"/>
        <v/>
      </c>
      <c r="AL61" s="228" t="str">
        <f t="shared" si="27"/>
        <v/>
      </c>
      <c r="AM61" s="228" t="b">
        <f t="shared" si="24"/>
        <v>0</v>
      </c>
      <c r="AN61" s="240" t="str">
        <f t="shared" si="25"/>
        <v/>
      </c>
      <c r="AO61" s="243"/>
      <c r="AP61" s="244"/>
      <c r="AQ61" s="254">
        <v>324</v>
      </c>
      <c r="AR61" s="255" t="str">
        <v>#Error in cont_interp::kruger, too few input points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7" t="e">
        <f t="shared" si="20"/>
        <v>#VALUE!</v>
      </c>
      <c r="AG62" s="231" t="str">
        <f t="shared" si="26"/>
        <v/>
      </c>
      <c r="AH62" s="231" t="str">
        <f t="shared" si="21"/>
        <v/>
      </c>
      <c r="AI62" s="238" t="str">
        <f t="shared" si="22"/>
        <v/>
      </c>
      <c r="AJ62" s="239">
        <f t="shared" si="29"/>
        <v>336</v>
      </c>
      <c r="AK62" s="228" t="str">
        <f t="shared" si="23"/>
        <v/>
      </c>
      <c r="AL62" s="228" t="str">
        <f t="shared" si="27"/>
        <v/>
      </c>
      <c r="AM62" s="228" t="b">
        <f t="shared" si="24"/>
        <v>0</v>
      </c>
      <c r="AN62" s="240" t="str">
        <f t="shared" si="25"/>
        <v/>
      </c>
      <c r="AO62" s="243"/>
      <c r="AP62" s="244"/>
      <c r="AQ62" s="256">
        <v>336</v>
      </c>
      <c r="AR62" s="247" t="str">
        <v>#Error in cont_interp::kruger, too few input points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7" t="e">
        <f t="shared" si="20"/>
        <v>#VALUE!</v>
      </c>
      <c r="AG63" s="231" t="str">
        <f t="shared" si="26"/>
        <v/>
      </c>
      <c r="AH63" s="231" t="str">
        <f t="shared" si="21"/>
        <v/>
      </c>
      <c r="AI63" s="238" t="str">
        <f t="shared" si="22"/>
        <v/>
      </c>
      <c r="AJ63" s="239">
        <f t="shared" si="29"/>
        <v>348</v>
      </c>
      <c r="AK63" s="228" t="str">
        <f t="shared" si="23"/>
        <v/>
      </c>
      <c r="AL63" s="228" t="str">
        <f t="shared" si="27"/>
        <v/>
      </c>
      <c r="AM63" s="228" t="b">
        <f t="shared" si="24"/>
        <v>0</v>
      </c>
      <c r="AN63" s="240" t="str">
        <f t="shared" si="25"/>
        <v/>
      </c>
      <c r="AO63" s="239" t="str">
        <f t="array" ref="AO63:AP63">IF(AM63,INDEX($AH$31:$AI$72,AN63,0),"")</f>
        <v/>
      </c>
      <c r="AP63" s="240" t="str">
        <v/>
      </c>
      <c r="AQ63" s="246">
        <v>348</v>
      </c>
      <c r="AR63" s="247" t="str">
        <v>#Error in cont_interp::kruger, too few input points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7" t="e">
        <f t="shared" si="20"/>
        <v>#VALUE!</v>
      </c>
      <c r="AG64" s="231" t="str">
        <f t="shared" si="26"/>
        <v/>
      </c>
      <c r="AH64" s="231" t="str">
        <f t="shared" si="21"/>
        <v/>
      </c>
      <c r="AI64" s="238" t="str">
        <f t="shared" si="22"/>
        <v/>
      </c>
      <c r="AJ64" s="242">
        <f t="shared" si="29"/>
        <v>360</v>
      </c>
      <c r="AK64" s="228" t="str">
        <f t="shared" si="23"/>
        <v/>
      </c>
      <c r="AL64" s="228" t="str">
        <f t="shared" si="27"/>
        <v/>
      </c>
      <c r="AM64" s="228" t="b">
        <f t="shared" si="24"/>
        <v>0</v>
      </c>
      <c r="AN64" s="240" t="str">
        <f t="shared" si="25"/>
        <v/>
      </c>
      <c r="AO64" s="239" t="str">
        <f t="array" ref="AO64:AP64">IF(AM64,INDEX($AH$31:$AI$72,AN64,0),"")</f>
        <v/>
      </c>
      <c r="AP64" s="240" t="str">
        <v/>
      </c>
      <c r="AQ64" s="246">
        <v>360</v>
      </c>
      <c r="AR64" s="247" t="str">
        <v>#Error in cont_interp::kruger, too few input points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7" t="e">
        <f t="shared" si="20"/>
        <v>#VALUE!</v>
      </c>
      <c r="AG65" s="231" t="str">
        <f t="shared" si="26"/>
        <v/>
      </c>
      <c r="AH65" s="231" t="str">
        <f t="shared" si="21"/>
        <v/>
      </c>
      <c r="AI65" s="238" t="str">
        <f t="shared" si="22"/>
        <v/>
      </c>
      <c r="AJ65" s="239">
        <f>+AJ64+60</f>
        <v>420</v>
      </c>
      <c r="AK65" s="228" t="str">
        <f t="shared" si="23"/>
        <v/>
      </c>
      <c r="AL65" s="228" t="str">
        <f t="shared" si="27"/>
        <v/>
      </c>
      <c r="AM65" s="228" t="b">
        <f t="shared" si="24"/>
        <v>0</v>
      </c>
      <c r="AN65" s="240" t="str">
        <f t="shared" si="25"/>
        <v/>
      </c>
      <c r="AO65" s="239" t="str">
        <f t="array" ref="AO65:AP65">IF(AM65,INDEX($AH$31:$AI$72,AN65,0),"")</f>
        <v/>
      </c>
      <c r="AP65" s="240" t="str">
        <v/>
      </c>
      <c r="AQ65" s="246">
        <v>420</v>
      </c>
      <c r="AR65" s="247" t="str">
        <v>#Error in cont_interp::kruger, too few input points</v>
      </c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7" t="e">
        <f t="shared" si="20"/>
        <v>#VALUE!</v>
      </c>
      <c r="AG66" s="231" t="str">
        <f t="shared" si="26"/>
        <v/>
      </c>
      <c r="AH66" s="231" t="str">
        <f t="shared" si="21"/>
        <v/>
      </c>
      <c r="AI66" s="238" t="str">
        <f t="shared" si="22"/>
        <v/>
      </c>
      <c r="AJ66" s="239">
        <f t="shared" ref="AJ66:AJ72" si="30">+AJ65+60</f>
        <v>480</v>
      </c>
      <c r="AK66" s="228" t="str">
        <f t="shared" si="23"/>
        <v/>
      </c>
      <c r="AL66" s="228" t="str">
        <f t="shared" si="27"/>
        <v/>
      </c>
      <c r="AM66" s="228" t="b">
        <f t="shared" si="24"/>
        <v>0</v>
      </c>
      <c r="AN66" s="240" t="str">
        <f t="shared" si="25"/>
        <v/>
      </c>
      <c r="AO66" s="239" t="str">
        <f t="array" ref="AO66:AP66">IF(AM66,INDEX($AH$31:$AI$72,AN66,0),"")</f>
        <v/>
      </c>
      <c r="AP66" s="240" t="str">
        <v/>
      </c>
      <c r="AQ66" s="246">
        <v>480</v>
      </c>
      <c r="AR66" s="247" t="str">
        <v>#Error in cont_interp::kruger, too few input points</v>
      </c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7" t="e">
        <f t="shared" si="20"/>
        <v>#VALUE!</v>
      </c>
      <c r="AG67" s="231" t="str">
        <f t="shared" si="26"/>
        <v/>
      </c>
      <c r="AH67" s="231" t="str">
        <f t="shared" si="21"/>
        <v/>
      </c>
      <c r="AI67" s="238" t="str">
        <f t="shared" si="22"/>
        <v/>
      </c>
      <c r="AJ67" s="239">
        <f t="shared" si="30"/>
        <v>540</v>
      </c>
      <c r="AK67" s="228" t="str">
        <f t="shared" si="23"/>
        <v/>
      </c>
      <c r="AL67" s="228" t="str">
        <f t="shared" si="27"/>
        <v/>
      </c>
      <c r="AM67" s="228" t="b">
        <f t="shared" si="24"/>
        <v>0</v>
      </c>
      <c r="AN67" s="240" t="str">
        <f t="shared" si="25"/>
        <v/>
      </c>
      <c r="AO67" s="239" t="str">
        <f t="array" ref="AO67:AP67">IF(AM67,INDEX($AH$31:$AI$72,AN67,0),"")</f>
        <v/>
      </c>
      <c r="AP67" s="240" t="str">
        <v/>
      </c>
      <c r="AQ67" s="246">
        <v>540</v>
      </c>
      <c r="AR67" s="247" t="str">
        <v>#Error in cont_interp::kruger, too few input points</v>
      </c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7" t="e">
        <f t="shared" si="20"/>
        <v>#VALUE!</v>
      </c>
      <c r="AG68" s="231" t="str">
        <f t="shared" si="26"/>
        <v/>
      </c>
      <c r="AH68" s="231" t="str">
        <f t="shared" si="21"/>
        <v/>
      </c>
      <c r="AI68" s="238" t="str">
        <f t="shared" si="22"/>
        <v/>
      </c>
      <c r="AJ68" s="239">
        <f t="shared" si="30"/>
        <v>600</v>
      </c>
      <c r="AK68" s="228" t="str">
        <f t="shared" si="23"/>
        <v/>
      </c>
      <c r="AL68" s="228" t="str">
        <f t="shared" si="27"/>
        <v/>
      </c>
      <c r="AM68" s="228" t="b">
        <f t="shared" si="24"/>
        <v>0</v>
      </c>
      <c r="AN68" s="240" t="str">
        <f t="shared" si="25"/>
        <v/>
      </c>
      <c r="AO68" s="239" t="str">
        <f t="array" ref="AO68:AP68">IF(AM68,INDEX($AH$31:$AI$72,AN68,0),"")</f>
        <v/>
      </c>
      <c r="AP68" s="240" t="str">
        <v/>
      </c>
      <c r="AQ68" s="246">
        <v>600</v>
      </c>
      <c r="AR68" s="247" t="str">
        <v>#Error in cont_interp::kruger, too few input points</v>
      </c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7" t="e">
        <f t="shared" si="20"/>
        <v>#VALUE!</v>
      </c>
      <c r="AG69" s="231" t="str">
        <f t="shared" si="26"/>
        <v/>
      </c>
      <c r="AH69" s="231" t="str">
        <f t="shared" si="21"/>
        <v/>
      </c>
      <c r="AI69" s="238" t="str">
        <f t="shared" si="22"/>
        <v/>
      </c>
      <c r="AJ69" s="239">
        <f t="shared" si="30"/>
        <v>660</v>
      </c>
      <c r="AK69" s="228" t="str">
        <f t="shared" si="23"/>
        <v/>
      </c>
      <c r="AL69" s="228" t="str">
        <f t="shared" si="27"/>
        <v/>
      </c>
      <c r="AM69" s="228" t="b">
        <f t="shared" si="24"/>
        <v>0</v>
      </c>
      <c r="AN69" s="240" t="str">
        <f t="shared" si="25"/>
        <v/>
      </c>
      <c r="AO69" s="239" t="str">
        <f t="array" ref="AO69:AP69">IF(AM69,INDEX($AH$31:$AI$72,AN69,0),"")</f>
        <v/>
      </c>
      <c r="AP69" s="240" t="str">
        <v/>
      </c>
      <c r="AQ69" s="246">
        <v>660</v>
      </c>
      <c r="AR69" s="247" t="str">
        <v>#Error in cont_interp::kruger, too few input points</v>
      </c>
    </row>
    <row r="70" spans="2:44" ht="11.25" customHeight="1" x14ac:dyDescent="0.2">
      <c r="B70" s="301" t="s">
        <v>221</v>
      </c>
      <c r="C70" s="301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7" t="e">
        <f t="shared" si="20"/>
        <v>#VALUE!</v>
      </c>
      <c r="AG70" s="231" t="str">
        <f t="shared" si="26"/>
        <v/>
      </c>
      <c r="AH70" s="231" t="str">
        <f t="shared" si="21"/>
        <v/>
      </c>
      <c r="AI70" s="238" t="str">
        <f t="shared" si="22"/>
        <v/>
      </c>
      <c r="AJ70" s="239">
        <f t="shared" si="30"/>
        <v>720</v>
      </c>
      <c r="AK70" s="228" t="str">
        <f t="shared" si="23"/>
        <v/>
      </c>
      <c r="AL70" s="228" t="str">
        <f t="shared" si="27"/>
        <v/>
      </c>
      <c r="AM70" s="228" t="b">
        <f t="shared" si="24"/>
        <v>0</v>
      </c>
      <c r="AN70" s="240" t="str">
        <f t="shared" si="25"/>
        <v/>
      </c>
      <c r="AO70" s="239" t="str">
        <f t="array" ref="AO70:AP70">IF(AM70,INDEX($AH$31:$AI$72,AN70,0),"")</f>
        <v/>
      </c>
      <c r="AP70" s="240" t="str">
        <v/>
      </c>
      <c r="AQ70" s="246">
        <v>720</v>
      </c>
      <c r="AR70" s="247" t="str">
        <v>#Error in cont_interp::kruger, too few input points</v>
      </c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7" t="e">
        <f t="shared" si="20"/>
        <v>#VALUE!</v>
      </c>
      <c r="AG71" s="231" t="str">
        <f t="shared" si="26"/>
        <v/>
      </c>
      <c r="AH71" s="231" t="str">
        <f t="shared" si="21"/>
        <v/>
      </c>
      <c r="AI71" s="238" t="str">
        <f t="shared" si="22"/>
        <v/>
      </c>
      <c r="AJ71" s="239">
        <f t="shared" si="30"/>
        <v>780</v>
      </c>
      <c r="AK71" s="228" t="str">
        <f t="shared" si="23"/>
        <v/>
      </c>
      <c r="AL71" s="228" t="str">
        <f t="shared" si="27"/>
        <v/>
      </c>
      <c r="AM71" s="228" t="b">
        <f t="shared" si="24"/>
        <v>0</v>
      </c>
      <c r="AN71" s="240" t="str">
        <f t="shared" si="25"/>
        <v/>
      </c>
      <c r="AO71" s="239" t="str">
        <f t="array" ref="AO71:AP71">IF(AM71,INDEX($AH$31:$AI$72,AN71,0),"")</f>
        <v/>
      </c>
      <c r="AP71" s="240" t="str">
        <v/>
      </c>
      <c r="AQ71" s="246">
        <v>780</v>
      </c>
      <c r="AR71" s="247" t="str">
        <v>#Error in cont_interp::kruger, too few input points</v>
      </c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5" t="e">
        <f t="shared" si="20"/>
        <v>#VALUE!</v>
      </c>
      <c r="AG72" s="248" t="str">
        <f t="shared" si="26"/>
        <v/>
      </c>
      <c r="AH72" s="249" t="str">
        <f>IF(AH30,AQ29,AG72)</f>
        <v/>
      </c>
      <c r="AI72" s="249" t="e">
        <f>IF(AH30,INDEX(AF31:AF72,MATCH(AG29,AG31:AG72,0)),AF72)</f>
        <v>#VALUE!</v>
      </c>
      <c r="AJ72" s="242">
        <f t="shared" si="30"/>
        <v>840</v>
      </c>
      <c r="AK72" s="250" t="str">
        <f t="shared" si="23"/>
        <v/>
      </c>
      <c r="AL72" s="250" t="str">
        <f t="shared" si="27"/>
        <v/>
      </c>
      <c r="AM72" s="250" t="b">
        <f t="shared" si="24"/>
        <v>0</v>
      </c>
      <c r="AN72" s="251" t="str">
        <f t="shared" si="25"/>
        <v/>
      </c>
      <c r="AO72" s="242" t="str">
        <f t="array" ref="AO72:AP72">IF(AM72,INDEX($AH$31:$AI$72,AN72,0),"")</f>
        <v/>
      </c>
      <c r="AP72" s="251" t="str">
        <v/>
      </c>
      <c r="AQ72" s="252">
        <v>840</v>
      </c>
      <c r="AR72" s="253" t="str">
        <v>#Error in cont_interp::kruger, too few input points</v>
      </c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3:E20 E23 E26:E67">
    <cfRule type="cellIs" dxfId="16" priority="9" stopIfTrue="1" operator="equal">
      <formula>FALSE</formula>
    </cfRule>
  </conditionalFormatting>
  <conditionalFormatting sqref="I3:L20 I23:L23">
    <cfRule type="expression" dxfId="15" priority="4" stopIfTrue="1">
      <formula>NOT($E3)</formula>
    </cfRule>
  </conditionalFormatting>
  <conditionalFormatting sqref="I26:L67">
    <cfRule type="expression" dxfId="14" priority="1" stopIfTrue="1">
      <formula>NOT($E26)</formula>
    </cfRule>
  </conditionalFormatting>
  <conditionalFormatting sqref="L3:L20">
    <cfRule type="expression" dxfId="13" priority="5" stopIfTrue="1">
      <formula>ISNUMBER(J3)</formula>
    </cfRule>
    <cfRule type="expression" dxfId="12" priority="8" stopIfTrue="1">
      <formula>ISNUMBER(K3)</formula>
    </cfRule>
  </conditionalFormatting>
  <conditionalFormatting sqref="L23">
    <cfRule type="expression" dxfId="11" priority="3" stopIfTrue="1">
      <formula>ISNUMBER(J23)</formula>
    </cfRule>
    <cfRule type="expression" dxfId="10" priority="7" stopIfTrue="1">
      <formula>ISNUMBER(K23)</formula>
    </cfRule>
  </conditionalFormatting>
  <conditionalFormatting sqref="L26:L67">
    <cfRule type="expression" dxfId="9" priority="2" stopIfTrue="1">
      <formula>ISNUMBER(J26)</formula>
    </cfRule>
    <cfRule type="expression" dxfId="8" priority="6" stopIfTrue="1">
      <formula>ISNUMBER(K26)</formula>
    </cfRule>
  </conditionalFormatting>
  <dataValidations disablePrompts="1" count="8">
    <dataValidation type="list" allowBlank="1" showInputMessage="1" showErrorMessage="1" sqref="C14 C33 C37">
      <formula1>INDEX(dvCurveBootstrapperDayCount,0,1)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40">
      <formula1>INDEX(dvCurveBootstrapperOutputType,0,1)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5"/>
  <sheetViews>
    <sheetView tabSelected="1" topLeftCell="A16" zoomScaleNormal="100" workbookViewId="0">
      <selection activeCell="C42" sqref="C42"/>
    </sheetView>
  </sheetViews>
  <sheetFormatPr defaultRowHeight="11.25" outlineLevelCol="1" x14ac:dyDescent="0.2"/>
  <cols>
    <col min="1" max="1" width="3.83203125" customWidth="1"/>
    <col min="2" max="2" width="22.5" customWidth="1"/>
    <col min="3" max="3" width="19.1640625" customWidth="1"/>
    <col min="4" max="4" width="26.1640625" customWidth="1"/>
    <col min="5" max="5" width="14.6640625" customWidth="1"/>
    <col min="6" max="6" width="23.83203125" customWidth="1"/>
    <col min="7" max="7" width="25" customWidth="1"/>
    <col min="8" max="8" width="23.1640625" customWidth="1"/>
    <col min="14" max="14" width="22.6640625" customWidth="1" outlineLevel="1"/>
    <col min="15" max="15" width="10.6640625" customWidth="1" outlineLevel="1"/>
  </cols>
  <sheetData>
    <row r="1" spans="1:15" ht="12" thickBot="1" x14ac:dyDescent="0.25">
      <c r="A1" s="300" t="b">
        <v>0</v>
      </c>
      <c r="B1" s="302" t="s">
        <v>101</v>
      </c>
      <c r="C1" s="259"/>
    </row>
    <row r="3" spans="1:15" ht="12" x14ac:dyDescent="0.2">
      <c r="B3" s="260" t="s">
        <v>247</v>
      </c>
      <c r="C3" s="260" t="s">
        <v>214</v>
      </c>
      <c r="D3" s="260" t="s">
        <v>248</v>
      </c>
    </row>
    <row r="4" spans="1:15" x14ac:dyDescent="0.2">
      <c r="B4" s="261">
        <f>+C4*D4</f>
        <v>9.459431385000002</v>
      </c>
      <c r="C4" s="261">
        <f>'USDBASIS(EURON)'!L23</f>
        <v>1.2249500000000002</v>
      </c>
      <c r="D4" s="261">
        <f>'SEKBASIS(EURON,USD)'!L23</f>
        <v>7.7222999999999997</v>
      </c>
    </row>
    <row r="6" spans="1:15" x14ac:dyDescent="0.2">
      <c r="N6" s="262">
        <f>INDEX(dvSwapPaymFreq,MATCH(C14,INDEX(dvSwapPaymFreq,0,1),0),2)</f>
        <v>4</v>
      </c>
      <c r="O6" s="263">
        <f>INDEX(dvSwapPaymFreq,MATCH(D14,INDEX(dvSwapPaymFreq,0,1),0),2)</f>
        <v>4</v>
      </c>
    </row>
    <row r="7" spans="1:15" ht="12" x14ac:dyDescent="0.2">
      <c r="B7" s="264" t="s">
        <v>193</v>
      </c>
      <c r="C7" s="264" t="s">
        <v>194</v>
      </c>
      <c r="D7" s="264" t="s">
        <v>195</v>
      </c>
      <c r="N7" s="25">
        <f>INDEX(dvCurveBootstrapperDayCount,MATCH(C15,INDEX(dvCurveBootstrapperDayCount,0,1),0),2)</f>
        <v>4</v>
      </c>
      <c r="O7" s="265">
        <f>INDEX(dvCurveBootstrapperDayCount,MATCH(D15,INDEX(dvCurveBootstrapperDayCount,0,1),0),2)</f>
        <v>4</v>
      </c>
    </row>
    <row r="8" spans="1:15" x14ac:dyDescent="0.2">
      <c r="B8" s="266">
        <f>+C27/B4</f>
        <v>4.9227196472522347E-11</v>
      </c>
      <c r="C8" s="266">
        <f>+D8+B8</f>
        <v>0</v>
      </c>
      <c r="D8" s="266">
        <f>G27/B4</f>
        <v>-4.9227196472522347E-11</v>
      </c>
    </row>
    <row r="9" spans="1:15" ht="12" thickBot="1" x14ac:dyDescent="0.25">
      <c r="N9" s="267" t="str">
        <f t="array" ref="N9:N31">_xll.xlShmCurveList(TYPE(C1)+TYPE(ManualTrigger)+TYPE(Triggers!RTDataTrigger)+TYPE(ObjectsTrigger))</f>
        <v>EUR3M_</v>
      </c>
      <c r="O9" s="267"/>
    </row>
    <row r="10" spans="1:15" ht="12" x14ac:dyDescent="0.2">
      <c r="B10" s="270"/>
      <c r="C10" s="271" t="s">
        <v>196</v>
      </c>
      <c r="D10" s="272" t="str">
        <f>IF(C10="Pay","Receive","Pay")</f>
        <v>Pay</v>
      </c>
      <c r="F10" s="270"/>
      <c r="G10" s="271" t="s">
        <v>197</v>
      </c>
      <c r="H10" s="272" t="str">
        <f>IF(G10="Pay","Receive","Pay")</f>
        <v>Receive</v>
      </c>
      <c r="N10" s="268" t="str">
        <v>EURON_</v>
      </c>
      <c r="O10" s="268" t="str">
        <f>_xll.xlLiborNameToCurrency(C20&amp;T(TYPE(O12)))</f>
        <v>EUR</v>
      </c>
    </row>
    <row r="11" spans="1:15" ht="12" x14ac:dyDescent="0.2">
      <c r="B11" s="273" t="s">
        <v>198</v>
      </c>
      <c r="C11" s="340">
        <v>41996</v>
      </c>
      <c r="D11" s="341"/>
      <c r="F11" s="273" t="s">
        <v>198</v>
      </c>
      <c r="G11" s="342">
        <f>$C$11</f>
        <v>41996</v>
      </c>
      <c r="H11" s="343"/>
      <c r="N11" s="268" t="str">
        <v>EURSTD_</v>
      </c>
      <c r="O11" s="268" t="str">
        <f>_xll.xlLiborNameToCurrency(D20&amp;T(TYPE(O13)))</f>
        <v>SEK</v>
      </c>
    </row>
    <row r="12" spans="1:15" ht="12" x14ac:dyDescent="0.2">
      <c r="B12" s="273" t="s">
        <v>199</v>
      </c>
      <c r="C12" s="344"/>
      <c r="D12" s="345"/>
      <c r="F12" s="273" t="s">
        <v>199</v>
      </c>
      <c r="G12" s="346">
        <f>C12</f>
        <v>0</v>
      </c>
      <c r="H12" s="347"/>
      <c r="N12" s="268" t="str">
        <v>SEK3M_</v>
      </c>
      <c r="O12" s="274">
        <f>0*TYPE(C1)+0*TYPE(N9)</f>
        <v>0</v>
      </c>
    </row>
    <row r="13" spans="1:15" ht="12" x14ac:dyDescent="0.2">
      <c r="B13" s="273" t="s">
        <v>200</v>
      </c>
      <c r="C13" s="348">
        <v>120</v>
      </c>
      <c r="D13" s="349"/>
      <c r="F13" s="273" t="s">
        <v>200</v>
      </c>
      <c r="G13" s="350">
        <f>$C$13</f>
        <v>120</v>
      </c>
      <c r="H13" s="351"/>
      <c r="N13" s="268" t="str">
        <v>SEKBASIS.EURON</v>
      </c>
    </row>
    <row r="14" spans="1:15" ht="12" x14ac:dyDescent="0.2">
      <c r="B14" s="273" t="s">
        <v>201</v>
      </c>
      <c r="C14" s="275" t="s">
        <v>149</v>
      </c>
      <c r="D14" s="276" t="s">
        <v>149</v>
      </c>
      <c r="F14" s="273" t="s">
        <v>201</v>
      </c>
      <c r="G14" s="277" t="str">
        <f t="array" ref="G14:H18">$C$14:$D$18</f>
        <v>quarterly</v>
      </c>
      <c r="H14" s="278" t="str">
        <v>quarterly</v>
      </c>
      <c r="N14" s="268" t="str">
        <v>SEKBASIS.EURON(USD)</v>
      </c>
    </row>
    <row r="15" spans="1:15" ht="12" x14ac:dyDescent="0.2">
      <c r="B15" s="273" t="s">
        <v>202</v>
      </c>
      <c r="C15" s="275" t="s">
        <v>52</v>
      </c>
      <c r="D15" s="276" t="s">
        <v>52</v>
      </c>
      <c r="F15" s="273" t="s">
        <v>202</v>
      </c>
      <c r="G15" s="277" t="str">
        <v>Act/360</v>
      </c>
      <c r="H15" s="278" t="str">
        <v>Act/360</v>
      </c>
      <c r="N15" s="268" t="str">
        <v>SEKBASIS.EURSTD</v>
      </c>
    </row>
    <row r="16" spans="1:15" ht="12" x14ac:dyDescent="0.2">
      <c r="B16" s="273" t="s">
        <v>203</v>
      </c>
      <c r="C16" s="285" t="b">
        <v>1</v>
      </c>
      <c r="D16" s="286" t="b">
        <v>1</v>
      </c>
      <c r="F16" s="273" t="s">
        <v>203</v>
      </c>
      <c r="G16" s="279" t="b">
        <v>1</v>
      </c>
      <c r="H16" s="280" t="b">
        <v>1</v>
      </c>
      <c r="N16" s="268" t="str">
        <v>SEKBASIS.EURSTD(USD)</v>
      </c>
    </row>
    <row r="17" spans="2:14" ht="12" x14ac:dyDescent="0.2">
      <c r="B17" s="287" t="s">
        <v>204</v>
      </c>
      <c r="C17" s="288" t="b">
        <v>1</v>
      </c>
      <c r="D17" s="289" t="b">
        <v>1</v>
      </c>
      <c r="F17" s="287" t="s">
        <v>204</v>
      </c>
      <c r="G17" s="281" t="b">
        <v>1</v>
      </c>
      <c r="H17" s="282" t="b">
        <v>1</v>
      </c>
      <c r="N17" s="268" t="str">
        <v>SEKON_</v>
      </c>
    </row>
    <row r="18" spans="2:14" ht="12" x14ac:dyDescent="0.2">
      <c r="B18" s="273" t="s">
        <v>205</v>
      </c>
      <c r="C18" s="290">
        <v>1000000</v>
      </c>
      <c r="D18" s="291">
        <f>+C18*C19</f>
        <v>9459431.3850000016</v>
      </c>
      <c r="F18" s="273" t="s">
        <v>205</v>
      </c>
      <c r="G18" s="283">
        <v>1000000</v>
      </c>
      <c r="H18" s="284">
        <v>9459431.3850000016</v>
      </c>
      <c r="N18" s="268" t="str">
        <v>SEKSTD_</v>
      </c>
    </row>
    <row r="19" spans="2:14" ht="12" x14ac:dyDescent="0.2">
      <c r="B19" s="273" t="s">
        <v>206</v>
      </c>
      <c r="C19" s="330">
        <f>B4</f>
        <v>9.459431385000002</v>
      </c>
      <c r="D19" s="331"/>
      <c r="F19" s="273" t="s">
        <v>206</v>
      </c>
      <c r="G19" s="332">
        <f>$C$19</f>
        <v>9.459431385000002</v>
      </c>
      <c r="H19" s="333"/>
      <c r="N19" s="268" t="str">
        <v>USD3M_</v>
      </c>
    </row>
    <row r="20" spans="2:14" ht="10.9" customHeight="1" x14ac:dyDescent="0.2">
      <c r="B20" s="273" t="s">
        <v>207</v>
      </c>
      <c r="C20" s="275" t="s">
        <v>143</v>
      </c>
      <c r="D20" s="276" t="s">
        <v>226</v>
      </c>
      <c r="F20" s="273" t="s">
        <v>207</v>
      </c>
      <c r="G20" s="275" t="s">
        <v>174</v>
      </c>
      <c r="H20" s="276" t="s">
        <v>227</v>
      </c>
      <c r="N20" s="268" t="str">
        <v>USDBASIS.EURON</v>
      </c>
    </row>
    <row r="21" spans="2:14" ht="11.85" customHeight="1" x14ac:dyDescent="0.2">
      <c r="B21" s="273" t="s">
        <v>208</v>
      </c>
      <c r="C21" s="317" t="s">
        <v>144</v>
      </c>
      <c r="D21" s="318" t="s">
        <v>230</v>
      </c>
      <c r="F21" s="273" t="s">
        <v>208</v>
      </c>
      <c r="G21" s="277" t="s">
        <v>144</v>
      </c>
      <c r="H21" s="278" t="s">
        <v>230</v>
      </c>
      <c r="N21" s="268" t="str">
        <v>USDBASIS.EURSTD</v>
      </c>
    </row>
    <row r="22" spans="2:14" ht="12" x14ac:dyDescent="0.2">
      <c r="B22" s="273" t="s">
        <v>209</v>
      </c>
      <c r="C22" s="330" t="s">
        <v>100</v>
      </c>
      <c r="D22" s="331"/>
      <c r="F22" s="273" t="s">
        <v>209</v>
      </c>
      <c r="G22" s="332" t="str">
        <f>$C$22</f>
        <v>EUR</v>
      </c>
      <c r="H22" s="333"/>
      <c r="N22" s="268" t="str">
        <v>USDON_</v>
      </c>
    </row>
    <row r="23" spans="2:14" ht="12" x14ac:dyDescent="0.2">
      <c r="B23" s="273" t="s">
        <v>210</v>
      </c>
      <c r="C23" s="275">
        <v>1</v>
      </c>
      <c r="D23" s="276">
        <v>1</v>
      </c>
      <c r="F23" s="273" t="s">
        <v>210</v>
      </c>
      <c r="G23" s="277">
        <f t="array" ref="G23:H26">$C$23:$D$26</f>
        <v>1</v>
      </c>
      <c r="H23" s="278">
        <v>1</v>
      </c>
      <c r="N23" s="268" t="str">
        <v>USDSTD_</v>
      </c>
    </row>
    <row r="24" spans="2:14" ht="12" x14ac:dyDescent="0.2">
      <c r="B24" s="273" t="s">
        <v>211</v>
      </c>
      <c r="C24" s="275">
        <v>0</v>
      </c>
      <c r="D24" s="276">
        <v>0.19</v>
      </c>
      <c r="F24" s="273" t="s">
        <v>211</v>
      </c>
      <c r="G24" s="277">
        <v>0</v>
      </c>
      <c r="H24" s="278">
        <v>0.19</v>
      </c>
      <c r="N24" s="268" t="e">
        <v>#N/A</v>
      </c>
    </row>
    <row r="25" spans="2:14" ht="12" x14ac:dyDescent="0.2">
      <c r="B25" s="273" t="s">
        <v>212</v>
      </c>
      <c r="C25" s="275" t="b">
        <v>0</v>
      </c>
      <c r="D25" s="276" t="b">
        <v>0</v>
      </c>
      <c r="F25" s="273" t="s">
        <v>212</v>
      </c>
      <c r="G25" s="277" t="b">
        <v>0</v>
      </c>
      <c r="H25" s="278" t="b">
        <v>0</v>
      </c>
      <c r="N25" s="268" t="e">
        <v>#N/A</v>
      </c>
    </row>
    <row r="26" spans="2:14" ht="12.75" thickBot="1" x14ac:dyDescent="0.25">
      <c r="B26" s="294" t="s">
        <v>213</v>
      </c>
      <c r="C26" s="295"/>
      <c r="D26" s="296"/>
      <c r="F26" s="294" t="s">
        <v>213</v>
      </c>
      <c r="G26" s="292">
        <v>0</v>
      </c>
      <c r="H26" s="293">
        <v>0</v>
      </c>
      <c r="N26" s="268" t="e">
        <v>#N/A</v>
      </c>
    </row>
    <row r="27" spans="2:14" x14ac:dyDescent="0.2">
      <c r="B27" s="334" t="str">
        <f>"CCSWAP1 NPV ("&amp;_xll.xlLiborNameToCurrency(C20)&amp;")"</f>
        <v>CCSWAP1 NPV (EUR)</v>
      </c>
      <c r="C27" s="336">
        <f>IF(OR($C$12&gt;0,$C$13&gt;0),IF($C$10="Receive",1,-1)*_xll.xlShmCCSwapNPV($C$11,$C$12,$C$13,$C$20,$C$21,$D$20,$D$21,$N$6:$O$6,$N$7:$O$7,$C$18:$D$18,$C$23:$D$23,$C$24:$D$24,$C$16:$D$16,$C$17:$D$17,$C$25:$D$25,$C$26:$D$26,$C$19,$C$22&amp;T(TYPE($O$12))),"Error: Missing Maturity Info")</f>
        <v>4.6566128730773926E-10</v>
      </c>
      <c r="D27" s="337"/>
      <c r="F27" s="334" t="str">
        <f>"CCSWAP2 NPV ("&amp;_xll.xlLiborNameToCurrency(G20)&amp;")"</f>
        <v>CCSWAP2 NPV (EUR)</v>
      </c>
      <c r="G27" s="336">
        <f>IF(OR($G$12&gt;0,$G$13&gt;0),IF($G$10="Receive",1,-1)*_xll.xlShmCCSwapNPV($G$11,$G$12,$G$13,$G$20,$G$21,$H$20,$H$21,$N$6:$O$6,$N$7:$O$7,$G$18:$H$18,$G$23:$H$23,$G$24:$H$24,$G$16:$H$16,$G$17:$H$17,$G$25:$H$25,$C$26:$D$26,$G$19,$G$22&amp;T(TYPE($O$12))),"Error: Missing Maturity Info")</f>
        <v>-4.6566128730773926E-10</v>
      </c>
      <c r="H27" s="337"/>
      <c r="N27" s="268" t="e">
        <v>#N/A</v>
      </c>
    </row>
    <row r="28" spans="2:14" ht="24" thickBot="1" x14ac:dyDescent="0.4">
      <c r="B28" s="335"/>
      <c r="C28" s="338"/>
      <c r="D28" s="339"/>
      <c r="F28" s="335"/>
      <c r="G28" s="338"/>
      <c r="H28" s="339"/>
      <c r="I28" s="297"/>
      <c r="N28" s="268" t="e">
        <v>#N/A</v>
      </c>
    </row>
    <row r="29" spans="2:14" x14ac:dyDescent="0.2">
      <c r="N29" s="268" t="e">
        <v>#N/A</v>
      </c>
    </row>
    <row r="30" spans="2:14" x14ac:dyDescent="0.2">
      <c r="N30" s="268" t="e">
        <v>#N/A</v>
      </c>
    </row>
    <row r="31" spans="2:14" ht="12" thickBot="1" x14ac:dyDescent="0.25">
      <c r="N31" s="269" t="e">
        <v>#N/A</v>
      </c>
    </row>
    <row r="32" spans="2:14" ht="12" x14ac:dyDescent="0.2">
      <c r="B32" s="270"/>
      <c r="C32" s="271" t="s">
        <v>196</v>
      </c>
      <c r="D32" s="272" t="str">
        <f>IF(C32="Pay","Receive","Pay")</f>
        <v>Pay</v>
      </c>
      <c r="F32" s="270"/>
      <c r="G32" s="271" t="s">
        <v>197</v>
      </c>
      <c r="H32" s="272" t="str">
        <f>IF(G32="Pay","Receive","Pay")</f>
        <v>Receive</v>
      </c>
    </row>
    <row r="33" spans="2:8" ht="12" x14ac:dyDescent="0.2">
      <c r="B33" s="273" t="s">
        <v>198</v>
      </c>
      <c r="C33" s="340">
        <f>C11</f>
        <v>41996</v>
      </c>
      <c r="D33" s="341"/>
      <c r="F33" s="273" t="s">
        <v>198</v>
      </c>
      <c r="G33" s="342">
        <f>$C$11</f>
        <v>41996</v>
      </c>
      <c r="H33" s="343"/>
    </row>
    <row r="34" spans="2:8" ht="12" x14ac:dyDescent="0.2">
      <c r="B34" s="273" t="s">
        <v>199</v>
      </c>
      <c r="C34" s="344">
        <f>C12</f>
        <v>0</v>
      </c>
      <c r="D34" s="345"/>
      <c r="F34" s="273" t="s">
        <v>199</v>
      </c>
      <c r="G34" s="346">
        <f>$C$12</f>
        <v>0</v>
      </c>
      <c r="H34" s="347"/>
    </row>
    <row r="35" spans="2:8" ht="12" x14ac:dyDescent="0.2">
      <c r="B35" s="273" t="s">
        <v>200</v>
      </c>
      <c r="C35" s="348">
        <f>C13</f>
        <v>120</v>
      </c>
      <c r="D35" s="349"/>
      <c r="F35" s="273" t="s">
        <v>200</v>
      </c>
      <c r="G35" s="350">
        <f>$C$13</f>
        <v>120</v>
      </c>
      <c r="H35" s="351"/>
    </row>
    <row r="36" spans="2:8" ht="12" x14ac:dyDescent="0.2">
      <c r="B36" s="273" t="s">
        <v>201</v>
      </c>
      <c r="C36" s="303" t="str">
        <f t="array" ref="C36:D39">$C$14:$D$18</f>
        <v>quarterly</v>
      </c>
      <c r="D36" s="304" t="str">
        <v>quarterly</v>
      </c>
      <c r="F36" s="273" t="s">
        <v>201</v>
      </c>
      <c r="G36" s="277" t="str">
        <f t="array" ref="G36:H40">$C$14:$D$18</f>
        <v>quarterly</v>
      </c>
      <c r="H36" s="278" t="str">
        <v>quarterly</v>
      </c>
    </row>
    <row r="37" spans="2:8" ht="12" x14ac:dyDescent="0.2">
      <c r="B37" s="273" t="s">
        <v>202</v>
      </c>
      <c r="C37" s="303" t="str">
        <v>Act/360</v>
      </c>
      <c r="D37" s="304" t="str">
        <v>Act/360</v>
      </c>
      <c r="F37" s="273" t="s">
        <v>202</v>
      </c>
      <c r="G37" s="277" t="str">
        <v>Act/360</v>
      </c>
      <c r="H37" s="278" t="str">
        <v>Act/360</v>
      </c>
    </row>
    <row r="38" spans="2:8" ht="12" x14ac:dyDescent="0.2">
      <c r="B38" s="273" t="s">
        <v>203</v>
      </c>
      <c r="C38" s="285" t="b">
        <v>1</v>
      </c>
      <c r="D38" s="286" t="b">
        <v>1</v>
      </c>
      <c r="F38" s="273" t="s">
        <v>203</v>
      </c>
      <c r="G38" s="279" t="b">
        <v>1</v>
      </c>
      <c r="H38" s="280" t="b">
        <v>1</v>
      </c>
    </row>
    <row r="39" spans="2:8" ht="12" x14ac:dyDescent="0.2">
      <c r="B39" s="287" t="s">
        <v>204</v>
      </c>
      <c r="C39" s="288" t="b">
        <v>1</v>
      </c>
      <c r="D39" s="289" t="b">
        <v>1</v>
      </c>
      <c r="F39" s="287" t="s">
        <v>204</v>
      </c>
      <c r="G39" s="281" t="b">
        <v>1</v>
      </c>
      <c r="H39" s="282" t="b">
        <v>1</v>
      </c>
    </row>
    <row r="40" spans="2:8" ht="12" x14ac:dyDescent="0.2">
      <c r="B40" s="273" t="s">
        <v>205</v>
      </c>
      <c r="C40" s="290">
        <f t="array" ref="C40:D40">C18:D18</f>
        <v>1000000</v>
      </c>
      <c r="D40" s="291">
        <v>9459431.3850000016</v>
      </c>
      <c r="F40" s="273" t="s">
        <v>205</v>
      </c>
      <c r="G40" s="283">
        <v>1000000</v>
      </c>
      <c r="H40" s="284">
        <v>9459431.3850000016</v>
      </c>
    </row>
    <row r="41" spans="2:8" ht="12" x14ac:dyDescent="0.2">
      <c r="B41" s="273" t="s">
        <v>206</v>
      </c>
      <c r="C41" s="330">
        <f>C19</f>
        <v>9.459431385000002</v>
      </c>
      <c r="D41" s="331"/>
      <c r="F41" s="273" t="s">
        <v>206</v>
      </c>
      <c r="G41" s="332">
        <f>$C$19</f>
        <v>9.459431385000002</v>
      </c>
      <c r="H41" s="333"/>
    </row>
    <row r="42" spans="2:8" ht="12" x14ac:dyDescent="0.2">
      <c r="B42" s="273" t="s">
        <v>207</v>
      </c>
      <c r="C42" s="303" t="s">
        <v>143</v>
      </c>
      <c r="D42" s="304" t="s">
        <v>229</v>
      </c>
      <c r="F42" s="273" t="s">
        <v>207</v>
      </c>
      <c r="G42" s="303" t="s">
        <v>174</v>
      </c>
      <c r="H42" s="304" t="s">
        <v>228</v>
      </c>
    </row>
    <row r="43" spans="2:8" ht="12" x14ac:dyDescent="0.2">
      <c r="B43" s="273" t="s">
        <v>208</v>
      </c>
      <c r="C43" s="317" t="s">
        <v>144</v>
      </c>
      <c r="D43" s="318" t="s">
        <v>230</v>
      </c>
      <c r="F43" s="273" t="s">
        <v>208</v>
      </c>
      <c r="G43" s="277" t="s">
        <v>144</v>
      </c>
      <c r="H43" s="278" t="s">
        <v>230</v>
      </c>
    </row>
    <row r="44" spans="2:8" ht="12" x14ac:dyDescent="0.2">
      <c r="B44" s="273" t="s">
        <v>209</v>
      </c>
      <c r="C44" s="330" t="s">
        <v>100</v>
      </c>
      <c r="D44" s="331"/>
      <c r="F44" s="273" t="s">
        <v>209</v>
      </c>
      <c r="G44" s="332" t="str">
        <f>$C$22</f>
        <v>EUR</v>
      </c>
      <c r="H44" s="333"/>
    </row>
    <row r="45" spans="2:8" ht="12" x14ac:dyDescent="0.2">
      <c r="B45" s="273" t="s">
        <v>210</v>
      </c>
      <c r="C45" s="303">
        <f t="array" ref="C45:D48">$C$23:$D$26</f>
        <v>1</v>
      </c>
      <c r="D45" s="304">
        <v>1</v>
      </c>
      <c r="F45" s="273" t="s">
        <v>210</v>
      </c>
      <c r="G45" s="277">
        <f t="array" ref="G45:H48">$C$23:$D$26</f>
        <v>1</v>
      </c>
      <c r="H45" s="278">
        <v>1</v>
      </c>
    </row>
    <row r="46" spans="2:8" ht="12" x14ac:dyDescent="0.2">
      <c r="B46" s="273" t="s">
        <v>211</v>
      </c>
      <c r="C46" s="303">
        <v>0</v>
      </c>
      <c r="D46" s="304">
        <v>0.19</v>
      </c>
      <c r="F46" s="273" t="s">
        <v>211</v>
      </c>
      <c r="G46" s="277">
        <v>0</v>
      </c>
      <c r="H46" s="278">
        <v>0.19</v>
      </c>
    </row>
    <row r="47" spans="2:8" ht="12" x14ac:dyDescent="0.2">
      <c r="B47" s="273" t="s">
        <v>212</v>
      </c>
      <c r="C47" s="303" t="b">
        <v>0</v>
      </c>
      <c r="D47" s="304" t="b">
        <v>0</v>
      </c>
      <c r="F47" s="273" t="s">
        <v>212</v>
      </c>
      <c r="G47" s="277" t="b">
        <v>0</v>
      </c>
      <c r="H47" s="278" t="b">
        <v>0</v>
      </c>
    </row>
    <row r="48" spans="2:8" ht="12.75" thickBot="1" x14ac:dyDescent="0.25">
      <c r="B48" s="294" t="s">
        <v>213</v>
      </c>
      <c r="C48" s="295">
        <v>0</v>
      </c>
      <c r="D48" s="296">
        <v>0</v>
      </c>
      <c r="F48" s="294" t="s">
        <v>213</v>
      </c>
      <c r="G48" s="292">
        <v>0</v>
      </c>
      <c r="H48" s="293">
        <v>0</v>
      </c>
    </row>
    <row r="49" spans="2:8" x14ac:dyDescent="0.2">
      <c r="B49" s="334" t="str">
        <f>"CCSWAP1 NPV ("&amp;_xll.xlLiborNameToCurrency(C42)&amp;")"</f>
        <v>CCSWAP1 NPV (EUR)</v>
      </c>
      <c r="C49" s="336">
        <f>IF(OR($C$12&gt;0,$C$13&gt;0),IF($C$10="Receive",1,-1)*_xll.xlShmCCSwapNPV($C$11,$C$12,$C$13,$C$42,$C$43,$D$42,$D$43,$N$6:$O$6,$N$7:$O$7,$C$18:$D$18,$C$23:$D$23,$C$24:$D$24,$C$16:$D$16,$C$17:$D$17,$C$25:$D$25,$C$26:$D$26,$C$19,$C$22&amp;T(TYPE($O$12))),"Error: Missing Maturity Info")</f>
        <v>4200.9860485886456</v>
      </c>
      <c r="D49" s="337"/>
      <c r="F49" s="334" t="str">
        <f>"CCSWAP2 NPV ("&amp;_xll.xlLiborNameToCurrency(G42)&amp;")"</f>
        <v>CCSWAP2 NPV (EUR)</v>
      </c>
      <c r="G49" s="336">
        <f>IF(OR($G$12&gt;0,$G$13&gt;0),IF($G$10="Receive",1,-1)*_xll.xlShmCCSwapNPV($G$11,$G$12,$G$13,$G$42,$G$21,$H$42,$H$21,$N$6:$O$6,$N$7:$O$7,$G$18:$H$18,$G$23:$H$23,$G$24:$H$24,$G$16:$H$16,$G$17:$H$17,$G$25:$H$25,$C$26:$D$26,$G$19,$G$22&amp;T(TYPE($O$12))),"Error: Missing Maturity Info")</f>
        <v>-4137.031259327312</v>
      </c>
      <c r="H49" s="337"/>
    </row>
    <row r="50" spans="2:8" ht="12" thickBot="1" x14ac:dyDescent="0.25">
      <c r="B50" s="335"/>
      <c r="C50" s="338"/>
      <c r="D50" s="339"/>
      <c r="F50" s="335"/>
      <c r="G50" s="338"/>
      <c r="H50" s="339"/>
    </row>
    <row r="51" spans="2:8" x14ac:dyDescent="0.2">
      <c r="F51" s="298"/>
      <c r="G51" s="298"/>
      <c r="H51" s="298"/>
    </row>
    <row r="52" spans="2:8" x14ac:dyDescent="0.2">
      <c r="F52" s="298"/>
      <c r="G52" s="298"/>
      <c r="H52" s="298"/>
    </row>
    <row r="53" spans="2:8" ht="10.9" customHeight="1" x14ac:dyDescent="0.2">
      <c r="F53" s="298"/>
      <c r="G53" s="298"/>
      <c r="H53" s="298"/>
    </row>
    <row r="54" spans="2:8" ht="11.85" customHeight="1" x14ac:dyDescent="0.2">
      <c r="F54" s="298"/>
      <c r="G54" s="298"/>
      <c r="H54" s="298"/>
    </row>
    <row r="55" spans="2:8" x14ac:dyDescent="0.2">
      <c r="F55" s="298"/>
      <c r="G55" s="298"/>
      <c r="H55" s="298"/>
    </row>
  </sheetData>
  <mergeCells count="28">
    <mergeCell ref="C19:D19"/>
    <mergeCell ref="G19:H19"/>
    <mergeCell ref="C22:D22"/>
    <mergeCell ref="G22:H22"/>
    <mergeCell ref="B27:B28"/>
    <mergeCell ref="C27:D28"/>
    <mergeCell ref="F27:F28"/>
    <mergeCell ref="G27:H28"/>
    <mergeCell ref="C11:D11"/>
    <mergeCell ref="G11:H11"/>
    <mergeCell ref="C12:D12"/>
    <mergeCell ref="G12:H12"/>
    <mergeCell ref="C13:D13"/>
    <mergeCell ref="G13:H13"/>
    <mergeCell ref="C33:D33"/>
    <mergeCell ref="G33:H33"/>
    <mergeCell ref="C34:D34"/>
    <mergeCell ref="G34:H34"/>
    <mergeCell ref="C35:D35"/>
    <mergeCell ref="G35:H35"/>
    <mergeCell ref="C41:D41"/>
    <mergeCell ref="G41:H41"/>
    <mergeCell ref="C44:D44"/>
    <mergeCell ref="G44:H44"/>
    <mergeCell ref="B49:B50"/>
    <mergeCell ref="C49:D50"/>
    <mergeCell ref="F49:F50"/>
    <mergeCell ref="G49:H50"/>
  </mergeCells>
  <conditionalFormatting sqref="C21">
    <cfRule type="expression" dxfId="7" priority="10">
      <formula>ABS(C23)&lt;0.000000001</formula>
    </cfRule>
  </conditionalFormatting>
  <conditionalFormatting sqref="D21">
    <cfRule type="expression" dxfId="6" priority="9">
      <formula>ABS(D23)&lt;0.000000001</formula>
    </cfRule>
  </conditionalFormatting>
  <conditionalFormatting sqref="H21">
    <cfRule type="expression" dxfId="5" priority="5">
      <formula>ABS(H23)&lt;0.000000001</formula>
    </cfRule>
  </conditionalFormatting>
  <conditionalFormatting sqref="G21">
    <cfRule type="expression" dxfId="4" priority="6">
      <formula>ABS(G23)&lt;0.000000001</formula>
    </cfRule>
  </conditionalFormatting>
  <conditionalFormatting sqref="C43">
    <cfRule type="expression" dxfId="3" priority="4">
      <formula>ABS(C45)&lt;0.000000001</formula>
    </cfRule>
  </conditionalFormatting>
  <conditionalFormatting sqref="D43">
    <cfRule type="expression" dxfId="2" priority="3">
      <formula>ABS(D45)&lt;0.000000001</formula>
    </cfRule>
  </conditionalFormatting>
  <conditionalFormatting sqref="H43">
    <cfRule type="expression" dxfId="1" priority="1">
      <formula>ABS(H45)&lt;0.000000001</formula>
    </cfRule>
  </conditionalFormatting>
  <conditionalFormatting sqref="G43">
    <cfRule type="expression" dxfId="0" priority="2">
      <formula>ABS(G45)&lt;0.000000001</formula>
    </cfRule>
  </conditionalFormatting>
  <dataValidations count="6">
    <dataValidation type="list" allowBlank="1" showInputMessage="1" showErrorMessage="1" sqref="C25:D25 C16:D17 G25:H25 G16:H17 C47:D47 C38:D39 G47:H47 G38:H39">
      <formula1>"TRUE,FALSE"</formula1>
    </dataValidation>
    <dataValidation type="list" allowBlank="1" showInputMessage="1" showErrorMessage="1" sqref="C15:D15 G15:H15 C37:D37 G37:H37">
      <formula1>" Act/Act AFB,30E/360,360/360,30E+360,Act/360,Act/365,365/365,Act/Act,30/360,One/One"</formula1>
    </dataValidation>
    <dataValidation type="list" allowBlank="1" showInputMessage="1" showErrorMessage="1" sqref="C14:D14 G14:H14 C36:D36 G36:H36">
      <formula1>"annual, semiannual, quarterly,monthly"</formula1>
    </dataValidation>
    <dataValidation type="list" allowBlank="1" showInputMessage="1" showErrorMessage="1" sqref="G10:H10 C10:D10 G32:H32 C32:D32">
      <formula1>"Pay,Receive"</formula1>
    </dataValidation>
    <dataValidation type="list" allowBlank="1" showInputMessage="1" showErrorMessage="1" sqref="C22:D22 G22:H22 C44:D44 G44:H44">
      <formula1>$O$9:$O$11</formula1>
    </dataValidation>
    <dataValidation type="list" allowBlank="1" showInputMessage="1" showErrorMessage="1" sqref="C20:D21 G20:H21 C42:D43 G42:H43">
      <formula1>$N$9:$N$31</formula1>
    </dataValidation>
  </dataValidations>
  <pageMargins left="0.7" right="0.7" top="0.75" bottom="0.75" header="0.3" footer="0.3"/>
  <pageSetup paperSize="9" orientation="portrait" horizontalDpi="4294967294" verticalDpi="4294967294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B2:H35"/>
  <sheetViews>
    <sheetView workbookViewId="0">
      <selection activeCell="L39" sqref="L39"/>
    </sheetView>
  </sheetViews>
  <sheetFormatPr defaultColWidth="9.33203125" defaultRowHeight="11.25" x14ac:dyDescent="0.2"/>
  <cols>
    <col min="1" max="1" width="3.83203125" style="16" customWidth="1"/>
    <col min="2" max="2" width="12.83203125" style="16" customWidth="1"/>
    <col min="3" max="3" width="9.33203125" style="16"/>
    <col min="4" max="4" width="3.83203125" style="16" customWidth="1"/>
    <col min="5" max="5" width="15.83203125" style="16" customWidth="1"/>
    <col min="6" max="7" width="3.83203125" style="16" customWidth="1"/>
    <col min="8" max="8" width="9.33203125" style="16"/>
    <col min="9" max="9" width="3.83203125" style="16" customWidth="1"/>
    <col min="10" max="16384" width="9.33203125" style="16"/>
  </cols>
  <sheetData>
    <row r="2" spans="2:8" x14ac:dyDescent="0.2">
      <c r="B2" s="352" t="s">
        <v>62</v>
      </c>
      <c r="C2" s="353"/>
      <c r="E2" s="19" t="s">
        <v>61</v>
      </c>
      <c r="H2" s="19" t="s">
        <v>60</v>
      </c>
    </row>
    <row r="3" spans="2:8" x14ac:dyDescent="0.2">
      <c r="B3" s="18" t="s">
        <v>59</v>
      </c>
      <c r="C3" s="18">
        <v>0</v>
      </c>
      <c r="E3" s="18" t="s">
        <v>58</v>
      </c>
      <c r="H3" s="18" t="b">
        <v>1</v>
      </c>
    </row>
    <row r="4" spans="2:8" x14ac:dyDescent="0.2">
      <c r="B4" s="20" t="s">
        <v>57</v>
      </c>
      <c r="C4" s="20">
        <v>1</v>
      </c>
      <c r="E4" s="20" t="s">
        <v>56</v>
      </c>
      <c r="H4" s="17" t="b">
        <v>0</v>
      </c>
    </row>
    <row r="5" spans="2:8" x14ac:dyDescent="0.2">
      <c r="B5" s="20" t="s">
        <v>55</v>
      </c>
      <c r="C5" s="20">
        <v>2</v>
      </c>
      <c r="E5" s="20" t="s">
        <v>11</v>
      </c>
    </row>
    <row r="6" spans="2:8" x14ac:dyDescent="0.2">
      <c r="B6" s="22" t="s">
        <v>54</v>
      </c>
      <c r="C6" s="20">
        <v>3</v>
      </c>
      <c r="E6" s="20" t="s">
        <v>53</v>
      </c>
    </row>
    <row r="7" spans="2:8" x14ac:dyDescent="0.2">
      <c r="B7" s="20" t="s">
        <v>52</v>
      </c>
      <c r="C7" s="20">
        <v>4</v>
      </c>
      <c r="E7" s="17" t="s">
        <v>51</v>
      </c>
    </row>
    <row r="8" spans="2:8" x14ac:dyDescent="0.2">
      <c r="B8" s="20" t="s">
        <v>50</v>
      </c>
      <c r="C8" s="20">
        <v>5</v>
      </c>
    </row>
    <row r="9" spans="2:8" x14ac:dyDescent="0.2">
      <c r="B9" s="20" t="s">
        <v>49</v>
      </c>
      <c r="C9" s="20">
        <v>6</v>
      </c>
      <c r="E9" s="19" t="s">
        <v>48</v>
      </c>
    </row>
    <row r="10" spans="2:8" x14ac:dyDescent="0.2">
      <c r="B10" s="20" t="s">
        <v>47</v>
      </c>
      <c r="C10" s="20">
        <v>7</v>
      </c>
      <c r="E10" s="18" t="s">
        <v>46</v>
      </c>
    </row>
    <row r="11" spans="2:8" x14ac:dyDescent="0.2">
      <c r="B11" s="20" t="s">
        <v>45</v>
      </c>
      <c r="C11" s="20">
        <v>8</v>
      </c>
      <c r="E11" s="20" t="s">
        <v>12</v>
      </c>
    </row>
    <row r="12" spans="2:8" x14ac:dyDescent="0.2">
      <c r="B12" s="17" t="s">
        <v>44</v>
      </c>
      <c r="C12" s="17">
        <v>9</v>
      </c>
      <c r="E12" s="17" t="s">
        <v>43</v>
      </c>
    </row>
    <row r="13" spans="2:8" x14ac:dyDescent="0.2">
      <c r="E13" s="21"/>
    </row>
    <row r="14" spans="2:8" x14ac:dyDescent="0.2">
      <c r="B14" s="352" t="s">
        <v>42</v>
      </c>
      <c r="C14" s="353"/>
      <c r="E14" s="19" t="s">
        <v>41</v>
      </c>
    </row>
    <row r="15" spans="2:8" x14ac:dyDescent="0.2">
      <c r="B15" s="18" t="s">
        <v>40</v>
      </c>
      <c r="C15" s="18">
        <v>0</v>
      </c>
      <c r="E15" s="18" t="s">
        <v>13</v>
      </c>
    </row>
    <row r="16" spans="2:8" x14ac:dyDescent="0.2">
      <c r="B16" s="20" t="s">
        <v>39</v>
      </c>
      <c r="C16" s="20">
        <v>1</v>
      </c>
      <c r="E16" s="20" t="s">
        <v>38</v>
      </c>
    </row>
    <row r="17" spans="2:5" x14ac:dyDescent="0.2">
      <c r="B17" s="20" t="s">
        <v>37</v>
      </c>
      <c r="C17" s="20">
        <v>2</v>
      </c>
      <c r="E17" s="17" t="s">
        <v>36</v>
      </c>
    </row>
    <row r="18" spans="2:5" x14ac:dyDescent="0.2">
      <c r="B18" s="17" t="s">
        <v>35</v>
      </c>
      <c r="C18" s="17">
        <v>3</v>
      </c>
      <c r="E18" s="21"/>
    </row>
    <row r="19" spans="2:5" x14ac:dyDescent="0.2">
      <c r="E19" s="19" t="s">
        <v>34</v>
      </c>
    </row>
    <row r="20" spans="2:5" x14ac:dyDescent="0.2">
      <c r="B20" s="352" t="s">
        <v>33</v>
      </c>
      <c r="C20" s="353"/>
      <c r="E20" s="18" t="s">
        <v>32</v>
      </c>
    </row>
    <row r="21" spans="2:5" x14ac:dyDescent="0.2">
      <c r="B21" s="18" t="s">
        <v>31</v>
      </c>
      <c r="C21" s="18">
        <v>0</v>
      </c>
      <c r="E21" s="20" t="s">
        <v>30</v>
      </c>
    </row>
    <row r="22" spans="2:5" x14ac:dyDescent="0.2">
      <c r="B22" s="20" t="s">
        <v>29</v>
      </c>
      <c r="C22" s="20">
        <v>1</v>
      </c>
      <c r="E22" s="17" t="s">
        <v>28</v>
      </c>
    </row>
    <row r="23" spans="2:5" x14ac:dyDescent="0.2">
      <c r="B23" s="17" t="s">
        <v>27</v>
      </c>
      <c r="C23" s="17">
        <v>2</v>
      </c>
    </row>
    <row r="24" spans="2:5" x14ac:dyDescent="0.2">
      <c r="E24" s="19" t="s">
        <v>26</v>
      </c>
    </row>
    <row r="25" spans="2:5" x14ac:dyDescent="0.2">
      <c r="B25" s="352" t="s">
        <v>25</v>
      </c>
      <c r="C25" s="353"/>
      <c r="E25" s="18" t="s">
        <v>24</v>
      </c>
    </row>
    <row r="26" spans="2:5" x14ac:dyDescent="0.2">
      <c r="B26" s="18" t="s">
        <v>15</v>
      </c>
      <c r="C26" s="18">
        <v>0</v>
      </c>
      <c r="E26" s="17" t="s">
        <v>23</v>
      </c>
    </row>
    <row r="27" spans="2:5" x14ac:dyDescent="0.2">
      <c r="B27" s="17" t="s">
        <v>22</v>
      </c>
      <c r="C27" s="17">
        <v>1</v>
      </c>
    </row>
    <row r="28" spans="2:5" x14ac:dyDescent="0.2">
      <c r="E28" s="19" t="s">
        <v>21</v>
      </c>
    </row>
    <row r="29" spans="2:5" x14ac:dyDescent="0.2">
      <c r="B29" s="352" t="s">
        <v>151</v>
      </c>
      <c r="C29" s="353"/>
      <c r="E29" s="18" t="s">
        <v>20</v>
      </c>
    </row>
    <row r="30" spans="2:5" x14ac:dyDescent="0.2">
      <c r="B30" s="58" t="s">
        <v>38</v>
      </c>
      <c r="C30" s="61">
        <v>1</v>
      </c>
      <c r="E30" s="17" t="s">
        <v>19</v>
      </c>
    </row>
    <row r="31" spans="2:5" x14ac:dyDescent="0.2">
      <c r="B31" s="59" t="s">
        <v>148</v>
      </c>
      <c r="C31" s="62">
        <v>2</v>
      </c>
    </row>
    <row r="32" spans="2:5" x14ac:dyDescent="0.2">
      <c r="B32" s="59" t="s">
        <v>149</v>
      </c>
      <c r="C32" s="62">
        <v>4</v>
      </c>
    </row>
    <row r="33" spans="2:3" x14ac:dyDescent="0.2">
      <c r="B33" s="60" t="s">
        <v>150</v>
      </c>
      <c r="C33" s="63">
        <v>12</v>
      </c>
    </row>
    <row r="35" spans="2:3" x14ac:dyDescent="0.2">
      <c r="B35" s="301" t="s">
        <v>221</v>
      </c>
      <c r="C35" s="301" t="b">
        <v>1</v>
      </c>
    </row>
  </sheetData>
  <dataConsolidate/>
  <mergeCells count="5">
    <mergeCell ref="B20:C20"/>
    <mergeCell ref="B25:C25"/>
    <mergeCell ref="B2:C2"/>
    <mergeCell ref="B14:C14"/>
    <mergeCell ref="B29:C29"/>
  </mergeCells>
  <pageMargins left="0.75" right="0.75" top="1" bottom="1" header="0.5" footer="0.5"/>
  <pageSetup paperSize="9" orientation="portrait" horizontalDpi="4294967294" vertic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58</vt:i4>
      </vt:variant>
    </vt:vector>
  </HeadingPairs>
  <TitlesOfParts>
    <vt:vector size="70" baseType="lpstr">
      <vt:lpstr>Triggers</vt:lpstr>
      <vt:lpstr>EUR Curves</vt:lpstr>
      <vt:lpstr>USD Curves</vt:lpstr>
      <vt:lpstr>SEK Curves</vt:lpstr>
      <vt:lpstr>USDBASIS(EURON)</vt:lpstr>
      <vt:lpstr>SEKBASIS(EURON)</vt:lpstr>
      <vt:lpstr>SEKBASIS(EURON,USD)</vt:lpstr>
      <vt:lpstr>USDBASIS(EURSTD)</vt:lpstr>
      <vt:lpstr>SEKBASIS(EURSTD)</vt:lpstr>
      <vt:lpstr>SEKBASIS(EURSTD,USD)</vt:lpstr>
      <vt:lpstr>SwapPricer</vt:lpstr>
      <vt:lpstr>dvCurveBootstrapperOptions</vt:lpstr>
      <vt:lpstr>dvBool</vt:lpstr>
      <vt:lpstr>dvCurveBootstrapperCompounding</vt:lpstr>
      <vt:lpstr>dvCurveBootstrapperDayCount</vt:lpstr>
      <vt:lpstr>dvCurveBootstrapperFraFutAdjust</vt:lpstr>
      <vt:lpstr>dvCurveBootstrapperFutCons</vt:lpstr>
      <vt:lpstr>dvCurveBootstrapperFutEndDate</vt:lpstr>
      <vt:lpstr>dvCurveBootstrapperInterpOn</vt:lpstr>
      <vt:lpstr>dvCurveBootstrapperInterpType</vt:lpstr>
      <vt:lpstr>dvCurveBootstrapperMatCons</vt:lpstr>
      <vt:lpstr>dvCurveBootstrapperOutputType</vt:lpstr>
      <vt:lpstr>dvCurveBootstrapperSwapMatType</vt:lpstr>
      <vt:lpstr>dvSwapPaymFreq</vt:lpstr>
      <vt:lpstr>EvaluationDate</vt:lpstr>
      <vt:lpstr>'EUR Curves'!FinDBVerbose</vt:lpstr>
      <vt:lpstr>'SEK Curves'!FinDBVerbose</vt:lpstr>
      <vt:lpstr>'USD Curves'!FinDBVerbose</vt:lpstr>
      <vt:lpstr>dvCurveBootstrapperOptions!IsBootstrapSheet</vt:lpstr>
      <vt:lpstr>'EUR Curves'!IsBootstrapSheet</vt:lpstr>
      <vt:lpstr>'SEK Curves'!IsBootstrapSheet</vt:lpstr>
      <vt:lpstr>'SEKBASIS(EURON)'!IsBootstrapSheet</vt:lpstr>
      <vt:lpstr>'SEKBASIS(EURON,USD)'!IsBootstrapSheet</vt:lpstr>
      <vt:lpstr>'SEKBASIS(EURSTD)'!IsBootstrapSheet</vt:lpstr>
      <vt:lpstr>'SEKBASIS(EURSTD,USD)'!IsBootstrapSheet</vt:lpstr>
      <vt:lpstr>SwapPricer!IsBootstrapSheet</vt:lpstr>
      <vt:lpstr>Triggers!IsBootstrapSheet</vt:lpstr>
      <vt:lpstr>'USD Curves'!IsBootstrapSheet</vt:lpstr>
      <vt:lpstr>'USDBASIS(EURON)'!IsBootstrapSheet</vt:lpstr>
      <vt:lpstr>'USDBASIS(EURSTD)'!IsBootstrapSheet</vt:lpstr>
      <vt:lpstr>ManualTrigger</vt:lpstr>
      <vt:lpstr>ObjectsTrigger</vt:lpstr>
      <vt:lpstr>'EUR Curves'!Override</vt:lpstr>
      <vt:lpstr>'SEK Curves'!Override</vt:lpstr>
      <vt:lpstr>'SEKBASIS(EURON)'!Override</vt:lpstr>
      <vt:lpstr>'SEKBASIS(EURON,USD)'!Override</vt:lpstr>
      <vt:lpstr>'SEKBASIS(EURSTD)'!Override</vt:lpstr>
      <vt:lpstr>'SEKBASIS(EURSTD,USD)'!Override</vt:lpstr>
      <vt:lpstr>'USD Curves'!Override</vt:lpstr>
      <vt:lpstr>'USDBASIS(EURON)'!Override</vt:lpstr>
      <vt:lpstr>'USDBASIS(EURSTD)'!Override</vt:lpstr>
      <vt:lpstr>'EUR Curves'!RealTime</vt:lpstr>
      <vt:lpstr>'SEK Curves'!RealTime</vt:lpstr>
      <vt:lpstr>'SEKBASIS(EURON)'!RealTime</vt:lpstr>
      <vt:lpstr>'SEKBASIS(EURON,USD)'!RealTime</vt:lpstr>
      <vt:lpstr>'SEKBASIS(EURSTD)'!RealTime</vt:lpstr>
      <vt:lpstr>'SEKBASIS(EURSTD,USD)'!RealTime</vt:lpstr>
      <vt:lpstr>'USD Curves'!RealTime</vt:lpstr>
      <vt:lpstr>'USDBASIS(EURON)'!RealTime</vt:lpstr>
      <vt:lpstr>'USDBASIS(EURSTD)'!RealTime</vt:lpstr>
      <vt:lpstr>Triggers!RTDataTrigger</vt:lpstr>
      <vt:lpstr>'EUR Curves'!trigger</vt:lpstr>
      <vt:lpstr>'SEK Curves'!trigger</vt:lpstr>
      <vt:lpstr>'USD Curves'!trigger</vt:lpstr>
      <vt:lpstr>'SEKBASIS(EURON)'!Used</vt:lpstr>
      <vt:lpstr>'SEKBASIS(EURON,USD)'!Used</vt:lpstr>
      <vt:lpstr>'SEKBASIS(EURSTD)'!Used</vt:lpstr>
      <vt:lpstr>'SEKBASIS(EURSTD,USD)'!Used</vt:lpstr>
      <vt:lpstr>'USDBASIS(EURON)'!Used</vt:lpstr>
      <vt:lpstr>'USDBASIS(EURSTD)'!Used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ZANZI MADDALENA</cp:lastModifiedBy>
  <dcterms:created xsi:type="dcterms:W3CDTF">2014-02-17T09:52:39Z</dcterms:created>
  <dcterms:modified xsi:type="dcterms:W3CDTF">2014-12-19T16:39:34Z</dcterms:modified>
</cp:coreProperties>
</file>