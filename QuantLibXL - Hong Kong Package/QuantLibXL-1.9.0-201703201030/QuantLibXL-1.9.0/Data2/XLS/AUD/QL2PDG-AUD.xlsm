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0685" yWindow="690" windowWidth="9990" windowHeight="8535" activeTab="4"/>
  </bookViews>
  <sheets>
    <sheet name="Triggers" sheetId="8" r:id="rId1"/>
    <sheet name="EUR Curves" sheetId="7" r:id="rId2"/>
    <sheet name="AUD Curves" sheetId="1" r:id="rId3"/>
    <sheet name="AUD EUR BAS OIS" sheetId="3" r:id="rId4"/>
    <sheet name="AUD EUR BAS STD" sheetId="5" r:id="rId5"/>
    <sheet name="dvCurveBootstrapperOptions" sheetId="2" state="hidden" r:id="rId6"/>
  </sheets>
  <functionGroups builtInGroupCount="17"/>
  <externalReferences>
    <externalReference r:id="rId7"/>
  </externalReferences>
  <definedNames>
    <definedName name="dvBool">dvCurveBootstrapperOptions!$H$3:$H$4</definedName>
    <definedName name="dvCurveBootstrapperCompounding">dvCurveBootstrapperOptions!$E$15:$E$17</definedName>
    <definedName name="dvCurveBootstrapperDayCount">dvCurveBootstrapperOptions!$B$3:$C$12</definedName>
    <definedName name="dvCurveBootstrapperFraFutAdjust">dvCurveBootstrapperOptions!$B$15:$C$18</definedName>
    <definedName name="dvCurveBootstrapperFutCons">dvCurveBootstrapperOptions!$E$20:$E$22</definedName>
    <definedName name="dvCurveBootstrapperFutEndDate">dvCurveBootstrapperOptions!$E$29:$E$30</definedName>
    <definedName name="dvCurveBootstrapperInterpOn">dvCurveBootstrapperOptions!$E$10:$E$12</definedName>
    <definedName name="dvCurveBootstrapperInterpType">dvCurveBootstrapperOptions!$E$3:$E$7</definedName>
    <definedName name="dvCurveBootstrapperMatCons">dvCurveBootstrapperOptions!$E$25:$E$26</definedName>
    <definedName name="dvCurveBootstrapperOutputType">dvCurveBootstrapperOptions!$B$26:$C$27</definedName>
    <definedName name="dvCurveBootstrapperSwapMatType">dvCurveBootstrapperOptions!$B$21:$C$23</definedName>
    <definedName name="EvaluationDate">Triggers!$D$5</definedName>
    <definedName name="InterestRatesTrigger" localSheetId="2">'AUD Curves'!$C$16</definedName>
    <definedName name="InterestRatesTrigger" localSheetId="1">'EUR Curves'!$C$16</definedName>
    <definedName name="ManualTrigger">Triggers!$D$4</definedName>
    <definedName name="ObjectsTrigger">Triggers!$D$6</definedName>
    <definedName name="Override" localSheetId="3">'AUD EUR BAS OIS'!$J$3:$J$20,'AUD EUR BAS OIS'!$J$23:$J$23,'AUD EUR BAS OIS'!$J$26:$J$67</definedName>
    <definedName name="Override" localSheetId="4">'AUD EUR BAS STD'!$J$3:$J$20,'AUD EUR BAS STD'!$J$23:$J$23,'AUD EUR BAS STD'!$J$26:$J$67</definedName>
    <definedName name="RealTime" localSheetId="3">'AUD EUR BAS OIS'!$I$3:$I$20,'AUD EUR BAS OIS'!$I$23:$I$23,'AUD EUR BAS OIS'!$I$26:$I$67</definedName>
    <definedName name="RealTime" localSheetId="4">'AUD EUR BAS STD'!$I$3:$I$20,'AUD EUR BAS STD'!$I$23:$I$23,'AUD EUR BAS STD'!$I$26:$I$67</definedName>
    <definedName name="Used" localSheetId="3">'AUD EUR BAS OIS'!$L$3:$L$20,'AUD EUR BAS OIS'!$L$23:$L$23,'AUD EUR BAS OIS'!$L$26:$L$67</definedName>
    <definedName name="Used" localSheetId="4">'AUD EUR BAS STD'!$L$3:$L$20,'AUD EUR BAS STD'!$L$23:$L$23,'AUD EUR BAS STD'!$L$26:$L$67</definedName>
  </definedNames>
  <calcPr calcId="145621"/>
</workbook>
</file>

<file path=xl/calcChain.xml><?xml version="1.0" encoding="utf-8"?>
<calcChain xmlns="http://schemas.openxmlformats.org/spreadsheetml/2006/main">
  <c r="C103" i="5" l="1"/>
  <c r="B103" i="5"/>
  <c r="C102" i="5"/>
  <c r="B102" i="5"/>
  <c r="C101" i="5"/>
  <c r="B101" i="5"/>
  <c r="C100" i="5"/>
  <c r="B100" i="5"/>
  <c r="C99" i="5"/>
  <c r="B99" i="5"/>
  <c r="C98" i="5"/>
  <c r="B98" i="5"/>
  <c r="C97" i="5"/>
  <c r="B97" i="5"/>
  <c r="C96" i="5"/>
  <c r="B96" i="5"/>
  <c r="C95" i="5"/>
  <c r="B95" i="5"/>
  <c r="C94" i="5"/>
  <c r="B94" i="5"/>
  <c r="C93" i="5"/>
  <c r="B93" i="5"/>
  <c r="C92" i="5"/>
  <c r="B92" i="5"/>
  <c r="C91" i="5"/>
  <c r="B91" i="5"/>
  <c r="B90" i="5"/>
  <c r="B89" i="5"/>
  <c r="B88" i="5"/>
  <c r="B87" i="5"/>
  <c r="B86" i="5"/>
  <c r="B85" i="5"/>
  <c r="B84" i="5"/>
  <c r="C81" i="5"/>
  <c r="AQ32" i="5"/>
  <c r="AJ32" i="5"/>
  <c r="AJ33" i="5" s="1"/>
  <c r="AJ34" i="5" s="1"/>
  <c r="AJ35" i="5" s="1"/>
  <c r="AJ36" i="5" s="1"/>
  <c r="AJ37" i="5" s="1"/>
  <c r="AJ38" i="5" s="1"/>
  <c r="AJ39" i="5" s="1"/>
  <c r="AJ40" i="5" s="1"/>
  <c r="AJ41" i="5" s="1"/>
  <c r="AJ42" i="5" s="1"/>
  <c r="AJ43" i="5" s="1"/>
  <c r="AJ44" i="5" s="1"/>
  <c r="AJ45" i="5" s="1"/>
  <c r="AJ46" i="5" s="1"/>
  <c r="AJ47" i="5" s="1"/>
  <c r="AJ48" i="5" s="1"/>
  <c r="AJ49" i="5" s="1"/>
  <c r="AJ50" i="5" s="1"/>
  <c r="AJ51" i="5" s="1"/>
  <c r="AJ52" i="5" s="1"/>
  <c r="AJ53" i="5" s="1"/>
  <c r="AJ54" i="5" s="1"/>
  <c r="AJ55" i="5" s="1"/>
  <c r="AJ56" i="5" s="1"/>
  <c r="AJ57" i="5" s="1"/>
  <c r="AJ58" i="5" s="1"/>
  <c r="AJ59" i="5" s="1"/>
  <c r="AJ60" i="5" s="1"/>
  <c r="AJ61" i="5" s="1"/>
  <c r="AJ62" i="5" s="1"/>
  <c r="AJ63" i="5" s="1"/>
  <c r="AJ64" i="5" s="1"/>
  <c r="AJ65" i="5" s="1"/>
  <c r="AJ66" i="5" s="1"/>
  <c r="AJ67" i="5" s="1"/>
  <c r="AJ68" i="5" s="1"/>
  <c r="AJ69" i="5" s="1"/>
  <c r="AJ70" i="5" s="1"/>
  <c r="AJ71" i="5" s="1"/>
  <c r="AJ72" i="5" s="1"/>
  <c r="M27" i="5"/>
  <c r="M28" i="5" s="1"/>
  <c r="M29" i="5" s="1"/>
  <c r="M30" i="5" s="1"/>
  <c r="M31" i="5" s="1"/>
  <c r="M32" i="5" s="1"/>
  <c r="M33" i="5" s="1"/>
  <c r="M34" i="5" s="1"/>
  <c r="M35" i="5" s="1"/>
  <c r="M36" i="5" s="1"/>
  <c r="M37" i="5" s="1"/>
  <c r="M38" i="5" s="1"/>
  <c r="M39" i="5" s="1"/>
  <c r="M40" i="5" s="1"/>
  <c r="M41" i="5" s="1"/>
  <c r="M42" i="5" s="1"/>
  <c r="M43" i="5" s="1"/>
  <c r="M44" i="5" s="1"/>
  <c r="M45" i="5" s="1"/>
  <c r="M46" i="5" s="1"/>
  <c r="M47" i="5" s="1"/>
  <c r="M48" i="5" s="1"/>
  <c r="M49" i="5" s="1"/>
  <c r="M50" i="5" s="1"/>
  <c r="M51" i="5" s="1"/>
  <c r="M52" i="5" s="1"/>
  <c r="M53" i="5" s="1"/>
  <c r="M54" i="5" s="1"/>
  <c r="M55" i="5" s="1"/>
  <c r="M56" i="5" s="1"/>
  <c r="M57" i="5" s="1"/>
  <c r="M58" i="5" s="1"/>
  <c r="M59" i="5" s="1"/>
  <c r="M60" i="5" s="1"/>
  <c r="M61" i="5" s="1"/>
  <c r="M62" i="5" s="1"/>
  <c r="M63" i="5" s="1"/>
  <c r="M64" i="5" s="1"/>
  <c r="M65" i="5" s="1"/>
  <c r="M66" i="5" s="1"/>
  <c r="M67" i="5" s="1"/>
  <c r="F23" i="5"/>
  <c r="N20" i="5"/>
  <c r="F20" i="5"/>
  <c r="N19" i="5"/>
  <c r="F19" i="5"/>
  <c r="N18" i="5"/>
  <c r="F18" i="5"/>
  <c r="F17" i="5"/>
  <c r="N16" i="5"/>
  <c r="F16" i="5"/>
  <c r="N15" i="5"/>
  <c r="F15" i="5"/>
  <c r="F14" i="5"/>
  <c r="F13" i="5"/>
  <c r="F12" i="5"/>
  <c r="F11" i="5"/>
  <c r="F10" i="5"/>
  <c r="F9" i="5"/>
  <c r="F8" i="5"/>
  <c r="F7" i="5"/>
  <c r="N5" i="5"/>
  <c r="F5" i="5"/>
  <c r="M4" i="5"/>
  <c r="N4" i="5" s="1"/>
  <c r="F4" i="5"/>
  <c r="N3" i="5"/>
  <c r="F3" i="5"/>
  <c r="S2" i="5" a="1"/>
  <c r="S2" i="5" s="1"/>
  <c r="O3" i="5" s="1"/>
  <c r="Z3" i="5"/>
  <c r="AA3" i="5"/>
  <c r="AA3" i="3"/>
  <c r="Z3" i="3"/>
  <c r="D5" i="8"/>
  <c r="D6" i="8"/>
  <c r="M4" i="7" s="1"/>
  <c r="C4" i="7"/>
  <c r="Z53" i="5"/>
  <c r="AA69" i="5"/>
  <c r="Z23" i="5"/>
  <c r="AA32" i="5"/>
  <c r="Z32" i="5"/>
  <c r="AA67" i="5"/>
  <c r="Z24" i="5"/>
  <c r="Z55" i="5"/>
  <c r="AA43" i="5"/>
  <c r="AA9" i="5"/>
  <c r="Z60" i="5"/>
  <c r="Z15" i="5"/>
  <c r="Z10" i="5"/>
  <c r="Z36" i="5"/>
  <c r="AA46" i="5"/>
  <c r="AA17" i="5"/>
  <c r="AA42" i="5"/>
  <c r="AA20" i="5"/>
  <c r="AA22" i="5"/>
  <c r="AA18" i="5"/>
  <c r="AA66" i="5"/>
  <c r="Z54" i="5"/>
  <c r="Z65" i="5"/>
  <c r="AA60" i="5"/>
  <c r="Z20" i="5"/>
  <c r="Z71" i="5"/>
  <c r="Z13" i="5"/>
  <c r="Z61" i="5"/>
  <c r="AA37" i="5"/>
  <c r="AA71" i="5"/>
  <c r="AA54" i="5"/>
  <c r="AA16" i="5"/>
  <c r="AA55" i="5"/>
  <c r="Z33" i="5"/>
  <c r="AA40" i="5"/>
  <c r="Z43" i="5"/>
  <c r="Z67" i="5"/>
  <c r="AA38" i="5"/>
  <c r="Z22" i="5"/>
  <c r="Z49" i="5"/>
  <c r="AA57" i="5"/>
  <c r="Z46" i="5"/>
  <c r="AA27" i="5"/>
  <c r="AA51" i="5"/>
  <c r="AA59" i="5"/>
  <c r="Z4" i="5"/>
  <c r="Z19" i="5"/>
  <c r="AA19" i="5"/>
  <c r="Z40" i="5"/>
  <c r="AA31" i="5"/>
  <c r="AA14" i="5"/>
  <c r="C15" i="5"/>
  <c r="Z35" i="5"/>
  <c r="Z52" i="5"/>
  <c r="AA47" i="5"/>
  <c r="AA64" i="5"/>
  <c r="AA21" i="5"/>
  <c r="Z5" i="5"/>
  <c r="AA33" i="5"/>
  <c r="Z58" i="5"/>
  <c r="Z41" i="5"/>
  <c r="AA58" i="5"/>
  <c r="AA50" i="5"/>
  <c r="AA53" i="5"/>
  <c r="AA70" i="5"/>
  <c r="Z70" i="5"/>
  <c r="AA45" i="5"/>
  <c r="Z68" i="5"/>
  <c r="AA36" i="5"/>
  <c r="AA35" i="5"/>
  <c r="Z51" i="5"/>
  <c r="AA48" i="5"/>
  <c r="Z27" i="5"/>
  <c r="Z39" i="5"/>
  <c r="AA63" i="5"/>
  <c r="AA5" i="5"/>
  <c r="AA52" i="5"/>
  <c r="Z8" i="5"/>
  <c r="AA34" i="5"/>
  <c r="Z9" i="5"/>
  <c r="AA49" i="5"/>
  <c r="Z38" i="5"/>
  <c r="Z37" i="5"/>
  <c r="AA10" i="5"/>
  <c r="Z56" i="5"/>
  <c r="Z72" i="5"/>
  <c r="Z50" i="5"/>
  <c r="Z14" i="5"/>
  <c r="Z45" i="5"/>
  <c r="Z21" i="5"/>
  <c r="AA8" i="5"/>
  <c r="Z62" i="5"/>
  <c r="AA24" i="5"/>
  <c r="AA39" i="5"/>
  <c r="Z34" i="5"/>
  <c r="Z66" i="5"/>
  <c r="AA4" i="5"/>
  <c r="Z48" i="5"/>
  <c r="Z64" i="5"/>
  <c r="Z42" i="5"/>
  <c r="AA15" i="5"/>
  <c r="Z57" i="5"/>
  <c r="AA13" i="5"/>
  <c r="AA41" i="5"/>
  <c r="AA23" i="5"/>
  <c r="Z31" i="5"/>
  <c r="Z16" i="5"/>
  <c r="Z17" i="5"/>
  <c r="AA72" i="5"/>
  <c r="Z59" i="5"/>
  <c r="Z69" i="5"/>
  <c r="Z47" i="5"/>
  <c r="AA56" i="5"/>
  <c r="Z18" i="5"/>
  <c r="AA65" i="5"/>
  <c r="AA62" i="5"/>
  <c r="Z63" i="5"/>
  <c r="AA68" i="5"/>
  <c r="AA44" i="5"/>
  <c r="AA61" i="5"/>
  <c r="Z44" i="5"/>
  <c r="M5" i="5" l="1"/>
  <c r="M6" i="5" s="1"/>
  <c r="N6" i="5" s="1"/>
  <c r="C3" i="5"/>
  <c r="AF40" i="5"/>
  <c r="AF41" i="5"/>
  <c r="AF51" i="5"/>
  <c r="I9" i="5"/>
  <c r="L9" i="5" s="1"/>
  <c r="AF31" i="5"/>
  <c r="AF35" i="5"/>
  <c r="AF45" i="5"/>
  <c r="I7" i="5"/>
  <c r="L7" i="5" s="1"/>
  <c r="AF60" i="5"/>
  <c r="I3" i="5"/>
  <c r="I11" i="5"/>
  <c r="L11" i="5" s="1"/>
  <c r="AF46" i="5"/>
  <c r="AF50" i="5"/>
  <c r="AF67" i="5"/>
  <c r="I8" i="5"/>
  <c r="L8" i="5" s="1"/>
  <c r="AF32" i="5"/>
  <c r="AF57" i="5"/>
  <c r="AF61" i="5"/>
  <c r="I4" i="5"/>
  <c r="AF42" i="5"/>
  <c r="AF47" i="5"/>
  <c r="AF66" i="5"/>
  <c r="AF39" i="5"/>
  <c r="AF44" i="5"/>
  <c r="I16" i="5"/>
  <c r="L16" i="5" s="1"/>
  <c r="I23" i="5"/>
  <c r="L23" i="5" s="1"/>
  <c r="AF49" i="5"/>
  <c r="I5" i="5"/>
  <c r="L5" i="5" s="1"/>
  <c r="I14" i="5"/>
  <c r="L14" i="5" s="1"/>
  <c r="I18" i="5"/>
  <c r="L18" i="5" s="1"/>
  <c r="AF38" i="5"/>
  <c r="AF54" i="5"/>
  <c r="AF68" i="5"/>
  <c r="AF58" i="5"/>
  <c r="I15" i="5"/>
  <c r="L15" i="5" s="1"/>
  <c r="AF65" i="5"/>
  <c r="I12" i="5"/>
  <c r="L12" i="5" s="1"/>
  <c r="I20" i="5"/>
  <c r="L20" i="5" s="1"/>
  <c r="AF70" i="5"/>
  <c r="AF72" i="5"/>
  <c r="I17" i="5"/>
  <c r="L17" i="5" s="1"/>
  <c r="AF59" i="5"/>
  <c r="AF52" i="5"/>
  <c r="I6" i="5"/>
  <c r="L6" i="5" s="1"/>
  <c r="I10" i="5"/>
  <c r="L10" i="5" s="1"/>
  <c r="AF37" i="5"/>
  <c r="AF69" i="5"/>
  <c r="AF33" i="5"/>
  <c r="AF55" i="5"/>
  <c r="AF63" i="5"/>
  <c r="AF71" i="5"/>
  <c r="AF34" i="5"/>
  <c r="AF48" i="5"/>
  <c r="AF62" i="5"/>
  <c r="I19" i="5"/>
  <c r="L19" i="5" s="1"/>
  <c r="AF43" i="5"/>
  <c r="AF64" i="5"/>
  <c r="I13" i="5"/>
  <c r="L13" i="5" s="1"/>
  <c r="AF36" i="5"/>
  <c r="AF53" i="5"/>
  <c r="AF56" i="5"/>
  <c r="O4" i="5"/>
  <c r="M7" i="5"/>
  <c r="AQ33" i="5"/>
  <c r="AQ34" i="5" s="1"/>
  <c r="AQ35" i="5" s="1"/>
  <c r="AQ36" i="5" s="1"/>
  <c r="AQ37" i="5" s="1"/>
  <c r="AQ38" i="5" s="1"/>
  <c r="AQ39" i="5" s="1"/>
  <c r="AQ40" i="5" s="1"/>
  <c r="AQ41" i="5" s="1"/>
  <c r="AQ42" i="5" s="1"/>
  <c r="AQ43" i="5" s="1"/>
  <c r="AQ44" i="5" s="1"/>
  <c r="AQ45" i="5" s="1"/>
  <c r="AQ46" i="5" s="1"/>
  <c r="AQ47" i="5" s="1"/>
  <c r="AQ48" i="5" s="1"/>
  <c r="AQ49" i="5" s="1"/>
  <c r="AQ50" i="5" s="1"/>
  <c r="AQ51" i="5" s="1"/>
  <c r="AQ52" i="5" s="1"/>
  <c r="AQ53" i="5" s="1"/>
  <c r="AQ54" i="5" s="1"/>
  <c r="AQ55" i="5" s="1"/>
  <c r="AQ56" i="5" s="1"/>
  <c r="AQ57" i="5" s="1"/>
  <c r="AQ58" i="5" s="1"/>
  <c r="AQ59" i="5" s="1"/>
  <c r="AQ60" i="5" s="1"/>
  <c r="H4" i="7"/>
  <c r="C5" i="7"/>
  <c r="M5" i="7"/>
  <c r="H5" i="7"/>
  <c r="AI3" i="5"/>
  <c r="H6" i="7" l="1"/>
  <c r="M6" i="7"/>
  <c r="C6" i="7"/>
  <c r="I54" i="5"/>
  <c r="L54" i="5" s="1"/>
  <c r="AG59" i="5"/>
  <c r="F54" i="5" s="1"/>
  <c r="I60" i="5"/>
  <c r="L60" i="5" s="1"/>
  <c r="AG65" i="5"/>
  <c r="F60" i="5" s="1"/>
  <c r="O5" i="5"/>
  <c r="I49" i="5"/>
  <c r="L49" i="5" s="1"/>
  <c r="AG54" i="5"/>
  <c r="F49" i="5" s="1"/>
  <c r="I27" i="5"/>
  <c r="L27" i="5" s="1"/>
  <c r="AG32" i="5"/>
  <c r="F27" i="5" s="1"/>
  <c r="AG69" i="5"/>
  <c r="F64" i="5" s="1"/>
  <c r="I64" i="5"/>
  <c r="L64" i="5" s="1"/>
  <c r="AG38" i="5"/>
  <c r="F33" i="5" s="1"/>
  <c r="I33" i="5"/>
  <c r="L33" i="5" s="1"/>
  <c r="I32" i="5"/>
  <c r="L32" i="5" s="1"/>
  <c r="AG37" i="5"/>
  <c r="F32" i="5" s="1"/>
  <c r="AG67" i="5"/>
  <c r="F62" i="5" s="1"/>
  <c r="I62" i="5"/>
  <c r="L62" i="5" s="1"/>
  <c r="I51" i="5"/>
  <c r="L51" i="5" s="1"/>
  <c r="AG56" i="5"/>
  <c r="F51" i="5" s="1"/>
  <c r="AG50" i="5"/>
  <c r="F45" i="5" s="1"/>
  <c r="I45" i="5"/>
  <c r="L45" i="5" s="1"/>
  <c r="AG53" i="5"/>
  <c r="F48" i="5" s="1"/>
  <c r="I48" i="5"/>
  <c r="L48" i="5" s="1"/>
  <c r="AG46" i="5"/>
  <c r="F41" i="5" s="1"/>
  <c r="I41" i="5"/>
  <c r="L41" i="5" s="1"/>
  <c r="I31" i="5"/>
  <c r="L31" i="5" s="1"/>
  <c r="AG36" i="5"/>
  <c r="F31" i="5" s="1"/>
  <c r="AG52" i="5"/>
  <c r="F47" i="5" s="1"/>
  <c r="I47" i="5"/>
  <c r="L47" i="5" s="1"/>
  <c r="I44" i="5"/>
  <c r="L44" i="5" s="1"/>
  <c r="AG49" i="5"/>
  <c r="F44" i="5" s="1"/>
  <c r="AG64" i="5"/>
  <c r="F59" i="5" s="1"/>
  <c r="I59" i="5"/>
  <c r="L59" i="5" s="1"/>
  <c r="I67" i="5"/>
  <c r="L67" i="5" s="1"/>
  <c r="AG72" i="5"/>
  <c r="AG45" i="5"/>
  <c r="F40" i="5" s="1"/>
  <c r="I40" i="5"/>
  <c r="L40" i="5" s="1"/>
  <c r="I42" i="5"/>
  <c r="L42" i="5" s="1"/>
  <c r="AG47" i="5"/>
  <c r="F42" i="5" s="1"/>
  <c r="AG31" i="5"/>
  <c r="F26" i="5" s="1"/>
  <c r="I26" i="5"/>
  <c r="L26" i="5" s="1"/>
  <c r="I58" i="5"/>
  <c r="L58" i="5" s="1"/>
  <c r="AG63" i="5"/>
  <c r="F58" i="5" s="1"/>
  <c r="AG58" i="5"/>
  <c r="F53" i="5" s="1"/>
  <c r="I53" i="5"/>
  <c r="L53" i="5" s="1"/>
  <c r="I56" i="5"/>
  <c r="L56" i="5" s="1"/>
  <c r="AG61" i="5"/>
  <c r="F56" i="5" s="1"/>
  <c r="AG51" i="5"/>
  <c r="F46" i="5" s="1"/>
  <c r="I46" i="5"/>
  <c r="L46" i="5" s="1"/>
  <c r="I38" i="5"/>
  <c r="L38" i="5" s="1"/>
  <c r="AG43" i="5"/>
  <c r="F38" i="5" s="1"/>
  <c r="I39" i="5"/>
  <c r="L39" i="5" s="1"/>
  <c r="AG44" i="5"/>
  <c r="F39" i="5" s="1"/>
  <c r="AG60" i="5"/>
  <c r="F55" i="5" s="1"/>
  <c r="I55" i="5"/>
  <c r="L55" i="5" s="1"/>
  <c r="AG70" i="5"/>
  <c r="F65" i="5" s="1"/>
  <c r="I65" i="5"/>
  <c r="L65" i="5" s="1"/>
  <c r="AG39" i="5"/>
  <c r="F34" i="5" s="1"/>
  <c r="I34" i="5"/>
  <c r="L34" i="5" s="1"/>
  <c r="AG34" i="5"/>
  <c r="F29" i="5" s="1"/>
  <c r="I29" i="5"/>
  <c r="L29" i="5" s="1"/>
  <c r="AG42" i="5"/>
  <c r="F37" i="5" s="1"/>
  <c r="I37" i="5"/>
  <c r="L37" i="5" s="1"/>
  <c r="AG71" i="5"/>
  <c r="F66" i="5" s="1"/>
  <c r="I66" i="5"/>
  <c r="L66" i="5" s="1"/>
  <c r="N7" i="5"/>
  <c r="M8" i="5"/>
  <c r="AG55" i="5"/>
  <c r="F50" i="5" s="1"/>
  <c r="I50" i="5"/>
  <c r="L50" i="5" s="1"/>
  <c r="AG68" i="5"/>
  <c r="F63" i="5" s="1"/>
  <c r="I63" i="5"/>
  <c r="L63" i="5" s="1"/>
  <c r="AG57" i="5"/>
  <c r="F52" i="5" s="1"/>
  <c r="I52" i="5"/>
  <c r="L52" i="5" s="1"/>
  <c r="AG41" i="5"/>
  <c r="F36" i="5" s="1"/>
  <c r="I36" i="5"/>
  <c r="L36" i="5" s="1"/>
  <c r="I57" i="5"/>
  <c r="L57" i="5" s="1"/>
  <c r="AG62" i="5"/>
  <c r="F57" i="5" s="1"/>
  <c r="I61" i="5"/>
  <c r="L61" i="5" s="1"/>
  <c r="AG66" i="5"/>
  <c r="F61" i="5" s="1"/>
  <c r="I43" i="5"/>
  <c r="L43" i="5" s="1"/>
  <c r="AG48" i="5"/>
  <c r="F43" i="5" s="1"/>
  <c r="AG35" i="5"/>
  <c r="F30" i="5" s="1"/>
  <c r="I30" i="5"/>
  <c r="L30" i="5" s="1"/>
  <c r="AQ29" i="5"/>
  <c r="AG33" i="5"/>
  <c r="F28" i="5" s="1"/>
  <c r="I28" i="5"/>
  <c r="L28" i="5" s="1"/>
  <c r="I35" i="5"/>
  <c r="L35" i="5" s="1"/>
  <c r="AG40" i="5"/>
  <c r="F35" i="5" s="1"/>
  <c r="N3" i="7" a="1"/>
  <c r="AI4" i="5"/>
  <c r="D3" i="7" a="1"/>
  <c r="I3" i="7" a="1"/>
  <c r="I4" i="7" l="1"/>
  <c r="I57" i="7"/>
  <c r="I15" i="7"/>
  <c r="I16" i="7"/>
  <c r="I55" i="7"/>
  <c r="I83" i="7"/>
  <c r="I90" i="7"/>
  <c r="I29" i="7"/>
  <c r="I54" i="7"/>
  <c r="I64" i="7"/>
  <c r="I65" i="7"/>
  <c r="I13" i="7"/>
  <c r="I73" i="7"/>
  <c r="I31" i="7"/>
  <c r="I28" i="7"/>
  <c r="I71" i="7"/>
  <c r="I91" i="7"/>
  <c r="I17" i="7"/>
  <c r="I40" i="7"/>
  <c r="I62" i="7"/>
  <c r="I72" i="7"/>
  <c r="I32" i="7"/>
  <c r="I7" i="7"/>
  <c r="I6" i="7"/>
  <c r="I89" i="7"/>
  <c r="I47" i="7"/>
  <c r="I44" i="7"/>
  <c r="I87" i="7"/>
  <c r="I35" i="7"/>
  <c r="I43" i="7"/>
  <c r="I49" i="7"/>
  <c r="I19" i="7"/>
  <c r="I80" i="7"/>
  <c r="I74" i="7"/>
  <c r="I10" i="7"/>
  <c r="I9" i="7"/>
  <c r="I20" i="7"/>
  <c r="I63" i="7"/>
  <c r="I60" i="7"/>
  <c r="I33" i="7"/>
  <c r="I86" i="7"/>
  <c r="I51" i="7"/>
  <c r="I82" i="7"/>
  <c r="I37" i="7"/>
  <c r="I22" i="7"/>
  <c r="I24" i="7"/>
  <c r="I14" i="7"/>
  <c r="I8" i="7"/>
  <c r="I36" i="7"/>
  <c r="I79" i="7"/>
  <c r="I76" i="7"/>
  <c r="I59" i="7"/>
  <c r="I21" i="7"/>
  <c r="I18" i="7"/>
  <c r="I53" i="7"/>
  <c r="I45" i="7"/>
  <c r="I30" i="7"/>
  <c r="I41" i="7"/>
  <c r="I23" i="7"/>
  <c r="I69" i="7"/>
  <c r="I46" i="7"/>
  <c r="I52" i="7"/>
  <c r="I39" i="7"/>
  <c r="I27" i="7"/>
  <c r="I48" i="7"/>
  <c r="I68" i="7"/>
  <c r="I67" i="7"/>
  <c r="I78" i="7"/>
  <c r="I56" i="7"/>
  <c r="I3" i="7"/>
  <c r="I84" i="7"/>
  <c r="I75" i="7"/>
  <c r="I61" i="7"/>
  <c r="I88" i="7"/>
  <c r="I12" i="7"/>
  <c r="I26" i="7"/>
  <c r="I34" i="7"/>
  <c r="I77" i="7"/>
  <c r="I5" i="7"/>
  <c r="I42" i="7"/>
  <c r="I81" i="7"/>
  <c r="I85" i="7"/>
  <c r="I66" i="7"/>
  <c r="I38" i="7"/>
  <c r="I25" i="7"/>
  <c r="I50" i="7"/>
  <c r="I70" i="7"/>
  <c r="I11" i="7"/>
  <c r="I58" i="7"/>
  <c r="I92" i="7"/>
  <c r="D4" i="7"/>
  <c r="D20" i="7"/>
  <c r="D63" i="7"/>
  <c r="D37" i="7"/>
  <c r="D34" i="7"/>
  <c r="D25" i="7"/>
  <c r="D67" i="7"/>
  <c r="D76" i="7"/>
  <c r="D70" i="7"/>
  <c r="D22" i="7"/>
  <c r="D73" i="7"/>
  <c r="D6" i="7"/>
  <c r="D36" i="7"/>
  <c r="D79" i="7"/>
  <c r="D53" i="7"/>
  <c r="D50" i="7"/>
  <c r="D43" i="7"/>
  <c r="D75" i="7"/>
  <c r="D85" i="7"/>
  <c r="D28" i="7"/>
  <c r="D30" i="7"/>
  <c r="D81" i="7"/>
  <c r="D14" i="7"/>
  <c r="D52" i="7"/>
  <c r="D26" i="7"/>
  <c r="D23" i="7"/>
  <c r="D66" i="7"/>
  <c r="D51" i="7"/>
  <c r="D61" i="7"/>
  <c r="D46" i="7"/>
  <c r="D54" i="7"/>
  <c r="D48" i="7"/>
  <c r="D49" i="7"/>
  <c r="D3" i="7"/>
  <c r="D68" i="7"/>
  <c r="D42" i="7"/>
  <c r="D39" i="7"/>
  <c r="D82" i="7"/>
  <c r="D27" i="7"/>
  <c r="D29" i="7"/>
  <c r="D64" i="7"/>
  <c r="D62" i="7"/>
  <c r="D56" i="7"/>
  <c r="D57" i="7"/>
  <c r="D10" i="7"/>
  <c r="D13" i="7"/>
  <c r="D84" i="7"/>
  <c r="D58" i="7"/>
  <c r="D55" i="7"/>
  <c r="D16" i="7"/>
  <c r="D5" i="7"/>
  <c r="D71" i="7"/>
  <c r="D92" i="7"/>
  <c r="D19" i="7"/>
  <c r="D32" i="7"/>
  <c r="D7" i="7"/>
  <c r="D87" i="7"/>
  <c r="D59" i="7"/>
  <c r="D45" i="7"/>
  <c r="D40" i="7"/>
  <c r="D15" i="7"/>
  <c r="D18" i="7"/>
  <c r="D38" i="7"/>
  <c r="D78" i="7"/>
  <c r="D89" i="7"/>
  <c r="D31" i="7"/>
  <c r="D83" i="7"/>
  <c r="D41" i="7"/>
  <c r="D86" i="7"/>
  <c r="D24" i="7"/>
  <c r="D11" i="7"/>
  <c r="D47" i="7"/>
  <c r="D91" i="7"/>
  <c r="D60" i="7"/>
  <c r="D72" i="7"/>
  <c r="D9" i="7"/>
  <c r="D74" i="7"/>
  <c r="D17" i="7"/>
  <c r="D77" i="7"/>
  <c r="D33" i="7"/>
  <c r="D12" i="7"/>
  <c r="D44" i="7"/>
  <c r="D80" i="7"/>
  <c r="D90" i="7"/>
  <c r="D21" i="7"/>
  <c r="D65" i="7"/>
  <c r="D69" i="7"/>
  <c r="D8" i="7"/>
  <c r="D88" i="7"/>
  <c r="D35" i="7"/>
  <c r="N9" i="7"/>
  <c r="N10" i="7"/>
  <c r="N57" i="7"/>
  <c r="N15" i="7"/>
  <c r="N65" i="7"/>
  <c r="N42" i="7"/>
  <c r="N71" i="7"/>
  <c r="N83" i="7"/>
  <c r="N58" i="7"/>
  <c r="N70" i="7"/>
  <c r="N39" i="7"/>
  <c r="N8" i="7"/>
  <c r="N14" i="7"/>
  <c r="N73" i="7"/>
  <c r="N31" i="7"/>
  <c r="N81" i="7"/>
  <c r="N50" i="7"/>
  <c r="N86" i="7"/>
  <c r="N4" i="7"/>
  <c r="N30" i="7"/>
  <c r="N89" i="7"/>
  <c r="N47" i="7"/>
  <c r="N28" i="7"/>
  <c r="N59" i="7"/>
  <c r="N32" i="7"/>
  <c r="N43" i="7"/>
  <c r="N35" i="7"/>
  <c r="N21" i="7"/>
  <c r="N80" i="7"/>
  <c r="N13" i="7"/>
  <c r="N46" i="7"/>
  <c r="N20" i="7"/>
  <c r="N63" i="7"/>
  <c r="N44" i="7"/>
  <c r="N67" i="7"/>
  <c r="N82" i="7"/>
  <c r="N45" i="7"/>
  <c r="N53" i="7"/>
  <c r="N29" i="7"/>
  <c r="N22" i="7"/>
  <c r="N3" i="7"/>
  <c r="N68" i="7"/>
  <c r="N92" i="7"/>
  <c r="N26" i="7"/>
  <c r="N61" i="7"/>
  <c r="N64" i="7"/>
  <c r="N5" i="7"/>
  <c r="N84" i="7"/>
  <c r="N24" i="7"/>
  <c r="N34" i="7"/>
  <c r="N77" i="7"/>
  <c r="N72" i="7"/>
  <c r="N62" i="7"/>
  <c r="N16" i="7"/>
  <c r="N75" i="7"/>
  <c r="N91" i="7"/>
  <c r="N85" i="7"/>
  <c r="N48" i="7"/>
  <c r="N78" i="7"/>
  <c r="N17" i="7"/>
  <c r="N51" i="7"/>
  <c r="N79" i="7"/>
  <c r="N74" i="7"/>
  <c r="N56" i="7"/>
  <c r="N7" i="7"/>
  <c r="N25" i="7"/>
  <c r="N33" i="7"/>
  <c r="N37" i="7"/>
  <c r="N19" i="7"/>
  <c r="N66" i="7"/>
  <c r="N88" i="7"/>
  <c r="N11" i="7"/>
  <c r="N54" i="7"/>
  <c r="N38" i="7"/>
  <c r="N6" i="7"/>
  <c r="N23" i="7"/>
  <c r="N41" i="7"/>
  <c r="N90" i="7"/>
  <c r="N36" i="7"/>
  <c r="N69" i="7"/>
  <c r="N49" i="7"/>
  <c r="N55" i="7"/>
  <c r="N12" i="7"/>
  <c r="N87" i="7"/>
  <c r="N40" i="7"/>
  <c r="N18" i="7"/>
  <c r="N52" i="7"/>
  <c r="N27" i="7"/>
  <c r="N60" i="7"/>
  <c r="N76" i="7"/>
  <c r="F67" i="5"/>
  <c r="E67" i="5" s="1"/>
  <c r="N67" i="5" s="1"/>
  <c r="C13" i="7"/>
  <c r="AI54" i="5"/>
  <c r="E49" i="5"/>
  <c r="N49" i="5" s="1"/>
  <c r="AH54" i="5"/>
  <c r="AK54" i="5" s="1"/>
  <c r="O6" i="5"/>
  <c r="E29" i="5"/>
  <c r="N29" i="5" s="1"/>
  <c r="AI34" i="5"/>
  <c r="AH34" i="5"/>
  <c r="AK34" i="5" s="1"/>
  <c r="AI58" i="5"/>
  <c r="AH58" i="5"/>
  <c r="AK58" i="5" s="1"/>
  <c r="E53" i="5"/>
  <c r="N53" i="5" s="1"/>
  <c r="E47" i="5"/>
  <c r="N47" i="5" s="1"/>
  <c r="AI52" i="5"/>
  <c r="AH52" i="5"/>
  <c r="AK52" i="5" s="1"/>
  <c r="E33" i="5"/>
  <c r="N33" i="5" s="1"/>
  <c r="AH38" i="5"/>
  <c r="AK38" i="5" s="1"/>
  <c r="AI38" i="5"/>
  <c r="AI63" i="5"/>
  <c r="AH63" i="5"/>
  <c r="AK63" i="5" s="1"/>
  <c r="E58" i="5"/>
  <c r="N58" i="5" s="1"/>
  <c r="AI36" i="5"/>
  <c r="AH36" i="5"/>
  <c r="AK36" i="5" s="1"/>
  <c r="E31" i="5"/>
  <c r="N31" i="5" s="1"/>
  <c r="AI41" i="5"/>
  <c r="E36" i="5"/>
  <c r="N36" i="5" s="1"/>
  <c r="AH41" i="5"/>
  <c r="AK41" i="5" s="1"/>
  <c r="AI39" i="5"/>
  <c r="AH39" i="5"/>
  <c r="AK39" i="5" s="1"/>
  <c r="E34" i="5"/>
  <c r="N34" i="5" s="1"/>
  <c r="AI69" i="5"/>
  <c r="AH69" i="5"/>
  <c r="AK69" i="5" s="1"/>
  <c r="E64" i="5"/>
  <c r="N64" i="5" s="1"/>
  <c r="AH32" i="5"/>
  <c r="AK32" i="5" s="1"/>
  <c r="E27" i="5"/>
  <c r="N27" i="5" s="1"/>
  <c r="AI32" i="5"/>
  <c r="E35" i="5"/>
  <c r="N35" i="5" s="1"/>
  <c r="AI40" i="5"/>
  <c r="AH40" i="5"/>
  <c r="AK40" i="5" s="1"/>
  <c r="AI57" i="5"/>
  <c r="AH57" i="5"/>
  <c r="AK57" i="5" s="1"/>
  <c r="E52" i="5"/>
  <c r="N52" i="5" s="1"/>
  <c r="E65" i="5"/>
  <c r="N65" i="5" s="1"/>
  <c r="AI70" i="5"/>
  <c r="AH70" i="5"/>
  <c r="AK70" i="5" s="1"/>
  <c r="AG29" i="5"/>
  <c r="AH30" i="5" s="1"/>
  <c r="AI31" i="5"/>
  <c r="E26" i="5"/>
  <c r="AH31" i="5"/>
  <c r="AK31" i="5" s="1"/>
  <c r="AI46" i="5"/>
  <c r="AH46" i="5"/>
  <c r="AK46" i="5" s="1"/>
  <c r="E41" i="5"/>
  <c r="N41" i="5" s="1"/>
  <c r="AI47" i="5"/>
  <c r="AH47" i="5"/>
  <c r="AK47" i="5" s="1"/>
  <c r="E42" i="5"/>
  <c r="N42" i="5" s="1"/>
  <c r="AI43" i="5"/>
  <c r="E38" i="5"/>
  <c r="N38" i="5" s="1"/>
  <c r="AH43" i="5"/>
  <c r="AK43" i="5" s="1"/>
  <c r="AI35" i="5"/>
  <c r="AH35" i="5"/>
  <c r="AK35" i="5" s="1"/>
  <c r="E30" i="5"/>
  <c r="N30" i="5" s="1"/>
  <c r="AI65" i="5"/>
  <c r="E60" i="5"/>
  <c r="N60" i="5" s="1"/>
  <c r="AH65" i="5"/>
  <c r="AK65" i="5" s="1"/>
  <c r="AI71" i="5"/>
  <c r="AH71" i="5"/>
  <c r="AK71" i="5" s="1"/>
  <c r="E66" i="5"/>
  <c r="N66" i="5" s="1"/>
  <c r="AH51" i="5"/>
  <c r="AK51" i="5" s="1"/>
  <c r="AI51" i="5"/>
  <c r="E46" i="5"/>
  <c r="N46" i="5" s="1"/>
  <c r="AI64" i="5"/>
  <c r="AH64" i="5"/>
  <c r="AK64" i="5" s="1"/>
  <c r="E59" i="5"/>
  <c r="N59" i="5" s="1"/>
  <c r="E62" i="5"/>
  <c r="N62" i="5" s="1"/>
  <c r="AH67" i="5"/>
  <c r="AK67" i="5" s="1"/>
  <c r="AI67" i="5"/>
  <c r="AH59" i="5"/>
  <c r="AK59" i="5" s="1"/>
  <c r="E54" i="5"/>
  <c r="N54" i="5" s="1"/>
  <c r="AI59" i="5"/>
  <c r="E61" i="5"/>
  <c r="N61" i="5" s="1"/>
  <c r="AI66" i="5"/>
  <c r="AH66" i="5"/>
  <c r="AK66" i="5" s="1"/>
  <c r="AI61" i="5"/>
  <c r="AH61" i="5"/>
  <c r="AK61" i="5" s="1"/>
  <c r="E56" i="5"/>
  <c r="N56" i="5" s="1"/>
  <c r="E44" i="5"/>
  <c r="N44" i="5" s="1"/>
  <c r="AH49" i="5"/>
  <c r="AK49" i="5" s="1"/>
  <c r="AI49" i="5"/>
  <c r="AI37" i="5"/>
  <c r="AH37" i="5"/>
  <c r="AK37" i="5" s="1"/>
  <c r="E32" i="5"/>
  <c r="N32" i="5" s="1"/>
  <c r="AI68" i="5"/>
  <c r="AH68" i="5"/>
  <c r="AK68" i="5" s="1"/>
  <c r="E63" i="5"/>
  <c r="N63" i="5" s="1"/>
  <c r="AH60" i="5"/>
  <c r="AK60" i="5" s="1"/>
  <c r="E55" i="5"/>
  <c r="N55" i="5" s="1"/>
  <c r="AI60" i="5"/>
  <c r="AI53" i="5"/>
  <c r="E48" i="5"/>
  <c r="N48" i="5" s="1"/>
  <c r="AH53" i="5"/>
  <c r="AK53" i="5" s="1"/>
  <c r="AI33" i="5"/>
  <c r="AH33" i="5"/>
  <c r="AK33" i="5" s="1"/>
  <c r="E28" i="5"/>
  <c r="N28" i="5" s="1"/>
  <c r="E39" i="5"/>
  <c r="N39" i="5" s="1"/>
  <c r="AI44" i="5"/>
  <c r="AH44" i="5"/>
  <c r="AK44" i="5" s="1"/>
  <c r="E45" i="5"/>
  <c r="N45" i="5" s="1"/>
  <c r="AI50" i="5"/>
  <c r="AH50" i="5"/>
  <c r="AK50" i="5" s="1"/>
  <c r="M9" i="5"/>
  <c r="N8" i="5"/>
  <c r="AH48" i="5"/>
  <c r="AK48" i="5" s="1"/>
  <c r="E43" i="5"/>
  <c r="N43" i="5" s="1"/>
  <c r="AI48" i="5"/>
  <c r="E50" i="5"/>
  <c r="N50" i="5" s="1"/>
  <c r="AI55" i="5"/>
  <c r="AH55" i="5"/>
  <c r="AK55" i="5" s="1"/>
  <c r="AH45" i="5"/>
  <c r="AK45" i="5" s="1"/>
  <c r="AI45" i="5"/>
  <c r="E40" i="5"/>
  <c r="N40" i="5" s="1"/>
  <c r="AI56" i="5"/>
  <c r="E51" i="5"/>
  <c r="N51" i="5" s="1"/>
  <c r="AH56" i="5"/>
  <c r="AK56" i="5" s="1"/>
  <c r="E37" i="5"/>
  <c r="N37" i="5" s="1"/>
  <c r="AH42" i="5"/>
  <c r="AK42" i="5" s="1"/>
  <c r="AI42" i="5"/>
  <c r="AH62" i="5"/>
  <c r="AK62" i="5" s="1"/>
  <c r="E57" i="5"/>
  <c r="N57" i="5" s="1"/>
  <c r="AI62" i="5"/>
  <c r="AI5" i="5"/>
  <c r="M13" i="7" l="1"/>
  <c r="H13" i="7"/>
  <c r="AI72" i="5"/>
  <c r="AH72" i="5"/>
  <c r="AK72" i="5" s="1"/>
  <c r="AL30" i="5" s="1"/>
  <c r="O7" i="5"/>
  <c r="S25" i="5" a="1"/>
  <c r="S25" i="5" s="1"/>
  <c r="O26" i="5" s="1"/>
  <c r="N26" i="5"/>
  <c r="M10" i="5"/>
  <c r="N9" i="5"/>
  <c r="AI10" i="5"/>
  <c r="AL31" i="5" l="1"/>
  <c r="P26" i="5"/>
  <c r="O27" i="5"/>
  <c r="O8" i="5"/>
  <c r="M11" i="5"/>
  <c r="N10" i="5"/>
  <c r="S26" i="5" l="1"/>
  <c r="R26" i="5"/>
  <c r="AM31" i="5"/>
  <c r="AL32" i="5"/>
  <c r="M12" i="5"/>
  <c r="N11" i="5"/>
  <c r="O9" i="5"/>
  <c r="O28" i="5"/>
  <c r="P27" i="5"/>
  <c r="O10" i="5" l="1"/>
  <c r="M13" i="5"/>
  <c r="N12" i="5"/>
  <c r="AN31" i="5"/>
  <c r="AO31" i="5" s="1" a="1"/>
  <c r="O29" i="5"/>
  <c r="P28" i="5"/>
  <c r="R27" i="5"/>
  <c r="S27" i="5"/>
  <c r="AM32" i="5"/>
  <c r="AL33" i="5"/>
  <c r="AP31" i="5" l="1"/>
  <c r="AO31" i="5"/>
  <c r="AM33" i="5"/>
  <c r="AL34" i="5"/>
  <c r="O30" i="5"/>
  <c r="P29" i="5"/>
  <c r="AN32" i="5"/>
  <c r="AO32" i="5" s="1" a="1"/>
  <c r="S28" i="5"/>
  <c r="R28" i="5"/>
  <c r="N13" i="5"/>
  <c r="M14" i="5"/>
  <c r="O11" i="5"/>
  <c r="AP32" i="5" l="1"/>
  <c r="AO32" i="5"/>
  <c r="R29" i="5"/>
  <c r="S29" i="5"/>
  <c r="M15" i="5"/>
  <c r="M16" i="5" s="1"/>
  <c r="M17" i="5" s="1"/>
  <c r="N14" i="5"/>
  <c r="AL35" i="5"/>
  <c r="AM34" i="5"/>
  <c r="AN33" i="5"/>
  <c r="AO33" i="5" s="1" a="1"/>
  <c r="O12" i="5"/>
  <c r="P30" i="5"/>
  <c r="O31" i="5"/>
  <c r="AP33" i="5" l="1"/>
  <c r="AO33" i="5"/>
  <c r="AN34" i="5"/>
  <c r="AO34" i="5" s="1" a="1"/>
  <c r="N17" i="5"/>
  <c r="P10" i="5" s="1"/>
  <c r="M18" i="5"/>
  <c r="M19" i="5" s="1"/>
  <c r="M20" i="5" s="1"/>
  <c r="S30" i="5"/>
  <c r="R30" i="5"/>
  <c r="O13" i="5"/>
  <c r="AM35" i="5"/>
  <c r="AL36" i="5"/>
  <c r="O32" i="5"/>
  <c r="P31" i="5"/>
  <c r="P12" i="5" l="1"/>
  <c r="Q12" i="5" s="1"/>
  <c r="P8" i="5"/>
  <c r="Q8" i="5" s="1"/>
  <c r="P9" i="5"/>
  <c r="S9" i="5" s="1"/>
  <c r="R10" i="5"/>
  <c r="S10" i="5"/>
  <c r="Q10" i="5"/>
  <c r="AP34" i="5"/>
  <c r="AO34" i="5"/>
  <c r="AL37" i="5"/>
  <c r="AM36" i="5"/>
  <c r="O14" i="5"/>
  <c r="P13" i="5"/>
  <c r="Q13" i="5" s="1"/>
  <c r="S31" i="5"/>
  <c r="R31" i="5"/>
  <c r="AN35" i="5"/>
  <c r="AO35" i="5" s="1" a="1"/>
  <c r="R9" i="5"/>
  <c r="P3" i="5"/>
  <c r="P4" i="5"/>
  <c r="P5" i="5"/>
  <c r="P11" i="5"/>
  <c r="P6" i="5"/>
  <c r="P7" i="5"/>
  <c r="P32" i="5"/>
  <c r="O33" i="5"/>
  <c r="Q9" i="5" l="1"/>
  <c r="R8" i="5"/>
  <c r="S12" i="5"/>
  <c r="S8" i="5"/>
  <c r="R12" i="5"/>
  <c r="AP35" i="5"/>
  <c r="AO35" i="5"/>
  <c r="O34" i="5"/>
  <c r="P33" i="5"/>
  <c r="S6" i="5"/>
  <c r="R6" i="5"/>
  <c r="Q6" i="5"/>
  <c r="S13" i="5"/>
  <c r="R13" i="5"/>
  <c r="AL38" i="5"/>
  <c r="AM37" i="5"/>
  <c r="S7" i="5"/>
  <c r="R7" i="5"/>
  <c r="Q7" i="5"/>
  <c r="S11" i="5"/>
  <c r="R11" i="5"/>
  <c r="Q11" i="5"/>
  <c r="R4" i="5"/>
  <c r="Q4" i="5"/>
  <c r="P14" i="5"/>
  <c r="O15" i="5"/>
  <c r="S32" i="5"/>
  <c r="R32" i="5"/>
  <c r="R5" i="5"/>
  <c r="S5" i="5"/>
  <c r="Q5" i="5"/>
  <c r="R3" i="5"/>
  <c r="Q3" i="5"/>
  <c r="AN36" i="5"/>
  <c r="AO36" i="5" s="1" a="1"/>
  <c r="AP36" i="5" l="1"/>
  <c r="AO36" i="5"/>
  <c r="S14" i="5"/>
  <c r="R14" i="5"/>
  <c r="P34" i="5"/>
  <c r="O35" i="5"/>
  <c r="AN37" i="5"/>
  <c r="AO37" i="5" s="1" a="1"/>
  <c r="Q14" i="5"/>
  <c r="AM38" i="5"/>
  <c r="AL39" i="5"/>
  <c r="O16" i="5"/>
  <c r="P15" i="5"/>
  <c r="Q15" i="5"/>
  <c r="S33" i="5"/>
  <c r="R33" i="5"/>
  <c r="AO37" i="5" l="1"/>
  <c r="AP37" i="5"/>
  <c r="R34" i="5"/>
  <c r="S34" i="5"/>
  <c r="S15" i="5"/>
  <c r="R15" i="5"/>
  <c r="AL40" i="5"/>
  <c r="AM39" i="5"/>
  <c r="Q16" i="5"/>
  <c r="P16" i="5"/>
  <c r="O17" i="5"/>
  <c r="AN38" i="5"/>
  <c r="AO38" i="5" s="1" a="1"/>
  <c r="O36" i="5"/>
  <c r="P35" i="5"/>
  <c r="AP38" i="5" l="1"/>
  <c r="AO38" i="5"/>
  <c r="O37" i="5"/>
  <c r="P36" i="5"/>
  <c r="R35" i="5"/>
  <c r="S35" i="5"/>
  <c r="Q17" i="5"/>
  <c r="O18" i="5"/>
  <c r="P17" i="5"/>
  <c r="AN39" i="5"/>
  <c r="AO39" i="5" s="1" a="1"/>
  <c r="AL41" i="5"/>
  <c r="AM40" i="5"/>
  <c r="S16" i="5"/>
  <c r="R16" i="5"/>
  <c r="AP39" i="5" l="1"/>
  <c r="AO39" i="5"/>
  <c r="AN40" i="5"/>
  <c r="AO40" i="5" s="1" a="1"/>
  <c r="O19" i="5"/>
  <c r="Q18" i="5"/>
  <c r="P18" i="5"/>
  <c r="S36" i="5"/>
  <c r="R36" i="5"/>
  <c r="AL42" i="5"/>
  <c r="AM41" i="5"/>
  <c r="S17" i="5"/>
  <c r="R17" i="5"/>
  <c r="O38" i="5"/>
  <c r="P37" i="5"/>
  <c r="AO40" i="5" l="1"/>
  <c r="AP40" i="5"/>
  <c r="S37" i="5"/>
  <c r="R37" i="5"/>
  <c r="AN41" i="5"/>
  <c r="AO41" i="5" a="1"/>
  <c r="P19" i="5"/>
  <c r="Q19" i="5"/>
  <c r="O20" i="5"/>
  <c r="P38" i="5"/>
  <c r="O39" i="5"/>
  <c r="AM42" i="5"/>
  <c r="AL43" i="5"/>
  <c r="S18" i="5"/>
  <c r="R18" i="5"/>
  <c r="AR31" i="5" a="1"/>
  <c r="AR59" i="5" l="1"/>
  <c r="AR43" i="5"/>
  <c r="AR58" i="5"/>
  <c r="AR42" i="5"/>
  <c r="AR57" i="5"/>
  <c r="AR41" i="5"/>
  <c r="AR48" i="5"/>
  <c r="AR32" i="5"/>
  <c r="AR47" i="5"/>
  <c r="AR46" i="5"/>
  <c r="AR45" i="5"/>
  <c r="AR53" i="5"/>
  <c r="AR33" i="5"/>
  <c r="AR52" i="5"/>
  <c r="AR31" i="5"/>
  <c r="AR36" i="5"/>
  <c r="AR35" i="5"/>
  <c r="AR60" i="5"/>
  <c r="AR34" i="5"/>
  <c r="AR44" i="5"/>
  <c r="AR40" i="5"/>
  <c r="AR39" i="5"/>
  <c r="AR38" i="5"/>
  <c r="AR56" i="5"/>
  <c r="AR51" i="5"/>
  <c r="AR55" i="5"/>
  <c r="AR54" i="5"/>
  <c r="AR50" i="5"/>
  <c r="AR37" i="5"/>
  <c r="AR49" i="5"/>
  <c r="AN42" i="5"/>
  <c r="AO42" i="5" a="1"/>
  <c r="Q20" i="5"/>
  <c r="P20" i="5"/>
  <c r="R19" i="5"/>
  <c r="S19" i="5"/>
  <c r="AL44" i="5"/>
  <c r="AM43" i="5"/>
  <c r="R38" i="5"/>
  <c r="S38" i="5"/>
  <c r="O40" i="5"/>
  <c r="P39" i="5"/>
  <c r="AP41" i="5"/>
  <c r="AO41" i="5"/>
  <c r="S39" i="5" l="1"/>
  <c r="R39" i="5"/>
  <c r="AP42" i="5"/>
  <c r="AO42" i="5"/>
  <c r="AL45" i="5"/>
  <c r="AM44" i="5"/>
  <c r="S20" i="5"/>
  <c r="R20" i="5"/>
  <c r="P40" i="5"/>
  <c r="O41" i="5"/>
  <c r="AN43" i="5"/>
  <c r="AO43" i="5" a="1"/>
  <c r="AL46" i="5" l="1"/>
  <c r="AM45" i="5"/>
  <c r="AP43" i="5"/>
  <c r="AO43" i="5"/>
  <c r="S40" i="5"/>
  <c r="R40" i="5"/>
  <c r="P41" i="5"/>
  <c r="O42" i="5"/>
  <c r="AO44" i="5" a="1"/>
  <c r="AN44" i="5"/>
  <c r="S41" i="5" l="1"/>
  <c r="R41" i="5"/>
  <c r="O43" i="5"/>
  <c r="P42" i="5"/>
  <c r="AO45" i="5" a="1"/>
  <c r="AN45" i="5"/>
  <c r="AP44" i="5"/>
  <c r="AO44" i="5"/>
  <c r="AM46" i="5"/>
  <c r="AL47" i="5"/>
  <c r="AN46" i="5" l="1"/>
  <c r="AO46" i="5" a="1"/>
  <c r="O44" i="5"/>
  <c r="P43" i="5"/>
  <c r="AP45" i="5"/>
  <c r="AO45" i="5"/>
  <c r="AL48" i="5"/>
  <c r="AM47" i="5"/>
  <c r="S42" i="5"/>
  <c r="R42" i="5"/>
  <c r="AL49" i="5" l="1"/>
  <c r="AM48" i="5"/>
  <c r="O45" i="5"/>
  <c r="P44" i="5"/>
  <c r="AO47" i="5" a="1"/>
  <c r="AN47" i="5"/>
  <c r="AO46" i="5"/>
  <c r="AP46" i="5"/>
  <c r="S43" i="5"/>
  <c r="R43" i="5"/>
  <c r="P45" i="5" l="1"/>
  <c r="O46" i="5"/>
  <c r="AO47" i="5"/>
  <c r="AP47" i="5"/>
  <c r="AO48" i="5" a="1"/>
  <c r="AN48" i="5"/>
  <c r="R44" i="5"/>
  <c r="S44" i="5"/>
  <c r="AL50" i="5"/>
  <c r="AM49" i="5"/>
  <c r="AO48" i="5" l="1"/>
  <c r="AP48" i="5"/>
  <c r="AL51" i="5"/>
  <c r="AM50" i="5"/>
  <c r="O47" i="5"/>
  <c r="P46" i="5"/>
  <c r="AN49" i="5"/>
  <c r="AO49" i="5" a="1"/>
  <c r="R45" i="5"/>
  <c r="S45" i="5"/>
  <c r="AP49" i="5" l="1"/>
  <c r="AO49" i="5"/>
  <c r="O48" i="5"/>
  <c r="P47" i="5"/>
  <c r="AO50" i="5" a="1"/>
  <c r="AN50" i="5"/>
  <c r="S46" i="5"/>
  <c r="R46" i="5"/>
  <c r="AL52" i="5"/>
  <c r="AM51" i="5"/>
  <c r="AM52" i="5" l="1"/>
  <c r="AL53" i="5"/>
  <c r="AP50" i="5"/>
  <c r="AO50" i="5"/>
  <c r="AO51" i="5" a="1"/>
  <c r="AN51" i="5"/>
  <c r="S47" i="5"/>
  <c r="R47" i="5"/>
  <c r="O49" i="5"/>
  <c r="P48" i="5"/>
  <c r="O50" i="5" l="1"/>
  <c r="P49" i="5"/>
  <c r="S48" i="5"/>
  <c r="R48" i="5"/>
  <c r="AL54" i="5"/>
  <c r="AM53" i="5"/>
  <c r="AP51" i="5"/>
  <c r="AO51" i="5"/>
  <c r="AN52" i="5"/>
  <c r="AO52" i="5" a="1"/>
  <c r="AM54" i="5" l="1"/>
  <c r="AL55" i="5"/>
  <c r="S49" i="5"/>
  <c r="R49" i="5"/>
  <c r="AO52" i="5"/>
  <c r="AP52" i="5"/>
  <c r="AO53" i="5" a="1"/>
  <c r="AN53" i="5"/>
  <c r="P50" i="5"/>
  <c r="O51" i="5"/>
  <c r="AP53" i="5" l="1"/>
  <c r="AO53" i="5"/>
  <c r="AM55" i="5"/>
  <c r="AL56" i="5"/>
  <c r="O52" i="5"/>
  <c r="P51" i="5"/>
  <c r="R50" i="5"/>
  <c r="S50" i="5"/>
  <c r="AO54" i="5" a="1"/>
  <c r="AN54" i="5"/>
  <c r="S51" i="5" l="1"/>
  <c r="R51" i="5"/>
  <c r="AL57" i="5"/>
  <c r="AM56" i="5"/>
  <c r="AP54" i="5"/>
  <c r="AO54" i="5"/>
  <c r="O53" i="5"/>
  <c r="P52" i="5"/>
  <c r="AO55" i="5" a="1"/>
  <c r="AN55" i="5"/>
  <c r="AP55" i="5" l="1"/>
  <c r="AO55" i="5"/>
  <c r="AL58" i="5"/>
  <c r="AM57" i="5"/>
  <c r="P53" i="5"/>
  <c r="O54" i="5"/>
  <c r="S52" i="5"/>
  <c r="R52" i="5"/>
  <c r="AO56" i="5" a="1"/>
  <c r="AN56" i="5"/>
  <c r="S53" i="5" l="1"/>
  <c r="R53" i="5"/>
  <c r="AO56" i="5"/>
  <c r="AP56" i="5"/>
  <c r="P54" i="5"/>
  <c r="O55" i="5"/>
  <c r="AN57" i="5"/>
  <c r="AO57" i="5" a="1"/>
  <c r="AM58" i="5"/>
  <c r="AL59" i="5"/>
  <c r="AL60" i="5" l="1"/>
  <c r="AM59" i="5"/>
  <c r="O56" i="5"/>
  <c r="P55" i="5"/>
  <c r="AN58" i="5"/>
  <c r="AO58" i="5" a="1"/>
  <c r="AP57" i="5"/>
  <c r="AO57" i="5"/>
  <c r="R54" i="5"/>
  <c r="S54" i="5"/>
  <c r="AP58" i="5" l="1"/>
  <c r="AO58" i="5"/>
  <c r="P56" i="5"/>
  <c r="O57" i="5"/>
  <c r="S55" i="5"/>
  <c r="R55" i="5"/>
  <c r="AN59" i="5"/>
  <c r="AO59" i="5" a="1"/>
  <c r="AL61" i="5"/>
  <c r="AM60" i="5"/>
  <c r="AO60" i="5" l="1" a="1"/>
  <c r="AN60" i="5"/>
  <c r="AM61" i="5"/>
  <c r="AN61" i="5" s="1"/>
  <c r="AL62" i="5"/>
  <c r="P57" i="5"/>
  <c r="O58" i="5"/>
  <c r="AP59" i="5"/>
  <c r="AO59" i="5"/>
  <c r="S56" i="5"/>
  <c r="R56" i="5"/>
  <c r="O59" i="5" l="1"/>
  <c r="P58" i="5"/>
  <c r="R57" i="5"/>
  <c r="S57" i="5"/>
  <c r="AL63" i="5"/>
  <c r="AM62" i="5"/>
  <c r="AN62" i="5" s="1"/>
  <c r="AP60" i="5"/>
  <c r="AO60" i="5"/>
  <c r="AM63" i="5" l="1"/>
  <c r="AL64" i="5"/>
  <c r="S58" i="5"/>
  <c r="R58" i="5"/>
  <c r="P59" i="5"/>
  <c r="O60" i="5"/>
  <c r="P60" i="5" l="1"/>
  <c r="O61" i="5"/>
  <c r="AL65" i="5"/>
  <c r="AM64" i="5"/>
  <c r="S59" i="5"/>
  <c r="R59" i="5"/>
  <c r="AO63" i="5" a="1"/>
  <c r="AN63" i="5"/>
  <c r="AL66" i="5" l="1"/>
  <c r="AM65" i="5"/>
  <c r="O62" i="5"/>
  <c r="P61" i="5"/>
  <c r="AP63" i="5"/>
  <c r="AO63" i="5"/>
  <c r="AO64" i="5" a="1"/>
  <c r="AN64" i="5"/>
  <c r="S60" i="5"/>
  <c r="R60" i="5"/>
  <c r="P62" i="5" l="1"/>
  <c r="O63" i="5"/>
  <c r="AP64" i="5"/>
  <c r="AO64" i="5"/>
  <c r="AO65" i="5" a="1"/>
  <c r="AN65" i="5"/>
  <c r="R61" i="5"/>
  <c r="S61" i="5"/>
  <c r="AL67" i="5"/>
  <c r="AM66" i="5"/>
  <c r="AO65" i="5" l="1"/>
  <c r="AP65" i="5"/>
  <c r="AM67" i="5"/>
  <c r="AL68" i="5"/>
  <c r="O64" i="5"/>
  <c r="P63" i="5"/>
  <c r="AO66" i="5" a="1"/>
  <c r="AN66" i="5"/>
  <c r="S62" i="5"/>
  <c r="R62" i="5"/>
  <c r="O65" i="5" l="1"/>
  <c r="P64" i="5"/>
  <c r="AP66" i="5"/>
  <c r="AO66" i="5"/>
  <c r="AL69" i="5"/>
  <c r="AM68" i="5"/>
  <c r="S63" i="5"/>
  <c r="R63" i="5"/>
  <c r="AO67" i="5" a="1"/>
  <c r="AN67" i="5"/>
  <c r="AP67" i="5" l="1"/>
  <c r="AO67" i="5"/>
  <c r="AN68" i="5"/>
  <c r="AO68" i="5" a="1"/>
  <c r="S64" i="5"/>
  <c r="R64" i="5"/>
  <c r="AL70" i="5"/>
  <c r="AM69" i="5"/>
  <c r="O66" i="5"/>
  <c r="P65" i="5"/>
  <c r="P66" i="5" l="1"/>
  <c r="O67" i="5"/>
  <c r="P67" i="5" s="1"/>
  <c r="AM70" i="5"/>
  <c r="AL71" i="5"/>
  <c r="AP68" i="5"/>
  <c r="AO68" i="5"/>
  <c r="S65" i="5"/>
  <c r="R65" i="5"/>
  <c r="AN69" i="5"/>
  <c r="AO69" i="5" a="1"/>
  <c r="AO70" i="5" l="1" a="1"/>
  <c r="AN70" i="5"/>
  <c r="S67" i="5"/>
  <c r="R67" i="5"/>
  <c r="AO69" i="5"/>
  <c r="AP69" i="5"/>
  <c r="AM71" i="5"/>
  <c r="AL72" i="5"/>
  <c r="AM72" i="5" s="1"/>
  <c r="R66" i="5"/>
  <c r="S66" i="5"/>
  <c r="AO72" i="5" l="1" a="1"/>
  <c r="AN72" i="5"/>
  <c r="AO71" i="5" a="1"/>
  <c r="AN71" i="5"/>
  <c r="AP70" i="5"/>
  <c r="AO70" i="5"/>
  <c r="AP71" i="5" l="1"/>
  <c r="AO71" i="5"/>
  <c r="AP72" i="5"/>
  <c r="AO72" i="5"/>
  <c r="AJ32" i="3" l="1"/>
  <c r="AJ33" i="3" s="1"/>
  <c r="AJ34" i="3" s="1"/>
  <c r="AJ35" i="3" s="1"/>
  <c r="AJ36" i="3" s="1"/>
  <c r="AJ37" i="3" s="1"/>
  <c r="AJ38" i="3" s="1"/>
  <c r="AJ39" i="3" s="1"/>
  <c r="AJ40" i="3" s="1"/>
  <c r="AJ41" i="3" s="1"/>
  <c r="AJ42" i="3" s="1"/>
  <c r="AJ43" i="3" s="1"/>
  <c r="AJ44" i="3" s="1"/>
  <c r="AJ45" i="3" s="1"/>
  <c r="AJ46" i="3" s="1"/>
  <c r="AJ47" i="3" s="1"/>
  <c r="AJ48" i="3" s="1"/>
  <c r="AJ49" i="3" s="1"/>
  <c r="AJ50" i="3" s="1"/>
  <c r="AJ51" i="3" s="1"/>
  <c r="AJ52" i="3" s="1"/>
  <c r="AJ53" i="3" s="1"/>
  <c r="AJ54" i="3" s="1"/>
  <c r="AJ55" i="3" s="1"/>
  <c r="AJ56" i="3" s="1"/>
  <c r="AJ57" i="3" s="1"/>
  <c r="AJ58" i="3" s="1"/>
  <c r="AJ59" i="3" s="1"/>
  <c r="AJ60" i="3" s="1"/>
  <c r="AJ61" i="3" s="1"/>
  <c r="AJ62" i="3" s="1"/>
  <c r="AJ63" i="3" s="1"/>
  <c r="AJ64" i="3" s="1"/>
  <c r="AJ65" i="3" s="1"/>
  <c r="AJ66" i="3" s="1"/>
  <c r="AJ67" i="3" s="1"/>
  <c r="AJ68" i="3" s="1"/>
  <c r="AJ69" i="3" s="1"/>
  <c r="AJ70" i="3" s="1"/>
  <c r="AJ71" i="3" s="1"/>
  <c r="AJ72" i="3" s="1"/>
  <c r="Z64" i="3"/>
  <c r="AA63" i="3"/>
  <c r="AA36" i="3"/>
  <c r="AA55" i="3"/>
  <c r="AA62" i="3"/>
  <c r="AA57" i="3"/>
  <c r="Z32" i="3"/>
  <c r="Z42" i="3"/>
  <c r="AA50" i="3"/>
  <c r="Z39" i="3"/>
  <c r="Z59" i="3"/>
  <c r="Z48" i="3"/>
  <c r="Z65" i="3"/>
  <c r="AA45" i="3"/>
  <c r="AA31" i="3"/>
  <c r="Z37" i="3"/>
  <c r="AA72" i="3"/>
  <c r="AA54" i="3"/>
  <c r="Z62" i="3"/>
  <c r="AA47" i="3"/>
  <c r="Z49" i="3"/>
  <c r="Z71" i="3"/>
  <c r="Z35" i="3"/>
  <c r="AA65" i="3"/>
  <c r="AA32" i="3"/>
  <c r="Z50" i="3"/>
  <c r="AA33" i="3"/>
  <c r="Z63" i="3"/>
  <c r="AA37" i="3"/>
  <c r="AA64" i="3"/>
  <c r="AA66" i="3"/>
  <c r="AA58" i="3"/>
  <c r="AA71" i="3"/>
  <c r="AA52" i="3"/>
  <c r="AA61" i="3"/>
  <c r="Z57" i="3"/>
  <c r="AA46" i="3"/>
  <c r="Z54" i="3"/>
  <c r="Z51" i="3"/>
  <c r="AA35" i="3"/>
  <c r="Z69" i="3"/>
  <c r="AA43" i="3"/>
  <c r="AA34" i="3"/>
  <c r="AA69" i="3"/>
  <c r="AA41" i="3"/>
  <c r="AA60" i="3"/>
  <c r="Z43" i="3"/>
  <c r="Z41" i="3"/>
  <c r="Z72" i="3"/>
  <c r="Z34" i="3"/>
  <c r="AA68" i="3"/>
  <c r="AA39" i="3"/>
  <c r="Z33" i="3"/>
  <c r="AA40" i="3"/>
  <c r="AA48" i="3"/>
  <c r="Z31" i="3"/>
  <c r="Z56" i="3"/>
  <c r="Z52" i="3"/>
  <c r="Z38" i="3"/>
  <c r="AA67" i="3"/>
  <c r="Z46" i="3"/>
  <c r="Z66" i="3"/>
  <c r="Z68" i="3"/>
  <c r="Z53" i="3"/>
  <c r="AA59" i="3"/>
  <c r="AA70" i="3"/>
  <c r="Z36" i="3"/>
  <c r="AA53" i="3"/>
  <c r="AA44" i="3"/>
  <c r="Z47" i="3"/>
  <c r="Z70" i="3"/>
  <c r="Z61" i="3"/>
  <c r="AA51" i="3"/>
  <c r="AA49" i="3"/>
  <c r="Z44" i="3"/>
  <c r="AA56" i="3"/>
  <c r="Z58" i="3"/>
  <c r="Z45" i="3"/>
  <c r="Z60" i="3"/>
  <c r="AA42" i="3"/>
  <c r="Z67" i="3"/>
  <c r="Z55" i="3"/>
  <c r="Z40" i="3"/>
  <c r="AA38" i="3"/>
  <c r="AQ32" i="3" l="1"/>
  <c r="AQ33" i="3" l="1"/>
  <c r="AQ34" i="3" s="1"/>
  <c r="AQ35" i="3" s="1"/>
  <c r="AQ36" i="3" s="1"/>
  <c r="AQ37" i="3" s="1"/>
  <c r="AQ38" i="3" s="1"/>
  <c r="AQ39" i="3" s="1"/>
  <c r="AQ40" i="3" s="1"/>
  <c r="AQ41" i="3" s="1"/>
  <c r="AQ42" i="3" s="1"/>
  <c r="AQ43" i="3" s="1"/>
  <c r="AQ44" i="3" s="1"/>
  <c r="AQ45" i="3" s="1"/>
  <c r="AQ46" i="3" s="1"/>
  <c r="AQ47" i="3" s="1"/>
  <c r="AQ48" i="3" s="1"/>
  <c r="AQ49" i="3" s="1"/>
  <c r="AQ50" i="3" s="1"/>
  <c r="AQ51" i="3" s="1"/>
  <c r="AQ52" i="3" s="1"/>
  <c r="AQ53" i="3" s="1"/>
  <c r="AQ54" i="3" s="1"/>
  <c r="AQ55" i="3" s="1"/>
  <c r="AQ56" i="3" s="1"/>
  <c r="AQ57" i="3" s="1"/>
  <c r="AQ58" i="3" s="1"/>
  <c r="AQ59" i="3" s="1"/>
  <c r="AQ60" i="3" s="1"/>
  <c r="AQ29" i="3" l="1"/>
  <c r="B90" i="3"/>
  <c r="C15" i="3"/>
  <c r="C102" i="3" l="1"/>
  <c r="C101" i="3"/>
  <c r="C100" i="3"/>
  <c r="C99" i="3"/>
  <c r="C98" i="3"/>
  <c r="C97" i="3"/>
  <c r="C95" i="3"/>
  <c r="B102" i="3"/>
  <c r="B101" i="3"/>
  <c r="B100" i="3"/>
  <c r="B99" i="3"/>
  <c r="B98" i="3"/>
  <c r="B97" i="3"/>
  <c r="B96" i="3"/>
  <c r="B95" i="3"/>
  <c r="C103" i="3"/>
  <c r="B103" i="3"/>
  <c r="B92" i="3"/>
  <c r="B94" i="3"/>
  <c r="C91" i="3"/>
  <c r="B91" i="3"/>
  <c r="B87" i="3"/>
  <c r="B86" i="3"/>
  <c r="B85" i="3"/>
  <c r="B84" i="3"/>
  <c r="C3" i="3"/>
  <c r="S2" i="3" a="1"/>
  <c r="S2" i="3" s="1"/>
  <c r="O3" i="3" s="1"/>
  <c r="F3" i="3"/>
  <c r="N3" i="3"/>
  <c r="AI3" i="3"/>
  <c r="AA24" i="3"/>
  <c r="Z24" i="3"/>
  <c r="I3" i="3" l="1"/>
  <c r="F4" i="3"/>
  <c r="M4" i="3"/>
  <c r="N4" i="3" s="1"/>
  <c r="O4" i="3"/>
  <c r="AI4" i="3"/>
  <c r="AA4" i="3"/>
  <c r="Z4" i="3"/>
  <c r="I4" i="3" l="1"/>
  <c r="F5" i="3"/>
  <c r="M5" i="3"/>
  <c r="N5" i="3"/>
  <c r="O5" i="3"/>
  <c r="AI5" i="3"/>
  <c r="Z5" i="3"/>
  <c r="AA5" i="3"/>
  <c r="I5" i="3" l="1"/>
  <c r="L5" i="3" s="1"/>
  <c r="M6" i="3"/>
  <c r="N6" i="3" s="1"/>
  <c r="O6" i="3"/>
  <c r="AI10" i="3"/>
  <c r="F7" i="3" l="1"/>
  <c r="M7" i="3"/>
  <c r="N7" i="3" s="1"/>
  <c r="O7" i="3"/>
  <c r="F8" i="3" l="1"/>
  <c r="M8" i="3"/>
  <c r="N8" i="3" s="1"/>
  <c r="O8" i="3"/>
  <c r="AA8" i="3"/>
  <c r="Z8" i="3"/>
  <c r="I6" i="3" l="1"/>
  <c r="L6" i="3" s="1"/>
  <c r="F9" i="3"/>
  <c r="M9" i="3"/>
  <c r="N9" i="3" s="1"/>
  <c r="O9" i="3"/>
  <c r="Z9" i="3"/>
  <c r="AA9" i="3"/>
  <c r="I7" i="3" l="1"/>
  <c r="L7" i="3" s="1"/>
  <c r="F10" i="3"/>
  <c r="M10" i="3"/>
  <c r="N10" i="3" s="1"/>
  <c r="O10" i="3"/>
  <c r="AA10" i="3"/>
  <c r="Z10" i="3"/>
  <c r="I8" i="3" l="1"/>
  <c r="L8" i="3" s="1"/>
  <c r="F11" i="3"/>
  <c r="M11" i="3"/>
  <c r="N11" i="3" s="1"/>
  <c r="O11" i="3"/>
  <c r="F12" i="3" l="1"/>
  <c r="M12" i="3"/>
  <c r="N12" i="3" s="1"/>
  <c r="O12" i="3"/>
  <c r="F13" i="3" l="1"/>
  <c r="M13" i="3"/>
  <c r="N13" i="3"/>
  <c r="O13" i="3"/>
  <c r="AA13" i="3"/>
  <c r="Z13" i="3"/>
  <c r="I9" i="3" l="1"/>
  <c r="L9" i="3" s="1"/>
  <c r="F14" i="3"/>
  <c r="M14" i="3"/>
  <c r="N14" i="3" s="1"/>
  <c r="O14" i="3"/>
  <c r="Z14" i="3"/>
  <c r="AA14" i="3"/>
  <c r="I10" i="3" l="1"/>
  <c r="L10" i="3" s="1"/>
  <c r="F15" i="3"/>
  <c r="M15" i="3"/>
  <c r="N15" i="3"/>
  <c r="O15" i="3"/>
  <c r="Q15" i="3" s="1"/>
  <c r="AA15" i="3"/>
  <c r="Z15" i="3"/>
  <c r="P15" i="3" l="1"/>
  <c r="I11" i="3"/>
  <c r="L11" i="3" s="1"/>
  <c r="F16" i="3"/>
  <c r="M16" i="3"/>
  <c r="N16" i="3"/>
  <c r="O16" i="3"/>
  <c r="P16" i="3" s="1"/>
  <c r="Z16" i="3"/>
  <c r="AA16" i="3"/>
  <c r="R15" i="3" l="1"/>
  <c r="S15" i="3"/>
  <c r="I12" i="3"/>
  <c r="L12" i="3" s="1"/>
  <c r="S16" i="3"/>
  <c r="R16" i="3"/>
  <c r="Q16" i="3"/>
  <c r="F17" i="3"/>
  <c r="M17" i="3"/>
  <c r="N17" i="3" s="1"/>
  <c r="O17" i="3"/>
  <c r="P17" i="3" s="1"/>
  <c r="Z17" i="3"/>
  <c r="AA17" i="3"/>
  <c r="I13" i="3" l="1"/>
  <c r="L13" i="3" s="1"/>
  <c r="R17" i="3"/>
  <c r="S17" i="3"/>
  <c r="Q17" i="3"/>
  <c r="F18" i="3"/>
  <c r="M18" i="3"/>
  <c r="N18" i="3"/>
  <c r="O18" i="3"/>
  <c r="P18" i="3" s="1"/>
  <c r="AA18" i="3"/>
  <c r="Z18" i="3"/>
  <c r="I14" i="3" l="1"/>
  <c r="L14" i="3" s="1"/>
  <c r="S18" i="3"/>
  <c r="R18" i="3"/>
  <c r="Q18" i="3"/>
  <c r="F19" i="3"/>
  <c r="M19" i="3"/>
  <c r="N19" i="3"/>
  <c r="O19" i="3"/>
  <c r="P19" i="3" s="1"/>
  <c r="AA19" i="3"/>
  <c r="Z19" i="3"/>
  <c r="I15" i="3" l="1"/>
  <c r="L15" i="3" s="1"/>
  <c r="S19" i="3"/>
  <c r="R19" i="3"/>
  <c r="Q19" i="3"/>
  <c r="F20" i="3"/>
  <c r="M20" i="3"/>
  <c r="N20" i="3"/>
  <c r="P14" i="3" s="1"/>
  <c r="O20" i="3"/>
  <c r="P20" i="3" s="1"/>
  <c r="Z20" i="3"/>
  <c r="AA20" i="3"/>
  <c r="P13" i="3" l="1"/>
  <c r="R14" i="3"/>
  <c r="Q14" i="3"/>
  <c r="P12" i="3"/>
  <c r="Q20" i="3"/>
  <c r="I16" i="3"/>
  <c r="L16" i="3" s="1"/>
  <c r="R20" i="3"/>
  <c r="S20" i="3"/>
  <c r="P4" i="3"/>
  <c r="P6" i="3"/>
  <c r="P3" i="3"/>
  <c r="P5" i="3"/>
  <c r="P9" i="3"/>
  <c r="P8" i="3"/>
  <c r="P10" i="3"/>
  <c r="P7" i="3"/>
  <c r="P11" i="3"/>
  <c r="Z21" i="3"/>
  <c r="AA21" i="3"/>
  <c r="R13" i="3" l="1"/>
  <c r="Q13" i="3"/>
  <c r="Q12" i="3"/>
  <c r="R12" i="3"/>
  <c r="I17" i="3"/>
  <c r="L17" i="3" s="1"/>
  <c r="S14" i="3" s="1"/>
  <c r="R7" i="3"/>
  <c r="Q7" i="3"/>
  <c r="S7" i="3"/>
  <c r="R9" i="3"/>
  <c r="S9" i="3"/>
  <c r="Q9" i="3"/>
  <c r="R4" i="3"/>
  <c r="Q4" i="3"/>
  <c r="R5" i="3"/>
  <c r="S5" i="3"/>
  <c r="Q5" i="3"/>
  <c r="Q11" i="3"/>
  <c r="R11" i="3"/>
  <c r="S8" i="3"/>
  <c r="R8" i="3"/>
  <c r="Q8" i="3"/>
  <c r="R3" i="3"/>
  <c r="Q3" i="3"/>
  <c r="Q10" i="3"/>
  <c r="S10" i="3"/>
  <c r="R10" i="3"/>
  <c r="R6" i="3"/>
  <c r="S6" i="3"/>
  <c r="Q6" i="3"/>
  <c r="Z22" i="3"/>
  <c r="AA22" i="3"/>
  <c r="S13" i="3" l="1"/>
  <c r="S12" i="3"/>
  <c r="I18" i="3"/>
  <c r="L18" i="3" s="1"/>
  <c r="F23" i="3"/>
  <c r="Z23" i="3"/>
  <c r="AA23" i="3"/>
  <c r="I19" i="3" l="1"/>
  <c r="L19" i="3" s="1"/>
  <c r="I20" i="3" l="1"/>
  <c r="L20" i="3" s="1"/>
  <c r="S11" i="3" s="1"/>
  <c r="AA27" i="3"/>
  <c r="Z27" i="3"/>
  <c r="I23" i="3" l="1"/>
  <c r="L23" i="3" s="1"/>
  <c r="C93" i="3" l="1"/>
  <c r="B93" i="3"/>
  <c r="M27" i="3" l="1"/>
  <c r="M28" i="3" l="1"/>
  <c r="M29" i="3" l="1"/>
  <c r="M30" i="3" l="1"/>
  <c r="M31" i="3" l="1"/>
  <c r="M32" i="3" l="1"/>
  <c r="M33" i="3" l="1"/>
  <c r="M34" i="3"/>
  <c r="AF31" i="3" l="1"/>
  <c r="AG31" i="3" s="1"/>
  <c r="F26" i="3" s="1"/>
  <c r="C81" i="3"/>
  <c r="M35" i="3"/>
  <c r="E26" i="3" l="1"/>
  <c r="N26" i="3" s="1"/>
  <c r="AH31" i="3"/>
  <c r="AK31" i="3" s="1"/>
  <c r="AI31" i="3"/>
  <c r="AF32" i="3"/>
  <c r="AG32" i="3" s="1"/>
  <c r="M36" i="3"/>
  <c r="F27" i="3" l="1"/>
  <c r="AH32" i="3"/>
  <c r="AK32" i="3" s="1"/>
  <c r="AI32" i="3"/>
  <c r="AF33" i="3"/>
  <c r="AG33" i="3" s="1"/>
  <c r="M37" i="3"/>
  <c r="E27" i="3" l="1"/>
  <c r="N27" i="3" s="1"/>
  <c r="F28" i="3"/>
  <c r="AH33" i="3"/>
  <c r="AK33" i="3" s="1"/>
  <c r="AI33" i="3"/>
  <c r="AF34" i="3"/>
  <c r="AG34" i="3" s="1"/>
  <c r="M38" i="3"/>
  <c r="E28" i="3" l="1"/>
  <c r="N28" i="3" s="1"/>
  <c r="F29" i="3"/>
  <c r="AH34" i="3"/>
  <c r="AK34" i="3" s="1"/>
  <c r="AI34" i="3"/>
  <c r="AF35" i="3"/>
  <c r="AG35" i="3" s="1"/>
  <c r="B88" i="3"/>
  <c r="M39" i="3"/>
  <c r="E29" i="3" l="1"/>
  <c r="N29" i="3" s="1"/>
  <c r="F30" i="3"/>
  <c r="AH35" i="3"/>
  <c r="AK35" i="3" s="1"/>
  <c r="AI35" i="3"/>
  <c r="AF36" i="3"/>
  <c r="AG36" i="3" s="1"/>
  <c r="B89" i="3"/>
  <c r="M40" i="3"/>
  <c r="E30" i="3" l="1"/>
  <c r="N30" i="3" s="1"/>
  <c r="F31" i="3"/>
  <c r="AH36" i="3"/>
  <c r="AK36" i="3" s="1"/>
  <c r="AI36" i="3"/>
  <c r="AF37" i="3"/>
  <c r="AG37" i="3" s="1"/>
  <c r="F32" i="3" s="1"/>
  <c r="E32" i="3" s="1"/>
  <c r="M41" i="3"/>
  <c r="E31" i="3" l="1"/>
  <c r="N31" i="3" s="1"/>
  <c r="AH37" i="3"/>
  <c r="AK37" i="3" s="1"/>
  <c r="AI37" i="3"/>
  <c r="AF38" i="3"/>
  <c r="AG38" i="3" s="1"/>
  <c r="N32" i="3"/>
  <c r="M42" i="3"/>
  <c r="F33" i="3" l="1"/>
  <c r="AH38" i="3"/>
  <c r="AK38" i="3" s="1"/>
  <c r="AI38" i="3"/>
  <c r="AF39" i="3"/>
  <c r="AG39" i="3" s="1"/>
  <c r="F34" i="3" s="1"/>
  <c r="E34" i="3" s="1"/>
  <c r="M43" i="3"/>
  <c r="E33" i="3" l="1"/>
  <c r="N33" i="3" s="1"/>
  <c r="AH39" i="3"/>
  <c r="AK39" i="3" s="1"/>
  <c r="AI39" i="3"/>
  <c r="AF40" i="3"/>
  <c r="AG40" i="3" s="1"/>
  <c r="F35" i="3" s="1"/>
  <c r="E35" i="3" s="1"/>
  <c r="N34" i="3"/>
  <c r="C92" i="3"/>
  <c r="M44" i="3"/>
  <c r="AH40" i="3" l="1"/>
  <c r="AK40" i="3" s="1"/>
  <c r="AI40" i="3"/>
  <c r="AF41" i="3"/>
  <c r="AG41" i="3" s="1"/>
  <c r="N35" i="3"/>
  <c r="M45" i="3"/>
  <c r="F36" i="3" l="1"/>
  <c r="AH41" i="3"/>
  <c r="AK41" i="3" s="1"/>
  <c r="AI41" i="3"/>
  <c r="AF42" i="3"/>
  <c r="AG42" i="3" s="1"/>
  <c r="F37" i="3" s="1"/>
  <c r="E37" i="3" s="1"/>
  <c r="C94" i="3"/>
  <c r="M46" i="3"/>
  <c r="E36" i="3" l="1"/>
  <c r="N36" i="3" s="1"/>
  <c r="AH42" i="3"/>
  <c r="AK42" i="3" s="1"/>
  <c r="AI42" i="3"/>
  <c r="AF43" i="3"/>
  <c r="AG43" i="3" s="1"/>
  <c r="N37" i="3"/>
  <c r="M47" i="3"/>
  <c r="F38" i="3" l="1"/>
  <c r="AH43" i="3"/>
  <c r="AK43" i="3" s="1"/>
  <c r="AI43" i="3"/>
  <c r="AF44" i="3"/>
  <c r="AG44" i="3" s="1"/>
  <c r="C96" i="3"/>
  <c r="M48" i="3"/>
  <c r="E38" i="3" l="1"/>
  <c r="N38" i="3" s="1"/>
  <c r="F39" i="3"/>
  <c r="AH44" i="3"/>
  <c r="AK44" i="3" s="1"/>
  <c r="AI44" i="3"/>
  <c r="AF45" i="3"/>
  <c r="AG45" i="3" s="1"/>
  <c r="F40" i="3" s="1"/>
  <c r="E40" i="3" s="1"/>
  <c r="M49" i="3"/>
  <c r="E39" i="3" l="1"/>
  <c r="N39" i="3" s="1"/>
  <c r="AH45" i="3"/>
  <c r="AK45" i="3" s="1"/>
  <c r="AI45" i="3"/>
  <c r="AF46" i="3"/>
  <c r="AG46" i="3" s="1"/>
  <c r="N40" i="3"/>
  <c r="M50" i="3"/>
  <c r="F41" i="3" l="1"/>
  <c r="AH46" i="3"/>
  <c r="AK46" i="3" s="1"/>
  <c r="AI46" i="3"/>
  <c r="AF47" i="3"/>
  <c r="AG47" i="3" s="1"/>
  <c r="M51" i="3"/>
  <c r="E41" i="3" l="1"/>
  <c r="N41" i="3" s="1"/>
  <c r="F42" i="3"/>
  <c r="AH47" i="3"/>
  <c r="AK47" i="3" s="1"/>
  <c r="AI47" i="3"/>
  <c r="AF48" i="3"/>
  <c r="AG48" i="3" s="1"/>
  <c r="M52" i="3"/>
  <c r="E42" i="3" l="1"/>
  <c r="N42" i="3" s="1"/>
  <c r="F43" i="3"/>
  <c r="AH48" i="3"/>
  <c r="AK48" i="3" s="1"/>
  <c r="AI48" i="3"/>
  <c r="AF49" i="3"/>
  <c r="AG49" i="3" s="1"/>
  <c r="M53" i="3"/>
  <c r="E43" i="3" l="1"/>
  <c r="N43" i="3" s="1"/>
  <c r="F44" i="3"/>
  <c r="AH49" i="3"/>
  <c r="AK49" i="3" s="1"/>
  <c r="AI49" i="3"/>
  <c r="AF50" i="3"/>
  <c r="AG50" i="3" s="1"/>
  <c r="M54" i="3"/>
  <c r="E44" i="3" l="1"/>
  <c r="N44" i="3" s="1"/>
  <c r="F45" i="3"/>
  <c r="AH50" i="3"/>
  <c r="AK50" i="3" s="1"/>
  <c r="AI50" i="3"/>
  <c r="AF51" i="3"/>
  <c r="AG51" i="3" s="1"/>
  <c r="M55" i="3"/>
  <c r="E45" i="3" l="1"/>
  <c r="N45" i="3" s="1"/>
  <c r="F46" i="3"/>
  <c r="AH51" i="3"/>
  <c r="AK51" i="3" s="1"/>
  <c r="AI51" i="3"/>
  <c r="AF52" i="3"/>
  <c r="AG52" i="3" s="1"/>
  <c r="M56" i="3"/>
  <c r="E46" i="3" l="1"/>
  <c r="N46" i="3" s="1"/>
  <c r="F47" i="3"/>
  <c r="AH52" i="3"/>
  <c r="AK52" i="3" s="1"/>
  <c r="AI52" i="3"/>
  <c r="AF53" i="3"/>
  <c r="AG53" i="3" s="1"/>
  <c r="M57" i="3"/>
  <c r="E47" i="3" l="1"/>
  <c r="N47" i="3" s="1"/>
  <c r="F48" i="3"/>
  <c r="AH53" i="3"/>
  <c r="AK53" i="3" s="1"/>
  <c r="AI53" i="3"/>
  <c r="AF54" i="3"/>
  <c r="AG54" i="3" s="1"/>
  <c r="M58" i="3"/>
  <c r="E48" i="3" l="1"/>
  <c r="N48" i="3" s="1"/>
  <c r="F49" i="3"/>
  <c r="AH54" i="3"/>
  <c r="AK54" i="3" s="1"/>
  <c r="AI54" i="3"/>
  <c r="AF55" i="3"/>
  <c r="AG55" i="3" s="1"/>
  <c r="M59" i="3"/>
  <c r="E49" i="3" l="1"/>
  <c r="N49" i="3" s="1"/>
  <c r="F50" i="3"/>
  <c r="AH55" i="3"/>
  <c r="AK55" i="3" s="1"/>
  <c r="AI55" i="3"/>
  <c r="AF56" i="3"/>
  <c r="AG56" i="3" s="1"/>
  <c r="M60" i="3"/>
  <c r="E50" i="3" l="1"/>
  <c r="N50" i="3" s="1"/>
  <c r="F51" i="3"/>
  <c r="AH56" i="3"/>
  <c r="AK56" i="3" s="1"/>
  <c r="AI56" i="3"/>
  <c r="AF57" i="3"/>
  <c r="AG57" i="3" s="1"/>
  <c r="M61" i="3"/>
  <c r="E51" i="3" l="1"/>
  <c r="N51" i="3" s="1"/>
  <c r="F52" i="3"/>
  <c r="AH57" i="3"/>
  <c r="AK57" i="3" s="1"/>
  <c r="AI57" i="3"/>
  <c r="AF58" i="3"/>
  <c r="AG58" i="3" s="1"/>
  <c r="M62" i="3"/>
  <c r="E52" i="3" l="1"/>
  <c r="N52" i="3" s="1"/>
  <c r="F53" i="3"/>
  <c r="AH58" i="3"/>
  <c r="AK58" i="3" s="1"/>
  <c r="AI58" i="3"/>
  <c r="AF59" i="3"/>
  <c r="AG59" i="3" s="1"/>
  <c r="M63" i="3"/>
  <c r="E53" i="3" l="1"/>
  <c r="N53" i="3" s="1"/>
  <c r="F54" i="3"/>
  <c r="AH59" i="3"/>
  <c r="AK59" i="3" s="1"/>
  <c r="AI59" i="3"/>
  <c r="AF60" i="3"/>
  <c r="AG60" i="3" s="1"/>
  <c r="M64" i="3"/>
  <c r="E54" i="3" l="1"/>
  <c r="N54" i="3" s="1"/>
  <c r="F55" i="3"/>
  <c r="AH60" i="3"/>
  <c r="AK60" i="3" s="1"/>
  <c r="AI60" i="3"/>
  <c r="AF61" i="3"/>
  <c r="M65" i="3"/>
  <c r="E55" i="3" l="1"/>
  <c r="N55" i="3" s="1"/>
  <c r="AG61" i="3"/>
  <c r="I56" i="3"/>
  <c r="L56" i="3" s="1"/>
  <c r="AF62" i="3"/>
  <c r="M66" i="3"/>
  <c r="F56" i="3" l="1"/>
  <c r="AH61" i="3"/>
  <c r="AK61" i="3" s="1"/>
  <c r="AI61" i="3"/>
  <c r="AG62" i="3"/>
  <c r="I57" i="3"/>
  <c r="L57" i="3" s="1"/>
  <c r="AF63" i="3"/>
  <c r="M67" i="3"/>
  <c r="E56" i="3" l="1"/>
  <c r="N56" i="3" s="1"/>
  <c r="F57" i="3"/>
  <c r="AI62" i="3"/>
  <c r="AH62" i="3"/>
  <c r="AK62" i="3" s="1"/>
  <c r="AG63" i="3"/>
  <c r="I58" i="3"/>
  <c r="L58" i="3" s="1"/>
  <c r="AF67" i="3"/>
  <c r="AF65" i="3"/>
  <c r="AF71" i="3"/>
  <c r="AF69" i="3"/>
  <c r="AF72" i="3"/>
  <c r="AF70" i="3"/>
  <c r="AF68" i="3"/>
  <c r="AF64" i="3"/>
  <c r="AF66" i="3"/>
  <c r="E57" i="3" l="1"/>
  <c r="N57" i="3" s="1"/>
  <c r="F58" i="3"/>
  <c r="AI63" i="3"/>
  <c r="AG64" i="3"/>
  <c r="I59" i="3"/>
  <c r="L59" i="3" s="1"/>
  <c r="AG69" i="3"/>
  <c r="I64" i="3"/>
  <c r="L64" i="3" s="1"/>
  <c r="AG68" i="3"/>
  <c r="I63" i="3"/>
  <c r="L63" i="3" s="1"/>
  <c r="AG71" i="3"/>
  <c r="I66" i="3"/>
  <c r="L66" i="3" s="1"/>
  <c r="AH63" i="3"/>
  <c r="AK63" i="3" s="1"/>
  <c r="AG70" i="3"/>
  <c r="I65" i="3"/>
  <c r="L65" i="3" s="1"/>
  <c r="AG65" i="3"/>
  <c r="I60" i="3"/>
  <c r="L60" i="3" s="1"/>
  <c r="AG66" i="3"/>
  <c r="AH66" i="3" s="1"/>
  <c r="AK66" i="3" s="1"/>
  <c r="I61" i="3"/>
  <c r="L61" i="3" s="1"/>
  <c r="AG72" i="3"/>
  <c r="I67" i="3"/>
  <c r="L67" i="3" s="1"/>
  <c r="AG67" i="3"/>
  <c r="I62" i="3"/>
  <c r="L62" i="3" s="1"/>
  <c r="AI66" i="3" l="1"/>
  <c r="E58" i="3"/>
  <c r="N58" i="3" s="1"/>
  <c r="F59" i="3"/>
  <c r="F62" i="3"/>
  <c r="F63" i="3"/>
  <c r="F64" i="3"/>
  <c r="F60" i="3"/>
  <c r="F67" i="3"/>
  <c r="F61" i="3"/>
  <c r="F66" i="3"/>
  <c r="AI64" i="3"/>
  <c r="AH64" i="3"/>
  <c r="AK64" i="3" s="1"/>
  <c r="F65" i="3"/>
  <c r="AI68" i="3"/>
  <c r="AH68" i="3"/>
  <c r="AK68" i="3" s="1"/>
  <c r="AI69" i="3"/>
  <c r="AH69" i="3"/>
  <c r="AK69" i="3" s="1"/>
  <c r="AG29" i="3"/>
  <c r="AH30" i="3" s="1"/>
  <c r="AI72" i="3" s="1"/>
  <c r="AI70" i="3"/>
  <c r="AH70" i="3"/>
  <c r="AK70" i="3" s="1"/>
  <c r="AI67" i="3"/>
  <c r="AH67" i="3"/>
  <c r="AK67" i="3" s="1"/>
  <c r="AI65" i="3"/>
  <c r="AI71" i="3"/>
  <c r="AH65" i="3"/>
  <c r="AK65" i="3" s="1"/>
  <c r="AH71" i="3"/>
  <c r="AK71" i="3" s="1"/>
  <c r="E64" i="3" l="1"/>
  <c r="N64" i="3" s="1"/>
  <c r="E66" i="3"/>
  <c r="N66" i="3" s="1"/>
  <c r="E67" i="3"/>
  <c r="N67" i="3" s="1"/>
  <c r="E63" i="3"/>
  <c r="N63" i="3" s="1"/>
  <c r="E62" i="3"/>
  <c r="N62" i="3" s="1"/>
  <c r="E60" i="3"/>
  <c r="N60" i="3" s="1"/>
  <c r="E59" i="3"/>
  <c r="E61" i="3"/>
  <c r="N61" i="3" s="1"/>
  <c r="E65" i="3"/>
  <c r="N65" i="3" s="1"/>
  <c r="AH72" i="3"/>
  <c r="AK72" i="3" s="1"/>
  <c r="AL30" i="3" s="1"/>
  <c r="AL31" i="3" s="1"/>
  <c r="AM31" i="3" s="1"/>
  <c r="N59" i="3" l="1"/>
  <c r="S25" i="3" a="1"/>
  <c r="S25" i="3" s="1"/>
  <c r="O26" i="3" s="1"/>
  <c r="AN31" i="3"/>
  <c r="AO31" i="3" s="1" a="1"/>
  <c r="AL32" i="3"/>
  <c r="AM32" i="3" s="1"/>
  <c r="P26" i="3" l="1"/>
  <c r="R26" i="3" s="1"/>
  <c r="O27" i="3"/>
  <c r="P27" i="3" s="1"/>
  <c r="R27" i="3" s="1"/>
  <c r="AO31" i="3"/>
  <c r="AP31" i="3"/>
  <c r="AN32" i="3"/>
  <c r="AO32" i="3" s="1" a="1"/>
  <c r="AL33" i="3"/>
  <c r="AM33" i="3" s="1"/>
  <c r="O28" i="3"/>
  <c r="P28" i="3" s="1"/>
  <c r="R28" i="3" s="1"/>
  <c r="AO32" i="3" l="1"/>
  <c r="AP32" i="3"/>
  <c r="AN33" i="3"/>
  <c r="AO33" i="3" s="1" a="1"/>
  <c r="O29" i="3"/>
  <c r="P29" i="3" s="1"/>
  <c r="R29" i="3" s="1"/>
  <c r="AL34" i="3"/>
  <c r="AM34" i="3" s="1"/>
  <c r="AO33" i="3" l="1"/>
  <c r="AP33" i="3"/>
  <c r="AN34" i="3"/>
  <c r="AO34" i="3" s="1" a="1"/>
  <c r="O30" i="3"/>
  <c r="P30" i="3" s="1"/>
  <c r="R30" i="3" s="1"/>
  <c r="AL35" i="3"/>
  <c r="AM35" i="3" s="1"/>
  <c r="AO34" i="3" l="1"/>
  <c r="AP34" i="3"/>
  <c r="AN35" i="3"/>
  <c r="AO35" i="3" s="1" a="1"/>
  <c r="O31" i="3"/>
  <c r="P31" i="3" s="1"/>
  <c r="R31" i="3" s="1"/>
  <c r="AL36" i="3"/>
  <c r="AM36" i="3" s="1"/>
  <c r="AO35" i="3" l="1"/>
  <c r="AP35" i="3"/>
  <c r="AN36" i="3"/>
  <c r="AO36" i="3" s="1" a="1"/>
  <c r="O32" i="3"/>
  <c r="P32" i="3" s="1"/>
  <c r="AL37" i="3"/>
  <c r="AM37" i="3" s="1"/>
  <c r="O33" i="3" l="1"/>
  <c r="P33" i="3" s="1"/>
  <c r="R33" i="3" s="1"/>
  <c r="AO36" i="3"/>
  <c r="AP36" i="3"/>
  <c r="AN37" i="3"/>
  <c r="AO37" i="3" s="1" a="1"/>
  <c r="R32" i="3"/>
  <c r="AL38" i="3"/>
  <c r="AM38" i="3" s="1"/>
  <c r="O34" i="3" l="1"/>
  <c r="P34" i="3" s="1"/>
  <c r="R34" i="3" s="1"/>
  <c r="AO37" i="3"/>
  <c r="AP37" i="3"/>
  <c r="AN38" i="3"/>
  <c r="AO38" i="3" s="1" a="1"/>
  <c r="AL39" i="3"/>
  <c r="AM39" i="3" s="1"/>
  <c r="O35" i="3" l="1"/>
  <c r="P35" i="3" s="1"/>
  <c r="R35" i="3" s="1"/>
  <c r="AP38" i="3"/>
  <c r="AO38" i="3"/>
  <c r="AN39" i="3"/>
  <c r="AO39" i="3" s="1" a="1"/>
  <c r="AL40" i="3"/>
  <c r="AM40" i="3" s="1"/>
  <c r="O36" i="3" l="1"/>
  <c r="P36" i="3" s="1"/>
  <c r="R36" i="3" s="1"/>
  <c r="AO39" i="3"/>
  <c r="AP39" i="3"/>
  <c r="AN40" i="3"/>
  <c r="AO40" i="3" s="1" a="1"/>
  <c r="AL41" i="3"/>
  <c r="AM41" i="3" s="1"/>
  <c r="O37" i="3" l="1"/>
  <c r="P37" i="3" s="1"/>
  <c r="R37" i="3" s="1"/>
  <c r="AO40" i="3"/>
  <c r="AP40" i="3"/>
  <c r="AN41" i="3"/>
  <c r="AO41" i="3" s="1" a="1"/>
  <c r="AL42" i="3"/>
  <c r="AM42" i="3" s="1"/>
  <c r="O38" i="3" l="1"/>
  <c r="P38" i="3" s="1"/>
  <c r="R38" i="3" s="1"/>
  <c r="AN42" i="3"/>
  <c r="AO42" i="3" s="1" a="1"/>
  <c r="AO41" i="3"/>
  <c r="AP41" i="3"/>
  <c r="AL43" i="3"/>
  <c r="AM43" i="3" s="1"/>
  <c r="O39" i="3" l="1"/>
  <c r="P39" i="3" s="1"/>
  <c r="R39" i="3" s="1"/>
  <c r="AP42" i="3"/>
  <c r="AO42" i="3"/>
  <c r="AN43" i="3"/>
  <c r="AO43" i="3" s="1" a="1"/>
  <c r="AL44" i="3"/>
  <c r="AM44" i="3" s="1"/>
  <c r="O40" i="3" l="1"/>
  <c r="O41" i="3" s="1"/>
  <c r="P41" i="3" s="1"/>
  <c r="AN44" i="3"/>
  <c r="AO44" i="3" s="1" a="1"/>
  <c r="AO43" i="3"/>
  <c r="AP43" i="3"/>
  <c r="AL45" i="3"/>
  <c r="AM45" i="3" s="1"/>
  <c r="O42" i="3" l="1"/>
  <c r="O43" i="3" s="1"/>
  <c r="P40" i="3"/>
  <c r="R40" i="3" s="1"/>
  <c r="AN45" i="3"/>
  <c r="AO45" i="3" s="1" a="1"/>
  <c r="AO44" i="3"/>
  <c r="AP44" i="3"/>
  <c r="AL46" i="3"/>
  <c r="AM46" i="3" s="1"/>
  <c r="R41" i="3"/>
  <c r="P42" i="3" l="1"/>
  <c r="R42" i="3" s="1"/>
  <c r="AO45" i="3"/>
  <c r="AP45" i="3"/>
  <c r="AN46" i="3"/>
  <c r="AO46" i="3" s="1" a="1"/>
  <c r="AL47" i="3"/>
  <c r="AM47" i="3" s="1"/>
  <c r="P43" i="3"/>
  <c r="O44" i="3"/>
  <c r="AO46" i="3" l="1"/>
  <c r="AP46" i="3"/>
  <c r="AO47" i="3" a="1"/>
  <c r="AN47" i="3"/>
  <c r="AL48" i="3"/>
  <c r="AM48" i="3" s="1"/>
  <c r="P44" i="3"/>
  <c r="O45" i="3"/>
  <c r="R43" i="3"/>
  <c r="AR31" i="3" a="1"/>
  <c r="AR54" i="3" l="1"/>
  <c r="I49" i="3" s="1"/>
  <c r="L49" i="3" s="1"/>
  <c r="AR46" i="3"/>
  <c r="I41" i="3" s="1"/>
  <c r="L41" i="3" s="1"/>
  <c r="S41" i="3" s="1"/>
  <c r="AR45" i="3"/>
  <c r="I40" i="3" s="1"/>
  <c r="L40" i="3" s="1"/>
  <c r="S40" i="3" s="1"/>
  <c r="AR60" i="3"/>
  <c r="I55" i="3" s="1"/>
  <c r="L55" i="3" s="1"/>
  <c r="AR47" i="3"/>
  <c r="I42" i="3" s="1"/>
  <c r="L42" i="3" s="1"/>
  <c r="S42" i="3" s="1"/>
  <c r="AR32" i="3"/>
  <c r="I27" i="3" s="1"/>
  <c r="L27" i="3" s="1"/>
  <c r="AR59" i="3"/>
  <c r="I54" i="3" s="1"/>
  <c r="L54" i="3" s="1"/>
  <c r="AR43" i="3"/>
  <c r="I38" i="3" s="1"/>
  <c r="L38" i="3" s="1"/>
  <c r="S38" i="3" s="1"/>
  <c r="AR50" i="3"/>
  <c r="I45" i="3" s="1"/>
  <c r="L45" i="3" s="1"/>
  <c r="AR49" i="3"/>
  <c r="I44" i="3" s="1"/>
  <c r="L44" i="3" s="1"/>
  <c r="S44" i="3" s="1"/>
  <c r="AR40" i="3"/>
  <c r="I35" i="3" s="1"/>
  <c r="L35" i="3" s="1"/>
  <c r="S35" i="3" s="1"/>
  <c r="AR38" i="3"/>
  <c r="I33" i="3" s="1"/>
  <c r="L33" i="3" s="1"/>
  <c r="S33" i="3" s="1"/>
  <c r="AR31" i="3"/>
  <c r="I26" i="3" s="1"/>
  <c r="L26" i="3" s="1"/>
  <c r="AR35" i="3"/>
  <c r="I30" i="3" s="1"/>
  <c r="L30" i="3" s="1"/>
  <c r="AR51" i="3"/>
  <c r="I46" i="3" s="1"/>
  <c r="L46" i="3" s="1"/>
  <c r="AR52" i="3"/>
  <c r="I47" i="3" s="1"/>
  <c r="L47" i="3" s="1"/>
  <c r="AR57" i="3"/>
  <c r="I52" i="3" s="1"/>
  <c r="L52" i="3" s="1"/>
  <c r="AR53" i="3"/>
  <c r="I48" i="3" s="1"/>
  <c r="L48" i="3" s="1"/>
  <c r="AR33" i="3"/>
  <c r="I28" i="3" s="1"/>
  <c r="L28" i="3" s="1"/>
  <c r="AR36" i="3"/>
  <c r="I31" i="3" s="1"/>
  <c r="L31" i="3" s="1"/>
  <c r="S31" i="3" s="1"/>
  <c r="AR34" i="3"/>
  <c r="I29" i="3" s="1"/>
  <c r="L29" i="3" s="1"/>
  <c r="S29" i="3" s="1"/>
  <c r="AR37" i="3"/>
  <c r="I32" i="3" s="1"/>
  <c r="L32" i="3" s="1"/>
  <c r="AR58" i="3"/>
  <c r="I53" i="3" s="1"/>
  <c r="L53" i="3" s="1"/>
  <c r="AR39" i="3"/>
  <c r="I34" i="3" s="1"/>
  <c r="L34" i="3" s="1"/>
  <c r="S34" i="3" s="1"/>
  <c r="AR48" i="3"/>
  <c r="I43" i="3" s="1"/>
  <c r="L43" i="3" s="1"/>
  <c r="S43" i="3" s="1"/>
  <c r="AR56" i="3"/>
  <c r="I51" i="3" s="1"/>
  <c r="L51" i="3" s="1"/>
  <c r="AR55" i="3"/>
  <c r="I50" i="3" s="1"/>
  <c r="L50" i="3" s="1"/>
  <c r="AR42" i="3"/>
  <c r="I37" i="3" s="1"/>
  <c r="L37" i="3" s="1"/>
  <c r="AR44" i="3"/>
  <c r="I39" i="3" s="1"/>
  <c r="L39" i="3" s="1"/>
  <c r="S39" i="3" s="1"/>
  <c r="AR41" i="3"/>
  <c r="I36" i="3" s="1"/>
  <c r="L36" i="3" s="1"/>
  <c r="S36" i="3" s="1"/>
  <c r="S37" i="3"/>
  <c r="AO48" i="3" a="1"/>
  <c r="AN48" i="3"/>
  <c r="AP47" i="3"/>
  <c r="AO47" i="3"/>
  <c r="AL49" i="3"/>
  <c r="AM49" i="3" s="1"/>
  <c r="P45" i="3"/>
  <c r="O46" i="3"/>
  <c r="R44" i="3"/>
  <c r="S26" i="3" l="1"/>
  <c r="S28" i="3"/>
  <c r="S27" i="3"/>
  <c r="S30" i="3"/>
  <c r="S32" i="3"/>
  <c r="AO49" i="3" a="1"/>
  <c r="AN49" i="3"/>
  <c r="AO48" i="3"/>
  <c r="AP48" i="3"/>
  <c r="AL50" i="3"/>
  <c r="AM50" i="3" s="1"/>
  <c r="P46" i="3"/>
  <c r="O47" i="3"/>
  <c r="R45" i="3"/>
  <c r="S45" i="3"/>
  <c r="AN50" i="3" l="1"/>
  <c r="AO50" i="3" a="1"/>
  <c r="AO49" i="3"/>
  <c r="AP49" i="3"/>
  <c r="AL51" i="3"/>
  <c r="AM51" i="3" s="1"/>
  <c r="P47" i="3"/>
  <c r="O48" i="3"/>
  <c r="S46" i="3"/>
  <c r="R46" i="3"/>
  <c r="AP50" i="3" l="1"/>
  <c r="AO50" i="3"/>
  <c r="AO51" i="3" a="1"/>
  <c r="AN51" i="3"/>
  <c r="AL52" i="3"/>
  <c r="AM52" i="3" s="1"/>
  <c r="P48" i="3"/>
  <c r="O49" i="3"/>
  <c r="R47" i="3"/>
  <c r="S47" i="3"/>
  <c r="AN52" i="3" l="1"/>
  <c r="AO52" i="3" a="1"/>
  <c r="AO51" i="3"/>
  <c r="AP51" i="3"/>
  <c r="AL53" i="3"/>
  <c r="AM53" i="3" s="1"/>
  <c r="P49" i="3"/>
  <c r="O50" i="3"/>
  <c r="S48" i="3"/>
  <c r="R48" i="3"/>
  <c r="AO52" i="3" l="1"/>
  <c r="AP52" i="3"/>
  <c r="AN53" i="3"/>
  <c r="AO53" i="3" a="1"/>
  <c r="AL54" i="3"/>
  <c r="AM54" i="3" s="1"/>
  <c r="P50" i="3"/>
  <c r="O51" i="3"/>
  <c r="R49" i="3"/>
  <c r="S49" i="3"/>
  <c r="AO53" i="3" l="1"/>
  <c r="AP53" i="3"/>
  <c r="AO54" i="3" a="1"/>
  <c r="AN54" i="3"/>
  <c r="AL55" i="3"/>
  <c r="AM55" i="3" s="1"/>
  <c r="P51" i="3"/>
  <c r="O52" i="3"/>
  <c r="R50" i="3"/>
  <c r="S50" i="3"/>
  <c r="AN55" i="3" l="1"/>
  <c r="AO55" i="3" a="1"/>
  <c r="AO54" i="3"/>
  <c r="AP54" i="3"/>
  <c r="AL56" i="3"/>
  <c r="AM56" i="3" s="1"/>
  <c r="P52" i="3"/>
  <c r="O53" i="3"/>
  <c r="R51" i="3"/>
  <c r="S51" i="3"/>
  <c r="AO55" i="3" l="1"/>
  <c r="AP55" i="3"/>
  <c r="AO56" i="3" a="1"/>
  <c r="AN56" i="3"/>
  <c r="AL57" i="3"/>
  <c r="AM57" i="3" s="1"/>
  <c r="P53" i="3"/>
  <c r="O54" i="3"/>
  <c r="R52" i="3"/>
  <c r="S52" i="3"/>
  <c r="AO57" i="3" l="1" a="1"/>
  <c r="AN57" i="3"/>
  <c r="AO56" i="3"/>
  <c r="AP56" i="3"/>
  <c r="AL58" i="3"/>
  <c r="AM58" i="3" s="1"/>
  <c r="P54" i="3"/>
  <c r="O55" i="3"/>
  <c r="S53" i="3"/>
  <c r="R53" i="3"/>
  <c r="AN58" i="3" l="1"/>
  <c r="AO58" i="3" a="1"/>
  <c r="AO57" i="3"/>
  <c r="AP57" i="3"/>
  <c r="AL59" i="3"/>
  <c r="AM59" i="3" s="1"/>
  <c r="P55" i="3"/>
  <c r="O56" i="3"/>
  <c r="S54" i="3"/>
  <c r="R54" i="3"/>
  <c r="AO59" i="3" l="1" a="1"/>
  <c r="AN59" i="3"/>
  <c r="AO58" i="3"/>
  <c r="AP58" i="3"/>
  <c r="AL60" i="3"/>
  <c r="AM60" i="3" s="1"/>
  <c r="P56" i="3"/>
  <c r="O57" i="3"/>
  <c r="S55" i="3"/>
  <c r="R55" i="3"/>
  <c r="AO60" i="3" l="1" a="1"/>
  <c r="AN60" i="3"/>
  <c r="AP59" i="3"/>
  <c r="AO59" i="3"/>
  <c r="AL61" i="3"/>
  <c r="AM61" i="3" s="1"/>
  <c r="P57" i="3"/>
  <c r="O58" i="3"/>
  <c r="S56" i="3"/>
  <c r="R56" i="3"/>
  <c r="AN61" i="3" l="1"/>
  <c r="AO60" i="3"/>
  <c r="AP60" i="3"/>
  <c r="AL62" i="3"/>
  <c r="AM62" i="3" s="1"/>
  <c r="P58" i="3"/>
  <c r="O59" i="3"/>
  <c r="S57" i="3"/>
  <c r="R57" i="3"/>
  <c r="AN62" i="3" l="1"/>
  <c r="AL63" i="3"/>
  <c r="AM63" i="3" s="1"/>
  <c r="P59" i="3"/>
  <c r="O60" i="3"/>
  <c r="R58" i="3"/>
  <c r="S58" i="3"/>
  <c r="AN63" i="3" l="1"/>
  <c r="AO63" i="3" a="1"/>
  <c r="AL64" i="3"/>
  <c r="AM64" i="3" s="1"/>
  <c r="P60" i="3"/>
  <c r="O61" i="3"/>
  <c r="R59" i="3"/>
  <c r="S59" i="3"/>
  <c r="AO63" i="3" l="1"/>
  <c r="AP63" i="3"/>
  <c r="AN64" i="3"/>
  <c r="AO64" i="3" a="1"/>
  <c r="AL65" i="3"/>
  <c r="AM65" i="3" s="1"/>
  <c r="P61" i="3"/>
  <c r="O62" i="3"/>
  <c r="S60" i="3"/>
  <c r="R60" i="3"/>
  <c r="AO64" i="3" l="1"/>
  <c r="AP64" i="3"/>
  <c r="AO65" i="3" a="1"/>
  <c r="AN65" i="3"/>
  <c r="AL66" i="3"/>
  <c r="AM66" i="3" s="1"/>
  <c r="P62" i="3"/>
  <c r="O63" i="3"/>
  <c r="R61" i="3"/>
  <c r="S61" i="3"/>
  <c r="AO66" i="3" l="1" a="1"/>
  <c r="AN66" i="3"/>
  <c r="AO65" i="3"/>
  <c r="AP65" i="3"/>
  <c r="AL67" i="3"/>
  <c r="AM67" i="3" s="1"/>
  <c r="P63" i="3"/>
  <c r="O64" i="3"/>
  <c r="R62" i="3"/>
  <c r="S62" i="3"/>
  <c r="AN67" i="3" l="1"/>
  <c r="AO67" i="3" a="1"/>
  <c r="AP66" i="3"/>
  <c r="AO66" i="3"/>
  <c r="AL68" i="3"/>
  <c r="AM68" i="3" s="1"/>
  <c r="P64" i="3"/>
  <c r="O65" i="3"/>
  <c r="R63" i="3"/>
  <c r="S63" i="3"/>
  <c r="AO67" i="3" l="1"/>
  <c r="AP67" i="3"/>
  <c r="AO68" i="3" a="1"/>
  <c r="AN68" i="3"/>
  <c r="AL69" i="3"/>
  <c r="AM69" i="3" s="1"/>
  <c r="P65" i="3"/>
  <c r="O66" i="3"/>
  <c r="S64" i="3"/>
  <c r="R64" i="3"/>
  <c r="AO69" i="3" l="1" a="1"/>
  <c r="AN69" i="3"/>
  <c r="AO68" i="3"/>
  <c r="AP68" i="3"/>
  <c r="AL70" i="3"/>
  <c r="AM70" i="3" s="1"/>
  <c r="P66" i="3"/>
  <c r="O67" i="3"/>
  <c r="P67" i="3" s="1"/>
  <c r="R65" i="3"/>
  <c r="S65" i="3"/>
  <c r="AN70" i="3" l="1"/>
  <c r="AO70" i="3" a="1"/>
  <c r="AO69" i="3"/>
  <c r="AP69" i="3"/>
  <c r="AL71" i="3"/>
  <c r="AM71" i="3" s="1"/>
  <c r="R67" i="3"/>
  <c r="S67" i="3"/>
  <c r="S66" i="3"/>
  <c r="R66" i="3"/>
  <c r="C4" i="1"/>
  <c r="H4" i="1"/>
  <c r="AO70" i="3" l="1"/>
  <c r="AP70" i="3"/>
  <c r="AO71" i="3" a="1"/>
  <c r="AN71" i="3"/>
  <c r="AL72" i="3"/>
  <c r="AM72" i="3" s="1"/>
  <c r="H5" i="1"/>
  <c r="M4" i="1"/>
  <c r="C5" i="1"/>
  <c r="H6" i="1" l="1"/>
  <c r="C6" i="1"/>
  <c r="AO72" i="3" a="1"/>
  <c r="AN72" i="3"/>
  <c r="AP71" i="3"/>
  <c r="AO71" i="3"/>
  <c r="M5" i="1"/>
  <c r="I3" i="1" a="1"/>
  <c r="D3" i="1" a="1"/>
  <c r="D24" i="1" l="1"/>
  <c r="D27" i="1"/>
  <c r="D58" i="1"/>
  <c r="D81" i="1"/>
  <c r="D63" i="1"/>
  <c r="D35" i="1"/>
  <c r="D34" i="1"/>
  <c r="D32" i="1"/>
  <c r="D59" i="1"/>
  <c r="D38" i="1"/>
  <c r="D25" i="1"/>
  <c r="D67" i="1"/>
  <c r="D73" i="1"/>
  <c r="D70" i="1"/>
  <c r="D6" i="1"/>
  <c r="D69" i="1"/>
  <c r="D18" i="1"/>
  <c r="D4" i="1"/>
  <c r="D8" i="1"/>
  <c r="D46" i="1"/>
  <c r="D85" i="1"/>
  <c r="D71" i="1"/>
  <c r="D62" i="1"/>
  <c r="D33" i="1"/>
  <c r="D47" i="1"/>
  <c r="D61" i="1"/>
  <c r="D31" i="1"/>
  <c r="D49" i="1"/>
  <c r="D11" i="1"/>
  <c r="D22" i="1"/>
  <c r="D19" i="1"/>
  <c r="D74" i="1"/>
  <c r="D89" i="1"/>
  <c r="D15" i="1"/>
  <c r="D60" i="1"/>
  <c r="D26" i="1"/>
  <c r="D20" i="1"/>
  <c r="D54" i="1"/>
  <c r="D23" i="1"/>
  <c r="D29" i="1"/>
  <c r="D82" i="1"/>
  <c r="D45" i="1"/>
  <c r="D87" i="1"/>
  <c r="D36" i="1"/>
  <c r="D88" i="1"/>
  <c r="D92" i="1"/>
  <c r="D10" i="1"/>
  <c r="D75" i="1"/>
  <c r="D44" i="1"/>
  <c r="D56" i="1"/>
  <c r="D90" i="1"/>
  <c r="D39" i="1"/>
  <c r="D55" i="1"/>
  <c r="D57" i="1"/>
  <c r="D65" i="1"/>
  <c r="D52" i="1"/>
  <c r="D51" i="1"/>
  <c r="D21" i="1"/>
  <c r="D43" i="1"/>
  <c r="D77" i="1"/>
  <c r="D83" i="1"/>
  <c r="D37" i="1"/>
  <c r="D13" i="1"/>
  <c r="D76" i="1"/>
  <c r="D72" i="1"/>
  <c r="D66" i="1"/>
  <c r="D64" i="1"/>
  <c r="D80" i="1"/>
  <c r="D68" i="1"/>
  <c r="D79" i="1"/>
  <c r="D28" i="1"/>
  <c r="D50" i="1"/>
  <c r="D78" i="1"/>
  <c r="D42" i="1"/>
  <c r="D84" i="1"/>
  <c r="D14" i="1"/>
  <c r="D86" i="1"/>
  <c r="D17" i="1"/>
  <c r="D16" i="1"/>
  <c r="D30" i="1"/>
  <c r="D91" i="1"/>
  <c r="D40" i="1"/>
  <c r="D41" i="1"/>
  <c r="D5" i="1"/>
  <c r="D7" i="1"/>
  <c r="D3" i="1"/>
  <c r="D48" i="1"/>
  <c r="D12" i="1"/>
  <c r="D53" i="1"/>
  <c r="D9" i="1"/>
  <c r="M6" i="1"/>
  <c r="I89" i="1"/>
  <c r="I28" i="1"/>
  <c r="I72" i="1"/>
  <c r="I51" i="1"/>
  <c r="I67" i="1"/>
  <c r="I7" i="1"/>
  <c r="I73" i="1"/>
  <c r="I76" i="1"/>
  <c r="I44" i="1"/>
  <c r="I70" i="1"/>
  <c r="I90" i="1"/>
  <c r="I64" i="1"/>
  <c r="I40" i="1"/>
  <c r="I12" i="1"/>
  <c r="I30" i="1"/>
  <c r="I11" i="1"/>
  <c r="I29" i="1"/>
  <c r="I18" i="1"/>
  <c r="I27" i="1"/>
  <c r="I91" i="1"/>
  <c r="I50" i="1"/>
  <c r="I86" i="1"/>
  <c r="I48" i="1"/>
  <c r="I57" i="1"/>
  <c r="I53" i="1"/>
  <c r="I81" i="1"/>
  <c r="I92" i="1"/>
  <c r="I52" i="1"/>
  <c r="I47" i="1"/>
  <c r="I79" i="1"/>
  <c r="I26" i="1"/>
  <c r="I38" i="1"/>
  <c r="I35" i="1"/>
  <c r="I24" i="1"/>
  <c r="I19" i="1"/>
  <c r="I10" i="1"/>
  <c r="I74" i="1"/>
  <c r="I4" i="1"/>
  <c r="I45" i="1"/>
  <c r="I61" i="1"/>
  <c r="I3" i="1"/>
  <c r="I82" i="1"/>
  <c r="I36" i="1"/>
  <c r="I13" i="1"/>
  <c r="I71" i="1"/>
  <c r="I80" i="1"/>
  <c r="I68" i="1"/>
  <c r="I34" i="1"/>
  <c r="I46" i="1"/>
  <c r="I54" i="1"/>
  <c r="I55" i="1"/>
  <c r="I65" i="1"/>
  <c r="I56" i="1"/>
  <c r="I37" i="1"/>
  <c r="I66" i="1"/>
  <c r="I83" i="1"/>
  <c r="I75" i="1"/>
  <c r="I41" i="1"/>
  <c r="I58" i="1"/>
  <c r="I5" i="1"/>
  <c r="I43" i="1"/>
  <c r="I77" i="1"/>
  <c r="I42" i="1"/>
  <c r="I20" i="1"/>
  <c r="I14" i="1"/>
  <c r="I31" i="1"/>
  <c r="I6" i="1"/>
  <c r="I9" i="1"/>
  <c r="I17" i="1"/>
  <c r="I87" i="1"/>
  <c r="I49" i="1"/>
  <c r="I85" i="1"/>
  <c r="I88" i="1"/>
  <c r="I78" i="1"/>
  <c r="I62" i="1"/>
  <c r="I59" i="1"/>
  <c r="I39" i="1"/>
  <c r="I8" i="1"/>
  <c r="I22" i="1"/>
  <c r="I33" i="1"/>
  <c r="I60" i="1"/>
  <c r="I21" i="1"/>
  <c r="I84" i="1"/>
  <c r="I23" i="1"/>
  <c r="I69" i="1"/>
  <c r="I25" i="1"/>
  <c r="I15" i="1"/>
  <c r="I16" i="1"/>
  <c r="I63" i="1"/>
  <c r="I32" i="1"/>
  <c r="AO72" i="3"/>
  <c r="AP72" i="3"/>
  <c r="N3" i="1" a="1"/>
  <c r="N28" i="1" l="1"/>
  <c r="N92" i="1"/>
  <c r="N50" i="1"/>
  <c r="N56" i="1"/>
  <c r="N81" i="1"/>
  <c r="N64" i="1"/>
  <c r="N13" i="1"/>
  <c r="N68" i="1"/>
  <c r="N19" i="1"/>
  <c r="N62" i="1"/>
  <c r="N91" i="1"/>
  <c r="N22" i="1"/>
  <c r="N48" i="1"/>
  <c r="N24" i="1"/>
  <c r="N43" i="1"/>
  <c r="N46" i="1"/>
  <c r="N7" i="1"/>
  <c r="N32" i="1"/>
  <c r="N84" i="1"/>
  <c r="N75" i="1"/>
  <c r="N9" i="1"/>
  <c r="N36" i="1"/>
  <c r="N10" i="1"/>
  <c r="N39" i="1"/>
  <c r="N47" i="1"/>
  <c r="N27" i="1"/>
  <c r="N83" i="1"/>
  <c r="N86" i="1"/>
  <c r="N17" i="1"/>
  <c r="N78" i="1"/>
  <c r="N63" i="1"/>
  <c r="N73" i="1"/>
  <c r="N4" i="1"/>
  <c r="N55" i="1"/>
  <c r="N23" i="1"/>
  <c r="N69" i="1"/>
  <c r="N33" i="1"/>
  <c r="N25" i="1"/>
  <c r="N89" i="1"/>
  <c r="N12" i="1"/>
  <c r="N53" i="1"/>
  <c r="N11" i="1"/>
  <c r="N85" i="1"/>
  <c r="N88" i="1"/>
  <c r="N45" i="1"/>
  <c r="N57" i="1"/>
  <c r="N40" i="1"/>
  <c r="N58" i="1"/>
  <c r="N37" i="1"/>
  <c r="N42" i="1"/>
  <c r="N49" i="1"/>
  <c r="N82" i="1"/>
  <c r="N87" i="1"/>
  <c r="N6" i="1"/>
  <c r="N29" i="1"/>
  <c r="N67" i="1"/>
  <c r="N35" i="1"/>
  <c r="N31" i="1"/>
  <c r="N72" i="1"/>
  <c r="N5" i="1"/>
  <c r="N66" i="1"/>
  <c r="N60" i="1"/>
  <c r="N71" i="1"/>
  <c r="N34" i="1"/>
  <c r="N76" i="1"/>
  <c r="N3" i="1"/>
  <c r="N44" i="1"/>
  <c r="N18" i="1"/>
  <c r="N15" i="1"/>
  <c r="N59" i="1"/>
  <c r="N74" i="1"/>
  <c r="N61" i="1"/>
  <c r="N8" i="1"/>
  <c r="N79" i="1"/>
  <c r="N77" i="1"/>
  <c r="N41" i="1"/>
  <c r="N70" i="1"/>
  <c r="N54" i="1"/>
  <c r="N14" i="1"/>
  <c r="N51" i="1"/>
  <c r="N52" i="1"/>
  <c r="N65" i="1"/>
  <c r="N38" i="1"/>
  <c r="N21" i="1"/>
  <c r="N80" i="1"/>
  <c r="N26" i="1"/>
  <c r="N16" i="1"/>
  <c r="N90" i="1"/>
  <c r="N20" i="1"/>
  <c r="N30" i="1"/>
  <c r="H13" i="1"/>
  <c r="C13" i="1"/>
  <c r="M13" i="1" l="1"/>
  <c r="J10" i="7"/>
  <c r="J40" i="7"/>
  <c r="O7" i="7"/>
  <c r="J86" i="7"/>
  <c r="J37" i="7"/>
  <c r="O42" i="7"/>
  <c r="O48" i="7"/>
  <c r="J62" i="7"/>
  <c r="O39" i="7"/>
  <c r="O81" i="7"/>
  <c r="E37" i="7"/>
  <c r="O64" i="7"/>
  <c r="E49" i="7"/>
  <c r="J74" i="7"/>
  <c r="J64" i="7"/>
  <c r="J19" i="7"/>
  <c r="J83" i="7"/>
  <c r="O86" i="7"/>
  <c r="E89" i="7"/>
  <c r="J24" i="7"/>
  <c r="E82" i="7"/>
  <c r="O58" i="7"/>
  <c r="J28" i="7"/>
  <c r="J52" i="7"/>
  <c r="E65" i="7"/>
  <c r="J35" i="7"/>
  <c r="O43" i="7"/>
  <c r="J26" i="7"/>
  <c r="O22" i="7"/>
  <c r="O26" i="7"/>
  <c r="E40" i="7"/>
  <c r="O36" i="7"/>
  <c r="E12" i="7"/>
  <c r="E20" i="7"/>
  <c r="J21" i="7"/>
  <c r="E67" i="7"/>
  <c r="J63" i="7"/>
  <c r="E90" i="7"/>
  <c r="E55" i="7"/>
  <c r="O92" i="7"/>
  <c r="O27" i="7"/>
  <c r="O52" i="7"/>
  <c r="E75" i="7"/>
  <c r="O14" i="7"/>
  <c r="J3" i="7"/>
  <c r="J12" i="7"/>
  <c r="O60" i="7"/>
  <c r="O84" i="7"/>
  <c r="J4" i="7"/>
  <c r="J5" i="7"/>
  <c r="O76" i="7"/>
  <c r="O47" i="7"/>
  <c r="O68" i="7"/>
  <c r="O57" i="7"/>
  <c r="E24" i="7"/>
  <c r="O38" i="7"/>
  <c r="E23" i="7"/>
  <c r="E35" i="7"/>
  <c r="E34" i="7"/>
  <c r="E22" i="7"/>
  <c r="E8" i="7"/>
  <c r="O41" i="7"/>
  <c r="E70" i="7"/>
  <c r="J91" i="7"/>
  <c r="O89" i="7"/>
  <c r="J65" i="7"/>
  <c r="O37" i="7"/>
  <c r="E38" i="7"/>
  <c r="O17" i="7"/>
  <c r="J48" i="7"/>
  <c r="O46" i="7"/>
  <c r="E16" i="7"/>
  <c r="E83" i="7"/>
  <c r="E9" i="7"/>
  <c r="E84" i="7"/>
  <c r="E17" i="7"/>
  <c r="J43" i="7"/>
  <c r="E29" i="7"/>
  <c r="J23" i="7"/>
  <c r="J34" i="7"/>
  <c r="O75" i="7"/>
  <c r="E39" i="7"/>
  <c r="J29" i="7"/>
  <c r="E85" i="7"/>
  <c r="J87" i="7"/>
  <c r="J20" i="7"/>
  <c r="O73" i="7"/>
  <c r="J68" i="7"/>
  <c r="J78" i="7"/>
  <c r="J50" i="7"/>
  <c r="O77" i="7"/>
  <c r="E74" i="7"/>
  <c r="J77" i="7"/>
  <c r="E19" i="7"/>
  <c r="J76" i="7"/>
  <c r="O20" i="7"/>
  <c r="E21" i="7"/>
  <c r="O85" i="7"/>
  <c r="O8" i="7"/>
  <c r="O35" i="7"/>
  <c r="J79" i="7"/>
  <c r="E6" i="7"/>
  <c r="E42" i="7"/>
  <c r="J30" i="7"/>
  <c r="E14" i="7"/>
  <c r="E10" i="7"/>
  <c r="E54" i="7"/>
  <c r="J61" i="7"/>
  <c r="J41" i="7"/>
  <c r="O91" i="7"/>
  <c r="O5" i="7"/>
  <c r="O23" i="7"/>
  <c r="E77" i="7"/>
  <c r="J54" i="7"/>
  <c r="J80" i="7"/>
  <c r="E56" i="7"/>
  <c r="O55" i="7"/>
  <c r="J7" i="7"/>
  <c r="J57" i="7"/>
  <c r="O3" i="7"/>
  <c r="J81" i="7"/>
  <c r="E66" i="7"/>
  <c r="E25" i="7"/>
  <c r="E57" i="7"/>
  <c r="E58" i="7"/>
  <c r="O33" i="7"/>
  <c r="O50" i="7"/>
  <c r="O16" i="7"/>
  <c r="O13" i="7"/>
  <c r="J89" i="7"/>
  <c r="O49" i="7"/>
  <c r="E28" i="7"/>
  <c r="E18" i="7"/>
  <c r="O63" i="7"/>
  <c r="J67" i="7"/>
  <c r="E68" i="7"/>
  <c r="E52" i="7"/>
  <c r="E72" i="7"/>
  <c r="O66" i="7"/>
  <c r="E63" i="7"/>
  <c r="J85" i="7"/>
  <c r="J47" i="7"/>
  <c r="E11" i="7"/>
  <c r="J71" i="7"/>
  <c r="J58" i="7"/>
  <c r="E64" i="7"/>
  <c r="O6" i="7"/>
  <c r="E81" i="7"/>
  <c r="J15" i="7"/>
  <c r="E60" i="7"/>
  <c r="E87" i="7"/>
  <c r="E41" i="7"/>
  <c r="E15" i="7"/>
  <c r="E43" i="7"/>
  <c r="J8" i="7"/>
  <c r="J53" i="7"/>
  <c r="O24" i="7"/>
  <c r="J45" i="7"/>
  <c r="O25" i="7"/>
  <c r="E44" i="7"/>
  <c r="J49" i="7"/>
  <c r="J11" i="7"/>
  <c r="J75" i="7"/>
  <c r="J42" i="7"/>
  <c r="J38" i="7"/>
  <c r="J90" i="7"/>
  <c r="J51" i="7"/>
  <c r="O62" i="7"/>
  <c r="O54" i="7"/>
  <c r="J84" i="7"/>
  <c r="J18" i="7"/>
  <c r="E45" i="7"/>
  <c r="E13" i="7"/>
  <c r="O44" i="7"/>
  <c r="J6" i="7"/>
  <c r="E78" i="7"/>
  <c r="E26" i="7"/>
  <c r="E32" i="7"/>
  <c r="O78" i="7"/>
  <c r="J31" i="7"/>
  <c r="O30" i="7"/>
  <c r="J70" i="7"/>
  <c r="J17" i="7"/>
  <c r="J22" i="7"/>
  <c r="E73" i="7"/>
  <c r="J44" i="7"/>
  <c r="E53" i="7"/>
  <c r="O70" i="7"/>
  <c r="J82" i="7"/>
  <c r="E92" i="7"/>
  <c r="J69" i="7"/>
  <c r="J36" i="7"/>
  <c r="J73" i="7"/>
  <c r="E36" i="7"/>
  <c r="O83" i="7"/>
  <c r="E48" i="7"/>
  <c r="O71" i="7"/>
  <c r="O28" i="7"/>
  <c r="E7" i="7"/>
  <c r="J27" i="7"/>
  <c r="O12" i="7"/>
  <c r="O4" i="7"/>
  <c r="O67" i="7"/>
  <c r="O15" i="7"/>
  <c r="O74" i="7"/>
  <c r="O32" i="7"/>
  <c r="J14" i="7"/>
  <c r="O31" i="7"/>
  <c r="O61" i="7"/>
  <c r="E91" i="7"/>
  <c r="E88" i="7"/>
  <c r="O21" i="7"/>
  <c r="O18" i="7"/>
  <c r="O65" i="7"/>
  <c r="O51" i="7"/>
  <c r="O19" i="7"/>
  <c r="O59" i="7"/>
  <c r="O72" i="7"/>
  <c r="O79" i="7"/>
  <c r="J25" i="7"/>
  <c r="E3" i="7"/>
  <c r="O56" i="7"/>
  <c r="J55" i="7"/>
  <c r="E47" i="7"/>
  <c r="E30" i="7"/>
  <c r="O69" i="7"/>
  <c r="O45" i="7"/>
  <c r="O53" i="7"/>
  <c r="O29" i="7"/>
  <c r="O82" i="7"/>
  <c r="O10" i="7"/>
  <c r="J32" i="7"/>
  <c r="O9" i="7"/>
  <c r="O34" i="7"/>
  <c r="E76" i="7"/>
  <c r="J33" i="7"/>
  <c r="J9" i="7"/>
  <c r="E4" i="7"/>
  <c r="E51" i="7"/>
  <c r="J56" i="7"/>
  <c r="J92" i="7"/>
  <c r="J39" i="7"/>
  <c r="J66" i="7"/>
  <c r="O40" i="7"/>
  <c r="E79" i="7"/>
  <c r="E61" i="7"/>
  <c r="O80" i="7"/>
  <c r="E33" i="7"/>
  <c r="J16" i="7"/>
  <c r="O88" i="7"/>
  <c r="J13" i="7"/>
  <c r="E5" i="7"/>
  <c r="E86" i="7"/>
  <c r="O11" i="7"/>
  <c r="E69" i="7"/>
  <c r="E62" i="7"/>
  <c r="E80" i="7"/>
  <c r="O87" i="7"/>
  <c r="E71" i="7"/>
  <c r="O90" i="7"/>
  <c r="E27" i="7"/>
  <c r="J46" i="7"/>
  <c r="J60" i="7"/>
  <c r="E59" i="7"/>
  <c r="E46" i="7"/>
  <c r="E50" i="7"/>
  <c r="J59" i="7"/>
  <c r="J72" i="7"/>
  <c r="E31" i="7"/>
  <c r="J88" i="7"/>
  <c r="M14" i="7"/>
  <c r="H14" i="7"/>
  <c r="C14" i="7"/>
  <c r="C16" i="1" l="1"/>
  <c r="O30" i="1"/>
  <c r="J60" i="1"/>
  <c r="J52" i="1"/>
  <c r="E40" i="1"/>
  <c r="O19" i="1"/>
  <c r="O47" i="1"/>
  <c r="J23" i="1"/>
  <c r="J9" i="1"/>
  <c r="E37" i="1"/>
  <c r="E64" i="1"/>
  <c r="O84" i="1"/>
  <c r="J59" i="1"/>
  <c r="E79" i="1"/>
  <c r="J57" i="1"/>
  <c r="E44" i="1"/>
  <c r="E71" i="1"/>
  <c r="O13" i="1"/>
  <c r="J48" i="1"/>
  <c r="J11" i="1"/>
  <c r="O21" i="1"/>
  <c r="O48" i="1"/>
  <c r="O12" i="1"/>
  <c r="O7" i="1"/>
  <c r="O90" i="1"/>
  <c r="J16" i="1"/>
  <c r="J33" i="1"/>
  <c r="J66" i="1"/>
  <c r="E21" i="1"/>
  <c r="J85" i="1"/>
  <c r="O75" i="1"/>
  <c r="J74" i="1"/>
  <c r="J78" i="1"/>
  <c r="J36" i="1"/>
  <c r="E17" i="1"/>
  <c r="E19" i="1"/>
  <c r="J79" i="1"/>
  <c r="J75" i="1"/>
  <c r="O35" i="1"/>
  <c r="O42" i="1"/>
  <c r="O15" i="1"/>
  <c r="E87" i="1"/>
  <c r="J46" i="1"/>
  <c r="E27" i="1"/>
  <c r="J4" i="1"/>
  <c r="E5" i="1"/>
  <c r="E89" i="1"/>
  <c r="J68" i="1"/>
  <c r="J45" i="1"/>
  <c r="E18" i="1"/>
  <c r="O23" i="1"/>
  <c r="J84" i="1"/>
  <c r="E86" i="1"/>
  <c r="E24" i="1"/>
  <c r="O91" i="1"/>
  <c r="J76" i="1"/>
  <c r="O24" i="1"/>
  <c r="E28" i="1"/>
  <c r="J81" i="1"/>
  <c r="O56" i="1"/>
  <c r="J27" i="1"/>
  <c r="J61" i="1"/>
  <c r="J29" i="1"/>
  <c r="O88" i="1"/>
  <c r="J56" i="1"/>
  <c r="O83" i="1"/>
  <c r="E50" i="1"/>
  <c r="O32" i="1"/>
  <c r="J7" i="1"/>
  <c r="J25" i="1"/>
  <c r="E33" i="1"/>
  <c r="O55" i="1"/>
  <c r="J19" i="1"/>
  <c r="O80" i="1"/>
  <c r="O11" i="1"/>
  <c r="O60" i="1"/>
  <c r="J18" i="1"/>
  <c r="E6" i="1"/>
  <c r="O50" i="1"/>
  <c r="J83" i="1"/>
  <c r="E43" i="1"/>
  <c r="E29" i="1"/>
  <c r="E69" i="1"/>
  <c r="O18" i="1"/>
  <c r="J86" i="1"/>
  <c r="O3" i="1"/>
  <c r="E39" i="1"/>
  <c r="E35" i="1"/>
  <c r="O37" i="1"/>
  <c r="O85" i="1"/>
  <c r="E92" i="1"/>
  <c r="O68" i="1"/>
  <c r="E49" i="1"/>
  <c r="J47" i="1"/>
  <c r="O76" i="1"/>
  <c r="E78" i="1"/>
  <c r="O45" i="1"/>
  <c r="J87" i="1"/>
  <c r="E60" i="1"/>
  <c r="E85" i="1"/>
  <c r="E53" i="1"/>
  <c r="E70" i="1"/>
  <c r="E45" i="1"/>
  <c r="E13" i="1"/>
  <c r="J77" i="1"/>
  <c r="O72" i="1"/>
  <c r="E65" i="1"/>
  <c r="O74" i="1"/>
  <c r="J17" i="1"/>
  <c r="J21" i="1"/>
  <c r="O66" i="1"/>
  <c r="O71" i="1"/>
  <c r="J82" i="1"/>
  <c r="J41" i="1"/>
  <c r="J38" i="1"/>
  <c r="J6" i="1"/>
  <c r="E46" i="1"/>
  <c r="E15" i="1"/>
  <c r="J54" i="1"/>
  <c r="E57" i="1"/>
  <c r="O89" i="1"/>
  <c r="O46" i="1"/>
  <c r="O43" i="1"/>
  <c r="J3" i="1"/>
  <c r="E75" i="1"/>
  <c r="O64" i="1"/>
  <c r="O69" i="1"/>
  <c r="E59" i="1"/>
  <c r="O87" i="1"/>
  <c r="O41" i="1"/>
  <c r="J51" i="1"/>
  <c r="J31" i="1"/>
  <c r="J63" i="1"/>
  <c r="O86" i="1"/>
  <c r="O39" i="1"/>
  <c r="O10" i="1"/>
  <c r="J20" i="1"/>
  <c r="E91" i="1"/>
  <c r="J44" i="1"/>
  <c r="J64" i="1"/>
  <c r="O59" i="1"/>
  <c r="E52" i="1"/>
  <c r="O53" i="1"/>
  <c r="O20" i="1"/>
  <c r="E73" i="1"/>
  <c r="E63" i="1"/>
  <c r="O16" i="1"/>
  <c r="J22" i="1"/>
  <c r="O22" i="1"/>
  <c r="O67" i="1"/>
  <c r="E41" i="1"/>
  <c r="E25" i="1"/>
  <c r="E81" i="1"/>
  <c r="O40" i="1"/>
  <c r="E36" i="1"/>
  <c r="E48" i="1"/>
  <c r="O82" i="1"/>
  <c r="J5" i="1"/>
  <c r="E38" i="1"/>
  <c r="O17" i="1"/>
  <c r="E61" i="1"/>
  <c r="J24" i="1"/>
  <c r="J53" i="1"/>
  <c r="J14" i="1"/>
  <c r="O63" i="1"/>
  <c r="J55" i="1"/>
  <c r="E72" i="1"/>
  <c r="E54" i="1"/>
  <c r="O62" i="1"/>
  <c r="O44" i="1"/>
  <c r="E34" i="1"/>
  <c r="E51" i="1"/>
  <c r="E32" i="1"/>
  <c r="E4" i="1"/>
  <c r="O65" i="1"/>
  <c r="E31" i="1"/>
  <c r="J40" i="1"/>
  <c r="J90" i="1"/>
  <c r="J12" i="1"/>
  <c r="E82" i="1"/>
  <c r="E20" i="1"/>
  <c r="O27" i="1"/>
  <c r="O5" i="1"/>
  <c r="E47" i="1"/>
  <c r="J34" i="1"/>
  <c r="E62" i="1"/>
  <c r="O52" i="1"/>
  <c r="J37" i="1"/>
  <c r="E77" i="1"/>
  <c r="J26" i="1"/>
  <c r="O54" i="1"/>
  <c r="O25" i="1"/>
  <c r="E8" i="1"/>
  <c r="O6" i="1"/>
  <c r="J73" i="1"/>
  <c r="J80" i="1"/>
  <c r="O70" i="1"/>
  <c r="E22" i="1"/>
  <c r="E90" i="1"/>
  <c r="E23" i="1"/>
  <c r="J15" i="1"/>
  <c r="O8" i="1"/>
  <c r="O28" i="1"/>
  <c r="J49" i="1"/>
  <c r="O51" i="1"/>
  <c r="O26" i="1"/>
  <c r="J28" i="1"/>
  <c r="J39" i="1"/>
  <c r="J88" i="1"/>
  <c r="E10" i="1"/>
  <c r="J92" i="1"/>
  <c r="J65" i="1"/>
  <c r="O81" i="1"/>
  <c r="E42" i="1"/>
  <c r="J70" i="1"/>
  <c r="E16" i="1"/>
  <c r="E74" i="1"/>
  <c r="J89" i="1"/>
  <c r="O79" i="1"/>
  <c r="J10" i="1"/>
  <c r="J69" i="1"/>
  <c r="O9" i="1"/>
  <c r="E66" i="1"/>
  <c r="O36" i="1"/>
  <c r="O49" i="1"/>
  <c r="O31" i="1"/>
  <c r="J32" i="1"/>
  <c r="E68" i="1"/>
  <c r="O73" i="1"/>
  <c r="E3" i="1"/>
  <c r="J30" i="1"/>
  <c r="J67" i="1"/>
  <c r="E84" i="1"/>
  <c r="O33" i="1"/>
  <c r="E88" i="1"/>
  <c r="E55" i="1"/>
  <c r="J71" i="1"/>
  <c r="O61" i="1"/>
  <c r="J13" i="1"/>
  <c r="E67" i="1"/>
  <c r="J35" i="1"/>
  <c r="E11" i="1"/>
  <c r="J43" i="1"/>
  <c r="J62" i="1"/>
  <c r="O29" i="1"/>
  <c r="O78" i="1"/>
  <c r="E9" i="1"/>
  <c r="E12" i="1"/>
  <c r="O92" i="1"/>
  <c r="E7" i="1"/>
  <c r="E80" i="1"/>
  <c r="O58" i="1"/>
  <c r="J72" i="1"/>
  <c r="O34" i="1"/>
  <c r="E76" i="1"/>
  <c r="E56" i="1"/>
  <c r="O57" i="1"/>
  <c r="E58" i="1"/>
  <c r="O38" i="1"/>
  <c r="J58" i="1"/>
  <c r="O4" i="1"/>
  <c r="J42" i="1"/>
  <c r="O14" i="1"/>
  <c r="M14" i="1" s="1"/>
  <c r="O77" i="1"/>
  <c r="E83" i="1"/>
  <c r="J91" i="1"/>
  <c r="J50" i="1"/>
  <c r="E26" i="1"/>
  <c r="E14" i="1"/>
  <c r="C14" i="1" s="1"/>
  <c r="J8" i="1"/>
  <c r="H14" i="1" s="1"/>
  <c r="E30" i="1"/>
  <c r="AI2" i="3" l="1"/>
  <c r="AI2" i="5"/>
  <c r="AI6" i="3"/>
  <c r="AI8" i="3"/>
  <c r="AI7" i="3"/>
  <c r="AI8" i="5"/>
  <c r="AI7" i="5"/>
  <c r="AI6" i="5"/>
  <c r="AI11" i="5" l="1"/>
  <c r="AI11" i="3"/>
  <c r="AI14" i="5"/>
  <c r="AI12" i="5"/>
  <c r="AI13" i="5"/>
  <c r="AI14" i="3"/>
  <c r="AI13" i="3"/>
  <c r="AI12" i="3"/>
  <c r="AI15" i="5"/>
  <c r="AI16" i="5"/>
  <c r="AI16" i="3"/>
  <c r="AI15" i="3"/>
  <c r="J3" i="3" l="1"/>
  <c r="L3" i="3" s="1"/>
  <c r="S3" i="3" s="1"/>
  <c r="J4" i="3"/>
  <c r="L4" i="3" s="1"/>
  <c r="S4" i="3" s="1"/>
  <c r="AI18" i="3"/>
  <c r="J4" i="5"/>
  <c r="AI18" i="5" s="1"/>
  <c r="L4" i="5" s="1"/>
  <c r="S4" i="5" s="1"/>
  <c r="J3" i="5"/>
  <c r="AI17" i="5" s="1"/>
  <c r="L3" i="5" s="1"/>
  <c r="S3" i="5" s="1"/>
  <c r="U3" i="3" a="1"/>
  <c r="U3" i="5" a="1"/>
  <c r="AI17" i="3" l="1"/>
  <c r="V17" i="5"/>
  <c r="V55" i="5"/>
  <c r="V33" i="5"/>
  <c r="V69" i="5"/>
  <c r="V27" i="5"/>
  <c r="U17" i="5"/>
  <c r="U69" i="5"/>
  <c r="U27" i="5"/>
  <c r="V67" i="5"/>
  <c r="V16" i="5"/>
  <c r="V19" i="5"/>
  <c r="U74" i="5"/>
  <c r="V42" i="5"/>
  <c r="V18" i="5"/>
  <c r="V39" i="5"/>
  <c r="U15" i="5"/>
  <c r="V24" i="5"/>
  <c r="V20" i="5"/>
  <c r="V61" i="5"/>
  <c r="V48" i="5"/>
  <c r="V38" i="5"/>
  <c r="V35" i="5"/>
  <c r="U56" i="5"/>
  <c r="V40" i="5"/>
  <c r="U30" i="5"/>
  <c r="U20" i="5"/>
  <c r="U70" i="5"/>
  <c r="U16" i="5"/>
  <c r="U71" i="5"/>
  <c r="U3" i="5"/>
  <c r="V32" i="5"/>
  <c r="U4" i="5"/>
  <c r="V73" i="5"/>
  <c r="U9" i="5"/>
  <c r="U43" i="5"/>
  <c r="U48" i="5"/>
  <c r="U54" i="5"/>
  <c r="U51" i="5"/>
  <c r="U40" i="5"/>
  <c r="V79" i="5"/>
  <c r="V28" i="5"/>
  <c r="U53" i="5"/>
  <c r="U67" i="5"/>
  <c r="U24" i="5"/>
  <c r="V47" i="5"/>
  <c r="U47" i="5"/>
  <c r="V34" i="5"/>
  <c r="U45" i="5"/>
  <c r="V75" i="5"/>
  <c r="U26" i="5"/>
  <c r="V14" i="5"/>
  <c r="V13" i="5"/>
  <c r="V49" i="5"/>
  <c r="V7" i="5"/>
  <c r="V78" i="5"/>
  <c r="U52" i="5"/>
  <c r="U78" i="5"/>
  <c r="U37" i="5"/>
  <c r="V46" i="5"/>
  <c r="U57" i="5"/>
  <c r="U50" i="5"/>
  <c r="U5" i="5"/>
  <c r="U21" i="5"/>
  <c r="V68" i="5"/>
  <c r="V6" i="5"/>
  <c r="U6" i="5"/>
  <c r="U13" i="5"/>
  <c r="U7" i="5"/>
  <c r="V71" i="5"/>
  <c r="V30" i="5"/>
  <c r="U38" i="5"/>
  <c r="V25" i="5"/>
  <c r="V70" i="5"/>
  <c r="U10" i="5"/>
  <c r="U11" i="5"/>
  <c r="U33" i="5"/>
  <c r="V29" i="5"/>
  <c r="U22" i="5"/>
  <c r="U65" i="5"/>
  <c r="U12" i="5"/>
  <c r="U59" i="5"/>
  <c r="U44" i="5"/>
  <c r="V51" i="5"/>
  <c r="V50" i="5"/>
  <c r="U68" i="5"/>
  <c r="V37" i="5"/>
  <c r="V62" i="5"/>
  <c r="V21" i="5"/>
  <c r="V65" i="5"/>
  <c r="U36" i="5"/>
  <c r="U31" i="5"/>
  <c r="V63" i="5"/>
  <c r="U61" i="5"/>
  <c r="V58" i="5"/>
  <c r="V44" i="5"/>
  <c r="U25" i="5"/>
  <c r="V45" i="5"/>
  <c r="U46" i="5"/>
  <c r="U8" i="5"/>
  <c r="U34" i="5"/>
  <c r="U18" i="5"/>
  <c r="V59" i="5"/>
  <c r="V12" i="5"/>
  <c r="V11" i="5"/>
  <c r="U14" i="5"/>
  <c r="U66" i="5"/>
  <c r="V5" i="5"/>
  <c r="U49" i="5"/>
  <c r="V41" i="5"/>
  <c r="V8" i="5"/>
  <c r="V26" i="5"/>
  <c r="U77" i="5"/>
  <c r="U42" i="5"/>
  <c r="U75" i="5"/>
  <c r="V4" i="5"/>
  <c r="V15" i="5"/>
  <c r="U60" i="5"/>
  <c r="U58" i="5"/>
  <c r="U23" i="5"/>
  <c r="V3" i="5"/>
  <c r="V72" i="5"/>
  <c r="V10" i="5"/>
  <c r="V66" i="5"/>
  <c r="V74" i="5"/>
  <c r="V64" i="5"/>
  <c r="U62" i="5"/>
  <c r="V23" i="5"/>
  <c r="V60" i="5"/>
  <c r="V77" i="5"/>
  <c r="V56" i="5"/>
  <c r="V57" i="5"/>
  <c r="U19" i="5"/>
  <c r="V53" i="5"/>
  <c r="V22" i="5"/>
  <c r="U76" i="5"/>
  <c r="U35" i="5"/>
  <c r="U41" i="5"/>
  <c r="U79" i="5"/>
  <c r="U73" i="5"/>
  <c r="U72" i="5"/>
  <c r="V52" i="5"/>
  <c r="U63" i="5"/>
  <c r="U32" i="5"/>
  <c r="V36" i="5"/>
  <c r="U55" i="5"/>
  <c r="V43" i="5"/>
  <c r="V9" i="5"/>
  <c r="U29" i="5"/>
  <c r="V31" i="5"/>
  <c r="U39" i="5"/>
  <c r="V54" i="5"/>
  <c r="V76" i="5"/>
  <c r="U64" i="5"/>
  <c r="U28" i="5"/>
  <c r="U64" i="3"/>
  <c r="V25" i="3"/>
  <c r="V38" i="3"/>
  <c r="U62" i="3"/>
  <c r="U43" i="3"/>
  <c r="V77" i="3"/>
  <c r="U25" i="3"/>
  <c r="V32" i="3"/>
  <c r="U45" i="3"/>
  <c r="V29" i="3"/>
  <c r="U76" i="3"/>
  <c r="U19" i="3"/>
  <c r="V18" i="3"/>
  <c r="U59" i="3"/>
  <c r="V45" i="3"/>
  <c r="V59" i="3"/>
  <c r="V26" i="3"/>
  <c r="V33" i="3"/>
  <c r="V24" i="3"/>
  <c r="U66" i="3"/>
  <c r="U46" i="3"/>
  <c r="U73" i="3"/>
  <c r="V16" i="3"/>
  <c r="V69" i="3"/>
  <c r="U31" i="3"/>
  <c r="V35" i="3"/>
  <c r="U48" i="3"/>
  <c r="V8" i="3"/>
  <c r="U37" i="3"/>
  <c r="U23" i="3"/>
  <c r="U52" i="3"/>
  <c r="V65" i="3"/>
  <c r="U3" i="3"/>
  <c r="U24" i="3"/>
  <c r="U5" i="3"/>
  <c r="V74" i="3"/>
  <c r="U38" i="3"/>
  <c r="U27" i="3"/>
  <c r="U15" i="3"/>
  <c r="U58" i="3"/>
  <c r="V76" i="3"/>
  <c r="U47" i="3"/>
  <c r="V19" i="3"/>
  <c r="U63" i="3"/>
  <c r="U29" i="3"/>
  <c r="U35" i="3"/>
  <c r="U39" i="3"/>
  <c r="U44" i="3"/>
  <c r="V3" i="3"/>
  <c r="V6" i="3"/>
  <c r="U33" i="3"/>
  <c r="V56" i="3"/>
  <c r="U57" i="3"/>
  <c r="V11" i="3"/>
  <c r="V4" i="3"/>
  <c r="V41" i="3"/>
  <c r="U60" i="3"/>
  <c r="V64" i="3"/>
  <c r="U67" i="3"/>
  <c r="U28" i="3"/>
  <c r="V22" i="3"/>
  <c r="V20" i="3"/>
  <c r="U79" i="3"/>
  <c r="U40" i="3"/>
  <c r="V47" i="3"/>
  <c r="V37" i="3"/>
  <c r="V12" i="3"/>
  <c r="V49" i="3"/>
  <c r="V36" i="3"/>
  <c r="V44" i="3"/>
  <c r="U10" i="3"/>
  <c r="V72" i="3"/>
  <c r="U34" i="3"/>
  <c r="V9" i="3"/>
  <c r="U54" i="3"/>
  <c r="V68" i="3"/>
  <c r="V34" i="3"/>
  <c r="U69" i="3"/>
  <c r="U17" i="3"/>
  <c r="V43" i="3"/>
  <c r="U18" i="3"/>
  <c r="V5" i="3"/>
  <c r="U68" i="3"/>
  <c r="V39" i="3"/>
  <c r="U20" i="3"/>
  <c r="U65" i="3"/>
  <c r="U22" i="3"/>
  <c r="V17" i="3"/>
  <c r="U41" i="3"/>
  <c r="V67" i="3"/>
  <c r="V7" i="3"/>
  <c r="V58" i="3"/>
  <c r="V46" i="3"/>
  <c r="V57" i="3"/>
  <c r="V73" i="3"/>
  <c r="U7" i="3"/>
  <c r="V55" i="3"/>
  <c r="V78" i="3"/>
  <c r="V71" i="3"/>
  <c r="U11" i="3"/>
  <c r="V60" i="3"/>
  <c r="U72" i="3"/>
  <c r="U70" i="3"/>
  <c r="U26" i="3"/>
  <c r="U51" i="3"/>
  <c r="U32" i="3"/>
  <c r="U12" i="3"/>
  <c r="V61" i="3"/>
  <c r="V28" i="3"/>
  <c r="V75" i="3"/>
  <c r="V50" i="3"/>
  <c r="U71" i="3"/>
  <c r="U56" i="3"/>
  <c r="U30" i="3"/>
  <c r="U36" i="3"/>
  <c r="V70" i="3"/>
  <c r="U4" i="3"/>
  <c r="V63" i="3"/>
  <c r="U13" i="3"/>
  <c r="U53" i="3"/>
  <c r="U8" i="3"/>
  <c r="V54" i="3"/>
  <c r="V48" i="3"/>
  <c r="U14" i="3"/>
  <c r="V42" i="3"/>
  <c r="V15" i="3"/>
  <c r="U55" i="3"/>
  <c r="V40" i="3"/>
  <c r="V27" i="3"/>
  <c r="U49" i="3"/>
  <c r="V14" i="3"/>
  <c r="U77" i="3"/>
  <c r="V53" i="3"/>
  <c r="V51" i="3"/>
  <c r="V23" i="3"/>
  <c r="U42" i="3"/>
  <c r="V30" i="3"/>
  <c r="U16" i="3"/>
  <c r="V31" i="3"/>
  <c r="U78" i="3"/>
  <c r="U6" i="3"/>
  <c r="V21" i="3"/>
  <c r="V52" i="3"/>
  <c r="U9" i="3"/>
  <c r="V62" i="3"/>
  <c r="U74" i="3"/>
  <c r="U61" i="3"/>
  <c r="V66" i="3"/>
  <c r="V10" i="3"/>
  <c r="U50" i="3"/>
  <c r="U21" i="3"/>
  <c r="U75" i="3"/>
  <c r="V13" i="3"/>
  <c r="V79" i="3"/>
  <c r="C43" i="5" l="1"/>
  <c r="C43" i="3"/>
  <c r="C49" i="5"/>
  <c r="C49" i="3"/>
</calcChain>
</file>

<file path=xl/sharedStrings.xml><?xml version="1.0" encoding="utf-8"?>
<sst xmlns="http://schemas.openxmlformats.org/spreadsheetml/2006/main" count="511" uniqueCount="190">
  <si>
    <t>Triggers</t>
  </si>
  <si>
    <t>Manual Trigger</t>
  </si>
  <si>
    <t>EvaluationDate</t>
  </si>
  <si>
    <t>Objects Trigger</t>
  </si>
  <si>
    <t>Currency</t>
  </si>
  <si>
    <t>LiborName</t>
  </si>
  <si>
    <t>InterpType</t>
  </si>
  <si>
    <t>InterpOn</t>
  </si>
  <si>
    <t>Comp</t>
  </si>
  <si>
    <t>DayCount</t>
  </si>
  <si>
    <t>QL Curve Name</t>
  </si>
  <si>
    <t>kruger</t>
  </si>
  <si>
    <t>rt</t>
  </si>
  <si>
    <t>cont</t>
  </si>
  <si>
    <t>Dates</t>
  </si>
  <si>
    <t>Discounts</t>
  </si>
  <si>
    <t>QL Curve Handle</t>
  </si>
  <si>
    <t>Count</t>
  </si>
  <si>
    <t>ShmPush</t>
  </si>
  <si>
    <t>adjusted</t>
  </si>
  <si>
    <t>standard</t>
  </si>
  <si>
    <t>dvFutEndDate</t>
  </si>
  <si>
    <t>Zero Rates</t>
  </si>
  <si>
    <t>off</t>
  </si>
  <si>
    <t>on</t>
  </si>
  <si>
    <t>dvOutputType</t>
  </si>
  <si>
    <t>dvMatCons</t>
  </si>
  <si>
    <t>dates</t>
  </si>
  <si>
    <t>stub</t>
  </si>
  <si>
    <t>months</t>
  </si>
  <si>
    <t>end</t>
  </si>
  <si>
    <t>years</t>
  </si>
  <si>
    <t>start</t>
  </si>
  <si>
    <t>dvSwapMatType</t>
  </si>
  <si>
    <t>dvFutCons</t>
  </si>
  <si>
    <t>ModFollowing</t>
  </si>
  <si>
    <t>simple</t>
  </si>
  <si>
    <t>Forward</t>
  </si>
  <si>
    <t>annual</t>
  </si>
  <si>
    <t>Backward</t>
  </si>
  <si>
    <t>NoAdjust</t>
  </si>
  <si>
    <t>dvCompounding</t>
  </si>
  <si>
    <t>dvFraFutAdjust</t>
  </si>
  <si>
    <t>d</t>
  </si>
  <si>
    <t>One/One</t>
  </si>
  <si>
    <t>30/360</t>
  </si>
  <si>
    <t>r</t>
  </si>
  <si>
    <t>Act/Act</t>
  </si>
  <si>
    <t>dvInterpOn</t>
  </si>
  <si>
    <t>365/365</t>
  </si>
  <si>
    <t>Act/365</t>
  </si>
  <si>
    <t>spline</t>
  </si>
  <si>
    <t>Act/360</t>
  </si>
  <si>
    <t>const</t>
  </si>
  <si>
    <t>30E+360</t>
  </si>
  <si>
    <t>360/360</t>
  </si>
  <si>
    <t>quadra</t>
  </si>
  <si>
    <t>30E/360</t>
  </si>
  <si>
    <t>linear</t>
  </si>
  <si>
    <t>Act/Act AFB</t>
  </si>
  <si>
    <t>dvBool</t>
  </si>
  <si>
    <t>dvInterpType</t>
  </si>
  <si>
    <t>dvDayCount</t>
  </si>
  <si>
    <t>Suffix</t>
  </si>
  <si>
    <t>CustomValue</t>
  </si>
  <si>
    <t>CustomField</t>
  </si>
  <si>
    <t>Prefix</t>
  </si>
  <si>
    <t>IDN</t>
  </si>
  <si>
    <t>Source</t>
  </si>
  <si>
    <t>Interp DayCount</t>
  </si>
  <si>
    <t>ASK</t>
  </si>
  <si>
    <t>BID</t>
  </si>
  <si>
    <t>Swaps</t>
  </si>
  <si>
    <t>Used</t>
  </si>
  <si>
    <t>Spread</t>
  </si>
  <si>
    <t>Override</t>
  </si>
  <si>
    <t>Real Time</t>
  </si>
  <si>
    <t>Enabled</t>
  </si>
  <si>
    <t>Maty Consistency</t>
  </si>
  <si>
    <t>Block Order</t>
  </si>
  <si>
    <t>Optional Parameters</t>
  </si>
  <si>
    <t>m</t>
  </si>
  <si>
    <t>Deposits</t>
  </si>
  <si>
    <t>Output Type</t>
  </si>
  <si>
    <t>Compounding</t>
  </si>
  <si>
    <t>S</t>
  </si>
  <si>
    <t>w</t>
  </si>
  <si>
    <t>Interp On</t>
  </si>
  <si>
    <t>Interp Type</t>
  </si>
  <si>
    <t>SN</t>
  </si>
  <si>
    <t>sn</t>
  </si>
  <si>
    <t>Curve Name</t>
  </si>
  <si>
    <t>TN</t>
  </si>
  <si>
    <t>tn</t>
  </si>
  <si>
    <t>ON</t>
  </si>
  <si>
    <t>Today</t>
  </si>
  <si>
    <t>Discount</t>
  </si>
  <si>
    <t>Maty</t>
  </si>
  <si>
    <t>Parameters</t>
  </si>
  <si>
    <t>Domestic Currency</t>
  </si>
  <si>
    <t>Foreign Currency</t>
  </si>
  <si>
    <t>EUR</t>
  </si>
  <si>
    <t>Trigger</t>
  </si>
  <si>
    <t>DTSIMI1</t>
  </si>
  <si>
    <t>W</t>
  </si>
  <si>
    <t>M</t>
  </si>
  <si>
    <t>=</t>
  </si>
  <si>
    <t>FX</t>
  </si>
  <si>
    <t>Domestic Disc Curve</t>
  </si>
  <si>
    <t>Domestic Fwd Curve</t>
  </si>
  <si>
    <t>Foreign Fwd Curve</t>
  </si>
  <si>
    <t>Depo Value Days</t>
  </si>
  <si>
    <t>Domestic Notional</t>
  </si>
  <si>
    <t>Foreign Notional</t>
  </si>
  <si>
    <t>MtM Currency</t>
  </si>
  <si>
    <t>CCS Maturity Type</t>
  </si>
  <si>
    <t>CCS Domestic Freq</t>
  </si>
  <si>
    <t>CCS Domestic Daycnt</t>
  </si>
  <si>
    <t>CCS Domestic Multiplier</t>
  </si>
  <si>
    <t>CCS Domestic 1st rate</t>
  </si>
  <si>
    <t>CCS Foreign Freq</t>
  </si>
  <si>
    <t>CCS Foreign Daycnt</t>
  </si>
  <si>
    <t>CCS Foreign Multiplier</t>
  </si>
  <si>
    <t>CCS Foreign 1st rate</t>
  </si>
  <si>
    <t>CCS Spread Currency</t>
  </si>
  <si>
    <t>Mid</t>
  </si>
  <si>
    <t>Year</t>
  </si>
  <si>
    <t>InterpY</t>
  </si>
  <si>
    <t>InterpX</t>
  </si>
  <si>
    <t>Interp CCS Quotes</t>
  </si>
  <si>
    <t>t+1</t>
  </si>
  <si>
    <t>t+2</t>
  </si>
  <si>
    <t>t+2+1w</t>
  </si>
  <si>
    <t>Yrf 1W Depo</t>
  </si>
  <si>
    <t>[0,1W] Zero rate spread</t>
  </si>
  <si>
    <t>Factor</t>
  </si>
  <si>
    <t>Y=ICAP</t>
  </si>
  <si>
    <t>QL Object Class</t>
  </si>
  <si>
    <t>AUDON</t>
  </si>
  <si>
    <t>AUD3M</t>
  </si>
  <si>
    <t>AUD</t>
  </si>
  <si>
    <t>DateChooser</t>
  </si>
  <si>
    <t>AUDSTD</t>
  </si>
  <si>
    <t>AUDEURBAS.AUD.ON</t>
  </si>
  <si>
    <t>AUDEURBAS.AUD.3M</t>
  </si>
  <si>
    <t>AUDEURBAS.AUD.STD</t>
  </si>
  <si>
    <t>AUDEURBAS.OIS</t>
  </si>
  <si>
    <t>AUDEURBAS.EUR.ON</t>
  </si>
  <si>
    <t>AUDEURBAS.EUR.3M</t>
  </si>
  <si>
    <t>CCSAUDEUR</t>
  </si>
  <si>
    <t>AUDECB</t>
  </si>
  <si>
    <t>ON/TN DEPO SPREADS</t>
  </si>
  <si>
    <t>AUDEURBAS.STD</t>
  </si>
  <si>
    <t>AUDEURBAS.EUR.STD</t>
  </si>
  <si>
    <t>Disc@t+1, AUDonia</t>
  </si>
  <si>
    <t>Disc@t+2, AUDonia</t>
  </si>
  <si>
    <t>Disc@t+2+1w, AUDonia</t>
  </si>
  <si>
    <t>AUD Yrf Code</t>
  </si>
  <si>
    <t>spread BASIS-AUDonia "on" (%)</t>
  </si>
  <si>
    <t>spread BASIS-AUDonia "tn" (%)</t>
  </si>
  <si>
    <t>Disc@t+1, MX-AUDBasis</t>
  </si>
  <si>
    <t>Disc@t+2, MX-AUDBasis</t>
  </si>
  <si>
    <t>Disc@t+2+1w, MX-AUDBasis</t>
  </si>
  <si>
    <t>MX-AUDBasis simple rate t,t+1</t>
  </si>
  <si>
    <t>MX-AUDBasis simple rate t+1,t+2</t>
  </si>
  <si>
    <t>Field</t>
  </si>
  <si>
    <t>RICName</t>
  </si>
  <si>
    <t>Disc@t+1, AUDstd</t>
  </si>
  <si>
    <t>Disc@t+2, AUDstd</t>
  </si>
  <si>
    <t>Disc@t+2+1w, AUDstd</t>
  </si>
  <si>
    <t>spread BASIS-AUDstd "on" (%)</t>
  </si>
  <si>
    <t>spread BASIS-AUDstd "tn" (%)</t>
  </si>
  <si>
    <t>CCSAUDEUROIS</t>
  </si>
  <si>
    <t>a=qlInterpolatedYieldCurve(ObjectId,Dates,Data,Calendar,DayCounter,Jumps,JumpDates,TraitsID,InterpolatorID,Permanent,Trigger,Overwrite)</t>
  </si>
  <si>
    <t>Calendar</t>
  </si>
  <si>
    <t>DayCounter</t>
  </si>
  <si>
    <t>TraitsID</t>
  </si>
  <si>
    <t>InterpolatorID</t>
  </si>
  <si>
    <t>Australia</t>
  </si>
  <si>
    <t>Actual/365 (Fixed)</t>
  </si>
  <si>
    <t>ZeroYield</t>
  </si>
  <si>
    <t>Linear</t>
  </si>
  <si>
    <t>qlYieldCurve</t>
  </si>
  <si>
    <t>Pillars Count</t>
  </si>
  <si>
    <t>AUDEURBASOIS</t>
  </si>
  <si>
    <t>AUDEURBASSTD</t>
  </si>
  <si>
    <t>EURSTD</t>
  </si>
  <si>
    <t>EUR3M</t>
  </si>
  <si>
    <t>EURON</t>
  </si>
  <si>
    <t>IR Trigger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</si>
</sst>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8">
    <numFmt numFmtId="8" formatCode="&quot;$&quot;#,##0.00_);[Red]\(&quot;$&quot;#,##0.00\)"/>
    <numFmt numFmtId="42" formatCode="_(&quot;$&quot;* #,##0_);_(&quot;$&quot;* \(#,##0\);_(&quot;$&quot;* &quot;-&quot;_);_(@_)"/>
    <numFmt numFmtId="164" formatCode="_-* #,##0_-;\-* #,##0_-;_-* &quot;-&quot;_-;_-@_-"/>
    <numFmt numFmtId="165" formatCode="ddd\,\ dd\-mmm\-yyyy"/>
    <numFmt numFmtId="166" formatCode="ddd\,\ d\-mmm\-yyyy"/>
    <numFmt numFmtId="167" formatCode="d\ mmm\ yy"/>
    <numFmt numFmtId="168" formatCode="#,##0.00000000"/>
    <numFmt numFmtId="169" formatCode="_-[$€]\ * #,##0.00_-;\-[$€]\ * #,##0.00_-;_-[$€]\ * &quot;-&quot;??_-;_-@_-"/>
    <numFmt numFmtId="170" formatCode="0.0000"/>
    <numFmt numFmtId="171" formatCode="0&quot;Y&quot;"/>
    <numFmt numFmtId="172" formatCode="0.000000000"/>
    <numFmt numFmtId="173" formatCode="dd\ mmm\ yy"/>
    <numFmt numFmtId="174" formatCode="0.000%"/>
    <numFmt numFmtId="175" formatCode="mmm\ yy"/>
    <numFmt numFmtId="176" formatCode="0&quot;M&quot;"/>
    <numFmt numFmtId="177" formatCode="0&quot;W&quot;"/>
    <numFmt numFmtId="178" formatCode="#,##0.0;#,##0.0"/>
    <numFmt numFmtId="179" formatCode="ddd\,\ d\ mmm\ yyyy"/>
  </numFmts>
  <fonts count="36" x14ac:knownFonts="1">
    <font>
      <sz val="8"/>
      <color theme="1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i/>
      <sz val="8"/>
      <color theme="1"/>
      <name val="Arial"/>
      <family val="2"/>
    </font>
    <font>
      <sz val="8"/>
      <name val="Arial"/>
      <family val="2"/>
    </font>
    <font>
      <i/>
      <sz val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Arial"/>
      <family val="2"/>
    </font>
    <font>
      <sz val="10"/>
      <color indexed="8"/>
      <name val="MS Sans Serif"/>
      <family val="2"/>
    </font>
    <font>
      <sz val="11"/>
      <color indexed="60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0"/>
      <name val="Arial"/>
      <family val="2"/>
    </font>
    <font>
      <b/>
      <sz val="8"/>
      <color indexed="9"/>
      <name val="Arial"/>
      <family val="2"/>
    </font>
    <font>
      <sz val="8"/>
      <color indexed="23"/>
      <name val="Arial"/>
      <family val="2"/>
    </font>
    <font>
      <b/>
      <i/>
      <sz val="8"/>
      <name val="Arial"/>
      <family val="2"/>
    </font>
    <font>
      <sz val="11"/>
      <color indexed="62"/>
      <name val="Calibri"/>
      <family val="2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2"/>
      <color indexed="16"/>
      <name val="MS Sans Serif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1"/>
      <color indexed="8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8"/>
      <color indexed="62"/>
      <name val="Cambria"/>
      <family val="2"/>
    </font>
    <font>
      <b/>
      <sz val="8"/>
      <color theme="1"/>
      <name val="Arial"/>
      <family val="2"/>
    </font>
    <font>
      <i/>
      <sz val="8"/>
      <color indexed="12"/>
      <name val="Arial"/>
      <family val="2"/>
    </font>
    <font>
      <i/>
      <sz val="8"/>
      <color theme="1"/>
      <name val="Arial"/>
      <family val="2"/>
    </font>
    <font>
      <i/>
      <sz val="8"/>
      <color indexed="8"/>
      <name val="Arial"/>
      <family val="2"/>
    </font>
  </fonts>
  <fills count="42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gray0625">
        <fgColor indexed="22"/>
        <bgColor indexed="9"/>
      </patternFill>
    </fill>
  </fills>
  <borders count="4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121">
    <xf numFmtId="0" fontId="0" fillId="0" borderId="0"/>
    <xf numFmtId="0" fontId="4" fillId="0" borderId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9" borderId="0" applyNumberFormat="0" applyBorder="0" applyAlignment="0" applyProtection="0"/>
    <xf numFmtId="0" fontId="6" fillId="12" borderId="0" applyNumberFormat="0" applyBorder="0" applyAlignment="0" applyProtection="0"/>
    <xf numFmtId="0" fontId="6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8" fillId="20" borderId="21" applyNumberFormat="0" applyAlignment="0" applyProtection="0"/>
    <xf numFmtId="0" fontId="9" fillId="0" borderId="22" applyNumberFormat="0" applyFill="0" applyAlignment="0" applyProtection="0"/>
    <xf numFmtId="0" fontId="10" fillId="21" borderId="23" applyNumberFormat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5" borderId="0" applyNumberFormat="0" applyBorder="0" applyAlignment="0" applyProtection="0"/>
    <xf numFmtId="169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0" fontId="13" fillId="26" borderId="0" applyNumberFormat="0" applyBorder="0" applyAlignment="0" applyProtection="0"/>
    <xf numFmtId="0" fontId="11" fillId="27" borderId="24" applyNumberFormat="0" applyFon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25" applyNumberFormat="0" applyFill="0" applyAlignment="0" applyProtection="0"/>
    <xf numFmtId="0" fontId="2" fillId="4" borderId="17" applyNumberFormat="0" applyFont="0" applyAlignment="0">
      <protection locked="0"/>
    </xf>
    <xf numFmtId="0" fontId="11" fillId="0" borderId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9" borderId="0" applyNumberFormat="0" applyBorder="0" applyAlignment="0" applyProtection="0"/>
    <xf numFmtId="0" fontId="6" fillId="12" borderId="0" applyNumberFormat="0" applyBorder="0" applyAlignment="0" applyProtection="0"/>
    <xf numFmtId="0" fontId="6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5" borderId="0" applyNumberFormat="0" applyBorder="0" applyAlignment="0" applyProtection="0"/>
    <xf numFmtId="0" fontId="29" fillId="7" borderId="0" applyNumberFormat="0" applyBorder="0" applyAlignment="0" applyProtection="0"/>
    <xf numFmtId="0" fontId="8" fillId="20" borderId="32" applyNumberFormat="0" applyAlignment="0" applyProtection="0"/>
    <xf numFmtId="0" fontId="8" fillId="20" borderId="32" applyNumberFormat="0" applyAlignment="0" applyProtection="0"/>
    <xf numFmtId="0" fontId="10" fillId="21" borderId="23" applyNumberFormat="0" applyAlignment="0" applyProtection="0"/>
    <xf numFmtId="0" fontId="15" fillId="0" borderId="0" applyNumberFormat="0" applyFill="0" applyBorder="0" applyAlignment="0" applyProtection="0"/>
    <xf numFmtId="0" fontId="30" fillId="8" borderId="0" applyNumberFormat="0" applyBorder="0" applyAlignment="0" applyProtection="0"/>
    <xf numFmtId="0" fontId="17" fillId="0" borderId="25" applyNumberFormat="0" applyFill="0" applyAlignment="0" applyProtection="0"/>
    <xf numFmtId="0" fontId="26" fillId="0" borderId="33" applyNumberFormat="0" applyFill="0" applyAlignment="0" applyProtection="0"/>
    <xf numFmtId="0" fontId="27" fillId="0" borderId="34" applyNumberFormat="0" applyFill="0" applyAlignment="0" applyProtection="0"/>
    <xf numFmtId="0" fontId="27" fillId="0" borderId="0" applyNumberFormat="0" applyFill="0" applyBorder="0" applyAlignment="0" applyProtection="0"/>
    <xf numFmtId="0" fontId="22" fillId="11" borderId="32" applyNumberFormat="0" applyAlignment="0" applyProtection="0"/>
    <xf numFmtId="0" fontId="9" fillId="0" borderId="22" applyNumberFormat="0" applyFill="0" applyAlignment="0" applyProtection="0"/>
    <xf numFmtId="40" fontId="23" fillId="0" borderId="0" applyFont="0" applyFill="0" applyBorder="0" applyAlignment="0" applyProtection="0"/>
    <xf numFmtId="0" fontId="13" fillId="26" borderId="0" applyNumberFormat="0" applyBorder="0" applyAlignment="0" applyProtection="0"/>
    <xf numFmtId="0" fontId="11" fillId="0" borderId="0"/>
    <xf numFmtId="0" fontId="23" fillId="0" borderId="0"/>
    <xf numFmtId="0" fontId="11" fillId="27" borderId="35" applyNumberFormat="0" applyFont="0" applyAlignment="0" applyProtection="0"/>
    <xf numFmtId="0" fontId="2" fillId="27" borderId="35" applyNumberFormat="0" applyFont="0" applyAlignment="0" applyProtection="0"/>
    <xf numFmtId="0" fontId="24" fillId="20" borderId="36" applyNumberFormat="0" applyAlignment="0" applyProtection="0"/>
    <xf numFmtId="9" fontId="11" fillId="0" borderId="0" applyFont="0" applyFill="0" applyBorder="0" applyAlignment="0" applyProtection="0"/>
    <xf numFmtId="178" fontId="25" fillId="41" borderId="0">
      <alignment horizontal="center" vertical="center"/>
    </xf>
    <xf numFmtId="0" fontId="16" fillId="0" borderId="0" applyNumberFormat="0" applyFill="0" applyBorder="0" applyAlignment="0" applyProtection="0"/>
    <xf numFmtId="0" fontId="26" fillId="0" borderId="33" applyNumberFormat="0" applyFill="0" applyAlignment="0" applyProtection="0"/>
    <xf numFmtId="0" fontId="27" fillId="0" borderId="34" applyNumberFormat="0" applyFill="0" applyAlignment="0" applyProtection="0"/>
    <xf numFmtId="0" fontId="27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7" applyNumberFormat="0" applyFill="0" applyAlignment="0" applyProtection="0"/>
    <xf numFmtId="0" fontId="28" fillId="0" borderId="37" applyNumberFormat="0" applyFill="0" applyAlignment="0" applyProtection="0"/>
    <xf numFmtId="0" fontId="29" fillId="7" borderId="0" applyNumberFormat="0" applyBorder="0" applyAlignment="0" applyProtection="0"/>
    <xf numFmtId="0" fontId="30" fillId="8" borderId="0" applyNumberFormat="0" applyBorder="0" applyAlignment="0" applyProtection="0"/>
    <xf numFmtId="42" fontId="12" fillId="0" borderId="0" applyFont="0" applyFill="0" applyBorder="0" applyAlignment="0" applyProtection="0"/>
    <xf numFmtId="8" fontId="2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1" fillId="0" borderId="0"/>
    <xf numFmtId="0" fontId="11" fillId="0" borderId="0"/>
    <xf numFmtId="0" fontId="2" fillId="0" borderId="0"/>
    <xf numFmtId="0" fontId="8" fillId="20" borderId="43" applyNumberFormat="0" applyAlignment="0" applyProtection="0"/>
    <xf numFmtId="0" fontId="8" fillId="20" borderId="43" applyNumberFormat="0" applyAlignment="0" applyProtection="0"/>
    <xf numFmtId="0" fontId="8" fillId="20" borderId="43" applyNumberFormat="0" applyAlignment="0" applyProtection="0"/>
    <xf numFmtId="0" fontId="8" fillId="20" borderId="43" applyNumberFormat="0" applyAlignment="0" applyProtection="0"/>
    <xf numFmtId="0" fontId="8" fillId="20" borderId="43" applyNumberFormat="0" applyAlignment="0" applyProtection="0"/>
    <xf numFmtId="0" fontId="8" fillId="20" borderId="43" applyNumberFormat="0" applyAlignment="0" applyProtection="0"/>
    <xf numFmtId="0" fontId="22" fillId="11" borderId="43" applyNumberFormat="0" applyAlignment="0" applyProtection="0"/>
    <xf numFmtId="0" fontId="22" fillId="11" borderId="43" applyNumberFormat="0" applyAlignment="0" applyProtection="0"/>
    <xf numFmtId="0" fontId="11" fillId="27" borderId="44" applyNumberFormat="0" applyFont="0" applyAlignment="0" applyProtection="0"/>
    <xf numFmtId="0" fontId="11" fillId="27" borderId="44" applyNumberFormat="0" applyFont="0" applyAlignment="0" applyProtection="0"/>
    <xf numFmtId="0" fontId="11" fillId="27" borderId="44" applyNumberFormat="0" applyFont="0" applyAlignment="0" applyProtection="0"/>
    <xf numFmtId="0" fontId="11" fillId="27" borderId="44" applyNumberFormat="0" applyFont="0" applyAlignment="0" applyProtection="0"/>
    <xf numFmtId="0" fontId="2" fillId="27" borderId="44" applyNumberFormat="0" applyFont="0" applyAlignment="0" applyProtection="0"/>
    <xf numFmtId="0" fontId="2" fillId="27" borderId="44" applyNumberFormat="0" applyFont="0" applyAlignment="0" applyProtection="0"/>
    <xf numFmtId="0" fontId="24" fillId="20" borderId="45" applyNumberFormat="0" applyAlignment="0" applyProtection="0"/>
    <xf numFmtId="0" fontId="24" fillId="20" borderId="45" applyNumberFormat="0" applyAlignment="0" applyProtection="0"/>
    <xf numFmtId="0" fontId="28" fillId="0" borderId="46" applyNumberFormat="0" applyFill="0" applyAlignment="0" applyProtection="0"/>
    <xf numFmtId="0" fontId="28" fillId="0" borderId="46" applyNumberFormat="0" applyFill="0" applyAlignment="0" applyProtection="0"/>
    <xf numFmtId="0" fontId="28" fillId="0" borderId="46" applyNumberFormat="0" applyFill="0" applyAlignment="0" applyProtection="0"/>
    <xf numFmtId="0" fontId="28" fillId="0" borderId="46" applyNumberFormat="0" applyFill="0" applyAlignment="0" applyProtection="0"/>
    <xf numFmtId="0" fontId="2" fillId="4" borderId="39" applyNumberFormat="0" applyFont="0" applyAlignment="0">
      <protection locked="0"/>
    </xf>
    <xf numFmtId="0" fontId="2" fillId="4" borderId="39" applyNumberFormat="0" applyFont="0" applyAlignment="0">
      <protection locked="0"/>
    </xf>
  </cellStyleXfs>
  <cellXfs count="234">
    <xf numFmtId="0" fontId="0" fillId="0" borderId="0" xfId="0"/>
    <xf numFmtId="0" fontId="2" fillId="3" borderId="4" xfId="0" applyFont="1" applyFill="1" applyBorder="1"/>
    <xf numFmtId="0" fontId="2" fillId="3" borderId="0" xfId="0" applyFont="1" applyFill="1" applyBorder="1"/>
    <xf numFmtId="0" fontId="2" fillId="3" borderId="5" xfId="0" applyFont="1" applyFill="1" applyBorder="1"/>
    <xf numFmtId="0" fontId="2" fillId="3" borderId="6" xfId="0" applyFont="1" applyFill="1" applyBorder="1"/>
    <xf numFmtId="0" fontId="1" fillId="0" borderId="7" xfId="0" applyFont="1" applyFill="1" applyBorder="1" applyAlignment="1">
      <alignment horizontal="right"/>
    </xf>
    <xf numFmtId="165" fontId="2" fillId="4" borderId="8" xfId="0" applyNumberFormat="1" applyFont="1" applyFill="1" applyBorder="1" applyAlignment="1" applyProtection="1">
      <alignment horizontal="center"/>
      <protection locked="0"/>
    </xf>
    <xf numFmtId="0" fontId="2" fillId="3" borderId="9" xfId="0" applyFont="1" applyFill="1" applyBorder="1"/>
    <xf numFmtId="0" fontId="1" fillId="0" borderId="10" xfId="0" applyFont="1" applyFill="1" applyBorder="1" applyAlignment="1">
      <alignment horizontal="right"/>
    </xf>
    <xf numFmtId="166" fontId="2" fillId="3" borderId="11" xfId="0" applyNumberFormat="1" applyFont="1" applyFill="1" applyBorder="1" applyAlignment="1" applyProtection="1">
      <alignment horizontal="center"/>
      <protection locked="0"/>
    </xf>
    <xf numFmtId="0" fontId="2" fillId="3" borderId="14" xfId="0" applyFont="1" applyFill="1" applyBorder="1"/>
    <xf numFmtId="0" fontId="2" fillId="3" borderId="15" xfId="0" applyFont="1" applyFill="1" applyBorder="1"/>
    <xf numFmtId="0" fontId="2" fillId="3" borderId="16" xfId="0" applyFont="1" applyFill="1" applyBorder="1"/>
    <xf numFmtId="0" fontId="3" fillId="0" borderId="18" xfId="0" applyFont="1" applyBorder="1" applyAlignment="1">
      <alignment horizontal="right"/>
    </xf>
    <xf numFmtId="0" fontId="3" fillId="0" borderId="19" xfId="0" applyFont="1" applyBorder="1" applyAlignment="1">
      <alignment horizontal="right"/>
    </xf>
    <xf numFmtId="0" fontId="3" fillId="0" borderId="20" xfId="0" applyFont="1" applyBorder="1" applyAlignment="1">
      <alignment horizontal="right"/>
    </xf>
    <xf numFmtId="0" fontId="0" fillId="5" borderId="4" xfId="0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167" fontId="0" fillId="0" borderId="20" xfId="0" applyNumberFormat="1" applyBorder="1"/>
    <xf numFmtId="168" fontId="0" fillId="0" borderId="20" xfId="0" applyNumberFormat="1" applyBorder="1"/>
    <xf numFmtId="167" fontId="0" fillId="0" borderId="19" xfId="0" applyNumberFormat="1" applyBorder="1"/>
    <xf numFmtId="168" fontId="0" fillId="0" borderId="19" xfId="0" applyNumberFormat="1" applyBorder="1"/>
    <xf numFmtId="21" fontId="0" fillId="0" borderId="19" xfId="0" applyNumberFormat="1" applyBorder="1" applyAlignment="1">
      <alignment horizontal="center"/>
    </xf>
    <xf numFmtId="0" fontId="0" fillId="0" borderId="18" xfId="0" applyNumberFormat="1" applyBorder="1" applyAlignment="1">
      <alignment horizontal="center"/>
    </xf>
    <xf numFmtId="0" fontId="4" fillId="0" borderId="0" xfId="1"/>
    <xf numFmtId="0" fontId="4" fillId="0" borderId="19" xfId="1" applyBorder="1" applyAlignment="1">
      <alignment horizontal="center"/>
    </xf>
    <xf numFmtId="0" fontId="4" fillId="0" borderId="18" xfId="1" applyBorder="1" applyAlignment="1">
      <alignment horizontal="center"/>
    </xf>
    <xf numFmtId="0" fontId="5" fillId="0" borderId="18" xfId="1" applyFont="1" applyBorder="1" applyAlignment="1">
      <alignment horizontal="center"/>
    </xf>
    <xf numFmtId="0" fontId="4" fillId="0" borderId="20" xfId="1" applyBorder="1" applyAlignment="1">
      <alignment horizontal="center"/>
    </xf>
    <xf numFmtId="0" fontId="4" fillId="0" borderId="0" xfId="1" applyBorder="1" applyAlignment="1">
      <alignment horizontal="center"/>
    </xf>
    <xf numFmtId="11" fontId="4" fillId="0" borderId="20" xfId="1" applyNumberFormat="1" applyBorder="1" applyAlignment="1">
      <alignment horizontal="center"/>
    </xf>
    <xf numFmtId="0" fontId="4" fillId="0" borderId="0" xfId="1" applyProtection="1"/>
    <xf numFmtId="0" fontId="4" fillId="0" borderId="0" xfId="1" applyBorder="1" applyProtection="1"/>
    <xf numFmtId="0" fontId="4" fillId="0" borderId="16" xfId="1" applyBorder="1" applyAlignment="1" applyProtection="1">
      <alignment horizontal="center"/>
    </xf>
    <xf numFmtId="0" fontId="4" fillId="0" borderId="14" xfId="1" applyBorder="1" applyAlignment="1" applyProtection="1">
      <alignment horizontal="center"/>
    </xf>
    <xf numFmtId="0" fontId="4" fillId="0" borderId="9" xfId="1" applyBorder="1" applyAlignment="1" applyProtection="1">
      <alignment horizontal="center"/>
    </xf>
    <xf numFmtId="0" fontId="4" fillId="0" borderId="6" xfId="1" applyBorder="1" applyAlignment="1" applyProtection="1">
      <alignment horizontal="center"/>
    </xf>
    <xf numFmtId="170" fontId="4" fillId="0" borderId="16" xfId="1" applyNumberFormat="1" applyFill="1" applyBorder="1" applyAlignment="1" applyProtection="1">
      <alignment horizontal="center"/>
    </xf>
    <xf numFmtId="0" fontId="4" fillId="0" borderId="14" xfId="1" applyFill="1" applyBorder="1" applyAlignment="1" applyProtection="1">
      <alignment horizontal="center"/>
    </xf>
    <xf numFmtId="170" fontId="4" fillId="0" borderId="19" xfId="1" applyNumberFormat="1" applyFill="1" applyBorder="1" applyAlignment="1" applyProtection="1">
      <alignment horizontal="center"/>
    </xf>
    <xf numFmtId="170" fontId="4" fillId="28" borderId="19" xfId="1" applyNumberFormat="1" applyFill="1" applyBorder="1" applyAlignment="1" applyProtection="1">
      <alignment horizontal="center"/>
    </xf>
    <xf numFmtId="170" fontId="4" fillId="29" borderId="19" xfId="1" applyNumberFormat="1" applyFill="1" applyBorder="1" applyAlignment="1" applyProtection="1">
      <alignment horizontal="center"/>
    </xf>
    <xf numFmtId="171" fontId="4" fillId="30" borderId="19" xfId="1" applyNumberFormat="1" applyFill="1" applyBorder="1" applyAlignment="1" applyProtection="1">
      <alignment horizontal="center"/>
    </xf>
    <xf numFmtId="0" fontId="4" fillId="31" borderId="19" xfId="1" applyFill="1" applyBorder="1" applyProtection="1"/>
    <xf numFmtId="170" fontId="4" fillId="0" borderId="9" xfId="1" applyNumberFormat="1" applyFill="1" applyBorder="1" applyAlignment="1" applyProtection="1">
      <alignment horizontal="center"/>
    </xf>
    <xf numFmtId="0" fontId="4" fillId="0" borderId="6" xfId="1" applyFill="1" applyBorder="1" applyAlignment="1" applyProtection="1">
      <alignment horizontal="center"/>
    </xf>
    <xf numFmtId="170" fontId="4" fillId="0" borderId="20" xfId="1" applyNumberFormat="1" applyFill="1" applyBorder="1" applyAlignment="1" applyProtection="1">
      <alignment horizontal="center"/>
    </xf>
    <xf numFmtId="170" fontId="4" fillId="28" borderId="20" xfId="1" applyNumberFormat="1" applyFill="1" applyBorder="1" applyAlignment="1" applyProtection="1">
      <alignment horizontal="center"/>
    </xf>
    <xf numFmtId="170" fontId="4" fillId="29" borderId="20" xfId="1" applyNumberFormat="1" applyFill="1" applyBorder="1" applyAlignment="1" applyProtection="1">
      <alignment horizontal="center"/>
    </xf>
    <xf numFmtId="171" fontId="4" fillId="30" borderId="20" xfId="1" applyNumberFormat="1" applyFill="1" applyBorder="1" applyAlignment="1" applyProtection="1">
      <alignment horizontal="center"/>
    </xf>
    <xf numFmtId="0" fontId="4" fillId="31" borderId="20" xfId="1" applyFill="1" applyBorder="1" applyProtection="1"/>
    <xf numFmtId="172" fontId="2" fillId="32" borderId="19" xfId="1" applyNumberFormat="1" applyFont="1" applyFill="1" applyBorder="1" applyProtection="1"/>
    <xf numFmtId="173" fontId="2" fillId="32" borderId="19" xfId="1" applyNumberFormat="1" applyFont="1" applyFill="1" applyBorder="1" applyAlignment="1" applyProtection="1">
      <alignment horizontal="center"/>
    </xf>
    <xf numFmtId="172" fontId="2" fillId="32" borderId="20" xfId="1" applyNumberFormat="1" applyFont="1" applyFill="1" applyBorder="1" applyProtection="1"/>
    <xf numFmtId="173" fontId="2" fillId="32" borderId="20" xfId="1" applyNumberFormat="1" applyFont="1" applyFill="1" applyBorder="1" applyAlignment="1" applyProtection="1">
      <alignment horizontal="center"/>
    </xf>
    <xf numFmtId="0" fontId="4" fillId="0" borderId="19" xfId="1" applyFill="1" applyBorder="1" applyAlignment="1">
      <alignment horizontal="center"/>
    </xf>
    <xf numFmtId="0" fontId="4" fillId="0" borderId="19" xfId="1" applyFill="1" applyBorder="1"/>
    <xf numFmtId="0" fontId="4" fillId="0" borderId="20" xfId="1" applyFill="1" applyBorder="1" applyAlignment="1">
      <alignment horizontal="center"/>
    </xf>
    <xf numFmtId="0" fontId="4" fillId="0" borderId="20" xfId="1" applyFill="1" applyBorder="1"/>
    <xf numFmtId="170" fontId="4" fillId="0" borderId="20" xfId="1" applyNumberFormat="1" applyFill="1" applyBorder="1" applyAlignment="1">
      <alignment horizontal="center"/>
    </xf>
    <xf numFmtId="0" fontId="4" fillId="0" borderId="0" xfId="1" applyAlignment="1" applyProtection="1">
      <alignment horizontal="center"/>
    </xf>
    <xf numFmtId="0" fontId="4" fillId="0" borderId="0" xfId="1" applyBorder="1"/>
    <xf numFmtId="0" fontId="4" fillId="0" borderId="18" xfId="1" applyFill="1" applyBorder="1"/>
    <xf numFmtId="0" fontId="2" fillId="0" borderId="16" xfId="1" applyFont="1" applyBorder="1" applyProtection="1"/>
    <xf numFmtId="0" fontId="4" fillId="0" borderId="14" xfId="1" applyBorder="1" applyProtection="1"/>
    <xf numFmtId="0" fontId="5" fillId="0" borderId="17" xfId="1" applyFont="1" applyFill="1" applyBorder="1" applyAlignment="1">
      <alignment horizontal="center"/>
    </xf>
    <xf numFmtId="0" fontId="2" fillId="0" borderId="9" xfId="1" applyFont="1" applyBorder="1" applyProtection="1"/>
    <xf numFmtId="0" fontId="4" fillId="0" borderId="6" xfId="1" applyBorder="1" applyProtection="1"/>
    <xf numFmtId="0" fontId="2" fillId="0" borderId="5" xfId="1" applyFont="1" applyBorder="1" applyProtection="1"/>
    <xf numFmtId="0" fontId="4" fillId="0" borderId="4" xfId="1" applyBorder="1" applyProtection="1"/>
    <xf numFmtId="0" fontId="4" fillId="0" borderId="17" xfId="1" applyBorder="1" applyAlignment="1">
      <alignment horizontal="center"/>
    </xf>
    <xf numFmtId="0" fontId="5" fillId="0" borderId="17" xfId="1" applyFont="1" applyBorder="1"/>
    <xf numFmtId="0" fontId="4" fillId="0" borderId="5" xfId="1" applyBorder="1" applyAlignment="1" applyProtection="1">
      <alignment horizontal="center"/>
    </xf>
    <xf numFmtId="0" fontId="4" fillId="0" borderId="4" xfId="1" applyBorder="1" applyAlignment="1" applyProtection="1">
      <alignment horizontal="center"/>
    </xf>
    <xf numFmtId="0" fontId="1" fillId="0" borderId="5" xfId="1" applyFont="1" applyBorder="1" applyAlignment="1" applyProtection="1">
      <alignment horizontal="center"/>
    </xf>
    <xf numFmtId="0" fontId="1" fillId="0" borderId="4" xfId="1" applyFont="1" applyBorder="1" applyAlignment="1" applyProtection="1">
      <alignment horizontal="center"/>
    </xf>
    <xf numFmtId="0" fontId="18" fillId="0" borderId="17" xfId="1" applyFont="1" applyBorder="1" applyAlignment="1" applyProtection="1">
      <alignment horizontal="center"/>
    </xf>
    <xf numFmtId="0" fontId="2" fillId="33" borderId="17" xfId="1" applyFont="1" applyFill="1" applyBorder="1" applyAlignment="1" applyProtection="1">
      <alignment horizontal="center"/>
    </xf>
    <xf numFmtId="0" fontId="2" fillId="29" borderId="19" xfId="1" applyFont="1" applyFill="1" applyBorder="1" applyProtection="1"/>
    <xf numFmtId="0" fontId="4" fillId="34" borderId="19" xfId="1" applyFill="1" applyBorder="1" applyProtection="1"/>
    <xf numFmtId="0" fontId="4" fillId="33" borderId="20" xfId="1" applyFill="1" applyBorder="1" applyAlignment="1">
      <alignment horizontal="center"/>
    </xf>
    <xf numFmtId="0" fontId="4" fillId="34" borderId="20" xfId="1" applyFill="1" applyBorder="1" applyProtection="1"/>
    <xf numFmtId="170" fontId="4" fillId="0" borderId="5" xfId="1" applyNumberFormat="1" applyFill="1" applyBorder="1" applyAlignment="1" applyProtection="1">
      <alignment horizontal="center"/>
    </xf>
    <xf numFmtId="0" fontId="4" fillId="0" borderId="4" xfId="1" applyFill="1" applyBorder="1" applyAlignment="1" applyProtection="1">
      <alignment horizontal="center"/>
    </xf>
    <xf numFmtId="0" fontId="4" fillId="0" borderId="17" xfId="1" applyBorder="1" applyAlignment="1" applyProtection="1">
      <alignment horizontal="center"/>
    </xf>
    <xf numFmtId="170" fontId="4" fillId="0" borderId="18" xfId="1" applyNumberFormat="1" applyFill="1" applyBorder="1" applyAlignment="1" applyProtection="1">
      <alignment horizontal="center"/>
    </xf>
    <xf numFmtId="170" fontId="4" fillId="28" borderId="18" xfId="1" applyNumberFormat="1" applyFill="1" applyBorder="1" applyAlignment="1" applyProtection="1">
      <alignment horizontal="center"/>
    </xf>
    <xf numFmtId="170" fontId="4" fillId="29" borderId="18" xfId="1" applyNumberFormat="1" applyFill="1" applyBorder="1" applyAlignment="1" applyProtection="1">
      <alignment horizontal="center"/>
    </xf>
    <xf numFmtId="0" fontId="4" fillId="31" borderId="17" xfId="1" applyFill="1" applyBorder="1" applyProtection="1"/>
    <xf numFmtId="174" fontId="19" fillId="35" borderId="17" xfId="1" applyNumberFormat="1" applyFont="1" applyFill="1" applyBorder="1" applyAlignment="1" applyProtection="1">
      <alignment horizontal="center"/>
    </xf>
    <xf numFmtId="0" fontId="2" fillId="33" borderId="20" xfId="1" applyFont="1" applyFill="1" applyBorder="1" applyAlignment="1" applyProtection="1">
      <alignment horizontal="center"/>
    </xf>
    <xf numFmtId="0" fontId="4" fillId="33" borderId="20" xfId="1" applyFill="1" applyBorder="1" applyAlignment="1" applyProtection="1">
      <alignment horizontal="center"/>
    </xf>
    <xf numFmtId="0" fontId="4" fillId="33" borderId="18" xfId="1" applyFill="1" applyBorder="1" applyAlignment="1" applyProtection="1">
      <alignment horizontal="center"/>
    </xf>
    <xf numFmtId="0" fontId="4" fillId="33" borderId="18" xfId="1" applyFill="1" applyBorder="1" applyAlignment="1">
      <alignment horizontal="center"/>
    </xf>
    <xf numFmtId="0" fontId="2" fillId="33" borderId="19" xfId="1" applyFont="1" applyFill="1" applyBorder="1" applyAlignment="1" applyProtection="1">
      <alignment horizontal="center"/>
    </xf>
    <xf numFmtId="0" fontId="2" fillId="37" borderId="19" xfId="1" applyFont="1" applyFill="1" applyBorder="1" applyProtection="1"/>
    <xf numFmtId="0" fontId="2" fillId="33" borderId="18" xfId="1" applyFont="1" applyFill="1" applyBorder="1" applyAlignment="1" applyProtection="1">
      <alignment horizontal="center"/>
    </xf>
    <xf numFmtId="0" fontId="4" fillId="0" borderId="1" xfId="1" applyBorder="1" applyAlignment="1" applyProtection="1">
      <alignment horizontal="center"/>
    </xf>
    <xf numFmtId="0" fontId="2" fillId="0" borderId="1" xfId="1" applyFont="1" applyBorder="1" applyAlignment="1" applyProtection="1">
      <alignment horizontal="center"/>
    </xf>
    <xf numFmtId="0" fontId="2" fillId="38" borderId="19" xfId="1" applyFont="1" applyFill="1" applyBorder="1" applyProtection="1"/>
    <xf numFmtId="0" fontId="1" fillId="0" borderId="1" xfId="1" applyFont="1" applyBorder="1" applyAlignment="1" applyProtection="1">
      <alignment horizontal="center"/>
    </xf>
    <xf numFmtId="0" fontId="2" fillId="38" borderId="18" xfId="1" applyFont="1" applyFill="1" applyBorder="1" applyProtection="1"/>
    <xf numFmtId="0" fontId="4" fillId="0" borderId="0" xfId="1" applyBorder="1" applyAlignment="1" applyProtection="1">
      <alignment horizontal="center"/>
    </xf>
    <xf numFmtId="0" fontId="4" fillId="0" borderId="3" xfId="1" applyBorder="1" applyAlignment="1" applyProtection="1">
      <alignment horizontal="center"/>
    </xf>
    <xf numFmtId="0" fontId="4" fillId="31" borderId="18" xfId="1" applyFill="1" applyBorder="1" applyProtection="1"/>
    <xf numFmtId="0" fontId="1" fillId="0" borderId="3" xfId="1" applyFont="1" applyBorder="1" applyAlignment="1" applyProtection="1">
      <alignment horizontal="center"/>
    </xf>
    <xf numFmtId="0" fontId="2" fillId="32" borderId="20" xfId="1" applyFont="1" applyFill="1" applyBorder="1" applyProtection="1"/>
    <xf numFmtId="0" fontId="4" fillId="0" borderId="15" xfId="1" applyBorder="1" applyAlignment="1" applyProtection="1">
      <alignment horizontal="center"/>
    </xf>
    <xf numFmtId="170" fontId="20" fillId="28" borderId="19" xfId="1" applyNumberFormat="1" applyFont="1" applyFill="1" applyBorder="1" applyAlignment="1" applyProtection="1">
      <alignment horizontal="center"/>
    </xf>
    <xf numFmtId="176" fontId="4" fillId="30" borderId="19" xfId="1" applyNumberFormat="1" applyFill="1" applyBorder="1" applyAlignment="1" applyProtection="1">
      <alignment horizontal="center"/>
    </xf>
    <xf numFmtId="176" fontId="4" fillId="30" borderId="20" xfId="1" applyNumberFormat="1" applyFill="1" applyBorder="1" applyAlignment="1" applyProtection="1">
      <alignment horizontal="center"/>
    </xf>
    <xf numFmtId="0" fontId="2" fillId="38" borderId="20" xfId="1" applyFont="1" applyFill="1" applyBorder="1" applyProtection="1"/>
    <xf numFmtId="0" fontId="2" fillId="0" borderId="4" xfId="1" applyFont="1" applyBorder="1" applyAlignment="1" applyProtection="1">
      <alignment horizontal="center"/>
    </xf>
    <xf numFmtId="177" fontId="4" fillId="30" borderId="19" xfId="1" applyNumberFormat="1" applyFill="1" applyBorder="1" applyAlignment="1" applyProtection="1">
      <alignment horizontal="center"/>
    </xf>
    <xf numFmtId="177" fontId="4" fillId="30" borderId="20" xfId="1" applyNumberFormat="1" applyFill="1" applyBorder="1" applyAlignment="1" applyProtection="1">
      <alignment horizontal="center"/>
    </xf>
    <xf numFmtId="177" fontId="4" fillId="30" borderId="18" xfId="1" applyNumberFormat="1" applyFill="1" applyBorder="1" applyAlignment="1" applyProtection="1">
      <alignment horizontal="center"/>
    </xf>
    <xf numFmtId="1" fontId="4" fillId="30" borderId="19" xfId="1" applyNumberFormat="1" applyFill="1" applyBorder="1" applyAlignment="1" applyProtection="1">
      <alignment horizontal="center"/>
    </xf>
    <xf numFmtId="0" fontId="2" fillId="33" borderId="20" xfId="1" applyFont="1" applyFill="1" applyBorder="1" applyAlignment="1" applyProtection="1">
      <alignment horizontal="center"/>
      <protection locked="0"/>
    </xf>
    <xf numFmtId="1" fontId="4" fillId="30" borderId="20" xfId="1" applyNumberFormat="1" applyFill="1" applyBorder="1" applyAlignment="1" applyProtection="1">
      <alignment horizontal="center"/>
    </xf>
    <xf numFmtId="172" fontId="2" fillId="32" borderId="18" xfId="1" applyNumberFormat="1" applyFont="1" applyFill="1" applyBorder="1" applyProtection="1"/>
    <xf numFmtId="173" fontId="2" fillId="32" borderId="18" xfId="1" applyNumberFormat="1" applyFont="1" applyFill="1" applyBorder="1" applyAlignment="1" applyProtection="1">
      <alignment horizontal="center"/>
    </xf>
    <xf numFmtId="0" fontId="4" fillId="0" borderId="26" xfId="1" applyBorder="1" applyAlignment="1" applyProtection="1">
      <alignment horizontal="center"/>
    </xf>
    <xf numFmtId="1" fontId="4" fillId="30" borderId="18" xfId="1" applyNumberFormat="1" applyFill="1" applyBorder="1" applyAlignment="1" applyProtection="1">
      <alignment horizontal="center"/>
    </xf>
    <xf numFmtId="167" fontId="2" fillId="33" borderId="18" xfId="1" applyNumberFormat="1" applyFont="1" applyFill="1" applyBorder="1" applyAlignment="1" applyProtection="1">
      <alignment horizontal="center"/>
    </xf>
    <xf numFmtId="14" fontId="2" fillId="32" borderId="18" xfId="1" applyNumberFormat="1" applyFont="1" applyFill="1" applyBorder="1" applyProtection="1"/>
    <xf numFmtId="0" fontId="19" fillId="35" borderId="17" xfId="1" applyNumberFormat="1" applyFont="1" applyFill="1" applyBorder="1" applyAlignment="1" applyProtection="1">
      <alignment horizontal="center"/>
    </xf>
    <xf numFmtId="173" fontId="4" fillId="0" borderId="0" xfId="1" applyNumberFormat="1" applyBorder="1" applyProtection="1"/>
    <xf numFmtId="0" fontId="2" fillId="36" borderId="18" xfId="1" applyFont="1" applyFill="1" applyBorder="1" applyProtection="1"/>
    <xf numFmtId="0" fontId="2" fillId="36" borderId="19" xfId="1" applyFont="1" applyFill="1" applyBorder="1" applyProtection="1"/>
    <xf numFmtId="0" fontId="4" fillId="0" borderId="16" xfId="1" applyFill="1" applyBorder="1" applyAlignment="1" applyProtection="1">
      <alignment horizontal="center"/>
    </xf>
    <xf numFmtId="175" fontId="4" fillId="30" borderId="17" xfId="1" applyNumberFormat="1" applyFill="1" applyBorder="1" applyAlignment="1" applyProtection="1">
      <alignment horizontal="center"/>
    </xf>
    <xf numFmtId="170" fontId="4" fillId="29" borderId="17" xfId="1" applyNumberFormat="1" applyFill="1" applyBorder="1" applyAlignment="1" applyProtection="1">
      <alignment horizontal="center"/>
    </xf>
    <xf numFmtId="170" fontId="4" fillId="0" borderId="17" xfId="1" applyNumberFormat="1" applyFill="1" applyBorder="1" applyAlignment="1" applyProtection="1">
      <alignment horizontal="center"/>
    </xf>
    <xf numFmtId="170" fontId="4" fillId="28" borderId="17" xfId="1" applyNumberFormat="1" applyFill="1" applyBorder="1" applyAlignment="1" applyProtection="1">
      <alignment horizontal="center"/>
    </xf>
    <xf numFmtId="0" fontId="2" fillId="36" borderId="20" xfId="1" applyFont="1" applyFill="1" applyBorder="1" applyProtection="1"/>
    <xf numFmtId="0" fontId="2" fillId="37" borderId="18" xfId="1" applyFont="1" applyFill="1" applyBorder="1"/>
    <xf numFmtId="0" fontId="2" fillId="37" borderId="20" xfId="1" applyFont="1" applyFill="1" applyBorder="1"/>
    <xf numFmtId="0" fontId="2" fillId="37" borderId="19" xfId="1" applyFont="1" applyFill="1" applyBorder="1"/>
    <xf numFmtId="0" fontId="2" fillId="39" borderId="17" xfId="1" applyFont="1" applyFill="1" applyBorder="1"/>
    <xf numFmtId="0" fontId="2" fillId="34" borderId="18" xfId="1" applyFont="1" applyFill="1" applyBorder="1" applyProtection="1"/>
    <xf numFmtId="0" fontId="2" fillId="34" borderId="20" xfId="1" applyFont="1" applyFill="1" applyBorder="1" applyProtection="1"/>
    <xf numFmtId="0" fontId="4" fillId="0" borderId="18" xfId="1" applyNumberFormat="1" applyFill="1" applyBorder="1" applyAlignment="1">
      <alignment horizontal="center"/>
    </xf>
    <xf numFmtId="0" fontId="2" fillId="33" borderId="20" xfId="1" applyFont="1" applyFill="1" applyBorder="1" applyAlignment="1">
      <alignment horizontal="center"/>
    </xf>
    <xf numFmtId="0" fontId="2" fillId="0" borderId="0" xfId="1" applyFont="1" applyBorder="1" applyProtection="1"/>
    <xf numFmtId="0" fontId="2" fillId="0" borderId="0" xfId="1" applyFont="1" applyProtection="1"/>
    <xf numFmtId="0" fontId="4" fillId="0" borderId="20" xfId="1" applyNumberFormat="1" applyFill="1" applyBorder="1" applyAlignment="1">
      <alignment horizontal="center"/>
    </xf>
    <xf numFmtId="170" fontId="2" fillId="33" borderId="20" xfId="1" applyNumberFormat="1" applyFont="1" applyFill="1" applyBorder="1" applyAlignment="1" applyProtection="1">
      <alignment horizontal="center"/>
    </xf>
    <xf numFmtId="170" fontId="4" fillId="33" borderId="19" xfId="1" applyNumberFormat="1" applyFill="1" applyBorder="1" applyAlignment="1">
      <alignment horizontal="center"/>
    </xf>
    <xf numFmtId="21" fontId="4" fillId="33" borderId="17" xfId="1" applyNumberFormat="1" applyFill="1" applyBorder="1" applyAlignment="1">
      <alignment horizontal="center"/>
    </xf>
    <xf numFmtId="0" fontId="5" fillId="0" borderId="0" xfId="1" applyFont="1" applyBorder="1" applyAlignment="1" applyProtection="1">
      <alignment horizontal="center"/>
    </xf>
    <xf numFmtId="0" fontId="0" fillId="0" borderId="27" xfId="0" applyBorder="1" applyAlignment="1">
      <alignment horizontal="center"/>
    </xf>
    <xf numFmtId="0" fontId="0" fillId="0" borderId="0" xfId="0" applyBorder="1" applyAlignment="1">
      <alignment horizontal="center"/>
    </xf>
    <xf numFmtId="0" fontId="4" fillId="0" borderId="28" xfId="1" applyBorder="1" applyAlignment="1" applyProtection="1">
      <alignment horizontal="center"/>
    </xf>
    <xf numFmtId="0" fontId="4" fillId="0" borderId="29" xfId="1" applyBorder="1" applyAlignment="1" applyProtection="1">
      <alignment horizontal="center"/>
    </xf>
    <xf numFmtId="0" fontId="4" fillId="0" borderId="27" xfId="1" applyBorder="1" applyAlignment="1" applyProtection="1">
      <alignment horizontal="center"/>
    </xf>
    <xf numFmtId="0" fontId="18" fillId="0" borderId="15" xfId="1" applyFont="1" applyBorder="1" applyAlignment="1" applyProtection="1">
      <alignment horizontal="center"/>
    </xf>
    <xf numFmtId="0" fontId="0" fillId="0" borderId="28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/>
    <xf numFmtId="0" fontId="0" fillId="0" borderId="9" xfId="0" applyBorder="1"/>
    <xf numFmtId="0" fontId="4" fillId="0" borderId="5" xfId="1" applyBorder="1" applyProtection="1"/>
    <xf numFmtId="0" fontId="4" fillId="0" borderId="9" xfId="1" applyBorder="1" applyProtection="1"/>
    <xf numFmtId="0" fontId="4" fillId="0" borderId="16" xfId="1" applyBorder="1" applyProtection="1"/>
    <xf numFmtId="0" fontId="0" fillId="40" borderId="28" xfId="0" applyFill="1" applyBorder="1"/>
    <xf numFmtId="0" fontId="4" fillId="40" borderId="5" xfId="1" applyFill="1" applyBorder="1" applyProtection="1"/>
    <xf numFmtId="0" fontId="0" fillId="40" borderId="6" xfId="0" applyFill="1" applyBorder="1"/>
    <xf numFmtId="0" fontId="4" fillId="40" borderId="9" xfId="1" applyFill="1" applyBorder="1" applyProtection="1"/>
    <xf numFmtId="0" fontId="4" fillId="40" borderId="6" xfId="1" applyFill="1" applyBorder="1" applyProtection="1"/>
    <xf numFmtId="0" fontId="4" fillId="40" borderId="14" xfId="1" applyFill="1" applyBorder="1" applyProtection="1"/>
    <xf numFmtId="0" fontId="4" fillId="40" borderId="16" xfId="1" applyFill="1" applyBorder="1" applyProtection="1"/>
    <xf numFmtId="0" fontId="4" fillId="33" borderId="27" xfId="1" applyFill="1" applyBorder="1"/>
    <xf numFmtId="0" fontId="21" fillId="38" borderId="27" xfId="1" applyFont="1" applyFill="1" applyBorder="1" applyAlignment="1">
      <alignment horizontal="center"/>
    </xf>
    <xf numFmtId="0" fontId="1" fillId="0" borderId="30" xfId="1" applyFont="1" applyBorder="1" applyAlignment="1" applyProtection="1">
      <alignment horizontal="center"/>
    </xf>
    <xf numFmtId="0" fontId="1" fillId="0" borderId="31" xfId="1" applyFont="1" applyBorder="1" applyAlignment="1" applyProtection="1">
      <alignment horizontal="center"/>
    </xf>
    <xf numFmtId="172" fontId="4" fillId="0" borderId="5" xfId="1" applyNumberFormat="1" applyBorder="1" applyProtection="1"/>
    <xf numFmtId="172" fontId="4" fillId="0" borderId="16" xfId="1" applyNumberFormat="1" applyBorder="1" applyProtection="1"/>
    <xf numFmtId="0" fontId="4" fillId="0" borderId="15" xfId="1" applyBorder="1" applyProtection="1"/>
    <xf numFmtId="0" fontId="0" fillId="0" borderId="14" xfId="0" applyBorder="1"/>
    <xf numFmtId="172" fontId="4" fillId="0" borderId="9" xfId="1" applyNumberFormat="1" applyBorder="1" applyProtection="1"/>
    <xf numFmtId="0" fontId="4" fillId="0" borderId="38" xfId="1" applyBorder="1" applyProtection="1"/>
    <xf numFmtId="0" fontId="4" fillId="0" borderId="28" xfId="1" applyBorder="1" applyProtection="1"/>
    <xf numFmtId="0" fontId="1" fillId="0" borderId="38" xfId="1" applyFont="1" applyBorder="1" applyProtection="1"/>
    <xf numFmtId="0" fontId="1" fillId="0" borderId="28" xfId="1" applyFont="1" applyBorder="1" applyProtection="1"/>
    <xf numFmtId="0" fontId="2" fillId="0" borderId="14" xfId="1" applyFont="1" applyBorder="1" applyProtection="1"/>
    <xf numFmtId="0" fontId="2" fillId="0" borderId="28" xfId="1" applyFont="1" applyBorder="1" applyProtection="1"/>
    <xf numFmtId="0" fontId="4" fillId="0" borderId="39" xfId="1" applyBorder="1" applyAlignment="1" applyProtection="1">
      <alignment horizontal="center"/>
    </xf>
    <xf numFmtId="0" fontId="0" fillId="0" borderId="19" xfId="0" applyBorder="1" applyAlignment="1">
      <alignment horizontal="center"/>
    </xf>
    <xf numFmtId="0" fontId="4" fillId="0" borderId="18" xfId="1" applyNumberFormat="1" applyBorder="1" applyAlignment="1" applyProtection="1">
      <alignment horizontal="center"/>
    </xf>
    <xf numFmtId="0" fontId="4" fillId="0" borderId="20" xfId="1" applyNumberFormat="1" applyBorder="1" applyAlignment="1" applyProtection="1">
      <alignment horizontal="center"/>
    </xf>
    <xf numFmtId="0" fontId="4" fillId="0" borderId="19" xfId="1" applyNumberFormat="1" applyBorder="1" applyAlignment="1" applyProtection="1">
      <alignment horizontal="center"/>
    </xf>
    <xf numFmtId="176" fontId="4" fillId="30" borderId="18" xfId="1" applyNumberFormat="1" applyFill="1" applyBorder="1" applyAlignment="1" applyProtection="1">
      <alignment horizontal="center"/>
    </xf>
    <xf numFmtId="0" fontId="0" fillId="0" borderId="20" xfId="0" applyBorder="1" applyAlignment="1">
      <alignment horizontal="center"/>
    </xf>
    <xf numFmtId="0" fontId="3" fillId="0" borderId="39" xfId="0" applyFont="1" applyBorder="1" applyAlignment="1">
      <alignment horizontal="center"/>
    </xf>
    <xf numFmtId="167" fontId="0" fillId="0" borderId="40" xfId="0" applyNumberFormat="1" applyBorder="1"/>
    <xf numFmtId="168" fontId="0" fillId="0" borderId="40" xfId="0" applyNumberFormat="1" applyBorder="1"/>
    <xf numFmtId="179" fontId="4" fillId="0" borderId="5" xfId="1" applyNumberFormat="1" applyBorder="1" applyProtection="1"/>
    <xf numFmtId="179" fontId="4" fillId="0" borderId="9" xfId="1" applyNumberFormat="1" applyBorder="1" applyProtection="1"/>
    <xf numFmtId="179" fontId="4" fillId="0" borderId="16" xfId="1" applyNumberFormat="1" applyBorder="1" applyProtection="1"/>
    <xf numFmtId="0" fontId="5" fillId="0" borderId="5" xfId="1" applyFont="1" applyBorder="1" applyAlignment="1" applyProtection="1">
      <alignment horizontal="right"/>
    </xf>
    <xf numFmtId="0" fontId="32" fillId="0" borderId="28" xfId="0" applyFont="1" applyBorder="1"/>
    <xf numFmtId="0" fontId="1" fillId="0" borderId="42" xfId="1" applyFont="1" applyBorder="1" applyProtection="1"/>
    <xf numFmtId="172" fontId="1" fillId="0" borderId="5" xfId="1" applyNumberFormat="1" applyFont="1" applyBorder="1" applyProtection="1"/>
    <xf numFmtId="0" fontId="32" fillId="0" borderId="14" xfId="0" applyFont="1" applyBorder="1"/>
    <xf numFmtId="0" fontId="1" fillId="0" borderId="15" xfId="1" applyFont="1" applyBorder="1" applyProtection="1"/>
    <xf numFmtId="172" fontId="1" fillId="0" borderId="16" xfId="1" applyNumberFormat="1" applyFont="1" applyBorder="1" applyProtection="1"/>
    <xf numFmtId="0" fontId="35" fillId="0" borderId="41" xfId="0" applyFont="1" applyBorder="1" applyAlignment="1">
      <alignment horizontal="right"/>
    </xf>
    <xf numFmtId="0" fontId="0" fillId="0" borderId="41" xfId="0" applyBorder="1" applyAlignment="1">
      <alignment horizontal="center"/>
    </xf>
    <xf numFmtId="0" fontId="35" fillId="0" borderId="20" xfId="0" applyFont="1" applyBorder="1" applyAlignment="1">
      <alignment horizontal="right"/>
    </xf>
    <xf numFmtId="0" fontId="34" fillId="0" borderId="41" xfId="0" applyFont="1" applyBorder="1" applyAlignment="1">
      <alignment horizontal="right"/>
    </xf>
    <xf numFmtId="0" fontId="34" fillId="0" borderId="20" xfId="0" applyFont="1" applyBorder="1" applyAlignment="1">
      <alignment horizontal="right"/>
    </xf>
    <xf numFmtId="0" fontId="33" fillId="0" borderId="39" xfId="0" applyFont="1" applyBorder="1" applyAlignment="1">
      <alignment horizontal="right"/>
    </xf>
    <xf numFmtId="0" fontId="0" fillId="0" borderId="39" xfId="0" applyBorder="1" applyAlignment="1">
      <alignment horizontal="center"/>
    </xf>
    <xf numFmtId="0" fontId="0" fillId="0" borderId="41" xfId="0" applyNumberFormat="1" applyBorder="1" applyAlignment="1">
      <alignment horizontal="center"/>
    </xf>
    <xf numFmtId="0" fontId="0" fillId="5" borderId="28" xfId="0" applyFill="1" applyBorder="1" applyAlignment="1">
      <alignment horizontal="center"/>
    </xf>
    <xf numFmtId="0" fontId="3" fillId="0" borderId="41" xfId="0" applyFont="1" applyBorder="1" applyAlignment="1">
      <alignment horizontal="right"/>
    </xf>
    <xf numFmtId="168" fontId="0" fillId="0" borderId="41" xfId="0" applyNumberFormat="1" applyBorder="1"/>
    <xf numFmtId="167" fontId="0" fillId="0" borderId="41" xfId="0" applyNumberFormat="1" applyBorder="1"/>
    <xf numFmtId="0" fontId="1" fillId="0" borderId="12" xfId="0" applyFont="1" applyFill="1" applyBorder="1" applyAlignment="1">
      <alignment horizontal="right"/>
    </xf>
    <xf numFmtId="0" fontId="2" fillId="3" borderId="13" xfId="0" applyNumberFormat="1" applyFont="1" applyFill="1" applyBorder="1" applyAlignment="1" applyProtection="1">
      <alignment horizontal="center"/>
      <protection locked="0"/>
    </xf>
    <xf numFmtId="0" fontId="1" fillId="0" borderId="39" xfId="0" applyFont="1" applyFill="1" applyBorder="1" applyAlignment="1" applyProtection="1">
      <alignment horizontal="right"/>
    </xf>
    <xf numFmtId="0" fontId="2" fillId="3" borderId="39" xfId="0" applyFont="1" applyFill="1" applyBorder="1" applyAlignment="1" applyProtection="1">
      <alignment horizontal="center"/>
      <protection locked="0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174" fontId="19" fillId="35" borderId="1" xfId="1" applyNumberFormat="1" applyFont="1" applyFill="1" applyBorder="1" applyAlignment="1" applyProtection="1">
      <alignment horizontal="center"/>
    </xf>
    <xf numFmtId="174" fontId="19" fillId="35" borderId="3" xfId="1" applyNumberFormat="1" applyFont="1" applyFill="1" applyBorder="1" applyAlignment="1" applyProtection="1">
      <alignment horizontal="center"/>
    </xf>
    <xf numFmtId="0" fontId="5" fillId="0" borderId="1" xfId="1" applyFont="1" applyBorder="1" applyAlignment="1">
      <alignment horizontal="center"/>
    </xf>
    <xf numFmtId="0" fontId="4" fillId="0" borderId="3" xfId="1" applyBorder="1" applyAlignment="1"/>
  </cellXfs>
  <cellStyles count="121">
    <cellStyle name="20% - Accent1 2" xfId="39"/>
    <cellStyle name="20% - Accent2 2" xfId="40"/>
    <cellStyle name="20% - Accent3 2" xfId="41"/>
    <cellStyle name="20% - Accent4 2" xfId="42"/>
    <cellStyle name="20% - Accent5 2" xfId="43"/>
    <cellStyle name="20% - Accent6 2" xfId="44"/>
    <cellStyle name="20% - Colore 1" xfId="2"/>
    <cellStyle name="20% - Colore 2" xfId="3"/>
    <cellStyle name="20% - Colore 3" xfId="4"/>
    <cellStyle name="20% - Colore 4" xfId="5"/>
    <cellStyle name="20% - Colore 5" xfId="6"/>
    <cellStyle name="20% - Colore 6" xfId="7"/>
    <cellStyle name="40% - Accent1 2" xfId="45"/>
    <cellStyle name="40% - Accent2 2" xfId="46"/>
    <cellStyle name="40% - Accent3 2" xfId="47"/>
    <cellStyle name="40% - Accent4 2" xfId="48"/>
    <cellStyle name="40% - Accent5 2" xfId="49"/>
    <cellStyle name="40% - Accent6 2" xfId="50"/>
    <cellStyle name="40% - Colore 1" xfId="8"/>
    <cellStyle name="40% - Colore 2" xfId="9"/>
    <cellStyle name="40% - Colore 3" xfId="10"/>
    <cellStyle name="40% - Colore 4" xfId="11"/>
    <cellStyle name="40% - Colore 5" xfId="12"/>
    <cellStyle name="40% - Colore 6" xfId="13"/>
    <cellStyle name="60% - Accent1 2" xfId="51"/>
    <cellStyle name="60% - Accent2 2" xfId="52"/>
    <cellStyle name="60% - Accent3 2" xfId="53"/>
    <cellStyle name="60% - Accent4 2" xfId="54"/>
    <cellStyle name="60% - Accent5 2" xfId="55"/>
    <cellStyle name="60% - Accent6 2" xfId="56"/>
    <cellStyle name="60% - Colore 1" xfId="14"/>
    <cellStyle name="60% - Colore 2" xfId="15"/>
    <cellStyle name="60% - Colore 3" xfId="16"/>
    <cellStyle name="60% - Colore 4" xfId="17"/>
    <cellStyle name="60% - Colore 5" xfId="18"/>
    <cellStyle name="60% - Colore 6" xfId="19"/>
    <cellStyle name="Accent1 2" xfId="57"/>
    <cellStyle name="Accent2 2" xfId="58"/>
    <cellStyle name="Accent3 2" xfId="59"/>
    <cellStyle name="Accent4 2" xfId="60"/>
    <cellStyle name="Accent5 2" xfId="61"/>
    <cellStyle name="Accent6 2" xfId="62"/>
    <cellStyle name="Bad 2" xfId="63"/>
    <cellStyle name="Calcolo" xfId="20"/>
    <cellStyle name="Calcolo 2" xfId="64"/>
    <cellStyle name="Calcolo 2 2" xfId="99"/>
    <cellStyle name="Calcolo 2 3" xfId="100"/>
    <cellStyle name="Calcolo 3" xfId="101"/>
    <cellStyle name="Calcolo 4" xfId="102"/>
    <cellStyle name="Calculation 2" xfId="65"/>
    <cellStyle name="Calculation 2 2" xfId="103"/>
    <cellStyle name="Calculation 2 3" xfId="104"/>
    <cellStyle name="Cella collegata" xfId="21"/>
    <cellStyle name="Cella da controllare" xfId="22"/>
    <cellStyle name="Check Cell 2" xfId="66"/>
    <cellStyle name="Colore 1" xfId="23"/>
    <cellStyle name="Colore 2" xfId="24"/>
    <cellStyle name="Colore 3" xfId="25"/>
    <cellStyle name="Colore 4" xfId="26"/>
    <cellStyle name="Colore 5" xfId="27"/>
    <cellStyle name="Colore 6" xfId="28"/>
    <cellStyle name="Euro" xfId="29"/>
    <cellStyle name="Explanatory Text 2" xfId="67"/>
    <cellStyle name="Good 2" xfId="68"/>
    <cellStyle name="Heading 1 2" xfId="69"/>
    <cellStyle name="Heading 2 2" xfId="70"/>
    <cellStyle name="Heading 3 2" xfId="71"/>
    <cellStyle name="Heading 4 2" xfId="72"/>
    <cellStyle name="Input 2" xfId="73"/>
    <cellStyle name="Input 2 2" xfId="105"/>
    <cellStyle name="Input 2 3" xfId="106"/>
    <cellStyle name="Linked Cell 2" xfId="74"/>
    <cellStyle name="Migliaia (0)_Anagrafiche Mutui" xfId="30"/>
    <cellStyle name="Migliaia_BENCH2" xfId="75"/>
    <cellStyle name="Neutral 2" xfId="76"/>
    <cellStyle name="Neutrale" xfId="31"/>
    <cellStyle name="Normal" xfId="0" builtinId="0"/>
    <cellStyle name="Normal 2" xfId="1"/>
    <cellStyle name="Normal 2 2" xfId="77"/>
    <cellStyle name="Normal 3" xfId="38"/>
    <cellStyle name="Normal 4" xfId="96"/>
    <cellStyle name="Normal 5" xfId="98"/>
    <cellStyle name="Normal 9" xfId="97"/>
    <cellStyle name="Normale_BENCH2" xfId="78"/>
    <cellStyle name="Nota" xfId="32"/>
    <cellStyle name="Nota 2" xfId="79"/>
    <cellStyle name="Nota 2 2" xfId="107"/>
    <cellStyle name="Nota 2 3" xfId="108"/>
    <cellStyle name="Nota 3" xfId="109"/>
    <cellStyle name="Nota 4" xfId="110"/>
    <cellStyle name="Note 2" xfId="80"/>
    <cellStyle name="Note 2 2" xfId="111"/>
    <cellStyle name="Note 2 3" xfId="112"/>
    <cellStyle name="Output 2" xfId="81"/>
    <cellStyle name="Output 2 2" xfId="113"/>
    <cellStyle name="Output 2 3" xfId="114"/>
    <cellStyle name="Percent 2" xfId="82"/>
    <cellStyle name="result" xfId="83"/>
    <cellStyle name="Testo avviso" xfId="33"/>
    <cellStyle name="Testo descrittivo" xfId="34"/>
    <cellStyle name="Title 2" xfId="84"/>
    <cellStyle name="Titolo" xfId="35"/>
    <cellStyle name="Titolo 1" xfId="36"/>
    <cellStyle name="Titolo 2" xfId="85"/>
    <cellStyle name="Titolo 3" xfId="86"/>
    <cellStyle name="Titolo 4" xfId="87"/>
    <cellStyle name="Titolo_ZCurve" xfId="88"/>
    <cellStyle name="Total 2" xfId="89"/>
    <cellStyle name="Total 2 2" xfId="115"/>
    <cellStyle name="Total 2 3" xfId="116"/>
    <cellStyle name="Totale" xfId="90"/>
    <cellStyle name="Totale 2" xfId="117"/>
    <cellStyle name="Totale 3" xfId="118"/>
    <cellStyle name="Trigger" xfId="37"/>
    <cellStyle name="Trigger 2" xfId="119"/>
    <cellStyle name="Trigger 3" xfId="120"/>
    <cellStyle name="Valore non valido" xfId="91"/>
    <cellStyle name="Valore valido" xfId="92"/>
    <cellStyle name="Valuta (0)_Anagrafiche Mutui" xfId="93"/>
    <cellStyle name="Valuta_BENCH2" xfId="94"/>
    <cellStyle name="Warning Text 2" xfId="95"/>
  </cellStyles>
  <dxfs count="18"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  <color auto="1"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  <color auto="1"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b val="0"/>
        <i val="0"/>
        <color auto="1"/>
      </font>
      <fill>
        <patternFill>
          <bgColor rgb="FFFFFF99"/>
        </patternFill>
      </fill>
    </dxf>
  </dxfs>
  <tableStyles count="0" defaultTableStyle="TableStyleMedium2" defaultPivotStyle="PivotStyleLight16"/>
  <colors>
    <mruColors>
      <color rgb="FFCCECFF"/>
      <color rgb="FFCCCCFF"/>
      <color rgb="FFFFCCFF"/>
      <color rgb="FFCCFFFF"/>
      <color rgb="FFFFCC99"/>
      <color rgb="FFFFFFCC"/>
      <color rgb="FF99CCFF"/>
      <color rgb="FFFF66FF"/>
      <color rgb="FFCC00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tgetrtdserver">
      <tp t="s">
        <v>#N/A RIC Not Found</v>
        <stp/>
        <stp>_x000C_CCSAUDEUR12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4" s="5"/>
      </tp>
      <tp t="s">
        <v>#N/A RIC Not Found</v>
        <stp/>
        <stp>_x000C_CCSAUDEUR11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3" s="5"/>
      </tp>
      <tp t="s">
        <v>#N/A RIC Not Found</v>
        <stp/>
        <stp>_x000C_CCSAUDEUR10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2" s="5"/>
      </tp>
    </main>
    <main first="pldatasource.rtgetrtdserver">
      <tp t="s">
        <v>#N/A RIC Not Found</v>
        <stp/>
        <stp>_x000C_CCSAUDEUR11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3" s="5"/>
      </tp>
      <tp t="s">
        <v>#N/A RIC Not Found</v>
        <stp/>
        <stp>_x000C_CCSAUDEUR10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2" s="5"/>
      </tp>
      <tp t="s">
        <v>#N/A RIC Not Found</v>
        <stp/>
        <stp>_x000C_CCSAUDEUR12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4" s="5"/>
      </tp>
    </main>
    <main first="pldatasource.rtnowrtdserver">
      <tp>
        <v>0.50005787036934635</v>
        <stp/>
        <stp>C15</stp>
        <stp>60</stp>
        <tr r="C15" s="3"/>
        <tr r="C15" s="5"/>
      </tp>
    </main>
    <main first="pldatasource.rtgetrtdserver">
      <tp>
        <v>55.5</v>
        <stp/>
        <stp>_x000D_AUDECB1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1" s="3"/>
        <tr r="AA31" s="5"/>
      </tp>
      <tp>
        <v>59.25</v>
        <stp/>
        <stp>_x000D_AUDECB2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2" s="3"/>
        <tr r="AA32" s="5"/>
      </tp>
      <tp>
        <v>63</v>
        <stp/>
        <stp>_x000D_AUDECB3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3" s="3"/>
        <tr r="AA33" s="5"/>
      </tp>
      <tp>
        <v>65.5</v>
        <stp/>
        <stp>_x000D_AUDECB4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4" s="3"/>
        <tr r="AA34" s="5"/>
      </tp>
      <tp>
        <v>68</v>
        <stp/>
        <stp>_x000D_AUDECB5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5" s="3"/>
        <tr r="AA35" s="5"/>
      </tp>
      <tp>
        <v>71.5</v>
        <stp/>
        <stp>_x000D_AUDECB7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6" s="3"/>
        <tr r="AA36" s="5"/>
      </tp>
    </main>
    <main first="pldatasource.rtgetrtdserver">
      <tp>
        <v>53</v>
        <stp/>
        <stp>_x000D_AUDECB3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3" s="3"/>
        <tr r="Z33" s="5"/>
      </tp>
      <tp>
        <v>49.25</v>
        <stp/>
        <stp>_x000D_AUDECB2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2" s="3"/>
        <tr r="Z32" s="5"/>
      </tp>
      <tp>
        <v>45.5</v>
        <stp/>
        <stp>_x000D_AUDECB1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1" s="3"/>
        <tr r="Z31" s="5"/>
      </tp>
      <tp>
        <v>61.5</v>
        <stp/>
        <stp>_x000D_AUDECB7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6" s="3"/>
        <tr r="Z36" s="5"/>
      </tp>
      <tp>
        <v>58</v>
        <stp/>
        <stp>_x000D_AUDECB5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5" s="3"/>
        <tr r="Z35" s="5"/>
      </tp>
      <tp>
        <v>55.5</v>
        <stp/>
        <stp>_x000D_AUDECB4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4" s="3"/>
        <tr r="Z34" s="5"/>
      </tp>
    </main>
    <main first="pldatasource.rtgetrtdserver">
      <tp t="s">
        <v>#N/A The record could not be found</v>
        <stp/>
        <stp>_x000C_AUDECB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0" s="3"/>
        <tr r="Z55" s="3"/>
        <tr r="Z67" s="3"/>
        <tr r="Z60" s="3"/>
        <tr r="Z45" s="3"/>
        <tr r="Z58" s="3"/>
        <tr r="Z44" s="3"/>
        <tr r="Z61" s="3"/>
        <tr r="Z70" s="3"/>
        <tr r="Z47" s="3"/>
        <tr r="Z53" s="3"/>
        <tr r="Z68" s="3"/>
        <tr r="Z66" s="3"/>
        <tr r="Z46" s="3"/>
        <tr r="Z52" s="3"/>
        <tr r="Z56" s="3"/>
        <tr r="Z72" s="3"/>
        <tr r="Z41" s="3"/>
        <tr r="Z43" s="3"/>
        <tr r="Z69" s="3"/>
        <tr r="Z51" s="3"/>
        <tr r="Z54" s="3"/>
        <tr r="Z57" s="3"/>
        <tr r="Z63" s="3"/>
        <tr r="Z50" s="3"/>
        <tr r="Z71" s="3"/>
        <tr r="Z49" s="3"/>
        <tr r="Z62" s="3"/>
        <tr r="Z65" s="3"/>
        <tr r="Z48" s="3"/>
        <tr r="Z59" s="3"/>
        <tr r="Z42" s="3"/>
        <tr r="Z64" s="3"/>
        <tr r="Z44" s="5"/>
        <tr r="Z63" s="5"/>
        <tr r="Z47" s="5"/>
        <tr r="Z69" s="5"/>
        <tr r="Z59" s="5"/>
        <tr r="Z57" s="5"/>
        <tr r="Z42" s="5"/>
        <tr r="Z64" s="5"/>
        <tr r="Z48" s="5"/>
        <tr r="Z66" s="5"/>
        <tr r="Z62" s="5"/>
        <tr r="Z45" s="5"/>
        <tr r="Z50" s="5"/>
        <tr r="Z72" s="5"/>
        <tr r="Z56" s="5"/>
        <tr r="Z51" s="5"/>
        <tr r="Z68" s="5"/>
        <tr r="Z70" s="5"/>
        <tr r="Z41" s="5"/>
        <tr r="Z58" s="5"/>
        <tr r="Z52" s="5"/>
        <tr r="Z40" s="5"/>
        <tr r="Z46" s="5"/>
        <tr r="Z49" s="5"/>
        <tr r="Z67" s="5"/>
        <tr r="Z43" s="5"/>
        <tr r="Z61" s="5"/>
        <tr r="Z71" s="5"/>
        <tr r="Z65" s="5"/>
        <tr r="Z54" s="5"/>
        <tr r="Z60" s="5"/>
        <tr r="Z55" s="5"/>
        <tr r="Z53" s="5"/>
      </tp>
    </main>
    <main first="pldatasource.rtgetrtdserver">
      <tp t="s">
        <v>#N/A The record could not be found</v>
        <stp/>
        <stp>_x000C_AUDECB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42" s="3"/>
        <tr r="AA56" s="3"/>
        <tr r="AA49" s="3"/>
        <tr r="AA51" s="3"/>
        <tr r="AA44" s="3"/>
        <tr r="AA53" s="3"/>
        <tr r="AA70" s="3"/>
        <tr r="AA59" s="3"/>
        <tr r="AA67" s="3"/>
        <tr r="AA48" s="3"/>
        <tr r="AA40" s="3"/>
        <tr r="AA68" s="3"/>
        <tr r="AA60" s="3"/>
        <tr r="AA41" s="3"/>
        <tr r="AA69" s="3"/>
        <tr r="AA43" s="3"/>
        <tr r="AA46" s="3"/>
        <tr r="AA61" s="3"/>
        <tr r="AA52" s="3"/>
        <tr r="AA71" s="3"/>
        <tr r="AA58" s="3"/>
        <tr r="AA66" s="3"/>
        <tr r="AA64" s="3"/>
        <tr r="AA65" s="3"/>
        <tr r="AA47" s="3"/>
        <tr r="AA54" s="3"/>
        <tr r="AA72" s="3"/>
        <tr r="AA45" s="3"/>
        <tr r="AA50" s="3"/>
        <tr r="AA57" s="3"/>
        <tr r="AA62" s="3"/>
        <tr r="AA55" s="3"/>
        <tr r="AA63" s="3"/>
        <tr r="AA61" s="5"/>
        <tr r="AA44" s="5"/>
        <tr r="AA68" s="5"/>
        <tr r="AA62" s="5"/>
        <tr r="AA65" s="5"/>
        <tr r="AA56" s="5"/>
        <tr r="AA72" s="5"/>
        <tr r="AA41" s="5"/>
        <tr r="AA49" s="5"/>
        <tr r="AA52" s="5"/>
        <tr r="AA63" s="5"/>
        <tr r="AA48" s="5"/>
        <tr r="AA45" s="5"/>
        <tr r="AA70" s="5"/>
        <tr r="AA53" s="5"/>
        <tr r="AA50" s="5"/>
        <tr r="AA58" s="5"/>
        <tr r="AA64" s="5"/>
        <tr r="AA47" s="5"/>
        <tr r="AA59" s="5"/>
        <tr r="AA51" s="5"/>
        <tr r="AA57" s="5"/>
        <tr r="AA40" s="5"/>
        <tr r="AA55" s="5"/>
        <tr r="AA54" s="5"/>
        <tr r="AA71" s="5"/>
        <tr r="AA60" s="5"/>
        <tr r="AA66" s="5"/>
        <tr r="AA42" s="5"/>
        <tr r="AA46" s="5"/>
        <tr r="AA43" s="5"/>
        <tr r="AA67" s="5"/>
        <tr r="AA69" s="5"/>
      </tp>
    </main>
    <main first="pldatasource.rtgetrtdserver">
      <tp>
        <v>57.5</v>
        <stp/>
        <stp>_x000E_AUDECB15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8" s="3"/>
        <tr r="Z38" s="5"/>
      </tp>
      <tp>
        <v>67.5</v>
        <stp/>
        <stp>_x000E_AUDECB15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8" s="3"/>
        <tr r="AA38" s="5"/>
      </tp>
      <tp>
        <v>64.25</v>
        <stp/>
        <stp>_x000E_AUDECB10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7" s="3"/>
        <tr r="Z37" s="5"/>
      </tp>
      <tp>
        <v>43.75</v>
        <stp/>
        <stp>_x000E_AUDECB20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9" s="3"/>
        <tr r="Z39" s="5"/>
      </tp>
      <tp>
        <v>74.25</v>
        <stp/>
        <stp>_x000E_AUDECB10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7" s="3"/>
        <tr r="AA37" s="5"/>
      </tp>
      <tp>
        <v>53.75</v>
        <stp/>
        <stp>_x000E_AUDECB20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9" s="3"/>
        <tr r="AA39" s="5"/>
      </tp>
    </main>
    <main first="pldatasource.rtgetrtdserver">
      <tp>
        <v>1.8430775740000001</v>
        <stp/>
        <stp>_x000E_CCSAUDEUROISS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" s="3"/>
      </tp>
    </main>
    <main first="pldatasource.rtgetrtdserver">
      <tp>
        <v>2.1579113840000002</v>
        <stp/>
        <stp>_x000E_CCSAUDEUROIS5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7" s="3"/>
      </tp>
      <tp>
        <v>2.1861909390000003</v>
        <stp/>
        <stp>_x000E_CCSAUDEUROIS4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6" s="3"/>
      </tp>
      <tp t="s">
        <v>#N/A RIC Not Found</v>
        <stp/>
        <stp>_x000E_CCSAUDEUROIS7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9" s="3"/>
      </tp>
      <tp>
        <v>2.148339349</v>
        <stp/>
        <stp>_x000E_CCSAUDEUROIS6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8" s="3"/>
      </tp>
      <tp>
        <v>2.2669927329999999</v>
        <stp/>
        <stp>_x000E_CCSAUDEUROIS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3" s="3"/>
      </tp>
      <tp>
        <v>2.3992417270000002</v>
        <stp/>
        <stp>_x000E_CCSAUDEUROIS3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0" s="3"/>
      </tp>
      <tp>
        <v>2.124592963</v>
        <stp/>
        <stp>_x000E_CCSAUDEUROIS3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5" s="3"/>
      </tp>
      <tp>
        <v>2.5767212290000003</v>
        <stp/>
        <stp>_x000E_CCSAUDEUROIS2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9" s="3"/>
      </tp>
      <tp>
        <v>2.1782867480000001</v>
        <stp/>
        <stp>_x000E_CCSAUDEUROIS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4" s="3"/>
      </tp>
      <tp>
        <v>2.1796922530000002</v>
        <stp/>
        <stp>_x000E_CCSAUDEUROIS9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1" s="3"/>
      </tp>
      <tp t="s">
        <v>#N/A RIC Not Found</v>
        <stp/>
        <stp>_x000E_CCSAUDEUROIS8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0" s="3"/>
      </tp>
      <tp>
        <v>1.8430775740000001</v>
        <stp/>
        <stp>_x000E_CCSAUDEUROISS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8" s="3"/>
      </tp>
      <tp>
        <v>2.1796922530000002</v>
        <stp/>
        <stp>_x000E_CCSAUDEUROIS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1" s="3"/>
      </tp>
      <tp t="s">
        <v>#N/A RIC Not Found</v>
        <stp/>
        <stp>_x000E_CCSAUDEUROIS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0" s="3"/>
      </tp>
      <tp t="s">
        <v>#N/A RIC Not Found</v>
        <stp/>
        <stp>_x000E_CCSAUDEUROIS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9" s="3"/>
      </tp>
      <tp>
        <v>2.148339349</v>
        <stp/>
        <stp>_x000E_CCSAUDEUROIS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8" s="3"/>
      </tp>
      <tp>
        <v>2.1579113840000002</v>
        <stp/>
        <stp>_x000E_CCSAUDEUROIS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7" s="3"/>
      </tp>
      <tp>
        <v>2.1861909390000003</v>
        <stp/>
        <stp>_x000E_CCSAUDEUROIS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6" s="3"/>
      </tp>
      <tp>
        <v>2.3992417270000002</v>
        <stp/>
        <stp>_x000E_CCSAUDEUROIS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0" s="3"/>
      </tp>
      <tp>
        <v>2.124592963</v>
        <stp/>
        <stp>_x000E_CCSAUDEUROIS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5" s="3"/>
      </tp>
      <tp>
        <v>2.5767212290000003</v>
        <stp/>
        <stp>_x000E_CCSAUDEUROIS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9" s="3"/>
      </tp>
      <tp>
        <v>2.1782867480000001</v>
        <stp/>
        <stp>_x000E_CCSAUDEUROIS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4" s="3"/>
      </tp>
      <tp>
        <v>2.2669927329999999</v>
        <stp/>
        <stp>_x000E_CCSAUDEUROIS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3" s="3"/>
      </tp>
      <tp t="s">
        <v>#N/A No instrument defined.</v>
        <stp/>
        <stp>ÿÿÿ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" s="3"/>
        <tr r="Z3" s="3"/>
        <tr r="Z3" s="5"/>
        <tr r="AA3" s="5"/>
      </tp>
      <tp t="s">
        <v>#N/A RIC Not Found</v>
        <stp/>
        <stp>_x000F_CCSAUDEUROIS12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4" s="3"/>
      </tp>
      <tp t="s">
        <v>#N/A RIC Not Found</v>
        <stp/>
        <stp>_x000F_CCSAUDEUROIS11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3" s="3"/>
      </tp>
      <tp t="s">
        <v>#N/A RIC Not Found</v>
        <stp/>
        <stp>_x000F_CCSAUDEUROIS10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2" s="3"/>
      </tp>
      <tp t="s">
        <v>#N/A RIC Not Found</v>
        <stp/>
        <stp>_x000F_CCSAUDEUROIS11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3" s="3"/>
      </tp>
      <tp t="s">
        <v>#N/A RIC Not Found</v>
        <stp/>
        <stp>_x000F_CCSAUDEUROIS10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2" s="3"/>
      </tp>
      <tp t="s">
        <v>#N/A RIC Not Found</v>
        <stp/>
        <stp>_x000F_CCSAUDEUROIS12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4" s="3"/>
      </tp>
      <tp>
        <v>1.824069468</v>
        <stp/>
        <stp>_x000B_CCSAUDEURS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8" s="5"/>
      </tp>
      <tp t="s">
        <v>#N/A RIC Not Found</v>
        <stp/>
        <stp>_x000B_CCSAUDEUR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0" s="5"/>
      </tp>
      <tp>
        <v>2.3536969270000001</v>
        <stp/>
        <stp>_x000B_CCSAUDEUR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1" s="5"/>
      </tp>
      <tp>
        <v>2.24694474</v>
        <stp/>
        <stp>_x000B_CCSAUDEUR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3" s="5"/>
      </tp>
      <tp>
        <v>2.187325312</v>
        <stp/>
        <stp>_x000B_CCSAUDEUR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4" s="5"/>
      </tp>
      <tp>
        <v>2.5546962030000002</v>
        <stp/>
        <stp>_x000B_CCSAUDEUR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9" s="5"/>
      </tp>
      <tp>
        <v>2.153822908</v>
        <stp/>
        <stp>_x000B_CCSAUDEUR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5" s="5"/>
      </tp>
      <tp>
        <v>2.3792096460000001</v>
        <stp/>
        <stp>_x000B_CCSAUDEUR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0" s="5"/>
      </tp>
      <tp>
        <v>2.2331625320000001</v>
        <stp/>
        <stp>_x000B_CCSAUDEUR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6" s="5"/>
      </tp>
      <tp>
        <v>2.2333645130000002</v>
        <stp/>
        <stp>_x000B_CCSAUDEUR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7" s="5"/>
      </tp>
      <tp>
        <v>2.2513474840000001</v>
        <stp/>
        <stp>_x000B_CCSAUDEUR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8" s="5"/>
      </tp>
      <tp t="s">
        <v>#N/A RIC Not Found</v>
        <stp/>
        <stp>_x000B_CCSAUDEUR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9" s="5"/>
      </tp>
      <tp>
        <v>1.824069468</v>
        <stp/>
        <stp>_x000B_CCSAUDEURS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" s="5"/>
      </tp>
      <tp>
        <v>2.187325312</v>
        <stp/>
        <stp>_x000B_CCSAUDEUR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4" s="5"/>
      </tp>
      <tp>
        <v>2.5546962030000002</v>
        <stp/>
        <stp>_x000B_CCSAUDEUR2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9" s="5"/>
      </tp>
      <tp>
        <v>2.153822908</v>
        <stp/>
        <stp>_x000B_CCSAUDEUR3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5" s="5"/>
      </tp>
      <tp>
        <v>2.3792096460000001</v>
        <stp/>
        <stp>_x000B_CCSAUDEUR3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0" s="5"/>
      </tp>
      <tp>
        <v>2.24694474</v>
        <stp/>
        <stp>_x000B_CCSAUDEUR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3" s="5"/>
      </tp>
      <tp>
        <v>2.2513474840000001</v>
        <stp/>
        <stp>_x000B_CCSAUDEUR6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8" s="5"/>
      </tp>
      <tp t="s">
        <v>#N/A RIC Not Found</v>
        <stp/>
        <stp>_x000B_CCSAUDEUR7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9" s="5"/>
      </tp>
      <tp>
        <v>2.2331625320000001</v>
        <stp/>
        <stp>_x000B_CCSAUDEUR4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6" s="5"/>
      </tp>
      <tp>
        <v>2.2333645130000002</v>
        <stp/>
        <stp>_x000B_CCSAUDEUR5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7" s="5"/>
      </tp>
      <tp t="s">
        <v>#N/A RIC Not Found</v>
        <stp/>
        <stp>_x000B_CCSAUDEUR8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0" s="5"/>
      </tp>
      <tp>
        <v>2.3536969270000001</v>
        <stp/>
        <stp>_x000B_CCSAUDEUR9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1" s="5"/>
      </tp>
      <tp t="s">
        <v>#N/A The record could not be found</v>
        <stp/>
        <stp>_x0002_TN_x0003_BIDÿ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" s="3"/>
        <tr r="Z4" s="5"/>
      </tp>
      <tp>
        <v>9.0499999999999989</v>
        <stp/>
        <stp>_x0002_SN_x0003_BIDÿ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" s="3"/>
        <tr r="Z5" s="5"/>
      </tp>
      <tp t="s">
        <v>#N/A The record could not be found</v>
        <stp/>
        <stp>_x0002_TN_x0003_ASKÿ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4" s="3"/>
        <tr r="AA4" s="5"/>
      </tp>
      <tp>
        <v>13.87</v>
        <stp/>
        <stp>_x0002_SN_x0003_ASKÿ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5" s="3"/>
        <tr r="AA5" s="5"/>
      </tp>
      <tp>
        <v>1.3932</v>
        <stp/>
        <stp>_x0007_EURAU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7" s="3"/>
        <tr r="AA27" s="5"/>
      </tp>
      <tp>
        <v>1.3917000000000002</v>
        <stp/>
        <stp>_x0007_EURAU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7" s="3"/>
        <tr r="Z27" s="5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'AUD EUR BAS OIS'!$AR$30</c:f>
              <c:strCache>
                <c:ptCount val="1"/>
                <c:pt idx="0">
                  <c:v>InterpY</c:v>
                </c:pt>
              </c:strCache>
            </c:strRef>
          </c:tx>
          <c:marker>
            <c:symbol val="none"/>
          </c:marker>
          <c:xVal>
            <c:numRef>
              <c:f>'AUD EUR BAS OIS'!$AQ$31:$AQ$60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'AUD EUR BAS OIS'!$AR$31:$AR$60</c:f>
              <c:numCache>
                <c:formatCode>General</c:formatCode>
                <c:ptCount val="30"/>
                <c:pt idx="0">
                  <c:v>0.505</c:v>
                </c:pt>
                <c:pt idx="1">
                  <c:v>0.54249999999999998</c:v>
                </c:pt>
                <c:pt idx="2">
                  <c:v>0.58000000000000007</c:v>
                </c:pt>
                <c:pt idx="3">
                  <c:v>0.60499999999999998</c:v>
                </c:pt>
                <c:pt idx="4">
                  <c:v>0.63</c:v>
                </c:pt>
                <c:pt idx="5">
                  <c:v>0.64963924632352943</c:v>
                </c:pt>
                <c:pt idx="6">
                  <c:v>0.66500000000000004</c:v>
                </c:pt>
                <c:pt idx="7">
                  <c:v>0.67747685185185191</c:v>
                </c:pt>
                <c:pt idx="8">
                  <c:v>0.68804398148148149</c:v>
                </c:pt>
                <c:pt idx="9">
                  <c:v>0.6925</c:v>
                </c:pt>
                <c:pt idx="10">
                  <c:v>0.68837756097560976</c:v>
                </c:pt>
                <c:pt idx="11">
                  <c:v>0.67743268292682923</c:v>
                </c:pt>
                <c:pt idx="12">
                  <c:v>0.66179902439024385</c:v>
                </c:pt>
                <c:pt idx="13">
                  <c:v>0.64361024390243904</c:v>
                </c:pt>
                <c:pt idx="14">
                  <c:v>0.625</c:v>
                </c:pt>
                <c:pt idx="15">
                  <c:v>0.59910975609756101</c:v>
                </c:pt>
                <c:pt idx="16">
                  <c:v>0.56356097560975604</c:v>
                </c:pt>
                <c:pt idx="17">
                  <c:v>0.5272073170731707</c:v>
                </c:pt>
                <c:pt idx="18">
                  <c:v>0.49890243902439019</c:v>
                </c:pt>
                <c:pt idx="19">
                  <c:v>0.48749999999999999</c:v>
                </c:pt>
                <c:pt idx="20">
                  <c:v>0.48749999999999999</c:v>
                </c:pt>
                <c:pt idx="21">
                  <c:v>0.48749999999999999</c:v>
                </c:pt>
                <c:pt idx="22">
                  <c:v>0.48749999999999999</c:v>
                </c:pt>
                <c:pt idx="23">
                  <c:v>0.48749999999999999</c:v>
                </c:pt>
                <c:pt idx="24">
                  <c:v>0.48749999999999999</c:v>
                </c:pt>
                <c:pt idx="25">
                  <c:v>0.48749999999999999</c:v>
                </c:pt>
                <c:pt idx="26">
                  <c:v>0.48749999999999999</c:v>
                </c:pt>
                <c:pt idx="27">
                  <c:v>0.48749999999999999</c:v>
                </c:pt>
                <c:pt idx="28">
                  <c:v>0.48749999999999999</c:v>
                </c:pt>
                <c:pt idx="29">
                  <c:v>0.48749999999999999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6566272"/>
        <c:axId val="571451648"/>
      </c:scatterChart>
      <c:valAx>
        <c:axId val="496566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71451648"/>
        <c:crosses val="autoZero"/>
        <c:crossBetween val="midCat"/>
      </c:valAx>
      <c:valAx>
        <c:axId val="571451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96566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'AUD EUR BAS STD'!$AR$30</c:f>
              <c:strCache>
                <c:ptCount val="1"/>
                <c:pt idx="0">
                  <c:v>InterpY</c:v>
                </c:pt>
              </c:strCache>
            </c:strRef>
          </c:tx>
          <c:marker>
            <c:symbol val="none"/>
          </c:marker>
          <c:xVal>
            <c:numRef>
              <c:f>'AUD EUR BAS STD'!$AQ$31:$AQ$60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'AUD EUR BAS STD'!$AR$31:$AR$60</c:f>
              <c:numCache>
                <c:formatCode>General</c:formatCode>
                <c:ptCount val="30"/>
                <c:pt idx="0">
                  <c:v>0.505</c:v>
                </c:pt>
                <c:pt idx="1">
                  <c:v>0.54249999999999998</c:v>
                </c:pt>
                <c:pt idx="2">
                  <c:v>0.58000000000000007</c:v>
                </c:pt>
                <c:pt idx="3">
                  <c:v>0.60499999999999998</c:v>
                </c:pt>
                <c:pt idx="4">
                  <c:v>0.63</c:v>
                </c:pt>
                <c:pt idx="5">
                  <c:v>0.64963924632352943</c:v>
                </c:pt>
                <c:pt idx="6">
                  <c:v>0.66500000000000004</c:v>
                </c:pt>
                <c:pt idx="7">
                  <c:v>0.67747685185185191</c:v>
                </c:pt>
                <c:pt idx="8">
                  <c:v>0.68804398148148149</c:v>
                </c:pt>
                <c:pt idx="9">
                  <c:v>0.6925</c:v>
                </c:pt>
                <c:pt idx="10">
                  <c:v>0.68837756097560976</c:v>
                </c:pt>
                <c:pt idx="11">
                  <c:v>0.67743268292682923</c:v>
                </c:pt>
                <c:pt idx="12">
                  <c:v>0.66179902439024385</c:v>
                </c:pt>
                <c:pt idx="13">
                  <c:v>0.64361024390243904</c:v>
                </c:pt>
                <c:pt idx="14">
                  <c:v>0.625</c:v>
                </c:pt>
                <c:pt idx="15">
                  <c:v>0.59910975609756101</c:v>
                </c:pt>
                <c:pt idx="16">
                  <c:v>0.56356097560975604</c:v>
                </c:pt>
                <c:pt idx="17">
                  <c:v>0.5272073170731707</c:v>
                </c:pt>
                <c:pt idx="18">
                  <c:v>0.49890243902439019</c:v>
                </c:pt>
                <c:pt idx="19">
                  <c:v>0.48749999999999999</c:v>
                </c:pt>
                <c:pt idx="20">
                  <c:v>0.48749999999999999</c:v>
                </c:pt>
                <c:pt idx="21">
                  <c:v>0.48749999999999999</c:v>
                </c:pt>
                <c:pt idx="22">
                  <c:v>0.48749999999999999</c:v>
                </c:pt>
                <c:pt idx="23">
                  <c:v>0.48749999999999999</c:v>
                </c:pt>
                <c:pt idx="24">
                  <c:v>0.48749999999999999</c:v>
                </c:pt>
                <c:pt idx="25">
                  <c:v>0.48749999999999999</c:v>
                </c:pt>
                <c:pt idx="26">
                  <c:v>0.48749999999999999</c:v>
                </c:pt>
                <c:pt idx="27">
                  <c:v>0.48749999999999999</c:v>
                </c:pt>
                <c:pt idx="28">
                  <c:v>0.48749999999999999</c:v>
                </c:pt>
                <c:pt idx="29">
                  <c:v>0.48749999999999999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4103552"/>
        <c:axId val="574105088"/>
      </c:scatterChart>
      <c:valAx>
        <c:axId val="574103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74105088"/>
        <c:crosses val="autoZero"/>
        <c:crossBetween val="midCat"/>
      </c:valAx>
      <c:valAx>
        <c:axId val="5741050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741035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1</xdr:col>
          <xdr:colOff>914400</xdr:colOff>
          <xdr:row>19</xdr:row>
          <xdr:rowOff>9525</xdr:rowOff>
        </xdr:to>
        <xdr:sp macro="" textlink="">
          <xdr:nvSpPr>
            <xdr:cNvPr id="1025" name="btnRu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1</xdr:col>
          <xdr:colOff>914400</xdr:colOff>
          <xdr:row>21</xdr:row>
          <xdr:rowOff>9525</xdr:rowOff>
        </xdr:to>
        <xdr:sp macro="" textlink="">
          <xdr:nvSpPr>
            <xdr:cNvPr id="1026" name="btnFreez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45</xdr:col>
      <xdr:colOff>247650</xdr:colOff>
      <xdr:row>29</xdr:row>
      <xdr:rowOff>28575</xdr:rowOff>
    </xdr:from>
    <xdr:to>
      <xdr:col>54</xdr:col>
      <xdr:colOff>19050</xdr:colOff>
      <xdr:row>48</xdr:row>
      <xdr:rowOff>57150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1</xdr:col>
          <xdr:colOff>914400</xdr:colOff>
          <xdr:row>19</xdr:row>
          <xdr:rowOff>9525</xdr:rowOff>
        </xdr:to>
        <xdr:sp macro="" textlink="">
          <xdr:nvSpPr>
            <xdr:cNvPr id="5121" name="btnRun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1</xdr:col>
          <xdr:colOff>914400</xdr:colOff>
          <xdr:row>21</xdr:row>
          <xdr:rowOff>9525</xdr:rowOff>
        </xdr:to>
        <xdr:sp macro="" textlink="">
          <xdr:nvSpPr>
            <xdr:cNvPr id="5122" name="btnFreeze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45</xdr:col>
      <xdr:colOff>247650</xdr:colOff>
      <xdr:row>29</xdr:row>
      <xdr:rowOff>28575</xdr:rowOff>
    </xdr:from>
    <xdr:to>
      <xdr:col>54</xdr:col>
      <xdr:colOff>19050</xdr:colOff>
      <xdr:row>48</xdr:row>
      <xdr:rowOff>57150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UD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BBSW"/>
      <sheetName val="Deposits"/>
      <sheetName val="FRA"/>
      <sheetName val="OIS"/>
      <sheetName val="MT_OIS"/>
      <sheetName val="Futures3M"/>
      <sheetName val="Swap3M"/>
      <sheetName val="Swap6M"/>
      <sheetName val="BasisSwap1M3M"/>
      <sheetName val="BasisSwap3M6M"/>
      <sheetName val="BBSWSwapForBasisCalc"/>
      <sheetName val="FuturesHWConvAdj"/>
    </sheetNames>
    <definedNames>
      <definedName name="TriggerCounter" refersTo="='General Settings'!$D$7"/>
    </definedNames>
    <sheetDataSet>
      <sheetData sheetId="0">
        <row r="7">
          <cell r="D7">
            <v>4</v>
          </cell>
        </row>
      </sheetData>
      <sheetData sheetId="1">
        <row r="7">
          <cell r="D7">
            <v>0</v>
          </cell>
        </row>
      </sheetData>
      <sheetData sheetId="2">
        <row r="7">
          <cell r="D7" t="str">
            <v>D</v>
          </cell>
        </row>
      </sheetData>
      <sheetData sheetId="3">
        <row r="7">
          <cell r="D7" t="str">
            <v>x6F</v>
          </cell>
        </row>
      </sheetData>
      <sheetData sheetId="4">
        <row r="7">
          <cell r="D7" t="str">
            <v>3W</v>
          </cell>
        </row>
      </sheetData>
      <sheetData sheetId="5">
        <row r="7">
          <cell r="D7" t="str">
            <v>3W</v>
          </cell>
        </row>
      </sheetData>
      <sheetData sheetId="6">
        <row r="7">
          <cell r="D7" t="str">
            <v>M7</v>
          </cell>
        </row>
      </sheetData>
      <sheetData sheetId="7">
        <row r="7">
          <cell r="D7" t="str">
            <v>3AB</v>
          </cell>
        </row>
      </sheetData>
      <sheetData sheetId="8">
        <row r="7">
          <cell r="D7" t="str">
            <v>6AB</v>
          </cell>
        </row>
      </sheetData>
      <sheetData sheetId="9">
        <row r="7">
          <cell r="D7" t="str">
            <v>3BR</v>
          </cell>
        </row>
      </sheetData>
      <sheetData sheetId="10">
        <row r="7">
          <cell r="D7" t="str">
            <v>6BR</v>
          </cell>
        </row>
      </sheetData>
      <sheetData sheetId="11">
        <row r="7">
          <cell r="D7" t="str">
            <v>AudBBSWSwapForBasisCalc9M</v>
          </cell>
        </row>
      </sheetData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7" tint="0.59999389629810485"/>
  </sheetPr>
  <dimension ref="B2:E7"/>
  <sheetViews>
    <sheetView showGridLines="0" workbookViewId="0">
      <selection activeCell="D4" sqref="D4"/>
    </sheetView>
  </sheetViews>
  <sheetFormatPr defaultRowHeight="11.25" x14ac:dyDescent="0.2"/>
  <cols>
    <col min="1" max="2" width="3.83203125" customWidth="1"/>
    <col min="3" max="4" width="21.83203125" customWidth="1"/>
    <col min="5" max="5" width="3.83203125" customWidth="1"/>
  </cols>
  <sheetData>
    <row r="2" spans="2:5" x14ac:dyDescent="0.2">
      <c r="B2" s="227" t="s">
        <v>0</v>
      </c>
      <c r="C2" s="228"/>
      <c r="D2" s="228"/>
      <c r="E2" s="229"/>
    </row>
    <row r="3" spans="2:5" x14ac:dyDescent="0.2">
      <c r="B3" s="1"/>
      <c r="C3" s="2"/>
      <c r="D3" s="2"/>
      <c r="E3" s="3"/>
    </row>
    <row r="4" spans="2:5" x14ac:dyDescent="0.2">
      <c r="B4" s="4"/>
      <c r="C4" s="5" t="s">
        <v>1</v>
      </c>
      <c r="D4" s="6"/>
      <c r="E4" s="7"/>
    </row>
    <row r="5" spans="2:5" x14ac:dyDescent="0.2">
      <c r="B5" s="4"/>
      <c r="C5" s="8" t="s">
        <v>2</v>
      </c>
      <c r="D5" s="9">
        <f>_xll.qlSettingsEvaluationDate(ManualTrigger)</f>
        <v>42814</v>
      </c>
      <c r="E5" s="7"/>
    </row>
    <row r="6" spans="2:5" x14ac:dyDescent="0.2">
      <c r="B6" s="4"/>
      <c r="C6" s="223" t="s">
        <v>3</v>
      </c>
      <c r="D6" s="224">
        <f>_xll.ohTrigger(EvaluationDate,TYPE(ManualTrigger))</f>
        <v>0</v>
      </c>
      <c r="E6" s="7"/>
    </row>
    <row r="7" spans="2:5" x14ac:dyDescent="0.2">
      <c r="B7" s="10"/>
      <c r="C7" s="11"/>
      <c r="D7" s="11"/>
      <c r="E7" s="12"/>
    </row>
  </sheetData>
  <mergeCells count="1">
    <mergeCell ref="B2:E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 tint="0.59999389629810485"/>
  </sheetPr>
  <dimension ref="B2:O92"/>
  <sheetViews>
    <sheetView showGridLines="0" workbookViewId="0">
      <selection activeCell="C16" sqref="C16"/>
    </sheetView>
  </sheetViews>
  <sheetFormatPr defaultRowHeight="11.25" x14ac:dyDescent="0.2"/>
  <cols>
    <col min="1" max="1" width="3.83203125" customWidth="1"/>
    <col min="2" max="2" width="16.83203125" customWidth="1"/>
    <col min="3" max="3" width="20.83203125" customWidth="1"/>
    <col min="4" max="5" width="10.83203125" customWidth="1"/>
    <col min="6" max="6" width="5.83203125" customWidth="1"/>
    <col min="7" max="7" width="16.83203125" customWidth="1"/>
    <col min="8" max="8" width="20.83203125" customWidth="1"/>
    <col min="9" max="10" width="10.83203125" customWidth="1"/>
    <col min="11" max="11" width="5.83203125" customWidth="1"/>
    <col min="12" max="12" width="16.83203125" customWidth="1"/>
    <col min="13" max="13" width="20.83203125" customWidth="1"/>
    <col min="14" max="15" width="10.83203125" customWidth="1"/>
  </cols>
  <sheetData>
    <row r="2" spans="2:15" x14ac:dyDescent="0.2">
      <c r="D2" s="198" t="s">
        <v>14</v>
      </c>
      <c r="E2" s="198" t="s">
        <v>15</v>
      </c>
      <c r="I2" s="198" t="s">
        <v>14</v>
      </c>
      <c r="J2" s="198" t="s">
        <v>15</v>
      </c>
      <c r="N2" s="198" t="s">
        <v>14</v>
      </c>
      <c r="O2" s="198" t="s">
        <v>15</v>
      </c>
    </row>
    <row r="3" spans="2:15" x14ac:dyDescent="0.2">
      <c r="B3" s="220" t="s">
        <v>10</v>
      </c>
      <c r="C3" s="219" t="s">
        <v>188</v>
      </c>
      <c r="D3" s="222">
        <f t="array" ref="D3:D92">CHOOSE(C6,_xll.qlPiecewiseYieldCurveDates(C4),_xll.qlInterpolatedYieldCurveDates(C4))</f>
        <v>42814</v>
      </c>
      <c r="E3" s="221" t="e">
        <f>_xll.qlYieldTSDiscount(C$3,D3,,InterestRatesTrigger)</f>
        <v>#NUM!</v>
      </c>
      <c r="G3" s="220" t="s">
        <v>10</v>
      </c>
      <c r="H3" s="219" t="s">
        <v>187</v>
      </c>
      <c r="I3" s="222">
        <f t="array" ref="I3:I92">CHOOSE(H6,_xll.qlPiecewiseYieldCurveDates(H4),_xll.qlInterpolatedYieldCurveDates(H4))</f>
        <v>42816</v>
      </c>
      <c r="J3" s="221" t="e">
        <f>_xll.qlYieldTSDiscount(H$3,I3,,InterestRatesTrigger)</f>
        <v>#NUM!</v>
      </c>
      <c r="L3" s="220" t="s">
        <v>10</v>
      </c>
      <c r="M3" s="219" t="s">
        <v>186</v>
      </c>
      <c r="N3" s="222">
        <f t="array" ref="N3:N92">CHOOSE(M6,_xll.qlPiecewiseYieldCurveDates(M4),_xll.qlInterpolatedYieldCurveDates(M4))</f>
        <v>42814</v>
      </c>
      <c r="O3" s="221" t="e">
        <f>_xll.qlYieldTSDiscount(M$3,N3,,InterestRatesTrigger)</f>
        <v>#NUM!</v>
      </c>
    </row>
    <row r="4" spans="2:15" x14ac:dyDescent="0.2">
      <c r="B4" s="15" t="s">
        <v>16</v>
      </c>
      <c r="C4" s="159" t="str">
        <f>_xll.qlHandleCurrentLink(C3,ObjectsTrigger)</f>
        <v>_EURON</v>
      </c>
      <c r="D4" s="20">
        <v>42815</v>
      </c>
      <c r="E4" s="21" t="e">
        <f>_xll.qlYieldTSDiscount(C$3,D4,,InterestRatesTrigger)</f>
        <v>#NUM!</v>
      </c>
      <c r="G4" s="15" t="s">
        <v>16</v>
      </c>
      <c r="H4" s="159" t="str">
        <f>_xll.qlHandleCurrentLink(H3,ObjectsTrigger)</f>
        <v>_EUR3M</v>
      </c>
      <c r="I4" s="20">
        <v>42849</v>
      </c>
      <c r="J4" s="21" t="e">
        <f>_xll.qlYieldTSDiscount(H$3,I4,,InterestRatesTrigger)</f>
        <v>#NUM!</v>
      </c>
      <c r="L4" s="15" t="s">
        <v>16</v>
      </c>
      <c r="M4" s="159" t="str">
        <f>_xll.qlHandleCurrentLink(M3,ObjectsTrigger)</f>
        <v>_EURSTD</v>
      </c>
      <c r="N4" s="20">
        <v>42815</v>
      </c>
      <c r="O4" s="21" t="e">
        <f>_xll.qlYieldTSDiscount(M$3,N4,,InterestRatesTrigger)</f>
        <v>#NUM!</v>
      </c>
    </row>
    <row r="5" spans="2:15" x14ac:dyDescent="0.2">
      <c r="B5" s="15" t="s">
        <v>137</v>
      </c>
      <c r="C5" s="197" t="str">
        <f>_xll.ohObjectClassName(C4)</f>
        <v>qlPiecewiseYieldCurve</v>
      </c>
      <c r="D5" s="20">
        <v>42816</v>
      </c>
      <c r="E5" s="21" t="e">
        <f>_xll.qlYieldTSDiscount(C$3,D5,,InterestRatesTrigger)</f>
        <v>#NUM!</v>
      </c>
      <c r="G5" s="15" t="s">
        <v>137</v>
      </c>
      <c r="H5" s="197" t="str">
        <f>_xll.ohObjectClassName(H4)</f>
        <v>qlPiecewiseYieldCurve</v>
      </c>
      <c r="I5" s="20">
        <v>42877</v>
      </c>
      <c r="J5" s="21" t="e">
        <f>_xll.qlYieldTSDiscount(H$3,I5,,InterestRatesTrigger)</f>
        <v>#NUM!</v>
      </c>
      <c r="L5" s="15" t="s">
        <v>137</v>
      </c>
      <c r="M5" s="197" t="str">
        <f>_xll.ohObjectClassName(M4)</f>
        <v>qlPiecewiseYieldCurve</v>
      </c>
      <c r="N5" s="20">
        <v>42816</v>
      </c>
      <c r="O5" s="21" t="e">
        <f>_xll.qlYieldTSDiscount(M$3,N5,,InterestRatesTrigger)</f>
        <v>#NUM!</v>
      </c>
    </row>
    <row r="6" spans="2:15" x14ac:dyDescent="0.2">
      <c r="B6" s="14" t="s">
        <v>141</v>
      </c>
      <c r="C6" s="192">
        <f>MATCH(C5,{"qlPiecewiseYieldCurve","qlInterpolatedYieldCurve"})</f>
        <v>1</v>
      </c>
      <c r="D6" s="20">
        <v>42823</v>
      </c>
      <c r="E6" s="21" t="e">
        <f>_xll.qlYieldTSDiscount(C$3,D6,,InterestRatesTrigger)</f>
        <v>#NUM!</v>
      </c>
      <c r="G6" s="14" t="s">
        <v>141</v>
      </c>
      <c r="H6" s="192">
        <f>MATCH(H5,{"qlPiecewiseYieldCurve","qlInterpolatedYieldCurve"})</f>
        <v>1</v>
      </c>
      <c r="I6" s="20">
        <v>42908</v>
      </c>
      <c r="J6" s="21" t="e">
        <f>_xll.qlYieldTSDiscount(H$3,I6,,InterestRatesTrigger)</f>
        <v>#NUM!</v>
      </c>
      <c r="L6" s="14" t="s">
        <v>141</v>
      </c>
      <c r="M6" s="192">
        <f>MATCH(M5,{"qlPiecewiseYieldCurve","qlInterpolatedYieldCurve"})</f>
        <v>1</v>
      </c>
      <c r="N6" s="20">
        <v>42817</v>
      </c>
      <c r="O6" s="21" t="e">
        <f>_xll.qlYieldTSDiscount(M$3,N6,,InterestRatesTrigger)</f>
        <v>#NUM!</v>
      </c>
    </row>
    <row r="7" spans="2:15" x14ac:dyDescent="0.2">
      <c r="B7" s="220" t="s">
        <v>4</v>
      </c>
      <c r="C7" s="219" t="s">
        <v>101</v>
      </c>
      <c r="D7" s="20">
        <v>42830</v>
      </c>
      <c r="E7" s="21" t="e">
        <f>_xll.qlYieldTSDiscount(C$3,D7,,InterestRatesTrigger)</f>
        <v>#NUM!</v>
      </c>
      <c r="G7" s="220" t="s">
        <v>4</v>
      </c>
      <c r="H7" s="219" t="s">
        <v>101</v>
      </c>
      <c r="I7" s="20">
        <v>42940</v>
      </c>
      <c r="J7" s="21" t="e">
        <f>_xll.qlYieldTSDiscount(H$3,I7,,InterestRatesTrigger)</f>
        <v>#NUM!</v>
      </c>
      <c r="L7" s="220" t="s">
        <v>4</v>
      </c>
      <c r="M7" s="219" t="s">
        <v>101</v>
      </c>
      <c r="N7" s="20">
        <v>42823</v>
      </c>
      <c r="O7" s="21" t="e">
        <f>_xll.qlYieldTSDiscount(M$3,N7,,InterestRatesTrigger)</f>
        <v>#NUM!</v>
      </c>
    </row>
    <row r="8" spans="2:15" x14ac:dyDescent="0.2">
      <c r="B8" s="15" t="s">
        <v>5</v>
      </c>
      <c r="C8" s="18" t="s">
        <v>147</v>
      </c>
      <c r="D8" s="20">
        <v>42837</v>
      </c>
      <c r="E8" s="21" t="e">
        <f>_xll.qlYieldTSDiscount(C$3,D8,,InterestRatesTrigger)</f>
        <v>#NUM!</v>
      </c>
      <c r="G8" s="15" t="s">
        <v>5</v>
      </c>
      <c r="H8" s="18" t="s">
        <v>148</v>
      </c>
      <c r="I8" s="20">
        <v>42969</v>
      </c>
      <c r="J8" s="21" t="e">
        <f>_xll.qlYieldTSDiscount(H$3,I8,,InterestRatesTrigger)</f>
        <v>#NUM!</v>
      </c>
      <c r="L8" s="15" t="s">
        <v>5</v>
      </c>
      <c r="M8" s="18" t="s">
        <v>153</v>
      </c>
      <c r="N8" s="20">
        <v>42830</v>
      </c>
      <c r="O8" s="21" t="e">
        <f>_xll.qlYieldTSDiscount(M$3,N8,,InterestRatesTrigger)</f>
        <v>#NUM!</v>
      </c>
    </row>
    <row r="9" spans="2:15" x14ac:dyDescent="0.2">
      <c r="B9" s="15" t="s">
        <v>6</v>
      </c>
      <c r="C9" s="18" t="s">
        <v>11</v>
      </c>
      <c r="D9" s="20">
        <v>42849</v>
      </c>
      <c r="E9" s="21" t="e">
        <f>_xll.qlYieldTSDiscount(C$3,D9,,InterestRatesTrigger)</f>
        <v>#NUM!</v>
      </c>
      <c r="G9" s="15" t="s">
        <v>6</v>
      </c>
      <c r="H9" s="18" t="s">
        <v>58</v>
      </c>
      <c r="I9" s="20">
        <v>43000</v>
      </c>
      <c r="J9" s="21" t="e">
        <f>_xll.qlYieldTSDiscount(H$3,I9,,InterestRatesTrigger)</f>
        <v>#NUM!</v>
      </c>
      <c r="L9" s="15" t="s">
        <v>6</v>
      </c>
      <c r="M9" s="18" t="s">
        <v>58</v>
      </c>
      <c r="N9" s="20">
        <v>42837</v>
      </c>
      <c r="O9" s="21" t="e">
        <f>_xll.qlYieldTSDiscount(M$3,N9,,InterestRatesTrigger)</f>
        <v>#NUM!</v>
      </c>
    </row>
    <row r="10" spans="2:15" x14ac:dyDescent="0.2">
      <c r="B10" s="15" t="s">
        <v>7</v>
      </c>
      <c r="C10" s="18" t="s">
        <v>12</v>
      </c>
      <c r="D10" s="20">
        <v>42877</v>
      </c>
      <c r="E10" s="21" t="e">
        <f>_xll.qlYieldTSDiscount(C$3,D10,,InterestRatesTrigger)</f>
        <v>#NUM!</v>
      </c>
      <c r="G10" s="15" t="s">
        <v>7</v>
      </c>
      <c r="H10" s="18" t="s">
        <v>46</v>
      </c>
      <c r="I10" s="20">
        <v>43031</v>
      </c>
      <c r="J10" s="21" t="e">
        <f>_xll.qlYieldTSDiscount(H$3,I10,,InterestRatesTrigger)</f>
        <v>#NUM!</v>
      </c>
      <c r="L10" s="15" t="s">
        <v>7</v>
      </c>
      <c r="M10" s="18" t="s">
        <v>46</v>
      </c>
      <c r="N10" s="20">
        <v>42849</v>
      </c>
      <c r="O10" s="21" t="e">
        <f>_xll.qlYieldTSDiscount(M$3,N10,,InterestRatesTrigger)</f>
        <v>#NUM!</v>
      </c>
    </row>
    <row r="11" spans="2:15" x14ac:dyDescent="0.2">
      <c r="B11" s="15" t="s">
        <v>8</v>
      </c>
      <c r="C11" s="18" t="s">
        <v>13</v>
      </c>
      <c r="D11" s="20">
        <v>42900</v>
      </c>
      <c r="E11" s="21" t="e">
        <f>_xll.qlYieldTSDiscount(C$3,D11,,InterestRatesTrigger)</f>
        <v>#NUM!</v>
      </c>
      <c r="G11" s="15" t="s">
        <v>8</v>
      </c>
      <c r="H11" s="18" t="s">
        <v>13</v>
      </c>
      <c r="I11" s="20">
        <v>43061</v>
      </c>
      <c r="J11" s="21" t="e">
        <f>_xll.qlYieldTSDiscount(H$3,I11,,InterestRatesTrigger)</f>
        <v>#NUM!</v>
      </c>
      <c r="L11" s="15" t="s">
        <v>8</v>
      </c>
      <c r="M11" s="18" t="s">
        <v>13</v>
      </c>
      <c r="N11" s="20">
        <v>42877</v>
      </c>
      <c r="O11" s="21" t="e">
        <f>_xll.qlYieldTSDiscount(M$3,N11,,InterestRatesTrigger)</f>
        <v>#NUM!</v>
      </c>
    </row>
    <row r="12" spans="2:15" x14ac:dyDescent="0.2">
      <c r="B12" s="14" t="s">
        <v>9</v>
      </c>
      <c r="C12" s="19">
        <v>5</v>
      </c>
      <c r="D12" s="20">
        <v>42942</v>
      </c>
      <c r="E12" s="21" t="e">
        <f>_xll.qlYieldTSDiscount(C$3,D12,,InterestRatesTrigger)</f>
        <v>#NUM!</v>
      </c>
      <c r="G12" s="14" t="s">
        <v>9</v>
      </c>
      <c r="H12" s="19">
        <v>5</v>
      </c>
      <c r="I12" s="20">
        <v>43091</v>
      </c>
      <c r="J12" s="21" t="e">
        <f>_xll.qlYieldTSDiscount(H$3,I12,,InterestRatesTrigger)</f>
        <v>#NUM!</v>
      </c>
      <c r="L12" s="14" t="s">
        <v>9</v>
      </c>
      <c r="M12" s="19">
        <v>5</v>
      </c>
      <c r="N12" s="20">
        <v>42908</v>
      </c>
      <c r="O12" s="21" t="e">
        <f>_xll.qlYieldTSDiscount(M$3,N12,,InterestRatesTrigger)</f>
        <v>#NUM!</v>
      </c>
    </row>
    <row r="13" spans="2:15" x14ac:dyDescent="0.2">
      <c r="B13" s="15" t="s">
        <v>17</v>
      </c>
      <c r="C13" s="218">
        <f>COUNT(D3:D92)</f>
        <v>34</v>
      </c>
      <c r="D13" s="20">
        <v>42991</v>
      </c>
      <c r="E13" s="21" t="e">
        <f>_xll.qlYieldTSDiscount(C$3,D13,,InterestRatesTrigger)</f>
        <v>#NUM!</v>
      </c>
      <c r="G13" s="15" t="s">
        <v>17</v>
      </c>
      <c r="H13" s="218">
        <f>COUNT(I3:I92)</f>
        <v>38</v>
      </c>
      <c r="I13" s="20">
        <v>43122</v>
      </c>
      <c r="J13" s="21" t="e">
        <f>_xll.qlYieldTSDiscount(H$3,I13,,InterestRatesTrigger)</f>
        <v>#NUM!</v>
      </c>
      <c r="L13" s="15" t="s">
        <v>17</v>
      </c>
      <c r="M13" s="218">
        <f>COUNT(N3:N92)</f>
        <v>55</v>
      </c>
      <c r="N13" s="20">
        <v>42940</v>
      </c>
      <c r="O13" s="21" t="e">
        <f>_xll.qlYieldTSDiscount(M$3,N13,,InterestRatesTrigger)</f>
        <v>#NUM!</v>
      </c>
    </row>
    <row r="14" spans="2:15" x14ac:dyDescent="0.2">
      <c r="B14" s="14" t="s">
        <v>18</v>
      </c>
      <c r="C14" s="24" t="e">
        <f>GetNow(_xll.xlPushShmLiborCurveName(C7,C8,D3:INDEX(D3:D92,C13),E3:INDEX(E3:E92,C13),C9,C10,C11,C12))</f>
        <v>#NUM!</v>
      </c>
      <c r="D14" s="20">
        <v>43041</v>
      </c>
      <c r="E14" s="21" t="e">
        <f>_xll.qlYieldTSDiscount(C$3,D14,,InterestRatesTrigger)</f>
        <v>#NUM!</v>
      </c>
      <c r="G14" s="14" t="s">
        <v>18</v>
      </c>
      <c r="H14" s="24" t="e">
        <f>GetNow(_xll.xlPushShmLiborCurveName(H7,H8,I3:INDEX(I3:I92,H13),J3:INDEX(J3:J92,H13),H9,H10,H11,H12))</f>
        <v>#NUM!</v>
      </c>
      <c r="I14" s="20">
        <v>43153</v>
      </c>
      <c r="J14" s="21" t="e">
        <f>_xll.qlYieldTSDiscount(H$3,I14,,InterestRatesTrigger)</f>
        <v>#NUM!</v>
      </c>
      <c r="L14" s="14" t="s">
        <v>18</v>
      </c>
      <c r="M14" s="24" t="e">
        <f>GetNow(_xll.xlPushShmLiborCurveName(M7,M8,N3:INDEX(N3:N92,M13),O3:INDEX(O3:O92,M13),M9,M10,M11,M12))</f>
        <v>#NUM!</v>
      </c>
      <c r="N14" s="20">
        <v>42969</v>
      </c>
      <c r="O14" s="21" t="e">
        <f>_xll.qlYieldTSDiscount(M$3,N14,,InterestRatesTrigger)</f>
        <v>#NUM!</v>
      </c>
    </row>
    <row r="15" spans="2:15" x14ac:dyDescent="0.2">
      <c r="D15" s="20">
        <v>43089</v>
      </c>
      <c r="E15" s="21" t="e">
        <f>_xll.qlYieldTSDiscount(C$3,D15,,InterestRatesTrigger)</f>
        <v>#NUM!</v>
      </c>
      <c r="I15" s="20">
        <v>43181</v>
      </c>
      <c r="J15" s="21" t="e">
        <f>_xll.qlYieldTSDiscount(H$3,I15,,InterestRatesTrigger)</f>
        <v>#NUM!</v>
      </c>
      <c r="N15" s="20">
        <v>43000</v>
      </c>
      <c r="O15" s="21" t="e">
        <f>_xll.qlYieldTSDiscount(M$3,N15,,InterestRatesTrigger)</f>
        <v>#NUM!</v>
      </c>
    </row>
    <row r="16" spans="2:15" x14ac:dyDescent="0.2">
      <c r="B16" s="225" t="s">
        <v>189</v>
      </c>
      <c r="C16" s="226" t="e">
        <v>#NAME?</v>
      </c>
      <c r="D16" s="20">
        <v>43273</v>
      </c>
      <c r="E16" s="21" t="e">
        <f>_xll.qlYieldTSDiscount(C$3,D16,,InterestRatesTrigger)</f>
        <v>#NUM!</v>
      </c>
      <c r="I16" s="20">
        <v>43213</v>
      </c>
      <c r="J16" s="21" t="e">
        <f>_xll.qlYieldTSDiscount(H$3,I16,,InterestRatesTrigger)</f>
        <v>#NUM!</v>
      </c>
      <c r="N16" s="20">
        <v>43031</v>
      </c>
      <c r="O16" s="21" t="e">
        <f>_xll.qlYieldTSDiscount(M$3,N16,,InterestRatesTrigger)</f>
        <v>#NUM!</v>
      </c>
    </row>
    <row r="17" spans="4:15" x14ac:dyDescent="0.2">
      <c r="D17" s="20">
        <v>43367</v>
      </c>
      <c r="E17" s="21" t="e">
        <f>_xll.qlYieldTSDiscount(C$3,D17,,InterestRatesTrigger)</f>
        <v>#NUM!</v>
      </c>
      <c r="I17" s="20">
        <v>43242</v>
      </c>
      <c r="J17" s="21" t="e">
        <f>_xll.qlYieldTSDiscount(H$3,I17,,InterestRatesTrigger)</f>
        <v>#NUM!</v>
      </c>
      <c r="N17" s="20">
        <v>43061</v>
      </c>
      <c r="O17" s="21" t="e">
        <f>_xll.qlYieldTSDiscount(M$3,N17,,InterestRatesTrigger)</f>
        <v>#NUM!</v>
      </c>
    </row>
    <row r="18" spans="4:15" x14ac:dyDescent="0.2">
      <c r="D18" s="20">
        <v>43458</v>
      </c>
      <c r="E18" s="21" t="e">
        <f>_xll.qlYieldTSDiscount(C$3,D18,,InterestRatesTrigger)</f>
        <v>#NUM!</v>
      </c>
      <c r="I18" s="20">
        <v>43273</v>
      </c>
      <c r="J18" s="21" t="e">
        <f>_xll.qlYieldTSDiscount(H$3,I18,,InterestRatesTrigger)</f>
        <v>#NUM!</v>
      </c>
      <c r="N18" s="20">
        <v>43088</v>
      </c>
      <c r="O18" s="21" t="e">
        <f>_xll.qlYieldTSDiscount(M$3,N18,,InterestRatesTrigger)</f>
        <v>#NUM!</v>
      </c>
    </row>
    <row r="19" spans="4:15" x14ac:dyDescent="0.2">
      <c r="D19" s="20">
        <v>43546</v>
      </c>
      <c r="E19" s="21" t="e">
        <f>_xll.qlYieldTSDiscount(C$3,D19,,InterestRatesTrigger)</f>
        <v>#NUM!</v>
      </c>
      <c r="I19" s="20">
        <v>43363</v>
      </c>
      <c r="J19" s="21" t="e">
        <f>_xll.qlYieldTSDiscount(H$3,I19,,InterestRatesTrigger)</f>
        <v>#NUM!</v>
      </c>
      <c r="N19" s="20">
        <v>43091</v>
      </c>
      <c r="O19" s="21" t="e">
        <f>_xll.qlYieldTSDiscount(M$3,N19,,InterestRatesTrigger)</f>
        <v>#NUM!</v>
      </c>
    </row>
    <row r="20" spans="4:15" x14ac:dyDescent="0.2">
      <c r="D20" s="20">
        <v>43913</v>
      </c>
      <c r="E20" s="21" t="e">
        <f>_xll.qlYieldTSDiscount(C$3,D20,,InterestRatesTrigger)</f>
        <v>#NUM!</v>
      </c>
      <c r="I20" s="20">
        <v>43453</v>
      </c>
      <c r="J20" s="21" t="e">
        <f>_xll.qlYieldTSDiscount(H$3,I20,,InterestRatesTrigger)</f>
        <v>#NUM!</v>
      </c>
      <c r="N20" s="20">
        <v>43179</v>
      </c>
      <c r="O20" s="21" t="e">
        <f>_xll.qlYieldTSDiscount(M$3,N20,,InterestRatesTrigger)</f>
        <v>#NUM!</v>
      </c>
    </row>
    <row r="21" spans="4:15" x14ac:dyDescent="0.2">
      <c r="D21" s="20">
        <v>44277</v>
      </c>
      <c r="E21" s="21" t="e">
        <f>_xll.qlYieldTSDiscount(C$3,D21,,InterestRatesTrigger)</f>
        <v>#NUM!</v>
      </c>
      <c r="I21" s="20">
        <v>43543</v>
      </c>
      <c r="J21" s="21" t="e">
        <f>_xll.qlYieldTSDiscount(H$3,I21,,InterestRatesTrigger)</f>
        <v>#NUM!</v>
      </c>
      <c r="N21" s="20">
        <v>43272</v>
      </c>
      <c r="O21" s="21" t="e">
        <f>_xll.qlYieldTSDiscount(M$3,N21,,InterestRatesTrigger)</f>
        <v>#NUM!</v>
      </c>
    </row>
    <row r="22" spans="4:15" x14ac:dyDescent="0.2">
      <c r="D22" s="20">
        <v>44642</v>
      </c>
      <c r="E22" s="21" t="e">
        <f>_xll.qlYieldTSDiscount(C$3,D22,,InterestRatesTrigger)</f>
        <v>#NUM!</v>
      </c>
      <c r="I22" s="20">
        <v>43636</v>
      </c>
      <c r="J22" s="21" t="e">
        <f>_xll.qlYieldTSDiscount(H$3,I22,,InterestRatesTrigger)</f>
        <v>#NUM!</v>
      </c>
      <c r="N22" s="20">
        <v>43363</v>
      </c>
      <c r="O22" s="21" t="e">
        <f>_xll.qlYieldTSDiscount(M$3,N22,,InterestRatesTrigger)</f>
        <v>#NUM!</v>
      </c>
    </row>
    <row r="23" spans="4:15" x14ac:dyDescent="0.2">
      <c r="D23" s="20">
        <v>45007</v>
      </c>
      <c r="E23" s="21" t="e">
        <f>_xll.qlYieldTSDiscount(C$3,D23,,InterestRatesTrigger)</f>
        <v>#NUM!</v>
      </c>
      <c r="I23" s="20">
        <v>43727</v>
      </c>
      <c r="J23" s="21" t="e">
        <f>_xll.qlYieldTSDiscount(H$3,I23,,InterestRatesTrigger)</f>
        <v>#NUM!</v>
      </c>
      <c r="N23" s="20">
        <v>43453</v>
      </c>
      <c r="O23" s="21" t="e">
        <f>_xll.qlYieldTSDiscount(M$3,N23,,InterestRatesTrigger)</f>
        <v>#NUM!</v>
      </c>
    </row>
    <row r="24" spans="4:15" x14ac:dyDescent="0.2">
      <c r="D24" s="20">
        <v>45373</v>
      </c>
      <c r="E24" s="21" t="e">
        <f>_xll.qlYieldTSDiscount(C$3,D24,,InterestRatesTrigger)</f>
        <v>#NUM!</v>
      </c>
      <c r="I24" s="20">
        <v>43817</v>
      </c>
      <c r="J24" s="21" t="e">
        <f>_xll.qlYieldTSDiscount(H$3,I24,,InterestRatesTrigger)</f>
        <v>#NUM!</v>
      </c>
      <c r="N24" s="20">
        <v>43543</v>
      </c>
      <c r="O24" s="21" t="e">
        <f>_xll.qlYieldTSDiscount(M$3,N24,,InterestRatesTrigger)</f>
        <v>#NUM!</v>
      </c>
    </row>
    <row r="25" spans="4:15" x14ac:dyDescent="0.2">
      <c r="D25" s="20">
        <v>45740</v>
      </c>
      <c r="E25" s="21" t="e">
        <f>_xll.qlYieldTSDiscount(C$3,D25,,InterestRatesTrigger)</f>
        <v>#NUM!</v>
      </c>
      <c r="I25" s="20">
        <v>43913</v>
      </c>
      <c r="J25" s="21" t="e">
        <f>_xll.qlYieldTSDiscount(H$3,I25,,InterestRatesTrigger)</f>
        <v>#NUM!</v>
      </c>
      <c r="N25" s="20">
        <v>43636</v>
      </c>
      <c r="O25" s="21" t="e">
        <f>_xll.qlYieldTSDiscount(M$3,N25,,InterestRatesTrigger)</f>
        <v>#NUM!</v>
      </c>
    </row>
    <row r="26" spans="4:15" x14ac:dyDescent="0.2">
      <c r="D26" s="20">
        <v>46104</v>
      </c>
      <c r="E26" s="21" t="e">
        <f>_xll.qlYieldTSDiscount(C$3,D26,,InterestRatesTrigger)</f>
        <v>#NUM!</v>
      </c>
      <c r="I26" s="20">
        <v>44277</v>
      </c>
      <c r="J26" s="21" t="e">
        <f>_xll.qlYieldTSDiscount(H$3,I26,,InterestRatesTrigger)</f>
        <v>#NUM!</v>
      </c>
      <c r="N26" s="20">
        <v>43913</v>
      </c>
      <c r="O26" s="21" t="e">
        <f>_xll.qlYieldTSDiscount(M$3,N26,,InterestRatesTrigger)</f>
        <v>#NUM!</v>
      </c>
    </row>
    <row r="27" spans="4:15" x14ac:dyDescent="0.2">
      <c r="D27" s="20">
        <v>46468</v>
      </c>
      <c r="E27" s="21" t="e">
        <f>_xll.qlYieldTSDiscount(C$3,D27,,InterestRatesTrigger)</f>
        <v>#NUM!</v>
      </c>
      <c r="I27" s="20">
        <v>44642</v>
      </c>
      <c r="J27" s="21" t="e">
        <f>_xll.qlYieldTSDiscount(H$3,I27,,InterestRatesTrigger)</f>
        <v>#NUM!</v>
      </c>
      <c r="N27" s="20">
        <v>44277</v>
      </c>
      <c r="O27" s="21" t="e">
        <f>_xll.qlYieldTSDiscount(M$3,N27,,InterestRatesTrigger)</f>
        <v>#NUM!</v>
      </c>
    </row>
    <row r="28" spans="4:15" x14ac:dyDescent="0.2">
      <c r="D28" s="20">
        <v>46834</v>
      </c>
      <c r="E28" s="21" t="e">
        <f>_xll.qlYieldTSDiscount(C$3,D28,,InterestRatesTrigger)</f>
        <v>#NUM!</v>
      </c>
      <c r="I28" s="20">
        <v>45007</v>
      </c>
      <c r="J28" s="21" t="e">
        <f>_xll.qlYieldTSDiscount(H$3,I28,,InterestRatesTrigger)</f>
        <v>#NUM!</v>
      </c>
      <c r="N28" s="20">
        <v>44642</v>
      </c>
      <c r="O28" s="21" t="e">
        <f>_xll.qlYieldTSDiscount(M$3,N28,,InterestRatesTrigger)</f>
        <v>#NUM!</v>
      </c>
    </row>
    <row r="29" spans="4:15" x14ac:dyDescent="0.2">
      <c r="D29" s="20">
        <v>47199</v>
      </c>
      <c r="E29" s="21" t="e">
        <f>_xll.qlYieldTSDiscount(C$3,D29,,InterestRatesTrigger)</f>
        <v>#NUM!</v>
      </c>
      <c r="I29" s="20">
        <v>45373</v>
      </c>
      <c r="J29" s="21" t="e">
        <f>_xll.qlYieldTSDiscount(H$3,I29,,InterestRatesTrigger)</f>
        <v>#NUM!</v>
      </c>
      <c r="N29" s="20">
        <v>45007</v>
      </c>
      <c r="O29" s="21" t="e">
        <f>_xll.qlYieldTSDiscount(M$3,N29,,InterestRatesTrigger)</f>
        <v>#NUM!</v>
      </c>
    </row>
    <row r="30" spans="4:15" x14ac:dyDescent="0.2">
      <c r="D30" s="20">
        <v>48295</v>
      </c>
      <c r="E30" s="21" t="e">
        <f>_xll.qlYieldTSDiscount(C$3,D30,,InterestRatesTrigger)</f>
        <v>#NUM!</v>
      </c>
      <c r="I30" s="20">
        <v>45740</v>
      </c>
      <c r="J30" s="21" t="e">
        <f>_xll.qlYieldTSDiscount(H$3,I30,,InterestRatesTrigger)</f>
        <v>#NUM!</v>
      </c>
      <c r="N30" s="20">
        <v>45373</v>
      </c>
      <c r="O30" s="21" t="e">
        <f>_xll.qlYieldTSDiscount(M$3,N30,,InterestRatesTrigger)</f>
        <v>#NUM!</v>
      </c>
    </row>
    <row r="31" spans="4:15" x14ac:dyDescent="0.2">
      <c r="D31" s="20">
        <v>50122</v>
      </c>
      <c r="E31" s="21" t="e">
        <f>_xll.qlYieldTSDiscount(C$3,D31,,InterestRatesTrigger)</f>
        <v>#NUM!</v>
      </c>
      <c r="I31" s="20">
        <v>46104</v>
      </c>
      <c r="J31" s="21" t="e">
        <f>_xll.qlYieldTSDiscount(H$3,I31,,InterestRatesTrigger)</f>
        <v>#NUM!</v>
      </c>
      <c r="N31" s="20">
        <v>45740</v>
      </c>
      <c r="O31" s="21" t="e">
        <f>_xll.qlYieldTSDiscount(M$3,N31,,InterestRatesTrigger)</f>
        <v>#NUM!</v>
      </c>
    </row>
    <row r="32" spans="4:15" x14ac:dyDescent="0.2">
      <c r="D32" s="20">
        <v>51949</v>
      </c>
      <c r="E32" s="21" t="e">
        <f>_xll.qlYieldTSDiscount(C$3,D32,,InterestRatesTrigger)</f>
        <v>#NUM!</v>
      </c>
      <c r="I32" s="20">
        <v>46468</v>
      </c>
      <c r="J32" s="21" t="e">
        <f>_xll.qlYieldTSDiscount(H$3,I32,,InterestRatesTrigger)</f>
        <v>#NUM!</v>
      </c>
      <c r="N32" s="20">
        <v>46104</v>
      </c>
      <c r="O32" s="21" t="e">
        <f>_xll.qlYieldTSDiscount(M$3,N32,,InterestRatesTrigger)</f>
        <v>#NUM!</v>
      </c>
    </row>
    <row r="33" spans="4:15" x14ac:dyDescent="0.2">
      <c r="D33" s="20">
        <v>53773</v>
      </c>
      <c r="E33" s="21" t="e">
        <f>_xll.qlYieldTSDiscount(C$3,D33,,InterestRatesTrigger)</f>
        <v>#NUM!</v>
      </c>
      <c r="I33" s="20">
        <v>47199</v>
      </c>
      <c r="J33" s="21" t="e">
        <f>_xll.qlYieldTSDiscount(H$3,I33,,InterestRatesTrigger)</f>
        <v>#NUM!</v>
      </c>
      <c r="N33" s="20">
        <v>46468</v>
      </c>
      <c r="O33" s="21" t="e">
        <f>_xll.qlYieldTSDiscount(M$3,N33,,InterestRatesTrigger)</f>
        <v>#NUM!</v>
      </c>
    </row>
    <row r="34" spans="4:15" x14ac:dyDescent="0.2">
      <c r="D34" s="20">
        <v>57426</v>
      </c>
      <c r="E34" s="21" t="e">
        <f>_xll.qlYieldTSDiscount(C$3,D34,,InterestRatesTrigger)</f>
        <v>#NUM!</v>
      </c>
      <c r="I34" s="20">
        <v>48295</v>
      </c>
      <c r="J34" s="21" t="e">
        <f>_xll.qlYieldTSDiscount(H$3,I34,,InterestRatesTrigger)</f>
        <v>#NUM!</v>
      </c>
      <c r="N34" s="20">
        <v>46834</v>
      </c>
      <c r="O34" s="21" t="e">
        <f>_xll.qlYieldTSDiscount(M$3,N34,,InterestRatesTrigger)</f>
        <v>#NUM!</v>
      </c>
    </row>
    <row r="35" spans="4:15" x14ac:dyDescent="0.2">
      <c r="D35" s="20">
        <v>61078</v>
      </c>
      <c r="E35" s="21" t="e">
        <f>_xll.qlYieldTSDiscount(C$3,D35,,InterestRatesTrigger)</f>
        <v>#NUM!</v>
      </c>
      <c r="I35" s="20">
        <v>50122</v>
      </c>
      <c r="J35" s="21" t="e">
        <f>_xll.qlYieldTSDiscount(H$3,I35,,InterestRatesTrigger)</f>
        <v>#NUM!</v>
      </c>
      <c r="N35" s="20">
        <v>47199</v>
      </c>
      <c r="O35" s="21" t="e">
        <f>_xll.qlYieldTSDiscount(M$3,N35,,InterestRatesTrigger)</f>
        <v>#NUM!</v>
      </c>
    </row>
    <row r="36" spans="4:15" x14ac:dyDescent="0.2">
      <c r="D36" s="20">
        <v>64731</v>
      </c>
      <c r="E36" s="21" t="e">
        <f>_xll.qlYieldTSDiscount(C$3,D36,,InterestRatesTrigger)</f>
        <v>#NUM!</v>
      </c>
      <c r="I36" s="20">
        <v>51949</v>
      </c>
      <c r="J36" s="21" t="e">
        <f>_xll.qlYieldTSDiscount(H$3,I36,,InterestRatesTrigger)</f>
        <v>#NUM!</v>
      </c>
      <c r="N36" s="20">
        <v>47564</v>
      </c>
      <c r="O36" s="21" t="e">
        <f>_xll.qlYieldTSDiscount(M$3,N36,,InterestRatesTrigger)</f>
        <v>#NUM!</v>
      </c>
    </row>
    <row r="37" spans="4:15" x14ac:dyDescent="0.2">
      <c r="D37" s="20" t="e">
        <v>#N/A</v>
      </c>
      <c r="E37" s="21" t="e">
        <f>_xll.qlYieldTSDiscount(C$3,D37,,InterestRatesTrigger)</f>
        <v>#NUM!</v>
      </c>
      <c r="I37" s="20">
        <v>53773</v>
      </c>
      <c r="J37" s="21" t="e">
        <f>_xll.qlYieldTSDiscount(H$3,I37,,InterestRatesTrigger)</f>
        <v>#NUM!</v>
      </c>
      <c r="N37" s="20">
        <v>47931</v>
      </c>
      <c r="O37" s="21" t="e">
        <f>_xll.qlYieldTSDiscount(M$3,N37,,InterestRatesTrigger)</f>
        <v>#NUM!</v>
      </c>
    </row>
    <row r="38" spans="4:15" x14ac:dyDescent="0.2">
      <c r="D38" s="20" t="e">
        <v>#N/A</v>
      </c>
      <c r="E38" s="21" t="e">
        <f>_xll.qlYieldTSDiscount(C$3,D38,,InterestRatesTrigger)</f>
        <v>#NUM!</v>
      </c>
      <c r="I38" s="20">
        <v>57426</v>
      </c>
      <c r="J38" s="21" t="e">
        <f>_xll.qlYieldTSDiscount(H$3,I38,,InterestRatesTrigger)</f>
        <v>#NUM!</v>
      </c>
      <c r="N38" s="20">
        <v>48295</v>
      </c>
      <c r="O38" s="21" t="e">
        <f>_xll.qlYieldTSDiscount(M$3,N38,,InterestRatesTrigger)</f>
        <v>#NUM!</v>
      </c>
    </row>
    <row r="39" spans="4:15" x14ac:dyDescent="0.2">
      <c r="D39" s="20" t="e">
        <v>#N/A</v>
      </c>
      <c r="E39" s="21" t="e">
        <f>_xll.qlYieldTSDiscount(C$3,D39,,InterestRatesTrigger)</f>
        <v>#NUM!</v>
      </c>
      <c r="I39" s="20">
        <v>61078</v>
      </c>
      <c r="J39" s="21" t="e">
        <f>_xll.qlYieldTSDiscount(H$3,I39,,InterestRatesTrigger)</f>
        <v>#NUM!</v>
      </c>
      <c r="N39" s="20">
        <v>48660</v>
      </c>
      <c r="O39" s="21" t="e">
        <f>_xll.qlYieldTSDiscount(M$3,N39,,InterestRatesTrigger)</f>
        <v>#NUM!</v>
      </c>
    </row>
    <row r="40" spans="4:15" x14ac:dyDescent="0.2">
      <c r="D40" s="20" t="e">
        <v>#N/A</v>
      </c>
      <c r="E40" s="21" t="e">
        <f>_xll.qlYieldTSDiscount(C$3,D40,,InterestRatesTrigger)</f>
        <v>#NUM!</v>
      </c>
      <c r="I40" s="20">
        <v>64731</v>
      </c>
      <c r="J40" s="21" t="e">
        <f>_xll.qlYieldTSDiscount(H$3,I40,,InterestRatesTrigger)</f>
        <v>#NUM!</v>
      </c>
      <c r="N40" s="20">
        <v>49025</v>
      </c>
      <c r="O40" s="21" t="e">
        <f>_xll.qlYieldTSDiscount(M$3,N40,,InterestRatesTrigger)</f>
        <v>#NUM!</v>
      </c>
    </row>
    <row r="41" spans="4:15" x14ac:dyDescent="0.2">
      <c r="D41" s="20" t="e">
        <v>#N/A</v>
      </c>
      <c r="E41" s="21" t="e">
        <f>_xll.qlYieldTSDiscount(C$3,D41,,InterestRatesTrigger)</f>
        <v>#NUM!</v>
      </c>
      <c r="I41" s="20" t="e">
        <v>#N/A</v>
      </c>
      <c r="J41" s="21" t="e">
        <f>_xll.qlYieldTSDiscount(H$3,I41,,InterestRatesTrigger)</f>
        <v>#NUM!</v>
      </c>
      <c r="N41" s="20">
        <v>49390</v>
      </c>
      <c r="O41" s="21" t="e">
        <f>_xll.qlYieldTSDiscount(M$3,N41,,InterestRatesTrigger)</f>
        <v>#NUM!</v>
      </c>
    </row>
    <row r="42" spans="4:15" x14ac:dyDescent="0.2">
      <c r="D42" s="20" t="e">
        <v>#N/A</v>
      </c>
      <c r="E42" s="21" t="e">
        <f>_xll.qlYieldTSDiscount(C$3,D42,,InterestRatesTrigger)</f>
        <v>#NUM!</v>
      </c>
      <c r="I42" s="20" t="e">
        <v>#N/A</v>
      </c>
      <c r="J42" s="21" t="e">
        <f>_xll.qlYieldTSDiscount(H$3,I42,,InterestRatesTrigger)</f>
        <v>#NUM!</v>
      </c>
      <c r="N42" s="20">
        <v>49758</v>
      </c>
      <c r="O42" s="21" t="e">
        <f>_xll.qlYieldTSDiscount(M$3,N42,,InterestRatesTrigger)</f>
        <v>#NUM!</v>
      </c>
    </row>
    <row r="43" spans="4:15" x14ac:dyDescent="0.2">
      <c r="D43" s="20" t="e">
        <v>#N/A</v>
      </c>
      <c r="E43" s="21" t="e">
        <f>_xll.qlYieldTSDiscount(C$3,D43,,InterestRatesTrigger)</f>
        <v>#NUM!</v>
      </c>
      <c r="I43" s="20" t="e">
        <v>#N/A</v>
      </c>
      <c r="J43" s="21" t="e">
        <f>_xll.qlYieldTSDiscount(H$3,I43,,InterestRatesTrigger)</f>
        <v>#NUM!</v>
      </c>
      <c r="N43" s="20">
        <v>50122</v>
      </c>
      <c r="O43" s="21" t="e">
        <f>_xll.qlYieldTSDiscount(M$3,N43,,InterestRatesTrigger)</f>
        <v>#NUM!</v>
      </c>
    </row>
    <row r="44" spans="4:15" x14ac:dyDescent="0.2">
      <c r="D44" s="20" t="e">
        <v>#N/A</v>
      </c>
      <c r="E44" s="21" t="e">
        <f>_xll.qlYieldTSDiscount(C$3,D44,,InterestRatesTrigger)</f>
        <v>#NUM!</v>
      </c>
      <c r="I44" s="20" t="e">
        <v>#N/A</v>
      </c>
      <c r="J44" s="21" t="e">
        <f>_xll.qlYieldTSDiscount(H$3,I44,,InterestRatesTrigger)</f>
        <v>#NUM!</v>
      </c>
      <c r="N44" s="20">
        <v>50486</v>
      </c>
      <c r="O44" s="21" t="e">
        <f>_xll.qlYieldTSDiscount(M$3,N44,,InterestRatesTrigger)</f>
        <v>#NUM!</v>
      </c>
    </row>
    <row r="45" spans="4:15" x14ac:dyDescent="0.2">
      <c r="D45" s="20" t="e">
        <v>#N/A</v>
      </c>
      <c r="E45" s="21" t="e">
        <f>_xll.qlYieldTSDiscount(C$3,D45,,InterestRatesTrigger)</f>
        <v>#NUM!</v>
      </c>
      <c r="I45" s="20" t="e">
        <v>#N/A</v>
      </c>
      <c r="J45" s="21" t="e">
        <f>_xll.qlYieldTSDiscount(H$3,I45,,InterestRatesTrigger)</f>
        <v>#NUM!</v>
      </c>
      <c r="N45" s="20">
        <v>50851</v>
      </c>
      <c r="O45" s="21" t="e">
        <f>_xll.qlYieldTSDiscount(M$3,N45,,InterestRatesTrigger)</f>
        <v>#NUM!</v>
      </c>
    </row>
    <row r="46" spans="4:15" x14ac:dyDescent="0.2">
      <c r="D46" s="20" t="e">
        <v>#N/A</v>
      </c>
      <c r="E46" s="21" t="e">
        <f>_xll.qlYieldTSDiscount(C$3,D46,,InterestRatesTrigger)</f>
        <v>#NUM!</v>
      </c>
      <c r="I46" s="20" t="e">
        <v>#N/A</v>
      </c>
      <c r="J46" s="21" t="e">
        <f>_xll.qlYieldTSDiscount(H$3,I46,,InterestRatesTrigger)</f>
        <v>#NUM!</v>
      </c>
      <c r="N46" s="20">
        <v>51217</v>
      </c>
      <c r="O46" s="21" t="e">
        <f>_xll.qlYieldTSDiscount(M$3,N46,,InterestRatesTrigger)</f>
        <v>#NUM!</v>
      </c>
    </row>
    <row r="47" spans="4:15" x14ac:dyDescent="0.2">
      <c r="D47" s="20" t="e">
        <v>#N/A</v>
      </c>
      <c r="E47" s="21" t="e">
        <f>_xll.qlYieldTSDiscount(C$3,D47,,InterestRatesTrigger)</f>
        <v>#NUM!</v>
      </c>
      <c r="I47" s="20" t="e">
        <v>#N/A</v>
      </c>
      <c r="J47" s="21" t="e">
        <f>_xll.qlYieldTSDiscount(H$3,I47,,InterestRatesTrigger)</f>
        <v>#NUM!</v>
      </c>
      <c r="N47" s="20">
        <v>51582</v>
      </c>
      <c r="O47" s="21" t="e">
        <f>_xll.qlYieldTSDiscount(M$3,N47,,InterestRatesTrigger)</f>
        <v>#NUM!</v>
      </c>
    </row>
    <row r="48" spans="4:15" x14ac:dyDescent="0.2">
      <c r="D48" s="20" t="e">
        <v>#N/A</v>
      </c>
      <c r="E48" s="21" t="e">
        <f>_xll.qlYieldTSDiscount(C$3,D48,,InterestRatesTrigger)</f>
        <v>#NUM!</v>
      </c>
      <c r="I48" s="20" t="e">
        <v>#N/A</v>
      </c>
      <c r="J48" s="21" t="e">
        <f>_xll.qlYieldTSDiscount(H$3,I48,,InterestRatesTrigger)</f>
        <v>#NUM!</v>
      </c>
      <c r="N48" s="20">
        <v>51949</v>
      </c>
      <c r="O48" s="21" t="e">
        <f>_xll.qlYieldTSDiscount(M$3,N48,,InterestRatesTrigger)</f>
        <v>#NUM!</v>
      </c>
    </row>
    <row r="49" spans="4:15" x14ac:dyDescent="0.2">
      <c r="D49" s="20" t="e">
        <v>#N/A</v>
      </c>
      <c r="E49" s="21" t="e">
        <f>_xll.qlYieldTSDiscount(C$3,D49,,InterestRatesTrigger)</f>
        <v>#NUM!</v>
      </c>
      <c r="I49" s="20" t="e">
        <v>#N/A</v>
      </c>
      <c r="J49" s="21" t="e">
        <f>_xll.qlYieldTSDiscount(H$3,I49,,InterestRatesTrigger)</f>
        <v>#NUM!</v>
      </c>
      <c r="N49" s="20">
        <v>52313</v>
      </c>
      <c r="O49" s="21" t="e">
        <f>_xll.qlYieldTSDiscount(M$3,N49,,InterestRatesTrigger)</f>
        <v>#NUM!</v>
      </c>
    </row>
    <row r="50" spans="4:15" x14ac:dyDescent="0.2">
      <c r="D50" s="20" t="e">
        <v>#N/A</v>
      </c>
      <c r="E50" s="21" t="e">
        <f>_xll.qlYieldTSDiscount(C$3,D50,,InterestRatesTrigger)</f>
        <v>#NUM!</v>
      </c>
      <c r="I50" s="20" t="e">
        <v>#N/A</v>
      </c>
      <c r="J50" s="21" t="e">
        <f>_xll.qlYieldTSDiscount(H$3,I50,,InterestRatesTrigger)</f>
        <v>#NUM!</v>
      </c>
      <c r="N50" s="20">
        <v>52678</v>
      </c>
      <c r="O50" s="21" t="e">
        <f>_xll.qlYieldTSDiscount(M$3,N50,,InterestRatesTrigger)</f>
        <v>#NUM!</v>
      </c>
    </row>
    <row r="51" spans="4:15" x14ac:dyDescent="0.2">
      <c r="D51" s="20" t="e">
        <v>#N/A</v>
      </c>
      <c r="E51" s="21" t="e">
        <f>_xll.qlYieldTSDiscount(C$3,D51,,InterestRatesTrigger)</f>
        <v>#NUM!</v>
      </c>
      <c r="I51" s="20" t="e">
        <v>#N/A</v>
      </c>
      <c r="J51" s="21" t="e">
        <f>_xll.qlYieldTSDiscount(H$3,I51,,InterestRatesTrigger)</f>
        <v>#NUM!</v>
      </c>
      <c r="N51" s="20">
        <v>53043</v>
      </c>
      <c r="O51" s="21" t="e">
        <f>_xll.qlYieldTSDiscount(M$3,N51,,InterestRatesTrigger)</f>
        <v>#NUM!</v>
      </c>
    </row>
    <row r="52" spans="4:15" x14ac:dyDescent="0.2">
      <c r="D52" s="20" t="e">
        <v>#N/A</v>
      </c>
      <c r="E52" s="21" t="e">
        <f>_xll.qlYieldTSDiscount(C$3,D52,,InterestRatesTrigger)</f>
        <v>#NUM!</v>
      </c>
      <c r="I52" s="20" t="e">
        <v>#N/A</v>
      </c>
      <c r="J52" s="21" t="e">
        <f>_xll.qlYieldTSDiscount(H$3,I52,,InterestRatesTrigger)</f>
        <v>#NUM!</v>
      </c>
      <c r="N52" s="20">
        <v>53408</v>
      </c>
      <c r="O52" s="21" t="e">
        <f>_xll.qlYieldTSDiscount(M$3,N52,,InterestRatesTrigger)</f>
        <v>#NUM!</v>
      </c>
    </row>
    <row r="53" spans="4:15" x14ac:dyDescent="0.2">
      <c r="D53" s="20" t="e">
        <v>#N/A</v>
      </c>
      <c r="E53" s="21" t="e">
        <f>_xll.qlYieldTSDiscount(C$3,D53,,InterestRatesTrigger)</f>
        <v>#NUM!</v>
      </c>
      <c r="I53" s="20" t="e">
        <v>#N/A</v>
      </c>
      <c r="J53" s="21" t="e">
        <f>_xll.qlYieldTSDiscount(H$3,I53,,InterestRatesTrigger)</f>
        <v>#NUM!</v>
      </c>
      <c r="N53" s="20">
        <v>53773</v>
      </c>
      <c r="O53" s="21" t="e">
        <f>_xll.qlYieldTSDiscount(M$3,N53,,InterestRatesTrigger)</f>
        <v>#NUM!</v>
      </c>
    </row>
    <row r="54" spans="4:15" x14ac:dyDescent="0.2">
      <c r="D54" s="20" t="e">
        <v>#N/A</v>
      </c>
      <c r="E54" s="21" t="e">
        <f>_xll.qlYieldTSDiscount(C$3,D54,,InterestRatesTrigger)</f>
        <v>#NUM!</v>
      </c>
      <c r="I54" s="20" t="e">
        <v>#N/A</v>
      </c>
      <c r="J54" s="21" t="e">
        <f>_xll.qlYieldTSDiscount(H$3,I54,,InterestRatesTrigger)</f>
        <v>#NUM!</v>
      </c>
      <c r="N54" s="20">
        <v>55600</v>
      </c>
      <c r="O54" s="21" t="e">
        <f>_xll.qlYieldTSDiscount(M$3,N54,,InterestRatesTrigger)</f>
        <v>#NUM!</v>
      </c>
    </row>
    <row r="55" spans="4:15" x14ac:dyDescent="0.2">
      <c r="D55" s="20" t="e">
        <v>#N/A</v>
      </c>
      <c r="E55" s="21" t="e">
        <f>_xll.qlYieldTSDiscount(C$3,D55,,InterestRatesTrigger)</f>
        <v>#NUM!</v>
      </c>
      <c r="I55" s="20" t="e">
        <v>#N/A</v>
      </c>
      <c r="J55" s="21" t="e">
        <f>_xll.qlYieldTSDiscount(H$3,I55,,InterestRatesTrigger)</f>
        <v>#NUM!</v>
      </c>
      <c r="N55" s="20">
        <v>57426</v>
      </c>
      <c r="O55" s="21" t="e">
        <f>_xll.qlYieldTSDiscount(M$3,N55,,InterestRatesTrigger)</f>
        <v>#NUM!</v>
      </c>
    </row>
    <row r="56" spans="4:15" x14ac:dyDescent="0.2">
      <c r="D56" s="20" t="e">
        <v>#N/A</v>
      </c>
      <c r="E56" s="21" t="e">
        <f>_xll.qlYieldTSDiscount(C$3,D56,,InterestRatesTrigger)</f>
        <v>#NUM!</v>
      </c>
      <c r="I56" s="20" t="e">
        <v>#N/A</v>
      </c>
      <c r="J56" s="21" t="e">
        <f>_xll.qlYieldTSDiscount(H$3,I56,,InterestRatesTrigger)</f>
        <v>#NUM!</v>
      </c>
      <c r="N56" s="20">
        <v>61078</v>
      </c>
      <c r="O56" s="21" t="e">
        <f>_xll.qlYieldTSDiscount(M$3,N56,,InterestRatesTrigger)</f>
        <v>#NUM!</v>
      </c>
    </row>
    <row r="57" spans="4:15" x14ac:dyDescent="0.2">
      <c r="D57" s="20" t="e">
        <v>#N/A</v>
      </c>
      <c r="E57" s="21" t="e">
        <f>_xll.qlYieldTSDiscount(C$3,D57,,InterestRatesTrigger)</f>
        <v>#NUM!</v>
      </c>
      <c r="I57" s="20" t="e">
        <v>#N/A</v>
      </c>
      <c r="J57" s="21" t="e">
        <f>_xll.qlYieldTSDiscount(H$3,I57,,InterestRatesTrigger)</f>
        <v>#NUM!</v>
      </c>
      <c r="N57" s="20">
        <v>64731</v>
      </c>
      <c r="O57" s="21" t="e">
        <f>_xll.qlYieldTSDiscount(M$3,N57,,InterestRatesTrigger)</f>
        <v>#NUM!</v>
      </c>
    </row>
    <row r="58" spans="4:15" x14ac:dyDescent="0.2">
      <c r="D58" s="20" t="e">
        <v>#N/A</v>
      </c>
      <c r="E58" s="21" t="e">
        <f>_xll.qlYieldTSDiscount(C$3,D58,,InterestRatesTrigger)</f>
        <v>#NUM!</v>
      </c>
      <c r="I58" s="20" t="e">
        <v>#N/A</v>
      </c>
      <c r="J58" s="21" t="e">
        <f>_xll.qlYieldTSDiscount(H$3,I58,,InterestRatesTrigger)</f>
        <v>#NUM!</v>
      </c>
      <c r="N58" s="20" t="e">
        <v>#N/A</v>
      </c>
      <c r="O58" s="21" t="e">
        <f>_xll.qlYieldTSDiscount(M$3,N58,,InterestRatesTrigger)</f>
        <v>#NUM!</v>
      </c>
    </row>
    <row r="59" spans="4:15" x14ac:dyDescent="0.2">
      <c r="D59" s="20" t="e">
        <v>#N/A</v>
      </c>
      <c r="E59" s="21" t="e">
        <f>_xll.qlYieldTSDiscount(C$3,D59,,InterestRatesTrigger)</f>
        <v>#NUM!</v>
      </c>
      <c r="I59" s="20" t="e">
        <v>#N/A</v>
      </c>
      <c r="J59" s="21" t="e">
        <f>_xll.qlYieldTSDiscount(H$3,I59,,InterestRatesTrigger)</f>
        <v>#NUM!</v>
      </c>
      <c r="N59" s="20" t="e">
        <v>#N/A</v>
      </c>
      <c r="O59" s="21" t="e">
        <f>_xll.qlYieldTSDiscount(M$3,N59,,InterestRatesTrigger)</f>
        <v>#NUM!</v>
      </c>
    </row>
    <row r="60" spans="4:15" x14ac:dyDescent="0.2">
      <c r="D60" s="20" t="e">
        <v>#N/A</v>
      </c>
      <c r="E60" s="21" t="e">
        <f>_xll.qlYieldTSDiscount(C$3,D60,,InterestRatesTrigger)</f>
        <v>#NUM!</v>
      </c>
      <c r="I60" s="20" t="e">
        <v>#N/A</v>
      </c>
      <c r="J60" s="21" t="e">
        <f>_xll.qlYieldTSDiscount(H$3,I60,,InterestRatesTrigger)</f>
        <v>#NUM!</v>
      </c>
      <c r="N60" s="20" t="e">
        <v>#N/A</v>
      </c>
      <c r="O60" s="21" t="e">
        <f>_xll.qlYieldTSDiscount(M$3,N60,,InterestRatesTrigger)</f>
        <v>#NUM!</v>
      </c>
    </row>
    <row r="61" spans="4:15" x14ac:dyDescent="0.2">
      <c r="D61" s="20" t="e">
        <v>#N/A</v>
      </c>
      <c r="E61" s="21" t="e">
        <f>_xll.qlYieldTSDiscount(C$3,D61,,InterestRatesTrigger)</f>
        <v>#NUM!</v>
      </c>
      <c r="I61" s="20" t="e">
        <v>#N/A</v>
      </c>
      <c r="J61" s="21" t="e">
        <f>_xll.qlYieldTSDiscount(H$3,I61,,InterestRatesTrigger)</f>
        <v>#NUM!</v>
      </c>
      <c r="N61" s="20" t="e">
        <v>#N/A</v>
      </c>
      <c r="O61" s="21" t="e">
        <f>_xll.qlYieldTSDiscount(M$3,N61,,InterestRatesTrigger)</f>
        <v>#NUM!</v>
      </c>
    </row>
    <row r="62" spans="4:15" x14ac:dyDescent="0.2">
      <c r="D62" s="20" t="e">
        <v>#N/A</v>
      </c>
      <c r="E62" s="21" t="e">
        <f>_xll.qlYieldTSDiscount(C$3,D62,,InterestRatesTrigger)</f>
        <v>#NUM!</v>
      </c>
      <c r="I62" s="20" t="e">
        <v>#N/A</v>
      </c>
      <c r="J62" s="21" t="e">
        <f>_xll.qlYieldTSDiscount(H$3,I62,,InterestRatesTrigger)</f>
        <v>#NUM!</v>
      </c>
      <c r="N62" s="20" t="e">
        <v>#N/A</v>
      </c>
      <c r="O62" s="21" t="e">
        <f>_xll.qlYieldTSDiscount(M$3,N62,,InterestRatesTrigger)</f>
        <v>#NUM!</v>
      </c>
    </row>
    <row r="63" spans="4:15" x14ac:dyDescent="0.2">
      <c r="D63" s="20" t="e">
        <v>#N/A</v>
      </c>
      <c r="E63" s="21" t="e">
        <f>_xll.qlYieldTSDiscount(C$3,D63,,InterestRatesTrigger)</f>
        <v>#NUM!</v>
      </c>
      <c r="I63" s="20" t="e">
        <v>#N/A</v>
      </c>
      <c r="J63" s="21" t="e">
        <f>_xll.qlYieldTSDiscount(H$3,I63,,InterestRatesTrigger)</f>
        <v>#NUM!</v>
      </c>
      <c r="N63" s="20" t="e">
        <v>#N/A</v>
      </c>
      <c r="O63" s="21" t="e">
        <f>_xll.qlYieldTSDiscount(M$3,N63,,InterestRatesTrigger)</f>
        <v>#NUM!</v>
      </c>
    </row>
    <row r="64" spans="4:15" x14ac:dyDescent="0.2">
      <c r="D64" s="20" t="e">
        <v>#N/A</v>
      </c>
      <c r="E64" s="21" t="e">
        <f>_xll.qlYieldTSDiscount(C$3,D64,,InterestRatesTrigger)</f>
        <v>#NUM!</v>
      </c>
      <c r="I64" s="20" t="e">
        <v>#N/A</v>
      </c>
      <c r="J64" s="21" t="e">
        <f>_xll.qlYieldTSDiscount(H$3,I64,,InterestRatesTrigger)</f>
        <v>#NUM!</v>
      </c>
      <c r="N64" s="20" t="e">
        <v>#N/A</v>
      </c>
      <c r="O64" s="21" t="e">
        <f>_xll.qlYieldTSDiscount(M$3,N64,,InterestRatesTrigger)</f>
        <v>#NUM!</v>
      </c>
    </row>
    <row r="65" spans="4:15" x14ac:dyDescent="0.2">
      <c r="D65" s="20" t="e">
        <v>#N/A</v>
      </c>
      <c r="E65" s="21" t="e">
        <f>_xll.qlYieldTSDiscount(C$3,D65,,InterestRatesTrigger)</f>
        <v>#NUM!</v>
      </c>
      <c r="I65" s="20" t="e">
        <v>#N/A</v>
      </c>
      <c r="J65" s="21" t="e">
        <f>_xll.qlYieldTSDiscount(H$3,I65,,InterestRatesTrigger)</f>
        <v>#NUM!</v>
      </c>
      <c r="N65" s="20" t="e">
        <v>#N/A</v>
      </c>
      <c r="O65" s="21" t="e">
        <f>_xll.qlYieldTSDiscount(M$3,N65,,InterestRatesTrigger)</f>
        <v>#NUM!</v>
      </c>
    </row>
    <row r="66" spans="4:15" x14ac:dyDescent="0.2">
      <c r="D66" s="20" t="e">
        <v>#N/A</v>
      </c>
      <c r="E66" s="21" t="e">
        <f>_xll.qlYieldTSDiscount(C$3,D66,,InterestRatesTrigger)</f>
        <v>#NUM!</v>
      </c>
      <c r="I66" s="20" t="e">
        <v>#N/A</v>
      </c>
      <c r="J66" s="21" t="e">
        <f>_xll.qlYieldTSDiscount(H$3,I66,,InterestRatesTrigger)</f>
        <v>#NUM!</v>
      </c>
      <c r="N66" s="20" t="e">
        <v>#N/A</v>
      </c>
      <c r="O66" s="21" t="e">
        <f>_xll.qlYieldTSDiscount(M$3,N66,,InterestRatesTrigger)</f>
        <v>#NUM!</v>
      </c>
    </row>
    <row r="67" spans="4:15" x14ac:dyDescent="0.2">
      <c r="D67" s="20" t="e">
        <v>#N/A</v>
      </c>
      <c r="E67" s="21" t="e">
        <f>_xll.qlYieldTSDiscount(C$3,D67,,InterestRatesTrigger)</f>
        <v>#NUM!</v>
      </c>
      <c r="I67" s="20" t="e">
        <v>#N/A</v>
      </c>
      <c r="J67" s="21" t="e">
        <f>_xll.qlYieldTSDiscount(H$3,I67,,InterestRatesTrigger)</f>
        <v>#NUM!</v>
      </c>
      <c r="N67" s="20" t="e">
        <v>#N/A</v>
      </c>
      <c r="O67" s="21" t="e">
        <f>_xll.qlYieldTSDiscount(M$3,N67,,InterestRatesTrigger)</f>
        <v>#NUM!</v>
      </c>
    </row>
    <row r="68" spans="4:15" x14ac:dyDescent="0.2">
      <c r="D68" s="20" t="e">
        <v>#N/A</v>
      </c>
      <c r="E68" s="21" t="e">
        <f>_xll.qlYieldTSDiscount(C$3,D68,,InterestRatesTrigger)</f>
        <v>#NUM!</v>
      </c>
      <c r="I68" s="20" t="e">
        <v>#N/A</v>
      </c>
      <c r="J68" s="21" t="e">
        <f>_xll.qlYieldTSDiscount(H$3,I68,,InterestRatesTrigger)</f>
        <v>#NUM!</v>
      </c>
      <c r="N68" s="20" t="e">
        <v>#N/A</v>
      </c>
      <c r="O68" s="21" t="e">
        <f>_xll.qlYieldTSDiscount(M$3,N68,,InterestRatesTrigger)</f>
        <v>#NUM!</v>
      </c>
    </row>
    <row r="69" spans="4:15" x14ac:dyDescent="0.2">
      <c r="D69" s="20" t="e">
        <v>#N/A</v>
      </c>
      <c r="E69" s="21" t="e">
        <f>_xll.qlYieldTSDiscount(C$3,D69,,InterestRatesTrigger)</f>
        <v>#NUM!</v>
      </c>
      <c r="I69" s="20" t="e">
        <v>#N/A</v>
      </c>
      <c r="J69" s="21" t="e">
        <f>_xll.qlYieldTSDiscount(H$3,I69,,InterestRatesTrigger)</f>
        <v>#NUM!</v>
      </c>
      <c r="N69" s="20" t="e">
        <v>#N/A</v>
      </c>
      <c r="O69" s="21" t="e">
        <f>_xll.qlYieldTSDiscount(M$3,N69,,InterestRatesTrigger)</f>
        <v>#NUM!</v>
      </c>
    </row>
    <row r="70" spans="4:15" x14ac:dyDescent="0.2">
      <c r="D70" s="20" t="e">
        <v>#N/A</v>
      </c>
      <c r="E70" s="21" t="e">
        <f>_xll.qlYieldTSDiscount(C$3,D70,,InterestRatesTrigger)</f>
        <v>#NUM!</v>
      </c>
      <c r="I70" s="20" t="e">
        <v>#N/A</v>
      </c>
      <c r="J70" s="21" t="e">
        <f>_xll.qlYieldTSDiscount(H$3,I70,,InterestRatesTrigger)</f>
        <v>#NUM!</v>
      </c>
      <c r="N70" s="20" t="e">
        <v>#N/A</v>
      </c>
      <c r="O70" s="21" t="e">
        <f>_xll.qlYieldTSDiscount(M$3,N70,,InterestRatesTrigger)</f>
        <v>#NUM!</v>
      </c>
    </row>
    <row r="71" spans="4:15" x14ac:dyDescent="0.2">
      <c r="D71" s="20" t="e">
        <v>#N/A</v>
      </c>
      <c r="E71" s="21" t="e">
        <f>_xll.qlYieldTSDiscount(C$3,D71,,InterestRatesTrigger)</f>
        <v>#NUM!</v>
      </c>
      <c r="I71" s="20" t="e">
        <v>#N/A</v>
      </c>
      <c r="J71" s="21" t="e">
        <f>_xll.qlYieldTSDiscount(H$3,I71,,InterestRatesTrigger)</f>
        <v>#NUM!</v>
      </c>
      <c r="N71" s="20" t="e">
        <v>#N/A</v>
      </c>
      <c r="O71" s="21" t="e">
        <f>_xll.qlYieldTSDiscount(M$3,N71,,InterestRatesTrigger)</f>
        <v>#NUM!</v>
      </c>
    </row>
    <row r="72" spans="4:15" x14ac:dyDescent="0.2">
      <c r="D72" s="20" t="e">
        <v>#N/A</v>
      </c>
      <c r="E72" s="21" t="e">
        <f>_xll.qlYieldTSDiscount(C$3,D72,,InterestRatesTrigger)</f>
        <v>#NUM!</v>
      </c>
      <c r="I72" s="20" t="e">
        <v>#N/A</v>
      </c>
      <c r="J72" s="21" t="e">
        <f>_xll.qlYieldTSDiscount(H$3,I72,,InterestRatesTrigger)</f>
        <v>#NUM!</v>
      </c>
      <c r="N72" s="20" t="e">
        <v>#N/A</v>
      </c>
      <c r="O72" s="21" t="e">
        <f>_xll.qlYieldTSDiscount(M$3,N72,,InterestRatesTrigger)</f>
        <v>#NUM!</v>
      </c>
    </row>
    <row r="73" spans="4:15" x14ac:dyDescent="0.2">
      <c r="D73" s="20" t="e">
        <v>#N/A</v>
      </c>
      <c r="E73" s="21" t="e">
        <f>_xll.qlYieldTSDiscount(C$3,D73,,InterestRatesTrigger)</f>
        <v>#NUM!</v>
      </c>
      <c r="I73" s="20" t="e">
        <v>#N/A</v>
      </c>
      <c r="J73" s="21" t="e">
        <f>_xll.qlYieldTSDiscount(H$3,I73,,InterestRatesTrigger)</f>
        <v>#NUM!</v>
      </c>
      <c r="N73" s="20" t="e">
        <v>#N/A</v>
      </c>
      <c r="O73" s="21" t="e">
        <f>_xll.qlYieldTSDiscount(M$3,N73,,InterestRatesTrigger)</f>
        <v>#NUM!</v>
      </c>
    </row>
    <row r="74" spans="4:15" x14ac:dyDescent="0.2">
      <c r="D74" s="20" t="e">
        <v>#N/A</v>
      </c>
      <c r="E74" s="21" t="e">
        <f>_xll.qlYieldTSDiscount(C$3,D74,,InterestRatesTrigger)</f>
        <v>#NUM!</v>
      </c>
      <c r="I74" s="20" t="e">
        <v>#N/A</v>
      </c>
      <c r="J74" s="21" t="e">
        <f>_xll.qlYieldTSDiscount(H$3,I74,,InterestRatesTrigger)</f>
        <v>#NUM!</v>
      </c>
      <c r="N74" s="20" t="e">
        <v>#N/A</v>
      </c>
      <c r="O74" s="21" t="e">
        <f>_xll.qlYieldTSDiscount(M$3,N74,,InterestRatesTrigger)</f>
        <v>#NUM!</v>
      </c>
    </row>
    <row r="75" spans="4:15" x14ac:dyDescent="0.2">
      <c r="D75" s="20" t="e">
        <v>#N/A</v>
      </c>
      <c r="E75" s="21" t="e">
        <f>_xll.qlYieldTSDiscount(C$3,D75,,InterestRatesTrigger)</f>
        <v>#NUM!</v>
      </c>
      <c r="I75" s="20" t="e">
        <v>#N/A</v>
      </c>
      <c r="J75" s="21" t="e">
        <f>_xll.qlYieldTSDiscount(H$3,I75,,InterestRatesTrigger)</f>
        <v>#NUM!</v>
      </c>
      <c r="N75" s="20" t="e">
        <v>#N/A</v>
      </c>
      <c r="O75" s="21" t="e">
        <f>_xll.qlYieldTSDiscount(M$3,N75,,InterestRatesTrigger)</f>
        <v>#NUM!</v>
      </c>
    </row>
    <row r="76" spans="4:15" x14ac:dyDescent="0.2">
      <c r="D76" s="20" t="e">
        <v>#N/A</v>
      </c>
      <c r="E76" s="21" t="e">
        <f>_xll.qlYieldTSDiscount(C$3,D76,,InterestRatesTrigger)</f>
        <v>#NUM!</v>
      </c>
      <c r="I76" s="20" t="e">
        <v>#N/A</v>
      </c>
      <c r="J76" s="21" t="e">
        <f>_xll.qlYieldTSDiscount(H$3,I76,,InterestRatesTrigger)</f>
        <v>#NUM!</v>
      </c>
      <c r="N76" s="20" t="e">
        <v>#N/A</v>
      </c>
      <c r="O76" s="21" t="e">
        <f>_xll.qlYieldTSDiscount(M$3,N76,,InterestRatesTrigger)</f>
        <v>#NUM!</v>
      </c>
    </row>
    <row r="77" spans="4:15" x14ac:dyDescent="0.2">
      <c r="D77" s="20" t="e">
        <v>#N/A</v>
      </c>
      <c r="E77" s="21" t="e">
        <f>_xll.qlYieldTSDiscount(C$3,D77,,InterestRatesTrigger)</f>
        <v>#NUM!</v>
      </c>
      <c r="I77" s="20" t="e">
        <v>#N/A</v>
      </c>
      <c r="J77" s="21" t="e">
        <f>_xll.qlYieldTSDiscount(H$3,I77,,InterestRatesTrigger)</f>
        <v>#NUM!</v>
      </c>
      <c r="N77" s="20" t="e">
        <v>#N/A</v>
      </c>
      <c r="O77" s="21" t="e">
        <f>_xll.qlYieldTSDiscount(M$3,N77,,InterestRatesTrigger)</f>
        <v>#NUM!</v>
      </c>
    </row>
    <row r="78" spans="4:15" x14ac:dyDescent="0.2">
      <c r="D78" s="20" t="e">
        <v>#N/A</v>
      </c>
      <c r="E78" s="21" t="e">
        <f>_xll.qlYieldTSDiscount(C$3,D78,,InterestRatesTrigger)</f>
        <v>#NUM!</v>
      </c>
      <c r="I78" s="20" t="e">
        <v>#N/A</v>
      </c>
      <c r="J78" s="21" t="e">
        <f>_xll.qlYieldTSDiscount(H$3,I78,,InterestRatesTrigger)</f>
        <v>#NUM!</v>
      </c>
      <c r="N78" s="20" t="e">
        <v>#N/A</v>
      </c>
      <c r="O78" s="21" t="e">
        <f>_xll.qlYieldTSDiscount(M$3,N78,,InterestRatesTrigger)</f>
        <v>#NUM!</v>
      </c>
    </row>
    <row r="79" spans="4:15" x14ac:dyDescent="0.2">
      <c r="D79" s="20" t="e">
        <v>#N/A</v>
      </c>
      <c r="E79" s="21" t="e">
        <f>_xll.qlYieldTSDiscount(C$3,D79,,InterestRatesTrigger)</f>
        <v>#NUM!</v>
      </c>
      <c r="I79" s="20" t="e">
        <v>#N/A</v>
      </c>
      <c r="J79" s="21" t="e">
        <f>_xll.qlYieldTSDiscount(H$3,I79,,InterestRatesTrigger)</f>
        <v>#NUM!</v>
      </c>
      <c r="N79" s="20" t="e">
        <v>#N/A</v>
      </c>
      <c r="O79" s="21" t="e">
        <f>_xll.qlYieldTSDiscount(M$3,N79,,InterestRatesTrigger)</f>
        <v>#NUM!</v>
      </c>
    </row>
    <row r="80" spans="4:15" x14ac:dyDescent="0.2">
      <c r="D80" s="20" t="e">
        <v>#N/A</v>
      </c>
      <c r="E80" s="21" t="e">
        <f>_xll.qlYieldTSDiscount(C$3,D80,,InterestRatesTrigger)</f>
        <v>#NUM!</v>
      </c>
      <c r="I80" s="20" t="e">
        <v>#N/A</v>
      </c>
      <c r="J80" s="21" t="e">
        <f>_xll.qlYieldTSDiscount(H$3,I80,,InterestRatesTrigger)</f>
        <v>#NUM!</v>
      </c>
      <c r="N80" s="20" t="e">
        <v>#N/A</v>
      </c>
      <c r="O80" s="21" t="e">
        <f>_xll.qlYieldTSDiscount(M$3,N80,,InterestRatesTrigger)</f>
        <v>#NUM!</v>
      </c>
    </row>
    <row r="81" spans="4:15" x14ac:dyDescent="0.2">
      <c r="D81" s="20" t="e">
        <v>#N/A</v>
      </c>
      <c r="E81" s="21" t="e">
        <f>_xll.qlYieldTSDiscount(C$3,D81,,InterestRatesTrigger)</f>
        <v>#NUM!</v>
      </c>
      <c r="I81" s="20" t="e">
        <v>#N/A</v>
      </c>
      <c r="J81" s="21" t="e">
        <f>_xll.qlYieldTSDiscount(H$3,I81,,InterestRatesTrigger)</f>
        <v>#NUM!</v>
      </c>
      <c r="N81" s="20" t="e">
        <v>#N/A</v>
      </c>
      <c r="O81" s="21" t="e">
        <f>_xll.qlYieldTSDiscount(M$3,N81,,InterestRatesTrigger)</f>
        <v>#NUM!</v>
      </c>
    </row>
    <row r="82" spans="4:15" x14ac:dyDescent="0.2">
      <c r="D82" s="20" t="e">
        <v>#N/A</v>
      </c>
      <c r="E82" s="21" t="e">
        <f>_xll.qlYieldTSDiscount(C$3,D82,,InterestRatesTrigger)</f>
        <v>#NUM!</v>
      </c>
      <c r="I82" s="20" t="e">
        <v>#N/A</v>
      </c>
      <c r="J82" s="21" t="e">
        <f>_xll.qlYieldTSDiscount(H$3,I82,,InterestRatesTrigger)</f>
        <v>#NUM!</v>
      </c>
      <c r="N82" s="20" t="e">
        <v>#N/A</v>
      </c>
      <c r="O82" s="21" t="e">
        <f>_xll.qlYieldTSDiscount(M$3,N82,,InterestRatesTrigger)</f>
        <v>#NUM!</v>
      </c>
    </row>
    <row r="83" spans="4:15" x14ac:dyDescent="0.2">
      <c r="D83" s="20" t="e">
        <v>#N/A</v>
      </c>
      <c r="E83" s="21" t="e">
        <f>_xll.qlYieldTSDiscount(C$3,D83,,InterestRatesTrigger)</f>
        <v>#NUM!</v>
      </c>
      <c r="I83" s="20" t="e">
        <v>#N/A</v>
      </c>
      <c r="J83" s="21" t="e">
        <f>_xll.qlYieldTSDiscount(H$3,I83,,InterestRatesTrigger)</f>
        <v>#NUM!</v>
      </c>
      <c r="N83" s="20" t="e">
        <v>#N/A</v>
      </c>
      <c r="O83" s="21" t="e">
        <f>_xll.qlYieldTSDiscount(M$3,N83,,InterestRatesTrigger)</f>
        <v>#NUM!</v>
      </c>
    </row>
    <row r="84" spans="4:15" x14ac:dyDescent="0.2">
      <c r="D84" s="20" t="e">
        <v>#N/A</v>
      </c>
      <c r="E84" s="21" t="e">
        <f>_xll.qlYieldTSDiscount(C$3,D84,,InterestRatesTrigger)</f>
        <v>#NUM!</v>
      </c>
      <c r="I84" s="20" t="e">
        <v>#N/A</v>
      </c>
      <c r="J84" s="21" t="e">
        <f>_xll.qlYieldTSDiscount(H$3,I84,,InterestRatesTrigger)</f>
        <v>#NUM!</v>
      </c>
      <c r="N84" s="20" t="e">
        <v>#N/A</v>
      </c>
      <c r="O84" s="21" t="e">
        <f>_xll.qlYieldTSDiscount(M$3,N84,,InterestRatesTrigger)</f>
        <v>#NUM!</v>
      </c>
    </row>
    <row r="85" spans="4:15" x14ac:dyDescent="0.2">
      <c r="D85" s="20" t="e">
        <v>#N/A</v>
      </c>
      <c r="E85" s="21" t="e">
        <f>_xll.qlYieldTSDiscount(C$3,D85,,InterestRatesTrigger)</f>
        <v>#NUM!</v>
      </c>
      <c r="I85" s="20" t="e">
        <v>#N/A</v>
      </c>
      <c r="J85" s="21" t="e">
        <f>_xll.qlYieldTSDiscount(H$3,I85,,InterestRatesTrigger)</f>
        <v>#NUM!</v>
      </c>
      <c r="N85" s="20" t="e">
        <v>#N/A</v>
      </c>
      <c r="O85" s="21" t="e">
        <f>_xll.qlYieldTSDiscount(M$3,N85,,InterestRatesTrigger)</f>
        <v>#NUM!</v>
      </c>
    </row>
    <row r="86" spans="4:15" x14ac:dyDescent="0.2">
      <c r="D86" s="20" t="e">
        <v>#N/A</v>
      </c>
      <c r="E86" s="21" t="e">
        <f>_xll.qlYieldTSDiscount(C$3,D86,,InterestRatesTrigger)</f>
        <v>#NUM!</v>
      </c>
      <c r="I86" s="20" t="e">
        <v>#N/A</v>
      </c>
      <c r="J86" s="21" t="e">
        <f>_xll.qlYieldTSDiscount(H$3,I86,,InterestRatesTrigger)</f>
        <v>#NUM!</v>
      </c>
      <c r="N86" s="20" t="e">
        <v>#N/A</v>
      </c>
      <c r="O86" s="21" t="e">
        <f>_xll.qlYieldTSDiscount(M$3,N86,,InterestRatesTrigger)</f>
        <v>#NUM!</v>
      </c>
    </row>
    <row r="87" spans="4:15" x14ac:dyDescent="0.2">
      <c r="D87" s="20" t="e">
        <v>#N/A</v>
      </c>
      <c r="E87" s="21" t="e">
        <f>_xll.qlYieldTSDiscount(C$3,D87,,InterestRatesTrigger)</f>
        <v>#NUM!</v>
      </c>
      <c r="I87" s="20" t="e">
        <v>#N/A</v>
      </c>
      <c r="J87" s="21" t="e">
        <f>_xll.qlYieldTSDiscount(H$3,I87,,InterestRatesTrigger)</f>
        <v>#NUM!</v>
      </c>
      <c r="N87" s="20" t="e">
        <v>#N/A</v>
      </c>
      <c r="O87" s="21" t="e">
        <f>_xll.qlYieldTSDiscount(M$3,N87,,InterestRatesTrigger)</f>
        <v>#NUM!</v>
      </c>
    </row>
    <row r="88" spans="4:15" x14ac:dyDescent="0.2">
      <c r="D88" s="20" t="e">
        <v>#N/A</v>
      </c>
      <c r="E88" s="21" t="e">
        <f>_xll.qlYieldTSDiscount(C$3,D88,,InterestRatesTrigger)</f>
        <v>#NUM!</v>
      </c>
      <c r="I88" s="20" t="e">
        <v>#N/A</v>
      </c>
      <c r="J88" s="21" t="e">
        <f>_xll.qlYieldTSDiscount(H$3,I88,,InterestRatesTrigger)</f>
        <v>#NUM!</v>
      </c>
      <c r="N88" s="20" t="e">
        <v>#N/A</v>
      </c>
      <c r="O88" s="21" t="e">
        <f>_xll.qlYieldTSDiscount(M$3,N88,,InterestRatesTrigger)</f>
        <v>#NUM!</v>
      </c>
    </row>
    <row r="89" spans="4:15" x14ac:dyDescent="0.2">
      <c r="D89" s="20" t="e">
        <v>#N/A</v>
      </c>
      <c r="E89" s="21" t="e">
        <f>_xll.qlYieldTSDiscount(C$3,D89,,InterestRatesTrigger)</f>
        <v>#NUM!</v>
      </c>
      <c r="I89" s="20" t="e">
        <v>#N/A</v>
      </c>
      <c r="J89" s="21" t="e">
        <f>_xll.qlYieldTSDiscount(H$3,I89,,InterestRatesTrigger)</f>
        <v>#NUM!</v>
      </c>
      <c r="N89" s="20" t="e">
        <v>#N/A</v>
      </c>
      <c r="O89" s="21" t="e">
        <f>_xll.qlYieldTSDiscount(M$3,N89,,InterestRatesTrigger)</f>
        <v>#NUM!</v>
      </c>
    </row>
    <row r="90" spans="4:15" x14ac:dyDescent="0.2">
      <c r="D90" s="20" t="e">
        <v>#N/A</v>
      </c>
      <c r="E90" s="21" t="e">
        <f>_xll.qlYieldTSDiscount(C$3,D90,,InterestRatesTrigger)</f>
        <v>#NUM!</v>
      </c>
      <c r="I90" s="20" t="e">
        <v>#N/A</v>
      </c>
      <c r="J90" s="21" t="e">
        <f>_xll.qlYieldTSDiscount(H$3,I90,,InterestRatesTrigger)</f>
        <v>#NUM!</v>
      </c>
      <c r="N90" s="20" t="e">
        <v>#N/A</v>
      </c>
      <c r="O90" s="21" t="e">
        <f>_xll.qlYieldTSDiscount(M$3,N90,,InterestRatesTrigger)</f>
        <v>#NUM!</v>
      </c>
    </row>
    <row r="91" spans="4:15" x14ac:dyDescent="0.2">
      <c r="D91" s="20" t="e">
        <v>#N/A</v>
      </c>
      <c r="E91" s="21" t="e">
        <f>_xll.qlYieldTSDiscount(C$3,D91,,InterestRatesTrigger)</f>
        <v>#NUM!</v>
      </c>
      <c r="I91" s="20" t="e">
        <v>#N/A</v>
      </c>
      <c r="J91" s="21" t="e">
        <f>_xll.qlYieldTSDiscount(H$3,I91,,InterestRatesTrigger)</f>
        <v>#NUM!</v>
      </c>
      <c r="N91" s="20" t="e">
        <v>#N/A</v>
      </c>
      <c r="O91" s="21" t="e">
        <f>_xll.qlYieldTSDiscount(M$3,N91,,InterestRatesTrigger)</f>
        <v>#NUM!</v>
      </c>
    </row>
    <row r="92" spans="4:15" x14ac:dyDescent="0.2">
      <c r="D92" s="22" t="e">
        <v>#N/A</v>
      </c>
      <c r="E92" s="23" t="e">
        <f>_xll.qlYieldTSDiscount(C$3,D92,,InterestRatesTrigger)</f>
        <v>#NUM!</v>
      </c>
      <c r="I92" s="22" t="e">
        <v>#N/A</v>
      </c>
      <c r="J92" s="23" t="e">
        <f>_xll.qlYieldTSDiscount(H$3,I92,,InterestRatesTrigger)</f>
        <v>#NUM!</v>
      </c>
      <c r="N92" s="22" t="e">
        <v>#N/A</v>
      </c>
      <c r="O92" s="23" t="e">
        <f>_xll.qlYieldTSDiscount(M$3,N92,,InterestRatesTrigger)</f>
        <v>#NUM!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6" tint="0.59999389629810485"/>
  </sheetPr>
  <dimension ref="B2:O92"/>
  <sheetViews>
    <sheetView showGridLines="0" workbookViewId="0">
      <selection activeCell="C16" sqref="C16"/>
    </sheetView>
  </sheetViews>
  <sheetFormatPr defaultRowHeight="11.25" x14ac:dyDescent="0.2"/>
  <cols>
    <col min="1" max="1" width="3.83203125" customWidth="1"/>
    <col min="2" max="2" width="16.83203125" customWidth="1"/>
    <col min="3" max="3" width="20.83203125" customWidth="1"/>
    <col min="4" max="5" width="10.83203125" customWidth="1"/>
    <col min="6" max="6" width="5.83203125" customWidth="1"/>
    <col min="7" max="7" width="16.83203125" customWidth="1"/>
    <col min="8" max="8" width="20.83203125" customWidth="1"/>
    <col min="9" max="10" width="10.83203125" customWidth="1"/>
    <col min="11" max="11" width="5.83203125" customWidth="1"/>
    <col min="12" max="12" width="16.83203125" customWidth="1"/>
    <col min="13" max="13" width="20.83203125" customWidth="1"/>
    <col min="14" max="15" width="10.83203125" customWidth="1"/>
  </cols>
  <sheetData>
    <row r="2" spans="2:15" x14ac:dyDescent="0.2">
      <c r="D2" s="198" t="s">
        <v>14</v>
      </c>
      <c r="E2" s="198" t="s">
        <v>15</v>
      </c>
      <c r="I2" s="198" t="s">
        <v>14</v>
      </c>
      <c r="J2" s="198" t="s">
        <v>15</v>
      </c>
      <c r="N2" s="198" t="s">
        <v>14</v>
      </c>
      <c r="O2" s="198" t="s">
        <v>15</v>
      </c>
    </row>
    <row r="3" spans="2:15" x14ac:dyDescent="0.2">
      <c r="B3" s="13" t="s">
        <v>10</v>
      </c>
      <c r="C3" s="16" t="s">
        <v>138</v>
      </c>
      <c r="D3" s="199">
        <f t="array" ref="D3:D92">CHOOSE(C6,_xll.qlPiecewiseYieldCurveDates(C4),_xll.qlInterpolatedYieldCurveDates(C4))</f>
        <v>42814</v>
      </c>
      <c r="E3" s="200">
        <f>_xll.qlYieldTSDiscount(C$3,D3,,InterestRatesTrigger)</f>
        <v>1</v>
      </c>
      <c r="G3" s="13" t="s">
        <v>10</v>
      </c>
      <c r="H3" s="16" t="s">
        <v>139</v>
      </c>
      <c r="I3" s="199">
        <f t="array" ref="I3:I92">CHOOSE(H6,_xll.qlPiecewiseYieldCurveDates(H4),_xll.qlInterpolatedYieldCurveDates(H4))</f>
        <v>42814</v>
      </c>
      <c r="J3" s="200">
        <f>_xll.qlYieldTSDiscount(H$3,I3,,InterestRatesTrigger)</f>
        <v>1</v>
      </c>
      <c r="L3" s="13" t="s">
        <v>10</v>
      </c>
      <c r="M3" s="16" t="s">
        <v>142</v>
      </c>
      <c r="N3" s="199">
        <f t="array" ref="N3:N92">CHOOSE(M6,_xll.qlPiecewiseYieldCurveDates(M4),_xll.qlInterpolatedYieldCurveDates(M4))</f>
        <v>42814</v>
      </c>
      <c r="O3" s="200">
        <f>_xll.qlYieldTSDiscount(M$3,N3,,InterestRatesTrigger)</f>
        <v>1</v>
      </c>
    </row>
    <row r="4" spans="2:15" x14ac:dyDescent="0.2">
      <c r="B4" s="15" t="s">
        <v>16</v>
      </c>
      <c r="C4" s="159" t="str">
        <f>_xll.qlHandleCurrentLink(C3,ObjectsTrigger)</f>
        <v>_AUDON</v>
      </c>
      <c r="D4" s="20">
        <v>42822</v>
      </c>
      <c r="E4" s="21">
        <f>_xll.qlYieldTSDiscount(C$3,D4,,InterestRatesTrigger)</f>
        <v>0.99967130440680219</v>
      </c>
      <c r="G4" s="15" t="s">
        <v>16</v>
      </c>
      <c r="H4" s="159" t="str">
        <f>_xll.qlHandleCurrentLink(H3,ObjectsTrigger)</f>
        <v>_AUD3M</v>
      </c>
      <c r="I4" s="20">
        <v>42815</v>
      </c>
      <c r="J4" s="21">
        <f>_xll.qlYieldTSDiscount(H$3,I4,,InterestRatesTrigger)</f>
        <v>0.99995078324432607</v>
      </c>
      <c r="L4" s="15" t="s">
        <v>16</v>
      </c>
      <c r="M4" s="159" t="str">
        <f>_xll.qlHandleCurrentLink(M3,ObjectsTrigger)</f>
        <v>_AUDSTD</v>
      </c>
      <c r="N4" s="20">
        <v>42816</v>
      </c>
      <c r="O4" s="21">
        <f>_xll.qlYieldTSDiscount(M$3,N4,,InterestRatesTrigger)</f>
        <v>0.99991233453147144</v>
      </c>
    </row>
    <row r="5" spans="2:15" x14ac:dyDescent="0.2">
      <c r="B5" s="15" t="s">
        <v>137</v>
      </c>
      <c r="C5" s="197" t="str">
        <f>_xll.ohObjectClassName(C4)</f>
        <v>qlPiecewiseYieldCurve</v>
      </c>
      <c r="D5" s="20">
        <v>42846</v>
      </c>
      <c r="E5" s="21">
        <f>_xll.qlYieldTSDiscount(C$3,D5,,InterestRatesTrigger)</f>
        <v>0.99869081735839116</v>
      </c>
      <c r="G5" s="15" t="s">
        <v>137</v>
      </c>
      <c r="H5" s="197" t="str">
        <f>_xll.ohObjectClassName(H4)</f>
        <v>qlPiecewiseYieldCurve</v>
      </c>
      <c r="I5" s="20">
        <v>42821</v>
      </c>
      <c r="J5" s="21">
        <f>_xll.qlYieldTSDiscount(H$3,I5,,InterestRatesTrigger)</f>
        <v>0.99965562274613795</v>
      </c>
      <c r="L5" s="15" t="s">
        <v>137</v>
      </c>
      <c r="M5" s="197" t="str">
        <f>_xll.ohObjectClassName(M4)</f>
        <v>qlPiecewiseYieldCurve</v>
      </c>
      <c r="N5" s="20">
        <v>42817</v>
      </c>
      <c r="O5" s="21">
        <f>_xll.qlYieldTSDiscount(M$3,N5,,InterestRatesTrigger)</f>
        <v>0.99986713505824276</v>
      </c>
    </row>
    <row r="6" spans="2:15" x14ac:dyDescent="0.2">
      <c r="B6" s="14" t="s">
        <v>141</v>
      </c>
      <c r="C6" s="192">
        <f>MATCH(C5,{"qlPiecewiseYieldCurve","qlInterpolatedYieldCurve"})</f>
        <v>1</v>
      </c>
      <c r="D6" s="20">
        <v>42877</v>
      </c>
      <c r="E6" s="21">
        <f>_xll.qlYieldTSDiscount(C$3,D6,,InterestRatesTrigger)</f>
        <v>0.99742765563445834</v>
      </c>
      <c r="G6" s="14" t="s">
        <v>141</v>
      </c>
      <c r="H6" s="192">
        <f>MATCH(H5,{"qlPiecewiseYieldCurve","qlInterpolatedYieldCurve"})</f>
        <v>1</v>
      </c>
      <c r="I6" s="20">
        <v>42828</v>
      </c>
      <c r="J6" s="21">
        <f>_xll.qlYieldTSDiscount(H$3,I6,,InterestRatesTrigger)</f>
        <v>0.99931194224260189</v>
      </c>
      <c r="L6" s="14" t="s">
        <v>141</v>
      </c>
      <c r="M6" s="192">
        <f>MATCH(M5,{"qlPiecewiseYieldCurve","qlInterpolatedYieldCurve"})</f>
        <v>1</v>
      </c>
      <c r="N6" s="20">
        <v>42821</v>
      </c>
      <c r="O6" s="21">
        <f>_xll.qlYieldTSDiscount(M$3,N6,,InterestRatesTrigger)</f>
        <v>0.99965874663060228</v>
      </c>
    </row>
    <row r="7" spans="2:15" x14ac:dyDescent="0.2">
      <c r="B7" s="13" t="s">
        <v>4</v>
      </c>
      <c r="C7" s="16" t="s">
        <v>140</v>
      </c>
      <c r="D7" s="20">
        <v>42907</v>
      </c>
      <c r="E7" s="21">
        <f>_xll.qlYieldTSDiscount(C$3,D7,,InterestRatesTrigger)</f>
        <v>0.99620746400068416</v>
      </c>
      <c r="G7" s="13" t="s">
        <v>4</v>
      </c>
      <c r="H7" s="16" t="s">
        <v>140</v>
      </c>
      <c r="I7" s="20">
        <v>42835</v>
      </c>
      <c r="J7" s="21">
        <f>_xll.qlYieldTSDiscount(H$3,I7,,InterestRatesTrigger)</f>
        <v>0.99896895729693558</v>
      </c>
      <c r="L7" s="13" t="s">
        <v>4</v>
      </c>
      <c r="M7" s="16" t="s">
        <v>140</v>
      </c>
      <c r="N7" s="20">
        <v>42828</v>
      </c>
      <c r="O7" s="21">
        <f>_xll.qlYieldTSDiscount(M$3,N7,,InterestRatesTrigger)</f>
        <v>0.99934837010387745</v>
      </c>
    </row>
    <row r="8" spans="2:15" x14ac:dyDescent="0.2">
      <c r="B8" s="15" t="s">
        <v>5</v>
      </c>
      <c r="C8" s="18" t="s">
        <v>143</v>
      </c>
      <c r="D8" s="20">
        <v>42937</v>
      </c>
      <c r="E8" s="21">
        <f>_xll.qlYieldTSDiscount(C$3,D8,,InterestRatesTrigger)</f>
        <v>0.99499025413419528</v>
      </c>
      <c r="G8" s="15" t="s">
        <v>5</v>
      </c>
      <c r="H8" s="18" t="s">
        <v>144</v>
      </c>
      <c r="I8" s="20">
        <v>42845</v>
      </c>
      <c r="J8" s="21">
        <f>_xll.qlYieldTSDiscount(H$3,I8,,InterestRatesTrigger)</f>
        <v>0.99847966288967882</v>
      </c>
      <c r="L8" s="15" t="s">
        <v>5</v>
      </c>
      <c r="M8" s="18" t="s">
        <v>145</v>
      </c>
      <c r="N8" s="20">
        <v>42835</v>
      </c>
      <c r="O8" s="21">
        <f>_xll.qlYieldTSDiscount(M$3,N8,,InterestRatesTrigger)</f>
        <v>0.99902287351823016</v>
      </c>
    </row>
    <row r="9" spans="2:15" x14ac:dyDescent="0.2">
      <c r="B9" s="15" t="s">
        <v>6</v>
      </c>
      <c r="C9" s="18" t="s">
        <v>11</v>
      </c>
      <c r="D9" s="20">
        <v>42968</v>
      </c>
      <c r="E9" s="21">
        <f>_xll.qlYieldTSDiscount(C$3,D9,,InterestRatesTrigger)</f>
        <v>0.99373559152212609</v>
      </c>
      <c r="G9" s="15" t="s">
        <v>6</v>
      </c>
      <c r="H9" s="18" t="s">
        <v>11</v>
      </c>
      <c r="I9" s="20">
        <v>42877</v>
      </c>
      <c r="J9" s="21">
        <f>_xll.qlYieldTSDiscount(H$3,I9,,InterestRatesTrigger)</f>
        <v>0.99691392321545191</v>
      </c>
      <c r="L9" s="15" t="s">
        <v>6</v>
      </c>
      <c r="M9" s="18" t="s">
        <v>58</v>
      </c>
      <c r="N9" s="20">
        <v>42845</v>
      </c>
      <c r="O9" s="21">
        <f>_xll.qlYieldTSDiscount(M$3,N9,,InterestRatesTrigger)</f>
        <v>0.99862176516658052</v>
      </c>
    </row>
    <row r="10" spans="2:15" x14ac:dyDescent="0.2">
      <c r="B10" s="15" t="s">
        <v>7</v>
      </c>
      <c r="C10" s="18" t="s">
        <v>12</v>
      </c>
      <c r="D10" s="20">
        <v>42999</v>
      </c>
      <c r="E10" s="21">
        <f>_xll.qlYieldTSDiscount(C$3,D10,,InterestRatesTrigger)</f>
        <v>0.99248408913349484</v>
      </c>
      <c r="G10" s="15" t="s">
        <v>7</v>
      </c>
      <c r="H10" s="18" t="s">
        <v>12</v>
      </c>
      <c r="I10" s="20">
        <v>42906</v>
      </c>
      <c r="J10" s="21">
        <f>_xll.qlYieldTSDiscount(H$3,I10,,InterestRatesTrigger)</f>
        <v>0.99549599428776037</v>
      </c>
      <c r="L10" s="15" t="s">
        <v>7</v>
      </c>
      <c r="M10" s="18" t="s">
        <v>46</v>
      </c>
      <c r="N10" s="20">
        <v>42877</v>
      </c>
      <c r="O10" s="21">
        <f>_xll.qlYieldTSDiscount(M$3,N10,,InterestRatesTrigger)</f>
        <v>0.99703144131832977</v>
      </c>
    </row>
    <row r="11" spans="2:15" x14ac:dyDescent="0.2">
      <c r="B11" s="15" t="s">
        <v>8</v>
      </c>
      <c r="C11" s="18" t="s">
        <v>13</v>
      </c>
      <c r="D11" s="20">
        <v>43090</v>
      </c>
      <c r="E11" s="21">
        <f>_xll.qlYieldTSDiscount(C$3,D11,,InterestRatesTrigger)</f>
        <v>0.9887474333030204</v>
      </c>
      <c r="G11" s="15" t="s">
        <v>8</v>
      </c>
      <c r="H11" s="18" t="s">
        <v>13</v>
      </c>
      <c r="I11" s="20">
        <v>42989</v>
      </c>
      <c r="J11" s="21">
        <f>_xll.qlYieldTSDiscount(H$3,I11,,InterestRatesTrigger)</f>
        <v>0.99145240847640581</v>
      </c>
      <c r="L11" s="15" t="s">
        <v>8</v>
      </c>
      <c r="M11" s="18" t="s">
        <v>13</v>
      </c>
      <c r="N11" s="20">
        <v>42906</v>
      </c>
      <c r="O11" s="21">
        <f>_xll.qlYieldTSDiscount(M$3,N11,,InterestRatesTrigger)</f>
        <v>0.99549599428776203</v>
      </c>
    </row>
    <row r="12" spans="2:15" x14ac:dyDescent="0.2">
      <c r="B12" s="14" t="s">
        <v>9</v>
      </c>
      <c r="C12" s="19">
        <v>5</v>
      </c>
      <c r="D12" s="20">
        <v>43180</v>
      </c>
      <c r="E12" s="21">
        <f>_xll.qlYieldTSDiscount(C$3,D12,,InterestRatesTrigger)</f>
        <v>0.98489006311700911</v>
      </c>
      <c r="G12" s="14" t="s">
        <v>9</v>
      </c>
      <c r="H12" s="19">
        <v>5</v>
      </c>
      <c r="I12" s="20">
        <v>43077</v>
      </c>
      <c r="J12" s="21">
        <f>_xll.qlYieldTSDiscount(H$3,I12,,InterestRatesTrigger)</f>
        <v>0.98716107985910995</v>
      </c>
      <c r="L12" s="14" t="s">
        <v>9</v>
      </c>
      <c r="M12" s="19">
        <v>5</v>
      </c>
      <c r="N12" s="20">
        <v>42936</v>
      </c>
      <c r="O12" s="21">
        <f>_xll.qlYieldTSDiscount(M$3,N12,,InterestRatesTrigger)</f>
        <v>0.99387094762735773</v>
      </c>
    </row>
    <row r="13" spans="2:15" x14ac:dyDescent="0.2">
      <c r="B13" s="15" t="s">
        <v>17</v>
      </c>
      <c r="C13" s="25">
        <f>COUNT(D3:D92)</f>
        <v>25</v>
      </c>
      <c r="D13" s="20">
        <v>43364</v>
      </c>
      <c r="E13" s="21">
        <f>_xll.qlYieldTSDiscount(C$3,D13,,InterestRatesTrigger)</f>
        <v>0.97684129513420825</v>
      </c>
      <c r="G13" s="15" t="s">
        <v>17</v>
      </c>
      <c r="H13" s="25">
        <f>COUNT(I3:I92)</f>
        <v>22</v>
      </c>
      <c r="I13" s="20">
        <v>43180</v>
      </c>
      <c r="J13" s="21">
        <f>_xll.qlYieldTSDiscount(H$3,I13,,InterestRatesTrigger)</f>
        <v>0.98200466326580738</v>
      </c>
      <c r="L13" s="15" t="s">
        <v>17</v>
      </c>
      <c r="M13" s="25">
        <f>COUNT(N3:N92)</f>
        <v>26</v>
      </c>
      <c r="N13" s="20">
        <v>42968</v>
      </c>
      <c r="O13" s="21">
        <f>_xll.qlYieldTSDiscount(M$3,N13,,InterestRatesTrigger)</f>
        <v>0.99196427406695564</v>
      </c>
    </row>
    <row r="14" spans="2:15" x14ac:dyDescent="0.2">
      <c r="B14" s="14" t="s">
        <v>18</v>
      </c>
      <c r="C14" s="24">
        <f>GetNow(_xll.xlPushShmLiborCurveName(C7,C8,D3:INDEX(D3:D92,C13),E3:INDEX(E3:E92,C13),C9,C10,C11,C12))</f>
        <v>42814.500358796293</v>
      </c>
      <c r="D14" s="20">
        <v>43545</v>
      </c>
      <c r="E14" s="21">
        <f>_xll.qlYieldTSDiscount(C$3,D14,,InterestRatesTrigger)</f>
        <v>0.96764443513660225</v>
      </c>
      <c r="G14" s="14" t="s">
        <v>18</v>
      </c>
      <c r="H14" s="24">
        <f>GetNow(_xll.xlPushShmLiborCurveName(H7,H8,I3:INDEX(I3:I92,H13),J3:INDEX(J3:J92,H13),H9,H10,H11,H12))</f>
        <v>42814.500358796293</v>
      </c>
      <c r="I14" s="20">
        <v>43545</v>
      </c>
      <c r="J14" s="21">
        <f>_xll.qlYieldTSDiscount(H$3,I14,,InterestRatesTrigger)</f>
        <v>0.96157418193535071</v>
      </c>
      <c r="L14" s="14" t="s">
        <v>18</v>
      </c>
      <c r="M14" s="24">
        <f>GetNow(_xll.xlPushShmLiborCurveName(M7,M8,N3:INDEX(N3:N92,M13),O3:INDEX(O3:O92,M13),M9,M10,M11,M12))</f>
        <v>42814.500358796293</v>
      </c>
      <c r="N14" s="20">
        <v>42998</v>
      </c>
      <c r="O14" s="21">
        <f>_xll.qlYieldTSDiscount(M$3,N14,,InterestRatesTrigger)</f>
        <v>0.99004314960664097</v>
      </c>
    </row>
    <row r="15" spans="2:15" x14ac:dyDescent="0.2">
      <c r="D15" s="20">
        <v>43913</v>
      </c>
      <c r="E15" s="21">
        <f>_xll.qlYieldTSDiscount(C$3,D15,,InterestRatesTrigger)</f>
        <v>0.94647398697078755</v>
      </c>
      <c r="I15" s="20">
        <v>43913</v>
      </c>
      <c r="J15" s="21">
        <f>_xll.qlYieldTSDiscount(H$3,I15,,InterestRatesTrigger)</f>
        <v>0.93763795284686757</v>
      </c>
      <c r="N15" s="20">
        <v>43167</v>
      </c>
      <c r="O15" s="21">
        <f>_xll.qlYieldTSDiscount(M$3,N15,,InterestRatesTrigger)</f>
        <v>0.9814612067854761</v>
      </c>
    </row>
    <row r="16" spans="2:15" x14ac:dyDescent="0.2">
      <c r="B16" s="225" t="s">
        <v>189</v>
      </c>
      <c r="C16" s="226">
        <f>[1]!TriggerCounter</f>
        <v>4</v>
      </c>
      <c r="D16" s="20">
        <v>44277</v>
      </c>
      <c r="E16" s="21">
        <f>_xll.qlYieldTSDiscount(C$3,D16,,InterestRatesTrigger)</f>
        <v>0.92291780827780812</v>
      </c>
      <c r="I16" s="20">
        <v>44277</v>
      </c>
      <c r="J16" s="21">
        <f>_xll.qlYieldTSDiscount(H$3,I16,,InterestRatesTrigger)</f>
        <v>0.91186867825342166</v>
      </c>
      <c r="N16" s="20">
        <v>43263</v>
      </c>
      <c r="O16" s="21">
        <f>_xll.qlYieldTSDiscount(M$3,N16,,InterestRatesTrigger)</f>
        <v>0.97645620251116183</v>
      </c>
    </row>
    <row r="17" spans="4:15" x14ac:dyDescent="0.2">
      <c r="D17" s="20">
        <v>44641</v>
      </c>
      <c r="E17" s="21">
        <f>_xll.qlYieldTSDiscount(C$3,D17,,InterestRatesTrigger)</f>
        <v>0.89794929230516551</v>
      </c>
      <c r="I17" s="20">
        <v>44641</v>
      </c>
      <c r="J17" s="21">
        <f>_xll.qlYieldTSDiscount(H$3,I17,,InterestRatesTrigger)</f>
        <v>0.88468592748296981</v>
      </c>
      <c r="N17" s="20">
        <v>43353</v>
      </c>
      <c r="O17" s="21">
        <f>_xll.qlYieldTSDiscount(M$3,N17,,InterestRatesTrigger)</f>
        <v>0.97152024011824978</v>
      </c>
    </row>
    <row r="18" spans="4:15" x14ac:dyDescent="0.2">
      <c r="D18" s="20">
        <v>45006</v>
      </c>
      <c r="E18" s="21">
        <f>_xll.qlYieldTSDiscount(C$3,D18,,InterestRatesTrigger)</f>
        <v>0.87195397274078312</v>
      </c>
      <c r="I18" s="20">
        <v>45372</v>
      </c>
      <c r="J18" s="21">
        <f>_xll.qlYieldTSDiscount(H$3,I18,,InterestRatesTrigger)</f>
        <v>0.8271447282233777</v>
      </c>
      <c r="N18" s="20">
        <v>43448</v>
      </c>
      <c r="O18" s="21">
        <f>_xll.qlYieldTSDiscount(M$3,N18,,InterestRatesTrigger)</f>
        <v>0.96608438456652412</v>
      </c>
    </row>
    <row r="19" spans="4:15" x14ac:dyDescent="0.2">
      <c r="D19" s="20">
        <v>45372</v>
      </c>
      <c r="E19" s="21">
        <f>_xll.qlYieldTSDiscount(C$3,D19,,InterestRatesTrigger)</f>
        <v>0.84452644322015047</v>
      </c>
      <c r="I19" s="20">
        <v>46468</v>
      </c>
      <c r="J19" s="21">
        <f>_xll.qlYieldTSDiscount(H$3,I19,,InterestRatesTrigger)</f>
        <v>0.74271130857214884</v>
      </c>
      <c r="N19" s="20">
        <v>43545</v>
      </c>
      <c r="O19" s="21">
        <f>_xll.qlYieldTSDiscount(M$3,N19,,InterestRatesTrigger)</f>
        <v>0.96160820451371265</v>
      </c>
    </row>
    <row r="20" spans="4:15" x14ac:dyDescent="0.2">
      <c r="D20" s="20">
        <v>45737</v>
      </c>
      <c r="E20" s="21">
        <f>_xll.qlYieldTSDiscount(C$3,D20,,InterestRatesTrigger)</f>
        <v>0.81846085144348601</v>
      </c>
      <c r="I20" s="20">
        <v>47198</v>
      </c>
      <c r="J20" s="21">
        <f>_xll.qlYieldTSDiscount(H$3,I20,,InterestRatesTrigger)</f>
        <v>0.68842124871194266</v>
      </c>
      <c r="N20" s="20">
        <v>43913</v>
      </c>
      <c r="O20" s="21">
        <f>_xll.qlYieldTSDiscount(M$3,N20,,InterestRatesTrigger)</f>
        <v>0.93765698172333878</v>
      </c>
    </row>
    <row r="21" spans="4:15" x14ac:dyDescent="0.2">
      <c r="D21" s="20">
        <v>46104</v>
      </c>
      <c r="E21" s="21">
        <f>_xll.qlYieldTSDiscount(C$3,D21,,InterestRatesTrigger)</f>
        <v>0.79171202155130294</v>
      </c>
      <c r="I21" s="20">
        <v>48295</v>
      </c>
      <c r="J21" s="21">
        <f>_xll.qlYieldTSDiscount(H$3,I21,,InterestRatesTrigger)</f>
        <v>0.61224405640490642</v>
      </c>
      <c r="N21" s="20">
        <v>44277</v>
      </c>
      <c r="O21" s="21">
        <f>_xll.qlYieldTSDiscount(M$3,N21,,InterestRatesTrigger)</f>
        <v>0.90498058517410918</v>
      </c>
    </row>
    <row r="22" spans="4:15" x14ac:dyDescent="0.2">
      <c r="D22" s="20">
        <v>46468</v>
      </c>
      <c r="E22" s="21">
        <f>_xll.qlYieldTSDiscount(C$3,D22,,InterestRatesTrigger)</f>
        <v>0.76425032385200031</v>
      </c>
      <c r="I22" s="20">
        <v>50122</v>
      </c>
      <c r="J22" s="21">
        <f>_xll.qlYieldTSDiscount(H$3,I22,,InterestRatesTrigger)</f>
        <v>0.5032268633414626</v>
      </c>
      <c r="N22" s="20">
        <v>44641</v>
      </c>
      <c r="O22" s="21">
        <f>_xll.qlYieldTSDiscount(M$3,N22,,InterestRatesTrigger)</f>
        <v>0.87675107103436412</v>
      </c>
    </row>
    <row r="23" spans="4:15" x14ac:dyDescent="0.2">
      <c r="D23" s="20">
        <v>47198</v>
      </c>
      <c r="E23" s="21">
        <f>_xll.qlYieldTSDiscount(C$3,D23,,InterestRatesTrigger)</f>
        <v>0.71264079994857266</v>
      </c>
      <c r="I23" s="20">
        <v>51946</v>
      </c>
      <c r="J23" s="21">
        <f>_xll.qlYieldTSDiscount(H$3,I23,,InterestRatesTrigger)</f>
        <v>0.4167865961974484</v>
      </c>
      <c r="N23" s="20">
        <v>45372</v>
      </c>
      <c r="O23" s="21">
        <f>_xll.qlYieldTSDiscount(M$3,N23,,InterestRatesTrigger)</f>
        <v>0.81769349321125984</v>
      </c>
    </row>
    <row r="24" spans="4:15" x14ac:dyDescent="0.2">
      <c r="D24" s="20">
        <v>48295</v>
      </c>
      <c r="E24" s="21">
        <f>_xll.qlYieldTSDiscount(C$3,D24,,InterestRatesTrigger)</f>
        <v>0.63943533130655938</v>
      </c>
      <c r="I24" s="20">
        <v>53772</v>
      </c>
      <c r="J24" s="21">
        <f>_xll.qlYieldTSDiscount(H$3,I24,,InterestRatesTrigger)</f>
        <v>0.35060692372214175</v>
      </c>
      <c r="N24" s="20">
        <v>46468</v>
      </c>
      <c r="O24" s="21">
        <f>_xll.qlYieldTSDiscount(M$3,N24,,InterestRatesTrigger)</f>
        <v>0.73204999179977182</v>
      </c>
    </row>
    <row r="25" spans="4:15" x14ac:dyDescent="0.2">
      <c r="D25" s="20">
        <v>50122</v>
      </c>
      <c r="E25" s="21">
        <f>_xll.qlYieldTSDiscount(C$3,D25,,InterestRatesTrigger)</f>
        <v>0.53302872045662886</v>
      </c>
      <c r="I25" s="20" t="e">
        <v>#N/A</v>
      </c>
      <c r="J25" s="21" t="e">
        <f>_xll.qlYieldTSDiscount(H$3,I25,,InterestRatesTrigger)</f>
        <v>#NUM!</v>
      </c>
      <c r="N25" s="20">
        <v>47198</v>
      </c>
      <c r="O25" s="21">
        <f>_xll.qlYieldTSDiscount(M$3,N25,,InterestRatesTrigger)</f>
        <v>0.67752252866268792</v>
      </c>
    </row>
    <row r="26" spans="4:15" x14ac:dyDescent="0.2">
      <c r="D26" s="20">
        <v>51946</v>
      </c>
      <c r="E26" s="21">
        <f>_xll.qlYieldTSDiscount(C$3,D26,,InterestRatesTrigger)</f>
        <v>0.44762370309875321</v>
      </c>
      <c r="I26" s="20" t="e">
        <v>#N/A</v>
      </c>
      <c r="J26" s="21" t="e">
        <f>_xll.qlYieldTSDiscount(H$3,I26,,InterestRatesTrigger)</f>
        <v>#NUM!</v>
      </c>
      <c r="N26" s="20">
        <v>48295</v>
      </c>
      <c r="O26" s="21">
        <f>_xll.qlYieldTSDiscount(M$3,N26,,InterestRatesTrigger)</f>
        <v>0.6015477905880896</v>
      </c>
    </row>
    <row r="27" spans="4:15" x14ac:dyDescent="0.2">
      <c r="D27" s="20">
        <v>53772</v>
      </c>
      <c r="E27" s="21">
        <f>_xll.qlYieldTSDiscount(C$3,D27,,InterestRatesTrigger)</f>
        <v>0.38192233703435396</v>
      </c>
      <c r="I27" s="20" t="e">
        <v>#N/A</v>
      </c>
      <c r="J27" s="21" t="e">
        <f>_xll.qlYieldTSDiscount(H$3,I27,,InterestRatesTrigger)</f>
        <v>#NUM!</v>
      </c>
      <c r="N27" s="20">
        <v>50122</v>
      </c>
      <c r="O27" s="21">
        <f>_xll.qlYieldTSDiscount(M$3,N27,,InterestRatesTrigger)</f>
        <v>0.4931753426537861</v>
      </c>
    </row>
    <row r="28" spans="4:15" x14ac:dyDescent="0.2">
      <c r="D28" s="20" t="e">
        <v>#N/A</v>
      </c>
      <c r="E28" s="21" t="e">
        <f>_xll.qlYieldTSDiscount(C$3,D28,,InterestRatesTrigger)</f>
        <v>#NUM!</v>
      </c>
      <c r="I28" s="20" t="e">
        <v>#N/A</v>
      </c>
      <c r="J28" s="21" t="e">
        <f>_xll.qlYieldTSDiscount(H$3,I28,,InterestRatesTrigger)</f>
        <v>#NUM!</v>
      </c>
      <c r="N28" s="20">
        <v>53772</v>
      </c>
      <c r="O28" s="21">
        <f>_xll.qlYieldTSDiscount(M$3,N28,,InterestRatesTrigger)</f>
        <v>0.34063861813259116</v>
      </c>
    </row>
    <row r="29" spans="4:15" x14ac:dyDescent="0.2">
      <c r="D29" s="20" t="e">
        <v>#N/A</v>
      </c>
      <c r="E29" s="21" t="e">
        <f>_xll.qlYieldTSDiscount(C$3,D29,,InterestRatesTrigger)</f>
        <v>#NUM!</v>
      </c>
      <c r="I29" s="20" t="e">
        <v>#N/A</v>
      </c>
      <c r="J29" s="21" t="e">
        <f>_xll.qlYieldTSDiscount(H$3,I29,,InterestRatesTrigger)</f>
        <v>#NUM!</v>
      </c>
      <c r="N29" s="20" t="e">
        <v>#N/A</v>
      </c>
      <c r="O29" s="21" t="e">
        <f>_xll.qlYieldTSDiscount(M$3,N29,,InterestRatesTrigger)</f>
        <v>#NUM!</v>
      </c>
    </row>
    <row r="30" spans="4:15" x14ac:dyDescent="0.2">
      <c r="D30" s="20" t="e">
        <v>#N/A</v>
      </c>
      <c r="E30" s="21" t="e">
        <f>_xll.qlYieldTSDiscount(C$3,D30,,InterestRatesTrigger)</f>
        <v>#NUM!</v>
      </c>
      <c r="I30" s="20" t="e">
        <v>#N/A</v>
      </c>
      <c r="J30" s="21" t="e">
        <f>_xll.qlYieldTSDiscount(H$3,I30,,InterestRatesTrigger)</f>
        <v>#NUM!</v>
      </c>
      <c r="N30" s="20" t="e">
        <v>#N/A</v>
      </c>
      <c r="O30" s="21" t="e">
        <f>_xll.qlYieldTSDiscount(M$3,N30,,InterestRatesTrigger)</f>
        <v>#NUM!</v>
      </c>
    </row>
    <row r="31" spans="4:15" x14ac:dyDescent="0.2">
      <c r="D31" s="20" t="e">
        <v>#N/A</v>
      </c>
      <c r="E31" s="21" t="e">
        <f>_xll.qlYieldTSDiscount(C$3,D31,,InterestRatesTrigger)</f>
        <v>#NUM!</v>
      </c>
      <c r="I31" s="20" t="e">
        <v>#N/A</v>
      </c>
      <c r="J31" s="21" t="e">
        <f>_xll.qlYieldTSDiscount(H$3,I31,,InterestRatesTrigger)</f>
        <v>#NUM!</v>
      </c>
      <c r="N31" s="20" t="e">
        <v>#N/A</v>
      </c>
      <c r="O31" s="21" t="e">
        <f>_xll.qlYieldTSDiscount(M$3,N31,,InterestRatesTrigger)</f>
        <v>#NUM!</v>
      </c>
    </row>
    <row r="32" spans="4:15" x14ac:dyDescent="0.2">
      <c r="D32" s="20" t="e">
        <v>#N/A</v>
      </c>
      <c r="E32" s="21" t="e">
        <f>_xll.qlYieldTSDiscount(C$3,D32,,InterestRatesTrigger)</f>
        <v>#NUM!</v>
      </c>
      <c r="I32" s="20" t="e">
        <v>#N/A</v>
      </c>
      <c r="J32" s="21" t="e">
        <f>_xll.qlYieldTSDiscount(H$3,I32,,InterestRatesTrigger)</f>
        <v>#NUM!</v>
      </c>
      <c r="N32" s="20" t="e">
        <v>#N/A</v>
      </c>
      <c r="O32" s="21" t="e">
        <f>_xll.qlYieldTSDiscount(M$3,N32,,InterestRatesTrigger)</f>
        <v>#NUM!</v>
      </c>
    </row>
    <row r="33" spans="4:15" x14ac:dyDescent="0.2">
      <c r="D33" s="20" t="e">
        <v>#N/A</v>
      </c>
      <c r="E33" s="21" t="e">
        <f>_xll.qlYieldTSDiscount(C$3,D33,,InterestRatesTrigger)</f>
        <v>#NUM!</v>
      </c>
      <c r="I33" s="20" t="e">
        <v>#N/A</v>
      </c>
      <c r="J33" s="21" t="e">
        <f>_xll.qlYieldTSDiscount(H$3,I33,,InterestRatesTrigger)</f>
        <v>#NUM!</v>
      </c>
      <c r="N33" s="20" t="e">
        <v>#N/A</v>
      </c>
      <c r="O33" s="21" t="e">
        <f>_xll.qlYieldTSDiscount(M$3,N33,,InterestRatesTrigger)</f>
        <v>#NUM!</v>
      </c>
    </row>
    <row r="34" spans="4:15" x14ac:dyDescent="0.2">
      <c r="D34" s="20" t="e">
        <v>#N/A</v>
      </c>
      <c r="E34" s="21" t="e">
        <f>_xll.qlYieldTSDiscount(C$3,D34,,InterestRatesTrigger)</f>
        <v>#NUM!</v>
      </c>
      <c r="I34" s="20" t="e">
        <v>#N/A</v>
      </c>
      <c r="J34" s="21" t="e">
        <f>_xll.qlYieldTSDiscount(H$3,I34,,InterestRatesTrigger)</f>
        <v>#NUM!</v>
      </c>
      <c r="N34" s="20" t="e">
        <v>#N/A</v>
      </c>
      <c r="O34" s="21" t="e">
        <f>_xll.qlYieldTSDiscount(M$3,N34,,InterestRatesTrigger)</f>
        <v>#NUM!</v>
      </c>
    </row>
    <row r="35" spans="4:15" x14ac:dyDescent="0.2">
      <c r="D35" s="20" t="e">
        <v>#N/A</v>
      </c>
      <c r="E35" s="21" t="e">
        <f>_xll.qlYieldTSDiscount(C$3,D35,,InterestRatesTrigger)</f>
        <v>#NUM!</v>
      </c>
      <c r="I35" s="20" t="e">
        <v>#N/A</v>
      </c>
      <c r="J35" s="21" t="e">
        <f>_xll.qlYieldTSDiscount(H$3,I35,,InterestRatesTrigger)</f>
        <v>#NUM!</v>
      </c>
      <c r="N35" s="20" t="e">
        <v>#N/A</v>
      </c>
      <c r="O35" s="21" t="e">
        <f>_xll.qlYieldTSDiscount(M$3,N35,,InterestRatesTrigger)</f>
        <v>#NUM!</v>
      </c>
    </row>
    <row r="36" spans="4:15" x14ac:dyDescent="0.2">
      <c r="D36" s="20" t="e">
        <v>#N/A</v>
      </c>
      <c r="E36" s="21" t="e">
        <f>_xll.qlYieldTSDiscount(C$3,D36,,InterestRatesTrigger)</f>
        <v>#NUM!</v>
      </c>
      <c r="I36" s="20" t="e">
        <v>#N/A</v>
      </c>
      <c r="J36" s="21" t="e">
        <f>_xll.qlYieldTSDiscount(H$3,I36,,InterestRatesTrigger)</f>
        <v>#NUM!</v>
      </c>
      <c r="N36" s="20" t="e">
        <v>#N/A</v>
      </c>
      <c r="O36" s="21" t="e">
        <f>_xll.qlYieldTSDiscount(M$3,N36,,InterestRatesTrigger)</f>
        <v>#NUM!</v>
      </c>
    </row>
    <row r="37" spans="4:15" x14ac:dyDescent="0.2">
      <c r="D37" s="20" t="e">
        <v>#N/A</v>
      </c>
      <c r="E37" s="21" t="e">
        <f>_xll.qlYieldTSDiscount(C$3,D37,,InterestRatesTrigger)</f>
        <v>#NUM!</v>
      </c>
      <c r="I37" s="20" t="e">
        <v>#N/A</v>
      </c>
      <c r="J37" s="21" t="e">
        <f>_xll.qlYieldTSDiscount(H$3,I37,,InterestRatesTrigger)</f>
        <v>#NUM!</v>
      </c>
      <c r="N37" s="20" t="e">
        <v>#N/A</v>
      </c>
      <c r="O37" s="21" t="e">
        <f>_xll.qlYieldTSDiscount(M$3,N37,,InterestRatesTrigger)</f>
        <v>#NUM!</v>
      </c>
    </row>
    <row r="38" spans="4:15" x14ac:dyDescent="0.2">
      <c r="D38" s="20" t="e">
        <v>#N/A</v>
      </c>
      <c r="E38" s="21" t="e">
        <f>_xll.qlYieldTSDiscount(C$3,D38,,InterestRatesTrigger)</f>
        <v>#NUM!</v>
      </c>
      <c r="I38" s="20" t="e">
        <v>#N/A</v>
      </c>
      <c r="J38" s="21" t="e">
        <f>_xll.qlYieldTSDiscount(H$3,I38,,InterestRatesTrigger)</f>
        <v>#NUM!</v>
      </c>
      <c r="N38" s="20" t="e">
        <v>#N/A</v>
      </c>
      <c r="O38" s="21" t="e">
        <f>_xll.qlYieldTSDiscount(M$3,N38,,InterestRatesTrigger)</f>
        <v>#NUM!</v>
      </c>
    </row>
    <row r="39" spans="4:15" x14ac:dyDescent="0.2">
      <c r="D39" s="20" t="e">
        <v>#N/A</v>
      </c>
      <c r="E39" s="21" t="e">
        <f>_xll.qlYieldTSDiscount(C$3,D39,,InterestRatesTrigger)</f>
        <v>#NUM!</v>
      </c>
      <c r="I39" s="20" t="e">
        <v>#N/A</v>
      </c>
      <c r="J39" s="21" t="e">
        <f>_xll.qlYieldTSDiscount(H$3,I39,,InterestRatesTrigger)</f>
        <v>#NUM!</v>
      </c>
      <c r="N39" s="20" t="e">
        <v>#N/A</v>
      </c>
      <c r="O39" s="21" t="e">
        <f>_xll.qlYieldTSDiscount(M$3,N39,,InterestRatesTrigger)</f>
        <v>#NUM!</v>
      </c>
    </row>
    <row r="40" spans="4:15" x14ac:dyDescent="0.2">
      <c r="D40" s="20" t="e">
        <v>#N/A</v>
      </c>
      <c r="E40" s="21" t="e">
        <f>_xll.qlYieldTSDiscount(C$3,D40,,InterestRatesTrigger)</f>
        <v>#NUM!</v>
      </c>
      <c r="I40" s="20" t="e">
        <v>#N/A</v>
      </c>
      <c r="J40" s="21" t="e">
        <f>_xll.qlYieldTSDiscount(H$3,I40,,InterestRatesTrigger)</f>
        <v>#NUM!</v>
      </c>
      <c r="N40" s="20" t="e">
        <v>#N/A</v>
      </c>
      <c r="O40" s="21" t="e">
        <f>_xll.qlYieldTSDiscount(M$3,N40,,InterestRatesTrigger)</f>
        <v>#NUM!</v>
      </c>
    </row>
    <row r="41" spans="4:15" x14ac:dyDescent="0.2">
      <c r="D41" s="20" t="e">
        <v>#N/A</v>
      </c>
      <c r="E41" s="21" t="e">
        <f>_xll.qlYieldTSDiscount(C$3,D41,,InterestRatesTrigger)</f>
        <v>#NUM!</v>
      </c>
      <c r="I41" s="20" t="e">
        <v>#N/A</v>
      </c>
      <c r="J41" s="21" t="e">
        <f>_xll.qlYieldTSDiscount(H$3,I41,,InterestRatesTrigger)</f>
        <v>#NUM!</v>
      </c>
      <c r="N41" s="20" t="e">
        <v>#N/A</v>
      </c>
      <c r="O41" s="21" t="e">
        <f>_xll.qlYieldTSDiscount(M$3,N41,,InterestRatesTrigger)</f>
        <v>#NUM!</v>
      </c>
    </row>
    <row r="42" spans="4:15" x14ac:dyDescent="0.2">
      <c r="D42" s="20" t="e">
        <v>#N/A</v>
      </c>
      <c r="E42" s="21" t="e">
        <f>_xll.qlYieldTSDiscount(C$3,D42,,InterestRatesTrigger)</f>
        <v>#NUM!</v>
      </c>
      <c r="I42" s="20" t="e">
        <v>#N/A</v>
      </c>
      <c r="J42" s="21" t="e">
        <f>_xll.qlYieldTSDiscount(H$3,I42,,InterestRatesTrigger)</f>
        <v>#NUM!</v>
      </c>
      <c r="N42" s="20" t="e">
        <v>#N/A</v>
      </c>
      <c r="O42" s="21" t="e">
        <f>_xll.qlYieldTSDiscount(M$3,N42,,InterestRatesTrigger)</f>
        <v>#NUM!</v>
      </c>
    </row>
    <row r="43" spans="4:15" x14ac:dyDescent="0.2">
      <c r="D43" s="20" t="e">
        <v>#N/A</v>
      </c>
      <c r="E43" s="21" t="e">
        <f>_xll.qlYieldTSDiscount(C$3,D43,,InterestRatesTrigger)</f>
        <v>#NUM!</v>
      </c>
      <c r="I43" s="20" t="e">
        <v>#N/A</v>
      </c>
      <c r="J43" s="21" t="e">
        <f>_xll.qlYieldTSDiscount(H$3,I43,,InterestRatesTrigger)</f>
        <v>#NUM!</v>
      </c>
      <c r="N43" s="20" t="e">
        <v>#N/A</v>
      </c>
      <c r="O43" s="21" t="e">
        <f>_xll.qlYieldTSDiscount(M$3,N43,,InterestRatesTrigger)</f>
        <v>#NUM!</v>
      </c>
    </row>
    <row r="44" spans="4:15" x14ac:dyDescent="0.2">
      <c r="D44" s="20" t="e">
        <v>#N/A</v>
      </c>
      <c r="E44" s="21" t="e">
        <f>_xll.qlYieldTSDiscount(C$3,D44,,InterestRatesTrigger)</f>
        <v>#NUM!</v>
      </c>
      <c r="I44" s="20" t="e">
        <v>#N/A</v>
      </c>
      <c r="J44" s="21" t="e">
        <f>_xll.qlYieldTSDiscount(H$3,I44,,InterestRatesTrigger)</f>
        <v>#NUM!</v>
      </c>
      <c r="N44" s="20" t="e">
        <v>#N/A</v>
      </c>
      <c r="O44" s="21" t="e">
        <f>_xll.qlYieldTSDiscount(M$3,N44,,InterestRatesTrigger)</f>
        <v>#NUM!</v>
      </c>
    </row>
    <row r="45" spans="4:15" x14ac:dyDescent="0.2">
      <c r="D45" s="20" t="e">
        <v>#N/A</v>
      </c>
      <c r="E45" s="21" t="e">
        <f>_xll.qlYieldTSDiscount(C$3,D45,,InterestRatesTrigger)</f>
        <v>#NUM!</v>
      </c>
      <c r="I45" s="20" t="e">
        <v>#N/A</v>
      </c>
      <c r="J45" s="21" t="e">
        <f>_xll.qlYieldTSDiscount(H$3,I45,,InterestRatesTrigger)</f>
        <v>#NUM!</v>
      </c>
      <c r="N45" s="20" t="e">
        <v>#N/A</v>
      </c>
      <c r="O45" s="21" t="e">
        <f>_xll.qlYieldTSDiscount(M$3,N45,,InterestRatesTrigger)</f>
        <v>#NUM!</v>
      </c>
    </row>
    <row r="46" spans="4:15" x14ac:dyDescent="0.2">
      <c r="D46" s="20" t="e">
        <v>#N/A</v>
      </c>
      <c r="E46" s="21" t="e">
        <f>_xll.qlYieldTSDiscount(C$3,D46,,InterestRatesTrigger)</f>
        <v>#NUM!</v>
      </c>
      <c r="I46" s="20" t="e">
        <v>#N/A</v>
      </c>
      <c r="J46" s="21" t="e">
        <f>_xll.qlYieldTSDiscount(H$3,I46,,InterestRatesTrigger)</f>
        <v>#NUM!</v>
      </c>
      <c r="N46" s="20" t="e">
        <v>#N/A</v>
      </c>
      <c r="O46" s="21" t="e">
        <f>_xll.qlYieldTSDiscount(M$3,N46,,InterestRatesTrigger)</f>
        <v>#NUM!</v>
      </c>
    </row>
    <row r="47" spans="4:15" x14ac:dyDescent="0.2">
      <c r="D47" s="20" t="e">
        <v>#N/A</v>
      </c>
      <c r="E47" s="21" t="e">
        <f>_xll.qlYieldTSDiscount(C$3,D47,,InterestRatesTrigger)</f>
        <v>#NUM!</v>
      </c>
      <c r="I47" s="20" t="e">
        <v>#N/A</v>
      </c>
      <c r="J47" s="21" t="e">
        <f>_xll.qlYieldTSDiscount(H$3,I47,,InterestRatesTrigger)</f>
        <v>#NUM!</v>
      </c>
      <c r="N47" s="20" t="e">
        <v>#N/A</v>
      </c>
      <c r="O47" s="21" t="e">
        <f>_xll.qlYieldTSDiscount(M$3,N47,,InterestRatesTrigger)</f>
        <v>#NUM!</v>
      </c>
    </row>
    <row r="48" spans="4:15" x14ac:dyDescent="0.2">
      <c r="D48" s="20" t="e">
        <v>#N/A</v>
      </c>
      <c r="E48" s="21" t="e">
        <f>_xll.qlYieldTSDiscount(C$3,D48,,InterestRatesTrigger)</f>
        <v>#NUM!</v>
      </c>
      <c r="I48" s="20" t="e">
        <v>#N/A</v>
      </c>
      <c r="J48" s="21" t="e">
        <f>_xll.qlYieldTSDiscount(H$3,I48,,InterestRatesTrigger)</f>
        <v>#NUM!</v>
      </c>
      <c r="N48" s="20" t="e">
        <v>#N/A</v>
      </c>
      <c r="O48" s="21" t="e">
        <f>_xll.qlYieldTSDiscount(M$3,N48,,InterestRatesTrigger)</f>
        <v>#NUM!</v>
      </c>
    </row>
    <row r="49" spans="4:15" x14ac:dyDescent="0.2">
      <c r="D49" s="20" t="e">
        <v>#N/A</v>
      </c>
      <c r="E49" s="21" t="e">
        <f>_xll.qlYieldTSDiscount(C$3,D49,,InterestRatesTrigger)</f>
        <v>#NUM!</v>
      </c>
      <c r="I49" s="20" t="e">
        <v>#N/A</v>
      </c>
      <c r="J49" s="21" t="e">
        <f>_xll.qlYieldTSDiscount(H$3,I49,,InterestRatesTrigger)</f>
        <v>#NUM!</v>
      </c>
      <c r="N49" s="20" t="e">
        <v>#N/A</v>
      </c>
      <c r="O49" s="21" t="e">
        <f>_xll.qlYieldTSDiscount(M$3,N49,,InterestRatesTrigger)</f>
        <v>#NUM!</v>
      </c>
    </row>
    <row r="50" spans="4:15" x14ac:dyDescent="0.2">
      <c r="D50" s="20" t="e">
        <v>#N/A</v>
      </c>
      <c r="E50" s="21" t="e">
        <f>_xll.qlYieldTSDiscount(C$3,D50,,InterestRatesTrigger)</f>
        <v>#NUM!</v>
      </c>
      <c r="I50" s="20" t="e">
        <v>#N/A</v>
      </c>
      <c r="J50" s="21" t="e">
        <f>_xll.qlYieldTSDiscount(H$3,I50,,InterestRatesTrigger)</f>
        <v>#NUM!</v>
      </c>
      <c r="N50" s="20" t="e">
        <v>#N/A</v>
      </c>
      <c r="O50" s="21" t="e">
        <f>_xll.qlYieldTSDiscount(M$3,N50,,InterestRatesTrigger)</f>
        <v>#NUM!</v>
      </c>
    </row>
    <row r="51" spans="4:15" x14ac:dyDescent="0.2">
      <c r="D51" s="20" t="e">
        <v>#N/A</v>
      </c>
      <c r="E51" s="21" t="e">
        <f>_xll.qlYieldTSDiscount(C$3,D51,,InterestRatesTrigger)</f>
        <v>#NUM!</v>
      </c>
      <c r="I51" s="20" t="e">
        <v>#N/A</v>
      </c>
      <c r="J51" s="21" t="e">
        <f>_xll.qlYieldTSDiscount(H$3,I51,,InterestRatesTrigger)</f>
        <v>#NUM!</v>
      </c>
      <c r="N51" s="20" t="e">
        <v>#N/A</v>
      </c>
      <c r="O51" s="21" t="e">
        <f>_xll.qlYieldTSDiscount(M$3,N51,,InterestRatesTrigger)</f>
        <v>#NUM!</v>
      </c>
    </row>
    <row r="52" spans="4:15" x14ac:dyDescent="0.2">
      <c r="D52" s="20" t="e">
        <v>#N/A</v>
      </c>
      <c r="E52" s="21" t="e">
        <f>_xll.qlYieldTSDiscount(C$3,D52,,InterestRatesTrigger)</f>
        <v>#NUM!</v>
      </c>
      <c r="I52" s="20" t="e">
        <v>#N/A</v>
      </c>
      <c r="J52" s="21" t="e">
        <f>_xll.qlYieldTSDiscount(H$3,I52,,InterestRatesTrigger)</f>
        <v>#NUM!</v>
      </c>
      <c r="N52" s="20" t="e">
        <v>#N/A</v>
      </c>
      <c r="O52" s="21" t="e">
        <f>_xll.qlYieldTSDiscount(M$3,N52,,InterestRatesTrigger)</f>
        <v>#NUM!</v>
      </c>
    </row>
    <row r="53" spans="4:15" x14ac:dyDescent="0.2">
      <c r="D53" s="20" t="e">
        <v>#N/A</v>
      </c>
      <c r="E53" s="21" t="e">
        <f>_xll.qlYieldTSDiscount(C$3,D53,,InterestRatesTrigger)</f>
        <v>#NUM!</v>
      </c>
      <c r="I53" s="20" t="e">
        <v>#N/A</v>
      </c>
      <c r="J53" s="21" t="e">
        <f>_xll.qlYieldTSDiscount(H$3,I53,,InterestRatesTrigger)</f>
        <v>#NUM!</v>
      </c>
      <c r="N53" s="20" t="e">
        <v>#N/A</v>
      </c>
      <c r="O53" s="21" t="e">
        <f>_xll.qlYieldTSDiscount(M$3,N53,,InterestRatesTrigger)</f>
        <v>#NUM!</v>
      </c>
    </row>
    <row r="54" spans="4:15" x14ac:dyDescent="0.2">
      <c r="D54" s="20" t="e">
        <v>#N/A</v>
      </c>
      <c r="E54" s="21" t="e">
        <f>_xll.qlYieldTSDiscount(C$3,D54,,InterestRatesTrigger)</f>
        <v>#NUM!</v>
      </c>
      <c r="I54" s="20" t="e">
        <v>#N/A</v>
      </c>
      <c r="J54" s="21" t="e">
        <f>_xll.qlYieldTSDiscount(H$3,I54,,InterestRatesTrigger)</f>
        <v>#NUM!</v>
      </c>
      <c r="N54" s="20" t="e">
        <v>#N/A</v>
      </c>
      <c r="O54" s="21" t="e">
        <f>_xll.qlYieldTSDiscount(M$3,N54,,InterestRatesTrigger)</f>
        <v>#NUM!</v>
      </c>
    </row>
    <row r="55" spans="4:15" x14ac:dyDescent="0.2">
      <c r="D55" s="20" t="e">
        <v>#N/A</v>
      </c>
      <c r="E55" s="21" t="e">
        <f>_xll.qlYieldTSDiscount(C$3,D55,,InterestRatesTrigger)</f>
        <v>#NUM!</v>
      </c>
      <c r="I55" s="20" t="e">
        <v>#N/A</v>
      </c>
      <c r="J55" s="21" t="e">
        <f>_xll.qlYieldTSDiscount(H$3,I55,,InterestRatesTrigger)</f>
        <v>#NUM!</v>
      </c>
      <c r="N55" s="20" t="e">
        <v>#N/A</v>
      </c>
      <c r="O55" s="21" t="e">
        <f>_xll.qlYieldTSDiscount(M$3,N55,,InterestRatesTrigger)</f>
        <v>#NUM!</v>
      </c>
    </row>
    <row r="56" spans="4:15" x14ac:dyDescent="0.2">
      <c r="D56" s="20" t="e">
        <v>#N/A</v>
      </c>
      <c r="E56" s="21" t="e">
        <f>_xll.qlYieldTSDiscount(C$3,D56,,InterestRatesTrigger)</f>
        <v>#NUM!</v>
      </c>
      <c r="I56" s="20" t="e">
        <v>#N/A</v>
      </c>
      <c r="J56" s="21" t="e">
        <f>_xll.qlYieldTSDiscount(H$3,I56,,InterestRatesTrigger)</f>
        <v>#NUM!</v>
      </c>
      <c r="N56" s="20" t="e">
        <v>#N/A</v>
      </c>
      <c r="O56" s="21" t="e">
        <f>_xll.qlYieldTSDiscount(M$3,N56,,InterestRatesTrigger)</f>
        <v>#NUM!</v>
      </c>
    </row>
    <row r="57" spans="4:15" x14ac:dyDescent="0.2">
      <c r="D57" s="20" t="e">
        <v>#N/A</v>
      </c>
      <c r="E57" s="21" t="e">
        <f>_xll.qlYieldTSDiscount(C$3,D57,,InterestRatesTrigger)</f>
        <v>#NUM!</v>
      </c>
      <c r="I57" s="20" t="e">
        <v>#N/A</v>
      </c>
      <c r="J57" s="21" t="e">
        <f>_xll.qlYieldTSDiscount(H$3,I57,,InterestRatesTrigger)</f>
        <v>#NUM!</v>
      </c>
      <c r="N57" s="20" t="e">
        <v>#N/A</v>
      </c>
      <c r="O57" s="21" t="e">
        <f>_xll.qlYieldTSDiscount(M$3,N57,,InterestRatesTrigger)</f>
        <v>#NUM!</v>
      </c>
    </row>
    <row r="58" spans="4:15" x14ac:dyDescent="0.2">
      <c r="D58" s="20" t="e">
        <v>#N/A</v>
      </c>
      <c r="E58" s="21" t="e">
        <f>_xll.qlYieldTSDiscount(C$3,D58,,InterestRatesTrigger)</f>
        <v>#NUM!</v>
      </c>
      <c r="I58" s="20" t="e">
        <v>#N/A</v>
      </c>
      <c r="J58" s="21" t="e">
        <f>_xll.qlYieldTSDiscount(H$3,I58,,InterestRatesTrigger)</f>
        <v>#NUM!</v>
      </c>
      <c r="N58" s="20" t="e">
        <v>#N/A</v>
      </c>
      <c r="O58" s="21" t="e">
        <f>_xll.qlYieldTSDiscount(M$3,N58,,InterestRatesTrigger)</f>
        <v>#NUM!</v>
      </c>
    </row>
    <row r="59" spans="4:15" x14ac:dyDescent="0.2">
      <c r="D59" s="20" t="e">
        <v>#N/A</v>
      </c>
      <c r="E59" s="21" t="e">
        <f>_xll.qlYieldTSDiscount(C$3,D59,,InterestRatesTrigger)</f>
        <v>#NUM!</v>
      </c>
      <c r="I59" s="20" t="e">
        <v>#N/A</v>
      </c>
      <c r="J59" s="21" t="e">
        <f>_xll.qlYieldTSDiscount(H$3,I59,,InterestRatesTrigger)</f>
        <v>#NUM!</v>
      </c>
      <c r="N59" s="20" t="e">
        <v>#N/A</v>
      </c>
      <c r="O59" s="21" t="e">
        <f>_xll.qlYieldTSDiscount(M$3,N59,,InterestRatesTrigger)</f>
        <v>#NUM!</v>
      </c>
    </row>
    <row r="60" spans="4:15" x14ac:dyDescent="0.2">
      <c r="D60" s="20" t="e">
        <v>#N/A</v>
      </c>
      <c r="E60" s="21" t="e">
        <f>_xll.qlYieldTSDiscount(C$3,D60,,InterestRatesTrigger)</f>
        <v>#NUM!</v>
      </c>
      <c r="I60" s="20" t="e">
        <v>#N/A</v>
      </c>
      <c r="J60" s="21" t="e">
        <f>_xll.qlYieldTSDiscount(H$3,I60,,InterestRatesTrigger)</f>
        <v>#NUM!</v>
      </c>
      <c r="N60" s="20" t="e">
        <v>#N/A</v>
      </c>
      <c r="O60" s="21" t="e">
        <f>_xll.qlYieldTSDiscount(M$3,N60,,InterestRatesTrigger)</f>
        <v>#NUM!</v>
      </c>
    </row>
    <row r="61" spans="4:15" x14ac:dyDescent="0.2">
      <c r="D61" s="20" t="e">
        <v>#N/A</v>
      </c>
      <c r="E61" s="21" t="e">
        <f>_xll.qlYieldTSDiscount(C$3,D61,,InterestRatesTrigger)</f>
        <v>#NUM!</v>
      </c>
      <c r="I61" s="20" t="e">
        <v>#N/A</v>
      </c>
      <c r="J61" s="21" t="e">
        <f>_xll.qlYieldTSDiscount(H$3,I61,,InterestRatesTrigger)</f>
        <v>#NUM!</v>
      </c>
      <c r="N61" s="20" t="e">
        <v>#N/A</v>
      </c>
      <c r="O61" s="21" t="e">
        <f>_xll.qlYieldTSDiscount(M$3,N61,,InterestRatesTrigger)</f>
        <v>#NUM!</v>
      </c>
    </row>
    <row r="62" spans="4:15" x14ac:dyDescent="0.2">
      <c r="D62" s="20" t="e">
        <v>#N/A</v>
      </c>
      <c r="E62" s="21" t="e">
        <f>_xll.qlYieldTSDiscount(C$3,D62,,InterestRatesTrigger)</f>
        <v>#NUM!</v>
      </c>
      <c r="I62" s="20" t="e">
        <v>#N/A</v>
      </c>
      <c r="J62" s="21" t="e">
        <f>_xll.qlYieldTSDiscount(H$3,I62,,InterestRatesTrigger)</f>
        <v>#NUM!</v>
      </c>
      <c r="N62" s="20" t="e">
        <v>#N/A</v>
      </c>
      <c r="O62" s="21" t="e">
        <f>_xll.qlYieldTSDiscount(M$3,N62,,InterestRatesTrigger)</f>
        <v>#NUM!</v>
      </c>
    </row>
    <row r="63" spans="4:15" x14ac:dyDescent="0.2">
      <c r="D63" s="20" t="e">
        <v>#N/A</v>
      </c>
      <c r="E63" s="21" t="e">
        <f>_xll.qlYieldTSDiscount(C$3,D63,,InterestRatesTrigger)</f>
        <v>#NUM!</v>
      </c>
      <c r="I63" s="20" t="e">
        <v>#N/A</v>
      </c>
      <c r="J63" s="21" t="e">
        <f>_xll.qlYieldTSDiscount(H$3,I63,,InterestRatesTrigger)</f>
        <v>#NUM!</v>
      </c>
      <c r="N63" s="20" t="e">
        <v>#N/A</v>
      </c>
      <c r="O63" s="21" t="e">
        <f>_xll.qlYieldTSDiscount(M$3,N63,,InterestRatesTrigger)</f>
        <v>#NUM!</v>
      </c>
    </row>
    <row r="64" spans="4:15" x14ac:dyDescent="0.2">
      <c r="D64" s="20" t="e">
        <v>#N/A</v>
      </c>
      <c r="E64" s="21" t="e">
        <f>_xll.qlYieldTSDiscount(C$3,D64,,InterestRatesTrigger)</f>
        <v>#NUM!</v>
      </c>
      <c r="I64" s="20" t="e">
        <v>#N/A</v>
      </c>
      <c r="J64" s="21" t="e">
        <f>_xll.qlYieldTSDiscount(H$3,I64,,InterestRatesTrigger)</f>
        <v>#NUM!</v>
      </c>
      <c r="N64" s="20" t="e">
        <v>#N/A</v>
      </c>
      <c r="O64" s="21" t="e">
        <f>_xll.qlYieldTSDiscount(M$3,N64,,InterestRatesTrigger)</f>
        <v>#NUM!</v>
      </c>
    </row>
    <row r="65" spans="4:15" x14ac:dyDescent="0.2">
      <c r="D65" s="20" t="e">
        <v>#N/A</v>
      </c>
      <c r="E65" s="21" t="e">
        <f>_xll.qlYieldTSDiscount(C$3,D65,,InterestRatesTrigger)</f>
        <v>#NUM!</v>
      </c>
      <c r="I65" s="20" t="e">
        <v>#N/A</v>
      </c>
      <c r="J65" s="21" t="e">
        <f>_xll.qlYieldTSDiscount(H$3,I65,,InterestRatesTrigger)</f>
        <v>#NUM!</v>
      </c>
      <c r="N65" s="20" t="e">
        <v>#N/A</v>
      </c>
      <c r="O65" s="21" t="e">
        <f>_xll.qlYieldTSDiscount(M$3,N65,,InterestRatesTrigger)</f>
        <v>#NUM!</v>
      </c>
    </row>
    <row r="66" spans="4:15" x14ac:dyDescent="0.2">
      <c r="D66" s="20" t="e">
        <v>#N/A</v>
      </c>
      <c r="E66" s="21" t="e">
        <f>_xll.qlYieldTSDiscount(C$3,D66,,InterestRatesTrigger)</f>
        <v>#NUM!</v>
      </c>
      <c r="I66" s="20" t="e">
        <v>#N/A</v>
      </c>
      <c r="J66" s="21" t="e">
        <f>_xll.qlYieldTSDiscount(H$3,I66,,InterestRatesTrigger)</f>
        <v>#NUM!</v>
      </c>
      <c r="N66" s="20" t="e">
        <v>#N/A</v>
      </c>
      <c r="O66" s="21" t="e">
        <f>_xll.qlYieldTSDiscount(M$3,N66,,InterestRatesTrigger)</f>
        <v>#NUM!</v>
      </c>
    </row>
    <row r="67" spans="4:15" x14ac:dyDescent="0.2">
      <c r="D67" s="20" t="e">
        <v>#N/A</v>
      </c>
      <c r="E67" s="21" t="e">
        <f>_xll.qlYieldTSDiscount(C$3,D67,,InterestRatesTrigger)</f>
        <v>#NUM!</v>
      </c>
      <c r="I67" s="20" t="e">
        <v>#N/A</v>
      </c>
      <c r="J67" s="21" t="e">
        <f>_xll.qlYieldTSDiscount(H$3,I67,,InterestRatesTrigger)</f>
        <v>#NUM!</v>
      </c>
      <c r="N67" s="20" t="e">
        <v>#N/A</v>
      </c>
      <c r="O67" s="21" t="e">
        <f>_xll.qlYieldTSDiscount(M$3,N67,,InterestRatesTrigger)</f>
        <v>#NUM!</v>
      </c>
    </row>
    <row r="68" spans="4:15" x14ac:dyDescent="0.2">
      <c r="D68" s="20" t="e">
        <v>#N/A</v>
      </c>
      <c r="E68" s="21" t="e">
        <f>_xll.qlYieldTSDiscount(C$3,D68,,InterestRatesTrigger)</f>
        <v>#NUM!</v>
      </c>
      <c r="I68" s="20" t="e">
        <v>#N/A</v>
      </c>
      <c r="J68" s="21" t="e">
        <f>_xll.qlYieldTSDiscount(H$3,I68,,InterestRatesTrigger)</f>
        <v>#NUM!</v>
      </c>
      <c r="N68" s="20" t="e">
        <v>#N/A</v>
      </c>
      <c r="O68" s="21" t="e">
        <f>_xll.qlYieldTSDiscount(M$3,N68,,InterestRatesTrigger)</f>
        <v>#NUM!</v>
      </c>
    </row>
    <row r="69" spans="4:15" x14ac:dyDescent="0.2">
      <c r="D69" s="20" t="e">
        <v>#N/A</v>
      </c>
      <c r="E69" s="21" t="e">
        <f>_xll.qlYieldTSDiscount(C$3,D69,,InterestRatesTrigger)</f>
        <v>#NUM!</v>
      </c>
      <c r="I69" s="20" t="e">
        <v>#N/A</v>
      </c>
      <c r="J69" s="21" t="e">
        <f>_xll.qlYieldTSDiscount(H$3,I69,,InterestRatesTrigger)</f>
        <v>#NUM!</v>
      </c>
      <c r="N69" s="20" t="e">
        <v>#N/A</v>
      </c>
      <c r="O69" s="21" t="e">
        <f>_xll.qlYieldTSDiscount(M$3,N69,,InterestRatesTrigger)</f>
        <v>#NUM!</v>
      </c>
    </row>
    <row r="70" spans="4:15" x14ac:dyDescent="0.2">
      <c r="D70" s="20" t="e">
        <v>#N/A</v>
      </c>
      <c r="E70" s="21" t="e">
        <f>_xll.qlYieldTSDiscount(C$3,D70,,InterestRatesTrigger)</f>
        <v>#NUM!</v>
      </c>
      <c r="I70" s="20" t="e">
        <v>#N/A</v>
      </c>
      <c r="J70" s="21" t="e">
        <f>_xll.qlYieldTSDiscount(H$3,I70,,InterestRatesTrigger)</f>
        <v>#NUM!</v>
      </c>
      <c r="N70" s="20" t="e">
        <v>#N/A</v>
      </c>
      <c r="O70" s="21" t="e">
        <f>_xll.qlYieldTSDiscount(M$3,N70,,InterestRatesTrigger)</f>
        <v>#NUM!</v>
      </c>
    </row>
    <row r="71" spans="4:15" x14ac:dyDescent="0.2">
      <c r="D71" s="20" t="e">
        <v>#N/A</v>
      </c>
      <c r="E71" s="21" t="e">
        <f>_xll.qlYieldTSDiscount(C$3,D71,,InterestRatesTrigger)</f>
        <v>#NUM!</v>
      </c>
      <c r="I71" s="20" t="e">
        <v>#N/A</v>
      </c>
      <c r="J71" s="21" t="e">
        <f>_xll.qlYieldTSDiscount(H$3,I71,,InterestRatesTrigger)</f>
        <v>#NUM!</v>
      </c>
      <c r="N71" s="20" t="e">
        <v>#N/A</v>
      </c>
      <c r="O71" s="21" t="e">
        <f>_xll.qlYieldTSDiscount(M$3,N71,,InterestRatesTrigger)</f>
        <v>#NUM!</v>
      </c>
    </row>
    <row r="72" spans="4:15" x14ac:dyDescent="0.2">
      <c r="D72" s="20" t="e">
        <v>#N/A</v>
      </c>
      <c r="E72" s="21" t="e">
        <f>_xll.qlYieldTSDiscount(C$3,D72,,InterestRatesTrigger)</f>
        <v>#NUM!</v>
      </c>
      <c r="I72" s="20" t="e">
        <v>#N/A</v>
      </c>
      <c r="J72" s="21" t="e">
        <f>_xll.qlYieldTSDiscount(H$3,I72,,InterestRatesTrigger)</f>
        <v>#NUM!</v>
      </c>
      <c r="N72" s="20" t="e">
        <v>#N/A</v>
      </c>
      <c r="O72" s="21" t="e">
        <f>_xll.qlYieldTSDiscount(M$3,N72,,InterestRatesTrigger)</f>
        <v>#NUM!</v>
      </c>
    </row>
    <row r="73" spans="4:15" x14ac:dyDescent="0.2">
      <c r="D73" s="20" t="e">
        <v>#N/A</v>
      </c>
      <c r="E73" s="21" t="e">
        <f>_xll.qlYieldTSDiscount(C$3,D73,,InterestRatesTrigger)</f>
        <v>#NUM!</v>
      </c>
      <c r="I73" s="20" t="e">
        <v>#N/A</v>
      </c>
      <c r="J73" s="21" t="e">
        <f>_xll.qlYieldTSDiscount(H$3,I73,,InterestRatesTrigger)</f>
        <v>#NUM!</v>
      </c>
      <c r="N73" s="20" t="e">
        <v>#N/A</v>
      </c>
      <c r="O73" s="21" t="e">
        <f>_xll.qlYieldTSDiscount(M$3,N73,,InterestRatesTrigger)</f>
        <v>#NUM!</v>
      </c>
    </row>
    <row r="74" spans="4:15" x14ac:dyDescent="0.2">
      <c r="D74" s="20" t="e">
        <v>#N/A</v>
      </c>
      <c r="E74" s="21" t="e">
        <f>_xll.qlYieldTSDiscount(C$3,D74,,InterestRatesTrigger)</f>
        <v>#NUM!</v>
      </c>
      <c r="I74" s="20" t="e">
        <v>#N/A</v>
      </c>
      <c r="J74" s="21" t="e">
        <f>_xll.qlYieldTSDiscount(H$3,I74,,InterestRatesTrigger)</f>
        <v>#NUM!</v>
      </c>
      <c r="N74" s="20" t="e">
        <v>#N/A</v>
      </c>
      <c r="O74" s="21" t="e">
        <f>_xll.qlYieldTSDiscount(M$3,N74,,InterestRatesTrigger)</f>
        <v>#NUM!</v>
      </c>
    </row>
    <row r="75" spans="4:15" x14ac:dyDescent="0.2">
      <c r="D75" s="20" t="e">
        <v>#N/A</v>
      </c>
      <c r="E75" s="21" t="e">
        <f>_xll.qlYieldTSDiscount(C$3,D75,,InterestRatesTrigger)</f>
        <v>#NUM!</v>
      </c>
      <c r="I75" s="20" t="e">
        <v>#N/A</v>
      </c>
      <c r="J75" s="21" t="e">
        <f>_xll.qlYieldTSDiscount(H$3,I75,,InterestRatesTrigger)</f>
        <v>#NUM!</v>
      </c>
      <c r="N75" s="20" t="e">
        <v>#N/A</v>
      </c>
      <c r="O75" s="21" t="e">
        <f>_xll.qlYieldTSDiscount(M$3,N75,,InterestRatesTrigger)</f>
        <v>#NUM!</v>
      </c>
    </row>
    <row r="76" spans="4:15" x14ac:dyDescent="0.2">
      <c r="D76" s="20" t="e">
        <v>#N/A</v>
      </c>
      <c r="E76" s="21" t="e">
        <f>_xll.qlYieldTSDiscount(C$3,D76,,InterestRatesTrigger)</f>
        <v>#NUM!</v>
      </c>
      <c r="I76" s="20" t="e">
        <v>#N/A</v>
      </c>
      <c r="J76" s="21" t="e">
        <f>_xll.qlYieldTSDiscount(H$3,I76,,InterestRatesTrigger)</f>
        <v>#NUM!</v>
      </c>
      <c r="N76" s="20" t="e">
        <v>#N/A</v>
      </c>
      <c r="O76" s="21" t="e">
        <f>_xll.qlYieldTSDiscount(M$3,N76,,InterestRatesTrigger)</f>
        <v>#NUM!</v>
      </c>
    </row>
    <row r="77" spans="4:15" x14ac:dyDescent="0.2">
      <c r="D77" s="20" t="e">
        <v>#N/A</v>
      </c>
      <c r="E77" s="21" t="e">
        <f>_xll.qlYieldTSDiscount(C$3,D77,,InterestRatesTrigger)</f>
        <v>#NUM!</v>
      </c>
      <c r="I77" s="20" t="e">
        <v>#N/A</v>
      </c>
      <c r="J77" s="21" t="e">
        <f>_xll.qlYieldTSDiscount(H$3,I77,,InterestRatesTrigger)</f>
        <v>#NUM!</v>
      </c>
      <c r="N77" s="20" t="e">
        <v>#N/A</v>
      </c>
      <c r="O77" s="21" t="e">
        <f>_xll.qlYieldTSDiscount(M$3,N77,,InterestRatesTrigger)</f>
        <v>#NUM!</v>
      </c>
    </row>
    <row r="78" spans="4:15" x14ac:dyDescent="0.2">
      <c r="D78" s="20" t="e">
        <v>#N/A</v>
      </c>
      <c r="E78" s="21" t="e">
        <f>_xll.qlYieldTSDiscount(C$3,D78,,InterestRatesTrigger)</f>
        <v>#NUM!</v>
      </c>
      <c r="I78" s="20" t="e">
        <v>#N/A</v>
      </c>
      <c r="J78" s="21" t="e">
        <f>_xll.qlYieldTSDiscount(H$3,I78,,InterestRatesTrigger)</f>
        <v>#NUM!</v>
      </c>
      <c r="N78" s="20" t="e">
        <v>#N/A</v>
      </c>
      <c r="O78" s="21" t="e">
        <f>_xll.qlYieldTSDiscount(M$3,N78,,InterestRatesTrigger)</f>
        <v>#NUM!</v>
      </c>
    </row>
    <row r="79" spans="4:15" x14ac:dyDescent="0.2">
      <c r="D79" s="20" t="e">
        <v>#N/A</v>
      </c>
      <c r="E79" s="21" t="e">
        <f>_xll.qlYieldTSDiscount(C$3,D79,,InterestRatesTrigger)</f>
        <v>#NUM!</v>
      </c>
      <c r="I79" s="20" t="e">
        <v>#N/A</v>
      </c>
      <c r="J79" s="21" t="e">
        <f>_xll.qlYieldTSDiscount(H$3,I79,,InterestRatesTrigger)</f>
        <v>#NUM!</v>
      </c>
      <c r="N79" s="20" t="e">
        <v>#N/A</v>
      </c>
      <c r="O79" s="21" t="e">
        <f>_xll.qlYieldTSDiscount(M$3,N79,,InterestRatesTrigger)</f>
        <v>#NUM!</v>
      </c>
    </row>
    <row r="80" spans="4:15" x14ac:dyDescent="0.2">
      <c r="D80" s="20" t="e">
        <v>#N/A</v>
      </c>
      <c r="E80" s="21" t="e">
        <f>_xll.qlYieldTSDiscount(C$3,D80,,InterestRatesTrigger)</f>
        <v>#NUM!</v>
      </c>
      <c r="I80" s="20" t="e">
        <v>#N/A</v>
      </c>
      <c r="J80" s="21" t="e">
        <f>_xll.qlYieldTSDiscount(H$3,I80,,InterestRatesTrigger)</f>
        <v>#NUM!</v>
      </c>
      <c r="N80" s="20" t="e">
        <v>#N/A</v>
      </c>
      <c r="O80" s="21" t="e">
        <f>_xll.qlYieldTSDiscount(M$3,N80,,InterestRatesTrigger)</f>
        <v>#NUM!</v>
      </c>
    </row>
    <row r="81" spans="4:15" x14ac:dyDescent="0.2">
      <c r="D81" s="20" t="e">
        <v>#N/A</v>
      </c>
      <c r="E81" s="21" t="e">
        <f>_xll.qlYieldTSDiscount(C$3,D81,,InterestRatesTrigger)</f>
        <v>#NUM!</v>
      </c>
      <c r="I81" s="20" t="e">
        <v>#N/A</v>
      </c>
      <c r="J81" s="21" t="e">
        <f>_xll.qlYieldTSDiscount(H$3,I81,,InterestRatesTrigger)</f>
        <v>#NUM!</v>
      </c>
      <c r="N81" s="20" t="e">
        <v>#N/A</v>
      </c>
      <c r="O81" s="21" t="e">
        <f>_xll.qlYieldTSDiscount(M$3,N81,,InterestRatesTrigger)</f>
        <v>#NUM!</v>
      </c>
    </row>
    <row r="82" spans="4:15" x14ac:dyDescent="0.2">
      <c r="D82" s="20" t="e">
        <v>#N/A</v>
      </c>
      <c r="E82" s="21" t="e">
        <f>_xll.qlYieldTSDiscount(C$3,D82,,InterestRatesTrigger)</f>
        <v>#NUM!</v>
      </c>
      <c r="I82" s="20" t="e">
        <v>#N/A</v>
      </c>
      <c r="J82" s="21" t="e">
        <f>_xll.qlYieldTSDiscount(H$3,I82,,InterestRatesTrigger)</f>
        <v>#NUM!</v>
      </c>
      <c r="N82" s="20" t="e">
        <v>#N/A</v>
      </c>
      <c r="O82" s="21" t="e">
        <f>_xll.qlYieldTSDiscount(M$3,N82,,InterestRatesTrigger)</f>
        <v>#NUM!</v>
      </c>
    </row>
    <row r="83" spans="4:15" x14ac:dyDescent="0.2">
      <c r="D83" s="20" t="e">
        <v>#N/A</v>
      </c>
      <c r="E83" s="21" t="e">
        <f>_xll.qlYieldTSDiscount(C$3,D83,,InterestRatesTrigger)</f>
        <v>#NUM!</v>
      </c>
      <c r="I83" s="20" t="e">
        <v>#N/A</v>
      </c>
      <c r="J83" s="21" t="e">
        <f>_xll.qlYieldTSDiscount(H$3,I83,,InterestRatesTrigger)</f>
        <v>#NUM!</v>
      </c>
      <c r="N83" s="20" t="e">
        <v>#N/A</v>
      </c>
      <c r="O83" s="21" t="e">
        <f>_xll.qlYieldTSDiscount(M$3,N83,,InterestRatesTrigger)</f>
        <v>#NUM!</v>
      </c>
    </row>
    <row r="84" spans="4:15" x14ac:dyDescent="0.2">
      <c r="D84" s="20" t="e">
        <v>#N/A</v>
      </c>
      <c r="E84" s="21" t="e">
        <f>_xll.qlYieldTSDiscount(C$3,D84,,InterestRatesTrigger)</f>
        <v>#NUM!</v>
      </c>
      <c r="I84" s="20" t="e">
        <v>#N/A</v>
      </c>
      <c r="J84" s="21" t="e">
        <f>_xll.qlYieldTSDiscount(H$3,I84,,InterestRatesTrigger)</f>
        <v>#NUM!</v>
      </c>
      <c r="N84" s="20" t="e">
        <v>#N/A</v>
      </c>
      <c r="O84" s="21" t="e">
        <f>_xll.qlYieldTSDiscount(M$3,N84,,InterestRatesTrigger)</f>
        <v>#NUM!</v>
      </c>
    </row>
    <row r="85" spans="4:15" x14ac:dyDescent="0.2">
      <c r="D85" s="20" t="e">
        <v>#N/A</v>
      </c>
      <c r="E85" s="21" t="e">
        <f>_xll.qlYieldTSDiscount(C$3,D85,,InterestRatesTrigger)</f>
        <v>#NUM!</v>
      </c>
      <c r="I85" s="20" t="e">
        <v>#N/A</v>
      </c>
      <c r="J85" s="21" t="e">
        <f>_xll.qlYieldTSDiscount(H$3,I85,,InterestRatesTrigger)</f>
        <v>#NUM!</v>
      </c>
      <c r="N85" s="20" t="e">
        <v>#N/A</v>
      </c>
      <c r="O85" s="21" t="e">
        <f>_xll.qlYieldTSDiscount(M$3,N85,,InterestRatesTrigger)</f>
        <v>#NUM!</v>
      </c>
    </row>
    <row r="86" spans="4:15" x14ac:dyDescent="0.2">
      <c r="D86" s="20" t="e">
        <v>#N/A</v>
      </c>
      <c r="E86" s="21" t="e">
        <f>_xll.qlYieldTSDiscount(C$3,D86,,InterestRatesTrigger)</f>
        <v>#NUM!</v>
      </c>
      <c r="I86" s="20" t="e">
        <v>#N/A</v>
      </c>
      <c r="J86" s="21" t="e">
        <f>_xll.qlYieldTSDiscount(H$3,I86,,InterestRatesTrigger)</f>
        <v>#NUM!</v>
      </c>
      <c r="N86" s="20" t="e">
        <v>#N/A</v>
      </c>
      <c r="O86" s="21" t="e">
        <f>_xll.qlYieldTSDiscount(M$3,N86,,InterestRatesTrigger)</f>
        <v>#NUM!</v>
      </c>
    </row>
    <row r="87" spans="4:15" x14ac:dyDescent="0.2">
      <c r="D87" s="20" t="e">
        <v>#N/A</v>
      </c>
      <c r="E87" s="21" t="e">
        <f>_xll.qlYieldTSDiscount(C$3,D87,,InterestRatesTrigger)</f>
        <v>#NUM!</v>
      </c>
      <c r="I87" s="20" t="e">
        <v>#N/A</v>
      </c>
      <c r="J87" s="21" t="e">
        <f>_xll.qlYieldTSDiscount(H$3,I87,,InterestRatesTrigger)</f>
        <v>#NUM!</v>
      </c>
      <c r="N87" s="20" t="e">
        <v>#N/A</v>
      </c>
      <c r="O87" s="21" t="e">
        <f>_xll.qlYieldTSDiscount(M$3,N87,,InterestRatesTrigger)</f>
        <v>#NUM!</v>
      </c>
    </row>
    <row r="88" spans="4:15" x14ac:dyDescent="0.2">
      <c r="D88" s="20" t="e">
        <v>#N/A</v>
      </c>
      <c r="E88" s="21" t="e">
        <f>_xll.qlYieldTSDiscount(C$3,D88,,InterestRatesTrigger)</f>
        <v>#NUM!</v>
      </c>
      <c r="I88" s="20" t="e">
        <v>#N/A</v>
      </c>
      <c r="J88" s="21" t="e">
        <f>_xll.qlYieldTSDiscount(H$3,I88,,InterestRatesTrigger)</f>
        <v>#NUM!</v>
      </c>
      <c r="N88" s="20" t="e">
        <v>#N/A</v>
      </c>
      <c r="O88" s="21" t="e">
        <f>_xll.qlYieldTSDiscount(M$3,N88,,InterestRatesTrigger)</f>
        <v>#NUM!</v>
      </c>
    </row>
    <row r="89" spans="4:15" x14ac:dyDescent="0.2">
      <c r="D89" s="20" t="e">
        <v>#N/A</v>
      </c>
      <c r="E89" s="21" t="e">
        <f>_xll.qlYieldTSDiscount(C$3,D89,,InterestRatesTrigger)</f>
        <v>#NUM!</v>
      </c>
      <c r="I89" s="20" t="e">
        <v>#N/A</v>
      </c>
      <c r="J89" s="21" t="e">
        <f>_xll.qlYieldTSDiscount(H$3,I89,,InterestRatesTrigger)</f>
        <v>#NUM!</v>
      </c>
      <c r="N89" s="20" t="e">
        <v>#N/A</v>
      </c>
      <c r="O89" s="21" t="e">
        <f>_xll.qlYieldTSDiscount(M$3,N89,,InterestRatesTrigger)</f>
        <v>#NUM!</v>
      </c>
    </row>
    <row r="90" spans="4:15" x14ac:dyDescent="0.2">
      <c r="D90" s="20" t="e">
        <v>#N/A</v>
      </c>
      <c r="E90" s="21" t="e">
        <f>_xll.qlYieldTSDiscount(C$3,D90,,InterestRatesTrigger)</f>
        <v>#NUM!</v>
      </c>
      <c r="I90" s="20" t="e">
        <v>#N/A</v>
      </c>
      <c r="J90" s="21" t="e">
        <f>_xll.qlYieldTSDiscount(H$3,I90,,InterestRatesTrigger)</f>
        <v>#NUM!</v>
      </c>
      <c r="N90" s="20" t="e">
        <v>#N/A</v>
      </c>
      <c r="O90" s="21" t="e">
        <f>_xll.qlYieldTSDiscount(M$3,N90,,InterestRatesTrigger)</f>
        <v>#NUM!</v>
      </c>
    </row>
    <row r="91" spans="4:15" x14ac:dyDescent="0.2">
      <c r="D91" s="20" t="e">
        <v>#N/A</v>
      </c>
      <c r="E91" s="21" t="e">
        <f>_xll.qlYieldTSDiscount(C$3,D91,,InterestRatesTrigger)</f>
        <v>#NUM!</v>
      </c>
      <c r="I91" s="20" t="e">
        <v>#N/A</v>
      </c>
      <c r="J91" s="21" t="e">
        <f>_xll.qlYieldTSDiscount(H$3,I91,,InterestRatesTrigger)</f>
        <v>#NUM!</v>
      </c>
      <c r="N91" s="20" t="e">
        <v>#N/A</v>
      </c>
      <c r="O91" s="21" t="e">
        <f>_xll.qlYieldTSDiscount(M$3,N91,,InterestRatesTrigger)</f>
        <v>#NUM!</v>
      </c>
    </row>
    <row r="92" spans="4:15" x14ac:dyDescent="0.2">
      <c r="D92" s="22" t="e">
        <v>#N/A</v>
      </c>
      <c r="E92" s="23" t="e">
        <f>_xll.qlYieldTSDiscount(C$3,D92,,InterestRatesTrigger)</f>
        <v>#NUM!</v>
      </c>
      <c r="I92" s="22" t="e">
        <v>#N/A</v>
      </c>
      <c r="J92" s="23" t="e">
        <f>_xll.qlYieldTSDiscount(H$3,I92,,InterestRatesTrigger)</f>
        <v>#NUM!</v>
      </c>
      <c r="N92" s="22" t="e">
        <v>#N/A</v>
      </c>
      <c r="O92" s="23" t="e">
        <f>_xll.qlYieldTSDiscount(M$3,N92,,InterestRatesTrigger)</f>
        <v>#NUM!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CCECFF"/>
    <outlinePr summaryRight="0"/>
  </sheetPr>
  <dimension ref="A1:AR103"/>
  <sheetViews>
    <sheetView showGridLines="0" workbookViewId="0">
      <selection activeCell="C45" sqref="C45"/>
    </sheetView>
  </sheetViews>
  <sheetFormatPr defaultRowHeight="11.25" customHeight="1" outlineLevelCol="1" x14ac:dyDescent="0.2"/>
  <cols>
    <col min="1" max="1" width="3.83203125" style="26" customWidth="1"/>
    <col min="2" max="2" width="25.83203125" style="26" customWidth="1"/>
    <col min="3" max="3" width="20.83203125" style="26" customWidth="1"/>
    <col min="4" max="4" width="2.83203125" style="26" customWidth="1"/>
    <col min="5" max="5" width="9.33203125" style="33"/>
    <col min="6" max="6" width="9.33203125" style="33" collapsed="1"/>
    <col min="7" max="8" width="9.33203125" style="33" hidden="1" customWidth="1" outlineLevel="1"/>
    <col min="9" max="11" width="9.33203125" style="33"/>
    <col min="12" max="12" width="9.33203125" style="33" collapsed="1"/>
    <col min="13" max="17" width="9.33203125" style="33" hidden="1" customWidth="1" outlineLevel="1"/>
    <col min="18" max="18" width="10.83203125" style="33" hidden="1" customWidth="1" outlineLevel="1"/>
    <col min="19" max="19" width="9.33203125" style="33" hidden="1" customWidth="1" outlineLevel="1"/>
    <col min="20" max="20" width="2.83203125" style="33" customWidth="1"/>
    <col min="21" max="21" width="10.83203125" style="34" customWidth="1"/>
    <col min="22" max="22" width="12.83203125" style="34" customWidth="1"/>
    <col min="23" max="23" width="9.33203125" style="26"/>
    <col min="24" max="24" width="9.33203125" style="26" customWidth="1"/>
    <col min="25" max="25" width="11.83203125" style="33" customWidth="1"/>
    <col min="26" max="27" width="9.5" style="33" bestFit="1" customWidth="1"/>
    <col min="28" max="28" width="2.83203125" style="33" customWidth="1"/>
    <col min="29" max="29" width="10.33203125" style="33" customWidth="1"/>
    <col min="30" max="30" width="11.6640625" style="33" bestFit="1" customWidth="1"/>
    <col min="31" max="31" width="9.33203125" style="33"/>
    <col min="32" max="34" width="9.83203125" style="33" customWidth="1"/>
    <col min="35" max="35" width="16.83203125" style="33" customWidth="1"/>
    <col min="36" max="39" width="9.33203125" style="33"/>
    <col min="43" max="16384" width="9.33203125" style="33"/>
  </cols>
  <sheetData>
    <row r="1" spans="1:35" ht="11.25" customHeight="1" x14ac:dyDescent="0.2">
      <c r="A1"/>
      <c r="B1" s="128"/>
      <c r="C1" s="33"/>
      <c r="D1" s="33"/>
      <c r="F1" s="34"/>
      <c r="G1" s="34"/>
      <c r="H1" s="34"/>
      <c r="I1" s="34"/>
      <c r="J1" s="34"/>
      <c r="K1" s="34"/>
      <c r="L1" s="34"/>
      <c r="W1"/>
      <c r="X1"/>
    </row>
    <row r="2" spans="1:35" ht="11.25" customHeight="1" x14ac:dyDescent="0.2">
      <c r="A2" s="33"/>
      <c r="B2" s="230" t="s">
        <v>98</v>
      </c>
      <c r="C2" s="231"/>
      <c r="D2" s="33"/>
      <c r="E2" s="91" t="s">
        <v>77</v>
      </c>
      <c r="G2" s="62"/>
      <c r="H2" s="62"/>
      <c r="I2" s="91" t="s">
        <v>76</v>
      </c>
      <c r="J2" s="91" t="s">
        <v>75</v>
      </c>
      <c r="K2" s="91" t="s">
        <v>74</v>
      </c>
      <c r="L2" s="91" t="s">
        <v>73</v>
      </c>
      <c r="M2" s="62"/>
      <c r="N2" s="62"/>
      <c r="P2" s="62"/>
      <c r="Q2" s="62"/>
      <c r="R2" s="62"/>
      <c r="S2" s="86">
        <f t="array" ref="S2">SUM(1*E3:E20)</f>
        <v>12</v>
      </c>
      <c r="U2" s="127" t="s">
        <v>97</v>
      </c>
      <c r="V2" s="127" t="s">
        <v>96</v>
      </c>
      <c r="W2"/>
      <c r="X2"/>
      <c r="Y2" s="78" t="s">
        <v>82</v>
      </c>
      <c r="Z2" s="77" t="s">
        <v>71</v>
      </c>
      <c r="AA2" s="76" t="s">
        <v>70</v>
      </c>
      <c r="AC2" s="190" t="s">
        <v>166</v>
      </c>
      <c r="AD2" s="70"/>
      <c r="AF2" s="188" t="s">
        <v>151</v>
      </c>
      <c r="AG2" s="187"/>
      <c r="AH2" s="187"/>
      <c r="AI2" s="204" t="str">
        <f>'AUD Curves'!C8&amp;T(TYPE('AUD Curves'!C14))</f>
        <v>AUDEURBAS.AUD.ON</v>
      </c>
    </row>
    <row r="3" spans="1:35" ht="11.25" customHeight="1" x14ac:dyDescent="0.2">
      <c r="A3" s="33"/>
      <c r="B3" s="126" t="s">
        <v>95</v>
      </c>
      <c r="C3" s="125">
        <f>EvaluationDate</f>
        <v>42814</v>
      </c>
      <c r="D3" s="33"/>
      <c r="E3" s="106" t="b">
        <v>1</v>
      </c>
      <c r="F3" s="124" t="str">
        <f>Y3</f>
        <v>ON</v>
      </c>
      <c r="G3" s="75">
        <v>0</v>
      </c>
      <c r="H3" s="74" t="s">
        <v>24</v>
      </c>
      <c r="I3" s="89" t="e">
        <f>AVERAGE(Z3:AA3)</f>
        <v>#DIV/0!</v>
      </c>
      <c r="J3" s="87">
        <f>AI15*100</f>
        <v>1.8457426197788784</v>
      </c>
      <c r="K3" s="88"/>
      <c r="L3" s="87">
        <f t="shared" ref="L3:L20" si="0">IF(ISNUMBER(J3),J3,I3)+K3</f>
        <v>1.8457426197788784</v>
      </c>
      <c r="M3" s="75">
        <v>1</v>
      </c>
      <c r="N3" s="74">
        <f t="shared" ref="N3:N20" si="1">IF(E3,M3,"")</f>
        <v>1</v>
      </c>
      <c r="O3" s="86">
        <f>IF($S$2&gt;0,1,"")</f>
        <v>1</v>
      </c>
      <c r="P3" s="74">
        <f t="shared" ref="P3:P20" si="2">IF(LEN(O3)&gt;0,SMALL($N$3:$N$20,O3),"")</f>
        <v>1</v>
      </c>
      <c r="Q3" s="75">
        <f t="shared" ref="Q3:Q20" si="3">IF(LEN(O3)&gt;0,INDEX($G$3:$G$20,$P3),"")</f>
        <v>0</v>
      </c>
      <c r="R3" s="123" t="str">
        <f t="shared" ref="R3:R20" si="4">IF(LEN(P3)&gt;0,INDEX($H$3:$H$20,$P3),"")</f>
        <v>on</v>
      </c>
      <c r="S3" s="84">
        <f t="shared" ref="S3:S20" si="5">IF(LEN(P3)&gt;0,INDEX($L$3:$L$20,$P3),"")</f>
        <v>1.8457426197788784</v>
      </c>
      <c r="U3" s="122">
        <f t="array" ref="U3:V79">_xll.xlCCBasisCurveBootstrapper(C4,C3,C5,C6,L23,S2,Q3:S20,0,U2:V2,S25,R26:S67,C11,C12,C13,C81,B84:B103,C84:C103,C15)</f>
        <v>42814</v>
      </c>
      <c r="V3" s="121">
        <v>0</v>
      </c>
      <c r="W3"/>
      <c r="X3"/>
      <c r="Y3" s="75" t="s">
        <v>94</v>
      </c>
      <c r="Z3" s="75" t="str">
        <f>_xll.RtGet($AD$4,$AD$2,$AD$3)</f>
        <v>#N/A No instrument defined.</v>
      </c>
      <c r="AA3" s="74" t="str">
        <f>_xll.RtGet($AD$4,$AD$2,$AD$3)</f>
        <v>#N/A No instrument defined.</v>
      </c>
      <c r="AC3" s="189" t="s">
        <v>165</v>
      </c>
      <c r="AD3" s="65"/>
      <c r="AF3" s="186" t="s">
        <v>130</v>
      </c>
      <c r="AG3" s="185"/>
      <c r="AH3" s="185"/>
      <c r="AI3" s="201">
        <f>_xll.xlDateWorkFw($C$6,$C$3+1,0)</f>
        <v>42815</v>
      </c>
    </row>
    <row r="4" spans="1:35" ht="11.25" customHeight="1" x14ac:dyDescent="0.2">
      <c r="A4" s="33"/>
      <c r="B4" s="108" t="s">
        <v>91</v>
      </c>
      <c r="C4" s="119" t="s">
        <v>146</v>
      </c>
      <c r="D4" s="33"/>
      <c r="E4" s="52" t="b">
        <v>1</v>
      </c>
      <c r="F4" s="120" t="str">
        <f>Y4</f>
        <v>TN</v>
      </c>
      <c r="G4" s="38">
        <v>0</v>
      </c>
      <c r="H4" s="37" t="s">
        <v>93</v>
      </c>
      <c r="I4" s="50" t="e">
        <f>AVERAGE(Z4:AA4)</f>
        <v>#DIV/0!</v>
      </c>
      <c r="J4" s="48">
        <f>AI16*100</f>
        <v>1.8455654351759998</v>
      </c>
      <c r="K4" s="49"/>
      <c r="L4" s="48">
        <f t="shared" si="0"/>
        <v>1.8455654351759998</v>
      </c>
      <c r="M4" s="38">
        <f t="shared" ref="M4:M20" si="6">M3+1</f>
        <v>2</v>
      </c>
      <c r="N4" s="37">
        <f t="shared" si="1"/>
        <v>2</v>
      </c>
      <c r="O4" s="38">
        <f t="shared" ref="O4:O20" si="7">IF(O3&lt;$S$2,O3+1,"")</f>
        <v>2</v>
      </c>
      <c r="P4" s="37">
        <f t="shared" si="2"/>
        <v>2</v>
      </c>
      <c r="Q4" s="38">
        <f t="shared" si="3"/>
        <v>0</v>
      </c>
      <c r="R4" s="104" t="str">
        <f t="shared" si="4"/>
        <v>tn</v>
      </c>
      <c r="S4" s="46">
        <f t="shared" si="5"/>
        <v>1.8455654351759998</v>
      </c>
      <c r="U4" s="56">
        <v>42815</v>
      </c>
      <c r="V4" s="55">
        <v>1.8713299622283134E-2</v>
      </c>
      <c r="W4"/>
      <c r="X4"/>
      <c r="Y4" s="38" t="s">
        <v>92</v>
      </c>
      <c r="Z4" s="38" t="str">
        <f>_xll.RtGet($AD$4,$AD$5&amp;$Y4&amp;$AD$6,Z$2)</f>
        <v>#N/A The record could not be found</v>
      </c>
      <c r="AA4" s="37" t="str">
        <f>_xll.RtGet($AD$4,$AD$5&amp;$Y4&amp;$AD$6,AA$2)</f>
        <v>#N/A The record could not be found</v>
      </c>
      <c r="AC4" s="71" t="s">
        <v>68</v>
      </c>
      <c r="AD4" s="70"/>
      <c r="AF4" s="69" t="s">
        <v>131</v>
      </c>
      <c r="AG4" s="34"/>
      <c r="AH4" s="34"/>
      <c r="AI4" s="202">
        <f>_xll.xlDateWorkFw($C$6,$AI$3+1,0)</f>
        <v>42816</v>
      </c>
    </row>
    <row r="5" spans="1:35" ht="11.25" customHeight="1" x14ac:dyDescent="0.2">
      <c r="A5" s="34"/>
      <c r="B5" s="129" t="s">
        <v>99</v>
      </c>
      <c r="C5" s="98" t="s">
        <v>101</v>
      </c>
      <c r="D5" s="33"/>
      <c r="E5" s="45" t="b">
        <v>0</v>
      </c>
      <c r="F5" s="118" t="str">
        <f>Y5</f>
        <v>SN</v>
      </c>
      <c r="G5" s="36">
        <v>0</v>
      </c>
      <c r="H5" s="35" t="s">
        <v>90</v>
      </c>
      <c r="I5" s="43">
        <f>AVERAGE(Z5:AA5)</f>
        <v>11.459999999999999</v>
      </c>
      <c r="J5" s="41"/>
      <c r="K5" s="42"/>
      <c r="L5" s="41">
        <f t="shared" si="0"/>
        <v>11.459999999999999</v>
      </c>
      <c r="M5" s="38">
        <f t="shared" si="6"/>
        <v>3</v>
      </c>
      <c r="N5" s="37" t="str">
        <f t="shared" si="1"/>
        <v/>
      </c>
      <c r="O5" s="38">
        <f t="shared" si="7"/>
        <v>3</v>
      </c>
      <c r="P5" s="37">
        <f t="shared" si="2"/>
        <v>4</v>
      </c>
      <c r="Q5" s="38">
        <f t="shared" si="3"/>
        <v>1</v>
      </c>
      <c r="R5" s="104" t="str">
        <f t="shared" si="4"/>
        <v>w</v>
      </c>
      <c r="S5" s="46">
        <f t="shared" si="5"/>
        <v>1.8430775740000001</v>
      </c>
      <c r="U5" s="56">
        <v>42816</v>
      </c>
      <c r="V5" s="55">
        <v>1.8712401440768942E-2</v>
      </c>
      <c r="W5"/>
      <c r="X5"/>
      <c r="Y5" s="36" t="s">
        <v>89</v>
      </c>
      <c r="Z5" s="36">
        <f>_xll.RtGet($AD$4,$AD$5&amp;$Y5&amp;$AD$6,Z$2)</f>
        <v>9.0499999999999989</v>
      </c>
      <c r="AA5" s="35">
        <f>_xll.RtGet($AD$4,$AD$5&amp;$Y5&amp;$AD$6,AA$2)</f>
        <v>13.87</v>
      </c>
      <c r="AC5" s="69" t="s">
        <v>66</v>
      </c>
      <c r="AD5" s="68"/>
      <c r="AF5" s="66" t="s">
        <v>132</v>
      </c>
      <c r="AG5" s="182"/>
      <c r="AH5" s="182"/>
      <c r="AI5" s="203">
        <f>_xll.xlDateWorkFw($C$6,$AI$4+7,0)</f>
        <v>42823</v>
      </c>
    </row>
    <row r="6" spans="1:35" ht="11.25" customHeight="1" x14ac:dyDescent="0.2">
      <c r="A6" s="34"/>
      <c r="B6" s="136" t="s">
        <v>100</v>
      </c>
      <c r="C6" s="92" t="s">
        <v>140</v>
      </c>
      <c r="D6" s="33"/>
      <c r="E6" s="106" t="b">
        <v>1</v>
      </c>
      <c r="F6" s="117">
        <v>1</v>
      </c>
      <c r="G6" s="75">
        <v>1</v>
      </c>
      <c r="H6" s="74" t="s">
        <v>86</v>
      </c>
      <c r="I6" s="89">
        <f>AVERAGE(Z8:AA8)</f>
        <v>1.8430775740000001</v>
      </c>
      <c r="J6" s="87"/>
      <c r="K6" s="88"/>
      <c r="L6" s="87">
        <f t="shared" si="0"/>
        <v>1.8430775740000001</v>
      </c>
      <c r="M6" s="38">
        <f t="shared" si="6"/>
        <v>4</v>
      </c>
      <c r="N6" s="37">
        <f t="shared" si="1"/>
        <v>4</v>
      </c>
      <c r="O6" s="38">
        <f t="shared" si="7"/>
        <v>4</v>
      </c>
      <c r="P6" s="37">
        <f t="shared" si="2"/>
        <v>5</v>
      </c>
      <c r="Q6" s="38">
        <f t="shared" si="3"/>
        <v>2</v>
      </c>
      <c r="R6" s="104" t="str">
        <f t="shared" si="4"/>
        <v>w</v>
      </c>
      <c r="S6" s="46">
        <f t="shared" si="5"/>
        <v>2.5767212290000003</v>
      </c>
      <c r="U6" s="56">
        <v>42823</v>
      </c>
      <c r="V6" s="55">
        <v>1.868985339128525E-2</v>
      </c>
      <c r="W6"/>
      <c r="X6"/>
      <c r="Y6" s="104"/>
      <c r="Z6" s="104"/>
      <c r="AA6" s="104"/>
      <c r="AC6" s="66" t="s">
        <v>63</v>
      </c>
      <c r="AD6" s="65"/>
      <c r="AF6" s="186" t="s">
        <v>154</v>
      </c>
      <c r="AG6" s="185"/>
      <c r="AH6" s="185"/>
      <c r="AI6" s="180">
        <f>_xll.xlShmInterpDisc(AI$2,AI3)</f>
        <v>0.99995885617491642</v>
      </c>
    </row>
    <row r="7" spans="1:35" ht="11.25" customHeight="1" x14ac:dyDescent="0.2">
      <c r="A7" s="34"/>
      <c r="B7" s="130" t="s">
        <v>124</v>
      </c>
      <c r="C7" s="96" t="s">
        <v>140</v>
      </c>
      <c r="D7" s="33"/>
      <c r="E7" s="52" t="b">
        <v>1</v>
      </c>
      <c r="F7" s="116">
        <f>Y9</f>
        <v>2</v>
      </c>
      <c r="G7" s="38">
        <v>2</v>
      </c>
      <c r="H7" s="37" t="s">
        <v>86</v>
      </c>
      <c r="I7" s="50">
        <f>AVERAGE(Z9:AA9)</f>
        <v>2.5767212290000003</v>
      </c>
      <c r="J7" s="48"/>
      <c r="K7" s="49"/>
      <c r="L7" s="48">
        <f t="shared" si="0"/>
        <v>2.5767212290000003</v>
      </c>
      <c r="M7" s="38">
        <f t="shared" si="6"/>
        <v>5</v>
      </c>
      <c r="N7" s="37">
        <f t="shared" si="1"/>
        <v>5</v>
      </c>
      <c r="O7" s="38">
        <f t="shared" si="7"/>
        <v>5</v>
      </c>
      <c r="P7" s="37">
        <f t="shared" si="2"/>
        <v>6</v>
      </c>
      <c r="Q7" s="38">
        <f t="shared" si="3"/>
        <v>3</v>
      </c>
      <c r="R7" s="104" t="str">
        <f t="shared" si="4"/>
        <v>w</v>
      </c>
      <c r="S7" s="46">
        <f t="shared" si="5"/>
        <v>2.3992417270000002</v>
      </c>
      <c r="U7" s="56">
        <v>42830</v>
      </c>
      <c r="V7" s="55">
        <v>2.5187058531948737E-2</v>
      </c>
      <c r="W7"/>
      <c r="X7"/>
      <c r="Y7" s="78" t="s">
        <v>82</v>
      </c>
      <c r="Z7" s="77" t="s">
        <v>71</v>
      </c>
      <c r="AA7" s="76" t="s">
        <v>70</v>
      </c>
      <c r="AF7" s="164" t="s">
        <v>155</v>
      </c>
      <c r="AG7" s="34"/>
      <c r="AH7" s="34"/>
      <c r="AI7" s="184">
        <f>_xll.xlShmInterpDisc(AI$2,AI4)</f>
        <v>0.99991771889637482</v>
      </c>
    </row>
    <row r="8" spans="1:35" ht="11.25" customHeight="1" x14ac:dyDescent="0.2">
      <c r="A8" s="34"/>
      <c r="B8" s="138" t="s">
        <v>108</v>
      </c>
      <c r="C8" s="92" t="s">
        <v>147</v>
      </c>
      <c r="D8" s="33"/>
      <c r="E8" s="45" t="b">
        <v>1</v>
      </c>
      <c r="F8" s="115">
        <f>Y10</f>
        <v>3</v>
      </c>
      <c r="G8" s="36">
        <v>3</v>
      </c>
      <c r="H8" s="35" t="s">
        <v>86</v>
      </c>
      <c r="I8" s="43">
        <f>AVERAGE(Z10:AA10)</f>
        <v>2.3992417270000002</v>
      </c>
      <c r="J8" s="41"/>
      <c r="K8" s="42"/>
      <c r="L8" s="41">
        <f t="shared" si="0"/>
        <v>2.3992417270000002</v>
      </c>
      <c r="M8" s="38">
        <f t="shared" si="6"/>
        <v>6</v>
      </c>
      <c r="N8" s="37">
        <f t="shared" si="1"/>
        <v>6</v>
      </c>
      <c r="O8" s="38">
        <f t="shared" si="7"/>
        <v>6</v>
      </c>
      <c r="P8" s="37">
        <f t="shared" si="2"/>
        <v>7</v>
      </c>
      <c r="Q8" s="38">
        <f t="shared" si="3"/>
        <v>1</v>
      </c>
      <c r="R8" s="104" t="str">
        <f t="shared" si="4"/>
        <v>m</v>
      </c>
      <c r="S8" s="46">
        <f t="shared" si="5"/>
        <v>2.2669927329999999</v>
      </c>
      <c r="U8" s="56">
        <v>42837</v>
      </c>
      <c r="V8" s="55">
        <v>2.3822009265307954E-2</v>
      </c>
      <c r="W8"/>
      <c r="X8"/>
      <c r="Y8" s="114" t="s">
        <v>85</v>
      </c>
      <c r="Z8" s="75">
        <f>_xll.RtGet($AD$8,$AD$9&amp;$Y8&amp;$AD$10,Z$7)</f>
        <v>1.8430775740000001</v>
      </c>
      <c r="AA8" s="74">
        <f>_xll.RtGet($AD$8,$AD$9&amp;$Y8&amp;$AD$10,AA$7)</f>
        <v>1.8430775740000001</v>
      </c>
      <c r="AC8" s="71" t="s">
        <v>68</v>
      </c>
      <c r="AD8" s="70" t="s">
        <v>103</v>
      </c>
      <c r="AF8" s="183" t="s">
        <v>156</v>
      </c>
      <c r="AG8" s="182"/>
      <c r="AH8" s="182"/>
      <c r="AI8" s="181">
        <f>_xll.xlShmInterpDisc(AI$2,AI5)</f>
        <v>0.99963033576282667</v>
      </c>
    </row>
    <row r="9" spans="1:35" ht="11.25" customHeight="1" x14ac:dyDescent="0.2">
      <c r="A9" s="34"/>
      <c r="B9" s="138" t="s">
        <v>109</v>
      </c>
      <c r="C9" s="92" t="s">
        <v>148</v>
      </c>
      <c r="D9" s="33"/>
      <c r="E9" s="52" t="b">
        <v>1</v>
      </c>
      <c r="F9" s="112">
        <f t="shared" ref="F9:F20" si="8">Y13</f>
        <v>1</v>
      </c>
      <c r="G9" s="38">
        <v>1</v>
      </c>
      <c r="H9" s="37" t="s">
        <v>81</v>
      </c>
      <c r="I9" s="50">
        <f t="shared" ref="I9:I20" si="9">AVERAGE(Z13:AA13)</f>
        <v>2.2669927329999999</v>
      </c>
      <c r="J9" s="48"/>
      <c r="K9" s="49"/>
      <c r="L9" s="48">
        <f t="shared" si="0"/>
        <v>2.2669927329999999</v>
      </c>
      <c r="M9" s="38">
        <f t="shared" si="6"/>
        <v>7</v>
      </c>
      <c r="N9" s="37">
        <f t="shared" si="1"/>
        <v>7</v>
      </c>
      <c r="O9" s="38">
        <f t="shared" si="7"/>
        <v>7</v>
      </c>
      <c r="P9" s="37">
        <f t="shared" si="2"/>
        <v>8</v>
      </c>
      <c r="Q9" s="38">
        <f t="shared" si="3"/>
        <v>2</v>
      </c>
      <c r="R9" s="104" t="str">
        <f t="shared" si="4"/>
        <v>m</v>
      </c>
      <c r="S9" s="46">
        <f t="shared" si="5"/>
        <v>2.1782867480000001</v>
      </c>
      <c r="U9" s="56">
        <v>42849</v>
      </c>
      <c r="V9" s="55">
        <v>2.2718164850887179E-2</v>
      </c>
      <c r="W9"/>
      <c r="X9"/>
      <c r="Y9" s="38">
        <v>2</v>
      </c>
      <c r="Z9" s="38">
        <f>_xll.RtGet($AD$8,$AD$9&amp;$Y9&amp;$AD$10,Z$7)</f>
        <v>2.5767212290000003</v>
      </c>
      <c r="AA9" s="37">
        <f>_xll.RtGet($AD$8,$AD$9&amp;$Y9&amp;$AD$10,AA$7)</f>
        <v>2.5767212290000003</v>
      </c>
      <c r="AC9" s="69" t="s">
        <v>66</v>
      </c>
      <c r="AD9" s="68" t="s">
        <v>172</v>
      </c>
      <c r="AF9" s="190" t="s">
        <v>157</v>
      </c>
      <c r="AG9" s="185"/>
      <c r="AH9" s="185"/>
      <c r="AI9" s="166">
        <v>5</v>
      </c>
    </row>
    <row r="10" spans="1:35" ht="11.25" customHeight="1" x14ac:dyDescent="0.2">
      <c r="A10" s="34"/>
      <c r="B10" s="139" t="s">
        <v>110</v>
      </c>
      <c r="C10" s="92" t="s">
        <v>144</v>
      </c>
      <c r="D10" s="33"/>
      <c r="E10" s="52" t="b">
        <v>1</v>
      </c>
      <c r="F10" s="112">
        <f t="shared" si="8"/>
        <v>2</v>
      </c>
      <c r="G10" s="38">
        <v>2</v>
      </c>
      <c r="H10" s="37" t="s">
        <v>81</v>
      </c>
      <c r="I10" s="50">
        <f t="shared" si="9"/>
        <v>2.1782867480000001</v>
      </c>
      <c r="J10" s="48"/>
      <c r="K10" s="49"/>
      <c r="L10" s="48">
        <f t="shared" si="0"/>
        <v>2.1782867480000001</v>
      </c>
      <c r="M10" s="38">
        <f t="shared" si="6"/>
        <v>8</v>
      </c>
      <c r="N10" s="37">
        <f t="shared" si="1"/>
        <v>8</v>
      </c>
      <c r="O10" s="38">
        <f t="shared" si="7"/>
        <v>8</v>
      </c>
      <c r="P10" s="37">
        <f t="shared" si="2"/>
        <v>9</v>
      </c>
      <c r="Q10" s="38">
        <f t="shared" si="3"/>
        <v>3</v>
      </c>
      <c r="R10" s="104" t="str">
        <f t="shared" si="4"/>
        <v>m</v>
      </c>
      <c r="S10" s="46">
        <f t="shared" si="5"/>
        <v>2.124592963</v>
      </c>
      <c r="U10" s="56">
        <v>42877</v>
      </c>
      <c r="V10" s="55">
        <v>2.1938960051741199E-2</v>
      </c>
      <c r="W10"/>
      <c r="X10"/>
      <c r="Y10" s="36">
        <v>3</v>
      </c>
      <c r="Z10" s="36">
        <f>_xll.RtGet($AD$8,$AD$9&amp;$Y10&amp;$AD$10,Z$7)</f>
        <v>2.3992417270000002</v>
      </c>
      <c r="AA10" s="35">
        <f>_xll.RtGet($AD$8,$AD$9&amp;$Y10&amp;$AD$10,AA$7)</f>
        <v>2.3992417270000002</v>
      </c>
      <c r="AC10" s="66" t="s">
        <v>63</v>
      </c>
      <c r="AD10" s="65" t="s">
        <v>104</v>
      </c>
      <c r="AF10" s="190" t="s">
        <v>133</v>
      </c>
      <c r="AG10" s="185"/>
      <c r="AH10" s="185"/>
      <c r="AI10" s="180">
        <f>_xll.xlYrfDayCount(AI4,AI5,AI9)</f>
        <v>1.9178082191780823E-2</v>
      </c>
    </row>
    <row r="11" spans="1:35" ht="11.25" customHeight="1" x14ac:dyDescent="0.2">
      <c r="A11" s="34"/>
      <c r="B11" s="103" t="s">
        <v>88</v>
      </c>
      <c r="C11" s="98" t="s">
        <v>58</v>
      </c>
      <c r="D11" s="33"/>
      <c r="E11" s="52" t="b">
        <v>1</v>
      </c>
      <c r="F11" s="112">
        <f t="shared" si="8"/>
        <v>3</v>
      </c>
      <c r="G11" s="38">
        <v>3</v>
      </c>
      <c r="H11" s="37" t="s">
        <v>81</v>
      </c>
      <c r="I11" s="50">
        <f t="shared" si="9"/>
        <v>2.124592963</v>
      </c>
      <c r="J11" s="48"/>
      <c r="K11" s="49"/>
      <c r="L11" s="48">
        <f t="shared" si="0"/>
        <v>2.124592963</v>
      </c>
      <c r="M11" s="38">
        <f t="shared" si="6"/>
        <v>9</v>
      </c>
      <c r="N11" s="37">
        <f t="shared" si="1"/>
        <v>9</v>
      </c>
      <c r="O11" s="38">
        <f t="shared" si="7"/>
        <v>9</v>
      </c>
      <c r="P11" s="37">
        <f t="shared" si="2"/>
        <v>10</v>
      </c>
      <c r="Q11" s="38">
        <f t="shared" si="3"/>
        <v>4</v>
      </c>
      <c r="R11" s="104" t="str">
        <f t="shared" si="4"/>
        <v>m</v>
      </c>
      <c r="S11" s="46">
        <f t="shared" si="5"/>
        <v>2.1861909390000003</v>
      </c>
      <c r="U11" s="56">
        <v>42908</v>
      </c>
      <c r="V11" s="55">
        <v>2.1423800711451495E-2</v>
      </c>
      <c r="W11"/>
      <c r="X11"/>
      <c r="Y11" s="104"/>
      <c r="Z11" s="104"/>
      <c r="AA11" s="104"/>
      <c r="AF11" s="189" t="s">
        <v>134</v>
      </c>
      <c r="AG11" s="182"/>
      <c r="AH11" s="182"/>
      <c r="AI11" s="181">
        <f>LN((1+$AI$10*L6/100)*(AI8/AI7))/$AI$10</f>
        <v>3.4391544306372084E-3</v>
      </c>
    </row>
    <row r="12" spans="1:35" ht="11.25" customHeight="1" x14ac:dyDescent="0.2">
      <c r="A12" s="34"/>
      <c r="B12" s="113" t="s">
        <v>87</v>
      </c>
      <c r="C12" s="92" t="s">
        <v>46</v>
      </c>
      <c r="D12" s="33"/>
      <c r="E12" s="52" t="b">
        <v>1</v>
      </c>
      <c r="F12" s="112">
        <f t="shared" si="8"/>
        <v>4</v>
      </c>
      <c r="G12" s="38">
        <v>4</v>
      </c>
      <c r="H12" s="37" t="s">
        <v>81</v>
      </c>
      <c r="I12" s="50">
        <f t="shared" si="9"/>
        <v>2.1861909390000003</v>
      </c>
      <c r="J12" s="48"/>
      <c r="K12" s="49"/>
      <c r="L12" s="48">
        <f t="shared" si="0"/>
        <v>2.1861909390000003</v>
      </c>
      <c r="M12" s="38">
        <f t="shared" si="6"/>
        <v>10</v>
      </c>
      <c r="N12" s="37">
        <f t="shared" si="1"/>
        <v>10</v>
      </c>
      <c r="O12" s="38">
        <f t="shared" si="7"/>
        <v>10</v>
      </c>
      <c r="P12" s="37">
        <f t="shared" si="2"/>
        <v>11</v>
      </c>
      <c r="Q12" s="38">
        <f t="shared" si="3"/>
        <v>5</v>
      </c>
      <c r="R12" s="104" t="str">
        <f t="shared" si="4"/>
        <v>m</v>
      </c>
      <c r="S12" s="46">
        <f t="shared" si="5"/>
        <v>2.1579113840000002</v>
      </c>
      <c r="U12" s="56">
        <v>42940</v>
      </c>
      <c r="V12" s="55">
        <v>2.2029014225308723E-2</v>
      </c>
      <c r="W12"/>
      <c r="X12"/>
      <c r="Y12" s="78" t="s">
        <v>82</v>
      </c>
      <c r="Z12" s="178" t="s">
        <v>71</v>
      </c>
      <c r="AA12" s="179" t="s">
        <v>70</v>
      </c>
      <c r="AF12" s="164" t="s">
        <v>160</v>
      </c>
      <c r="AG12" s="34"/>
      <c r="AH12" s="34"/>
      <c r="AI12" s="184">
        <f>AI6*EXP(-$AI$11*_xll.xlYrfDayCount($C$3,AI3,$AI$9))</f>
        <v>0.99994943426606997</v>
      </c>
    </row>
    <row r="13" spans="1:35" ht="11.25" customHeight="1" x14ac:dyDescent="0.2">
      <c r="A13" s="34"/>
      <c r="B13" s="113" t="s">
        <v>84</v>
      </c>
      <c r="C13" s="92" t="s">
        <v>13</v>
      </c>
      <c r="D13" s="33"/>
      <c r="E13" s="52" t="b">
        <v>1</v>
      </c>
      <c r="F13" s="112">
        <f t="shared" si="8"/>
        <v>5</v>
      </c>
      <c r="G13" s="38">
        <v>5</v>
      </c>
      <c r="H13" s="37" t="s">
        <v>81</v>
      </c>
      <c r="I13" s="50">
        <f t="shared" si="9"/>
        <v>2.1579113840000002</v>
      </c>
      <c r="J13" s="48"/>
      <c r="K13" s="49"/>
      <c r="L13" s="48">
        <f t="shared" si="0"/>
        <v>2.1579113840000002</v>
      </c>
      <c r="M13" s="38">
        <f t="shared" si="6"/>
        <v>11</v>
      </c>
      <c r="N13" s="37">
        <f t="shared" si="1"/>
        <v>11</v>
      </c>
      <c r="O13" s="38">
        <f t="shared" si="7"/>
        <v>11</v>
      </c>
      <c r="P13" s="37">
        <f t="shared" si="2"/>
        <v>12</v>
      </c>
      <c r="Q13" s="38">
        <f t="shared" si="3"/>
        <v>6</v>
      </c>
      <c r="R13" s="104" t="str">
        <f t="shared" si="4"/>
        <v>m</v>
      </c>
      <c r="S13" s="46">
        <f t="shared" si="5"/>
        <v>2.148339349</v>
      </c>
      <c r="U13" s="56">
        <v>42969</v>
      </c>
      <c r="V13" s="55">
        <v>2.1739535890605774E-2</v>
      </c>
      <c r="W13"/>
      <c r="X13"/>
      <c r="Y13" s="38">
        <v>1</v>
      </c>
      <c r="Z13" s="38">
        <f>_xll.RtGet($AD$13,$AD$14&amp;$Y13&amp;$AD$15,Z$12)</f>
        <v>2.2669927329999999</v>
      </c>
      <c r="AA13" s="37">
        <f>_xll.RtGet($AD$13,$AD$14&amp;$Y13&amp;$AD$15,AA$12)</f>
        <v>2.2669927329999999</v>
      </c>
      <c r="AC13" s="71" t="s">
        <v>68</v>
      </c>
      <c r="AD13" s="70" t="s">
        <v>103</v>
      </c>
      <c r="AF13" s="164" t="s">
        <v>161</v>
      </c>
      <c r="AG13" s="34"/>
      <c r="AH13" s="34"/>
      <c r="AI13" s="184">
        <f>AI7*EXP(-$AI$11*_xll.xlYrfDayCount($C$3,AI4,$AI$9))</f>
        <v>0.99989887594266957</v>
      </c>
    </row>
    <row r="14" spans="1:35" ht="11.25" customHeight="1" x14ac:dyDescent="0.2">
      <c r="A14" s="34"/>
      <c r="B14" s="101" t="s">
        <v>69</v>
      </c>
      <c r="C14" s="96" t="s">
        <v>50</v>
      </c>
      <c r="D14" s="33"/>
      <c r="E14" s="52" t="b">
        <v>1</v>
      </c>
      <c r="F14" s="112">
        <f t="shared" si="8"/>
        <v>6</v>
      </c>
      <c r="G14" s="38">
        <v>6</v>
      </c>
      <c r="H14" s="37" t="s">
        <v>81</v>
      </c>
      <c r="I14" s="50">
        <f t="shared" si="9"/>
        <v>2.148339349</v>
      </c>
      <c r="J14" s="48"/>
      <c r="K14" s="49"/>
      <c r="L14" s="48">
        <f t="shared" si="0"/>
        <v>2.148339349</v>
      </c>
      <c r="M14" s="38">
        <f t="shared" si="6"/>
        <v>12</v>
      </c>
      <c r="N14" s="37">
        <f t="shared" si="1"/>
        <v>12</v>
      </c>
      <c r="O14" s="38">
        <f t="shared" si="7"/>
        <v>12</v>
      </c>
      <c r="P14" s="37">
        <f t="shared" si="2"/>
        <v>15</v>
      </c>
      <c r="Q14" s="38">
        <f t="shared" si="3"/>
        <v>9</v>
      </c>
      <c r="R14" s="104" t="str">
        <f t="shared" si="4"/>
        <v>m</v>
      </c>
      <c r="S14" s="46">
        <f t="shared" si="5"/>
        <v>2.1796922530000002</v>
      </c>
      <c r="U14" s="56">
        <v>43000</v>
      </c>
      <c r="V14" s="55">
        <v>2.1631328437538521E-2</v>
      </c>
      <c r="W14"/>
      <c r="X14"/>
      <c r="Y14" s="38">
        <v>2</v>
      </c>
      <c r="Z14" s="38">
        <f>_xll.RtGet($AD$13,$AD$14&amp;$Y14&amp;$AD$15,Z$12)</f>
        <v>2.1782867480000001</v>
      </c>
      <c r="AA14" s="37">
        <f>_xll.RtGet($AD$13,$AD$14&amp;$Y14&amp;$AD$15,AA$12)</f>
        <v>2.1782867480000001</v>
      </c>
      <c r="AC14" s="69" t="s">
        <v>66</v>
      </c>
      <c r="AD14" s="68" t="s">
        <v>172</v>
      </c>
      <c r="AF14" s="183" t="s">
        <v>162</v>
      </c>
      <c r="AG14" s="182"/>
      <c r="AH14" s="182"/>
      <c r="AI14" s="181">
        <f>AI8*EXP(-$AI$11*_xll.xlYrfDayCount($C$3,AI5,$AI$9))</f>
        <v>0.99954556963677588</v>
      </c>
    </row>
    <row r="15" spans="1:35" ht="11.25" customHeight="1" x14ac:dyDescent="0.2">
      <c r="A15" s="151">
        <v>60</v>
      </c>
      <c r="B15" s="140" t="s">
        <v>102</v>
      </c>
      <c r="C15" s="150">
        <f>_xll.RtNow(A15&amp;"s")</f>
        <v>0.50005787036934635</v>
      </c>
      <c r="D15" s="33"/>
      <c r="E15" s="52" t="b">
        <v>0</v>
      </c>
      <c r="F15" s="112">
        <f t="shared" si="8"/>
        <v>7</v>
      </c>
      <c r="G15" s="38">
        <v>7</v>
      </c>
      <c r="H15" s="37" t="s">
        <v>81</v>
      </c>
      <c r="I15" s="50" t="e">
        <f t="shared" si="9"/>
        <v>#DIV/0!</v>
      </c>
      <c r="J15" s="48"/>
      <c r="K15" s="49"/>
      <c r="L15" s="48" t="e">
        <f t="shared" si="0"/>
        <v>#DIV/0!</v>
      </c>
      <c r="M15" s="38">
        <f t="shared" si="6"/>
        <v>13</v>
      </c>
      <c r="N15" s="37" t="str">
        <f t="shared" si="1"/>
        <v/>
      </c>
      <c r="O15" s="38" t="str">
        <f t="shared" si="7"/>
        <v/>
      </c>
      <c r="P15" s="37" t="str">
        <f t="shared" si="2"/>
        <v/>
      </c>
      <c r="Q15" s="38" t="str">
        <f t="shared" si="3"/>
        <v/>
      </c>
      <c r="R15" s="104" t="str">
        <f t="shared" si="4"/>
        <v/>
      </c>
      <c r="S15" s="46" t="str">
        <f t="shared" si="5"/>
        <v/>
      </c>
      <c r="U15" s="56">
        <v>43091</v>
      </c>
      <c r="V15" s="55">
        <v>2.189454742875931E-2</v>
      </c>
      <c r="W15"/>
      <c r="X15"/>
      <c r="Y15" s="38">
        <v>3</v>
      </c>
      <c r="Z15" s="38">
        <f>_xll.RtGet($AD$13,$AD$14&amp;$Y15&amp;$AD$15,Z$12)</f>
        <v>2.124592963</v>
      </c>
      <c r="AA15" s="37">
        <f>_xll.RtGet($AD$13,$AD$14&amp;$Y15&amp;$AD$15,AA$12)</f>
        <v>2.124592963</v>
      </c>
      <c r="AB15" s="26"/>
      <c r="AC15" s="66" t="s">
        <v>63</v>
      </c>
      <c r="AD15" s="65" t="s">
        <v>105</v>
      </c>
      <c r="AF15" s="205" t="s">
        <v>163</v>
      </c>
      <c r="AG15" s="206"/>
      <c r="AH15" s="206"/>
      <c r="AI15" s="207">
        <f>(1/AI12-1)/_xll.xlYrfDayCount($C$3,AI3,$AI$9)</f>
        <v>1.8457426197788784E-2</v>
      </c>
    </row>
    <row r="16" spans="1:35" ht="11.25" customHeight="1" x14ac:dyDescent="0.2">
      <c r="A16" s="34"/>
      <c r="D16" s="33"/>
      <c r="E16" s="52" t="b">
        <v>0</v>
      </c>
      <c r="F16" s="112">
        <f t="shared" si="8"/>
        <v>8</v>
      </c>
      <c r="G16" s="38">
        <v>8</v>
      </c>
      <c r="H16" s="37" t="s">
        <v>81</v>
      </c>
      <c r="I16" s="50" t="e">
        <f t="shared" si="9"/>
        <v>#DIV/0!</v>
      </c>
      <c r="J16" s="48"/>
      <c r="K16" s="49"/>
      <c r="L16" s="48" t="e">
        <f t="shared" si="0"/>
        <v>#DIV/0!</v>
      </c>
      <c r="M16" s="38">
        <f t="shared" si="6"/>
        <v>14</v>
      </c>
      <c r="N16" s="37" t="str">
        <f t="shared" si="1"/>
        <v/>
      </c>
      <c r="O16" s="38" t="str">
        <f t="shared" si="7"/>
        <v/>
      </c>
      <c r="P16" s="37" t="str">
        <f t="shared" si="2"/>
        <v/>
      </c>
      <c r="Q16" s="38" t="str">
        <f t="shared" si="3"/>
        <v/>
      </c>
      <c r="R16" s="104" t="str">
        <f t="shared" si="4"/>
        <v/>
      </c>
      <c r="S16" s="46" t="str">
        <f t="shared" si="5"/>
        <v/>
      </c>
      <c r="U16" s="56">
        <v>43181</v>
      </c>
      <c r="V16" s="55">
        <v>2.2686498578626119E-2</v>
      </c>
      <c r="W16"/>
      <c r="X16"/>
      <c r="Y16" s="38">
        <v>4</v>
      </c>
      <c r="Z16" s="38">
        <f>_xll.RtGet($AD$13,$AD$14&amp;$Y16&amp;$AD$15,Z$12)</f>
        <v>2.1861909390000003</v>
      </c>
      <c r="AA16" s="37">
        <f>_xll.RtGet($AD$13,$AD$14&amp;$Y16&amp;$AD$15,AA$12)</f>
        <v>2.1861909390000003</v>
      </c>
      <c r="AB16" s="26"/>
      <c r="AC16" s="26"/>
      <c r="AD16" s="26"/>
      <c r="AF16" s="208" t="s">
        <v>164</v>
      </c>
      <c r="AG16" s="209"/>
      <c r="AH16" s="209"/>
      <c r="AI16" s="210">
        <f>(AI12/AI13-1)/_xll.xlYrfDayCount(AI3,AI4,$AI$9)</f>
        <v>1.8455654351759998E-2</v>
      </c>
    </row>
    <row r="17" spans="1:44" ht="11.25" customHeight="1" x14ac:dyDescent="0.2">
      <c r="A17" s="34"/>
      <c r="D17" s="33"/>
      <c r="E17" s="52" t="b">
        <v>1</v>
      </c>
      <c r="F17" s="112">
        <f t="shared" si="8"/>
        <v>9</v>
      </c>
      <c r="G17" s="38">
        <v>9</v>
      </c>
      <c r="H17" s="37" t="s">
        <v>81</v>
      </c>
      <c r="I17" s="50">
        <f t="shared" si="9"/>
        <v>2.1796922530000002</v>
      </c>
      <c r="J17" s="48"/>
      <c r="K17" s="49"/>
      <c r="L17" s="48">
        <f t="shared" si="0"/>
        <v>2.1796922530000002</v>
      </c>
      <c r="M17" s="38">
        <f t="shared" si="6"/>
        <v>15</v>
      </c>
      <c r="N17" s="37">
        <f t="shared" si="1"/>
        <v>15</v>
      </c>
      <c r="O17" s="38" t="str">
        <f t="shared" si="7"/>
        <v/>
      </c>
      <c r="P17" s="37" t="str">
        <f t="shared" si="2"/>
        <v/>
      </c>
      <c r="Q17" s="38" t="str">
        <f t="shared" si="3"/>
        <v/>
      </c>
      <c r="R17" s="104" t="str">
        <f t="shared" si="4"/>
        <v/>
      </c>
      <c r="S17" s="46" t="str">
        <f t="shared" si="5"/>
        <v/>
      </c>
      <c r="U17" s="56">
        <v>43546</v>
      </c>
      <c r="V17" s="55">
        <v>2.4286253879531445E-2</v>
      </c>
      <c r="W17"/>
      <c r="X17"/>
      <c r="Y17" s="38">
        <v>5</v>
      </c>
      <c r="Z17" s="38">
        <f>_xll.RtGet($AD$13,$AD$14&amp;$Y17&amp;$AD$15,Z$12)</f>
        <v>2.1579113840000002</v>
      </c>
      <c r="AA17" s="37">
        <f>_xll.RtGet($AD$13,$AD$14&amp;$Y17&amp;$AD$15,AA$12)</f>
        <v>2.1579113840000002</v>
      </c>
      <c r="AB17" s="26"/>
      <c r="AC17" s="26"/>
      <c r="AD17" s="26"/>
      <c r="AF17" s="164" t="s">
        <v>158</v>
      </c>
      <c r="AG17" s="34"/>
      <c r="AH17" s="34"/>
      <c r="AI17" s="184">
        <f>AI15*100-IF(ISNUMBER(J3),J3,I3)</f>
        <v>0</v>
      </c>
    </row>
    <row r="18" spans="1:44" ht="11.25" customHeight="1" x14ac:dyDescent="0.2">
      <c r="A18" s="34"/>
      <c r="C18" s="177" t="s">
        <v>129</v>
      </c>
      <c r="D18" s="33"/>
      <c r="E18" s="52" t="b">
        <v>0</v>
      </c>
      <c r="F18" s="112">
        <f t="shared" si="8"/>
        <v>10</v>
      </c>
      <c r="G18" s="38">
        <v>10</v>
      </c>
      <c r="H18" s="37" t="s">
        <v>81</v>
      </c>
      <c r="I18" s="50" t="e">
        <f t="shared" si="9"/>
        <v>#DIV/0!</v>
      </c>
      <c r="J18" s="48"/>
      <c r="K18" s="49"/>
      <c r="L18" s="48" t="e">
        <f t="shared" si="0"/>
        <v>#DIV/0!</v>
      </c>
      <c r="M18" s="38">
        <f t="shared" si="6"/>
        <v>16</v>
      </c>
      <c r="N18" s="37" t="str">
        <f t="shared" si="1"/>
        <v/>
      </c>
      <c r="O18" s="38" t="str">
        <f t="shared" si="7"/>
        <v/>
      </c>
      <c r="P18" s="37" t="str">
        <f t="shared" si="2"/>
        <v/>
      </c>
      <c r="Q18" s="38" t="str">
        <f t="shared" si="3"/>
        <v/>
      </c>
      <c r="R18" s="104" t="str">
        <f t="shared" si="4"/>
        <v/>
      </c>
      <c r="S18" s="46" t="str">
        <f t="shared" si="5"/>
        <v/>
      </c>
      <c r="U18" s="56">
        <v>43913</v>
      </c>
      <c r="V18" s="55">
        <v>2.6354200611139435E-2</v>
      </c>
      <c r="W18"/>
      <c r="X18"/>
      <c r="Y18" s="38">
        <v>6</v>
      </c>
      <c r="Z18" s="38">
        <f>_xll.RtGet($AD$13,$AD$14&amp;$Y18&amp;$AD$15,Z$12)</f>
        <v>2.148339349</v>
      </c>
      <c r="AA18" s="37">
        <f>_xll.RtGet($AD$13,$AD$14&amp;$Y18&amp;$AD$15,AA$12)</f>
        <v>2.148339349</v>
      </c>
      <c r="AB18" s="26"/>
      <c r="AC18" s="26"/>
      <c r="AD18" s="26"/>
      <c r="AF18" s="183" t="s">
        <v>159</v>
      </c>
      <c r="AG18" s="182"/>
      <c r="AH18" s="182"/>
      <c r="AI18" s="181">
        <f>AI16*100-IF(ISNUMBER(J4),J4,I4)</f>
        <v>0</v>
      </c>
    </row>
    <row r="19" spans="1:44" ht="11.25" customHeight="1" x14ac:dyDescent="0.2">
      <c r="A19" s="34"/>
      <c r="C19" s="176" t="b">
        <v>0</v>
      </c>
      <c r="D19" s="33"/>
      <c r="E19" s="52" t="b">
        <v>0</v>
      </c>
      <c r="F19" s="112">
        <f t="shared" si="8"/>
        <v>11</v>
      </c>
      <c r="G19" s="38">
        <v>11</v>
      </c>
      <c r="H19" s="37" t="s">
        <v>81</v>
      </c>
      <c r="I19" s="50" t="e">
        <f t="shared" si="9"/>
        <v>#DIV/0!</v>
      </c>
      <c r="J19" s="48"/>
      <c r="K19" s="49"/>
      <c r="L19" s="48" t="e">
        <f t="shared" si="0"/>
        <v>#DIV/0!</v>
      </c>
      <c r="M19" s="38">
        <f t="shared" si="6"/>
        <v>17</v>
      </c>
      <c r="N19" s="37" t="str">
        <f t="shared" si="1"/>
        <v/>
      </c>
      <c r="O19" s="38" t="str">
        <f t="shared" si="7"/>
        <v/>
      </c>
      <c r="P19" s="37" t="str">
        <f t="shared" si="2"/>
        <v/>
      </c>
      <c r="Q19" s="38" t="str">
        <f t="shared" si="3"/>
        <v/>
      </c>
      <c r="R19" s="104" t="str">
        <f t="shared" si="4"/>
        <v/>
      </c>
      <c r="S19" s="46" t="str">
        <f t="shared" si="5"/>
        <v/>
      </c>
      <c r="U19" s="56">
        <v>44277</v>
      </c>
      <c r="V19" s="55">
        <v>2.8124576861163642E-2</v>
      </c>
      <c r="W19"/>
      <c r="X19"/>
      <c r="Y19" s="38">
        <v>7</v>
      </c>
      <c r="Z19" s="38" t="str">
        <f>_xll.RtGet($AD$13,$AD$14&amp;$Y19&amp;$AD$15,Z$12)</f>
        <v>#N/A RIC Not Found</v>
      </c>
      <c r="AA19" s="37" t="str">
        <f>_xll.RtGet($AD$13,$AD$14&amp;$Y19&amp;$AD$15,AA$12)</f>
        <v>#N/A RIC Not Found</v>
      </c>
      <c r="AB19" s="26"/>
      <c r="AC19" s="26"/>
      <c r="AD19" s="26"/>
    </row>
    <row r="20" spans="1:44" ht="11.25" customHeight="1" x14ac:dyDescent="0.2">
      <c r="A20" s="34"/>
      <c r="D20" s="33"/>
      <c r="E20" s="45" t="b">
        <v>0</v>
      </c>
      <c r="F20" s="111">
        <f t="shared" si="8"/>
        <v>12</v>
      </c>
      <c r="G20" s="36">
        <v>12</v>
      </c>
      <c r="H20" s="35" t="s">
        <v>81</v>
      </c>
      <c r="I20" s="43" t="e">
        <f t="shared" si="9"/>
        <v>#DIV/0!</v>
      </c>
      <c r="J20" s="41"/>
      <c r="K20" s="110"/>
      <c r="L20" s="41" t="e">
        <f t="shared" si="0"/>
        <v>#DIV/0!</v>
      </c>
      <c r="M20" s="36">
        <f t="shared" si="6"/>
        <v>18</v>
      </c>
      <c r="N20" s="35" t="str">
        <f t="shared" si="1"/>
        <v/>
      </c>
      <c r="O20" s="36" t="str">
        <f t="shared" si="7"/>
        <v/>
      </c>
      <c r="P20" s="35" t="str">
        <f t="shared" si="2"/>
        <v/>
      </c>
      <c r="Q20" s="36" t="str">
        <f t="shared" si="3"/>
        <v/>
      </c>
      <c r="R20" s="109" t="str">
        <f t="shared" si="4"/>
        <v/>
      </c>
      <c r="S20" s="39" t="str">
        <f t="shared" si="5"/>
        <v/>
      </c>
      <c r="U20" s="56">
        <v>44642</v>
      </c>
      <c r="V20" s="55">
        <v>2.9772645963544543E-2</v>
      </c>
      <c r="W20"/>
      <c r="X20"/>
      <c r="Y20" s="38">
        <v>8</v>
      </c>
      <c r="Z20" s="38" t="str">
        <f>_xll.RtGet($AD$13,$AD$14&amp;$Y20&amp;$AD$15,Z$12)</f>
        <v>#N/A RIC Not Found</v>
      </c>
      <c r="AA20" s="37" t="str">
        <f>_xll.RtGet($AD$13,$AD$14&amp;$Y20&amp;$AD$15,AA$12)</f>
        <v>#N/A RIC Not Found</v>
      </c>
      <c r="AB20" s="26"/>
      <c r="AC20" s="26"/>
      <c r="AD20" s="26"/>
    </row>
    <row r="21" spans="1:44" ht="11.25" customHeight="1" x14ac:dyDescent="0.2">
      <c r="A21" s="34"/>
      <c r="D21" s="33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U21" s="56">
        <v>45373</v>
      </c>
      <c r="V21" s="55">
        <v>3.2699634423634188E-2</v>
      </c>
      <c r="W21"/>
      <c r="X21"/>
      <c r="Y21" s="38">
        <v>9</v>
      </c>
      <c r="Z21" s="38">
        <f>_xll.RtGet($AD$13,$AD$14&amp;$Y21&amp;$AD$15,Z$12)</f>
        <v>2.1796922530000002</v>
      </c>
      <c r="AA21" s="37">
        <f>_xll.RtGet($AD$13,$AD$14&amp;$Y21&amp;$AD$15,AA$12)</f>
        <v>2.1796922530000002</v>
      </c>
      <c r="AB21" s="26"/>
      <c r="AC21" s="26"/>
      <c r="AD21" s="26"/>
    </row>
    <row r="22" spans="1:44" ht="11.25" customHeight="1" x14ac:dyDescent="0.2">
      <c r="A22" s="34"/>
      <c r="D22" s="33"/>
      <c r="E22" s="91" t="s">
        <v>77</v>
      </c>
      <c r="F22" s="34"/>
      <c r="H22" s="34"/>
      <c r="I22" s="91" t="s">
        <v>76</v>
      </c>
      <c r="J22" s="91" t="s">
        <v>75</v>
      </c>
      <c r="K22" s="91" t="s">
        <v>74</v>
      </c>
      <c r="L22" s="91" t="s">
        <v>73</v>
      </c>
      <c r="M22" s="26"/>
      <c r="N22" s="26"/>
      <c r="O22" s="26"/>
      <c r="P22" s="26"/>
      <c r="Q22" s="26"/>
      <c r="R22" s="26"/>
      <c r="S22" s="26"/>
      <c r="U22" s="56">
        <v>46468</v>
      </c>
      <c r="V22" s="55">
        <v>3.5695457566727345E-2</v>
      </c>
      <c r="W22"/>
      <c r="X22"/>
      <c r="Y22" s="38">
        <v>10</v>
      </c>
      <c r="Z22" s="38" t="str">
        <f>_xll.RtGet($AD$13,$AD$14&amp;$Y22&amp;$AD$15,Z$12)</f>
        <v>#N/A RIC Not Found</v>
      </c>
      <c r="AA22" s="37" t="str">
        <f>_xll.RtGet($AD$13,$AD$14&amp;$Y22&amp;$AD$15,AA$12)</f>
        <v>#N/A RIC Not Found</v>
      </c>
      <c r="AB22" s="26"/>
      <c r="AC22" s="26"/>
      <c r="AD22" s="26"/>
    </row>
    <row r="23" spans="1:44" ht="11.25" customHeight="1" x14ac:dyDescent="0.2">
      <c r="A23" s="34"/>
      <c r="D23" s="33"/>
      <c r="E23" s="90" t="b">
        <v>1</v>
      </c>
      <c r="F23" s="132" t="str">
        <f>Y27</f>
        <v>AUD</v>
      </c>
      <c r="G23" s="26"/>
      <c r="H23" s="26"/>
      <c r="I23" s="133">
        <f>AVERAGE(Z27:AA27)</f>
        <v>1.3924500000000002</v>
      </c>
      <c r="J23" s="134"/>
      <c r="K23" s="135"/>
      <c r="L23" s="134">
        <f>IF(ISNUMBER(J23),J23,I23)+K23</f>
        <v>1.3924500000000002</v>
      </c>
      <c r="M23" s="26"/>
      <c r="N23" s="26"/>
      <c r="O23" s="26"/>
      <c r="P23" s="26"/>
      <c r="Q23"/>
      <c r="R23" s="26"/>
      <c r="S23" s="26"/>
      <c r="U23" s="56">
        <v>48295</v>
      </c>
      <c r="V23" s="55">
        <v>3.7900695946278311E-2</v>
      </c>
      <c r="W23"/>
      <c r="X23"/>
      <c r="Y23" s="38">
        <v>11</v>
      </c>
      <c r="Z23" s="38" t="str">
        <f>_xll.RtGet($AD$13,$AD$14&amp;$Y23&amp;$AD$15,Z$12)</f>
        <v>#N/A RIC Not Found</v>
      </c>
      <c r="AA23" s="37" t="str">
        <f>_xll.RtGet($AD$13,$AD$14&amp;$Y23&amp;$AD$15,AA$12)</f>
        <v>#N/A RIC Not Found</v>
      </c>
      <c r="AB23" s="26"/>
      <c r="AC23" s="26"/>
      <c r="AD23" s="26"/>
      <c r="AJ23"/>
      <c r="AK23"/>
      <c r="AL23"/>
      <c r="AM23"/>
    </row>
    <row r="24" spans="1:44" ht="11.25" customHeight="1" x14ac:dyDescent="0.2">
      <c r="A24" s="34"/>
      <c r="B24" s="230" t="s">
        <v>80</v>
      </c>
      <c r="C24" s="231"/>
      <c r="D24" s="33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/>
      <c r="R24" s="26"/>
      <c r="S24" s="26"/>
      <c r="U24" s="56">
        <v>50122</v>
      </c>
      <c r="V24" s="55">
        <v>3.7805657944426189E-2</v>
      </c>
      <c r="W24"/>
      <c r="X24"/>
      <c r="Y24" s="36">
        <v>12</v>
      </c>
      <c r="Z24" s="40" t="str">
        <f>_xll.RtGet($AD$13,$AD$14&amp;$Y24&amp;$AD$15,Z$12)</f>
        <v>#N/A RIC Not Found</v>
      </c>
      <c r="AA24" s="131" t="str">
        <f>_xll.RtGet($AD$13,$AD$14&amp;$Y24&amp;$AD$15,AA$12)</f>
        <v>#N/A RIC Not Found</v>
      </c>
      <c r="AB24" s="26"/>
      <c r="AC24" s="26"/>
      <c r="AD24" s="26"/>
      <c r="AJ24"/>
      <c r="AK24"/>
      <c r="AL24"/>
      <c r="AM24"/>
    </row>
    <row r="25" spans="1:44" ht="11.25" customHeight="1" x14ac:dyDescent="0.2">
      <c r="A25" s="33"/>
      <c r="B25" s="103" t="s">
        <v>79</v>
      </c>
      <c r="C25" s="98">
        <v>132</v>
      </c>
      <c r="D25" s="33"/>
      <c r="E25" s="91" t="s">
        <v>77</v>
      </c>
      <c r="F25" s="34"/>
      <c r="G25" s="34"/>
      <c r="H25" s="34"/>
      <c r="I25" s="91" t="s">
        <v>76</v>
      </c>
      <c r="J25" s="91" t="s">
        <v>75</v>
      </c>
      <c r="K25" s="91" t="s">
        <v>74</v>
      </c>
      <c r="L25" s="91" t="s">
        <v>73</v>
      </c>
      <c r="M25" s="63"/>
      <c r="N25" s="62"/>
      <c r="P25" s="62"/>
      <c r="Q25"/>
      <c r="R25" s="26"/>
      <c r="S25" s="86">
        <f t="array" ref="S25">SUM(1*E26:E67)</f>
        <v>9</v>
      </c>
      <c r="U25" s="56" t="e">
        <v>#N/A</v>
      </c>
      <c r="V25" s="55" t="e">
        <v>#N/A</v>
      </c>
      <c r="W25"/>
      <c r="X25"/>
      <c r="Y25" s="104"/>
      <c r="Z25" s="104"/>
      <c r="AA25" s="104"/>
      <c r="AB25" s="26"/>
      <c r="AC25" s="26"/>
      <c r="AD25" s="26"/>
      <c r="AH25"/>
      <c r="AJ25"/>
      <c r="AK25"/>
      <c r="AL25"/>
      <c r="AM25"/>
    </row>
    <row r="26" spans="1:44" ht="11.25" customHeight="1" x14ac:dyDescent="0.2">
      <c r="A26" s="34"/>
      <c r="B26" s="101" t="s">
        <v>78</v>
      </c>
      <c r="C26" s="96" t="s">
        <v>24</v>
      </c>
      <c r="D26" s="33"/>
      <c r="E26" s="52" t="b">
        <f>LEN(F26)&gt;0</f>
        <v>1</v>
      </c>
      <c r="F26" s="196">
        <f>IF($C$19,IF(LEN(AQ31)&gt;0,12*AQ31,""),IF(LEN(AG31)&gt;0,12*AG31,""))</f>
        <v>12</v>
      </c>
      <c r="G26" s="34"/>
      <c r="H26" s="34"/>
      <c r="I26" s="89">
        <f>IF($C$19,AR31,AF31)</f>
        <v>0.505</v>
      </c>
      <c r="J26" s="87"/>
      <c r="K26" s="88"/>
      <c r="L26" s="87">
        <f t="shared" ref="L26:L67" si="10">IF(ISNUMBER(J26),J26,I26)+K26</f>
        <v>0.505</v>
      </c>
      <c r="M26" s="75">
        <v>1</v>
      </c>
      <c r="N26" s="74">
        <f t="shared" ref="N26:N67" si="11">IF(E26,M26,"")</f>
        <v>1</v>
      </c>
      <c r="O26" s="86">
        <f>IF($S$25&gt;0,1,"")</f>
        <v>1</v>
      </c>
      <c r="P26" s="74">
        <f t="shared" ref="P26:P67" si="12">IF(LEN(O26)&gt;0,SMALL($N$26:$N$67,O26),"")</f>
        <v>1</v>
      </c>
      <c r="Q26"/>
      <c r="R26" s="85">
        <f t="shared" ref="R26:R67" si="13">IF(LEN(P26)&gt;0,INDEX($F$26:$F$67,$P26),"")</f>
        <v>12</v>
      </c>
      <c r="S26" s="84">
        <f t="shared" ref="S26:S67" si="14">IF(LEN(P26)&gt;0,INDEX($L$26:$L$67,$P26),"")</f>
        <v>0.505</v>
      </c>
      <c r="U26" s="56" t="e">
        <v>#N/A</v>
      </c>
      <c r="V26" s="55" t="e">
        <v>#N/A</v>
      </c>
      <c r="W26"/>
      <c r="X26"/>
      <c r="Y26" s="78" t="s">
        <v>107</v>
      </c>
      <c r="Z26" s="102" t="s">
        <v>71</v>
      </c>
      <c r="AA26" s="107" t="s">
        <v>70</v>
      </c>
      <c r="AC26" s="71" t="s">
        <v>68</v>
      </c>
      <c r="AD26" s="70" t="s">
        <v>67</v>
      </c>
      <c r="AJ26"/>
      <c r="AK26"/>
      <c r="AL26"/>
      <c r="AM26"/>
    </row>
    <row r="27" spans="1:44" ht="11.25" customHeight="1" x14ac:dyDescent="0.2">
      <c r="A27" s="34"/>
      <c r="B27" s="130" t="s">
        <v>111</v>
      </c>
      <c r="C27" s="96">
        <v>2</v>
      </c>
      <c r="D27" s="33"/>
      <c r="E27" s="52" t="b">
        <f t="shared" ref="E27:E67" si="15">LEN(F27)&gt;0</f>
        <v>1</v>
      </c>
      <c r="F27" s="51">
        <f t="shared" ref="F27:F67" si="16">IF($C$19,IF(LEN(AQ32)&gt;0,12*AQ32,""),IF(LEN(AG32)&gt;0,12*AG32,""))</f>
        <v>24</v>
      </c>
      <c r="G27" s="34"/>
      <c r="I27" s="50">
        <f t="shared" ref="I27:I67" si="17">IF($C$19,AR32,AF32)</f>
        <v>0.54249999999999998</v>
      </c>
      <c r="J27" s="48"/>
      <c r="K27" s="49"/>
      <c r="L27" s="48">
        <f t="shared" si="10"/>
        <v>0.54249999999999998</v>
      </c>
      <c r="M27" s="38">
        <f t="shared" ref="M27:M67" si="18">M26+1</f>
        <v>2</v>
      </c>
      <c r="N27" s="37">
        <f t="shared" si="11"/>
        <v>2</v>
      </c>
      <c r="O27" s="38">
        <f t="shared" ref="O27:O67" si="19">IF(O26&lt;$S$25,O26+1,"")</f>
        <v>2</v>
      </c>
      <c r="P27" s="37">
        <f t="shared" si="12"/>
        <v>2</v>
      </c>
      <c r="Q27"/>
      <c r="R27" s="47">
        <f t="shared" si="13"/>
        <v>24</v>
      </c>
      <c r="S27" s="46">
        <f t="shared" si="14"/>
        <v>0.54249999999999998</v>
      </c>
      <c r="U27" s="56" t="e">
        <v>#N/A</v>
      </c>
      <c r="V27" s="55" t="e">
        <v>#N/A</v>
      </c>
      <c r="W27"/>
      <c r="X27"/>
      <c r="Y27" s="100" t="s">
        <v>140</v>
      </c>
      <c r="Z27" s="99">
        <f>_xll.RtGet($AD$26,$AD$27&amp;$Y27&amp;$AD$28,Z$26)</f>
        <v>1.3917000000000002</v>
      </c>
      <c r="AA27" s="105">
        <f>_xll.RtGet($AD$26,$AD$27&amp;$Y27&amp;$AD$28,AA$26)</f>
        <v>1.3932</v>
      </c>
      <c r="AC27" s="69" t="s">
        <v>66</v>
      </c>
      <c r="AD27" s="68" t="s">
        <v>101</v>
      </c>
      <c r="AJ27"/>
      <c r="AK27"/>
      <c r="AL27"/>
      <c r="AM27"/>
    </row>
    <row r="28" spans="1:44" ht="11.25" customHeight="1" x14ac:dyDescent="0.2">
      <c r="A28" s="145"/>
      <c r="B28" s="137" t="s">
        <v>112</v>
      </c>
      <c r="C28" s="95"/>
      <c r="D28" s="33"/>
      <c r="E28" s="52" t="b">
        <f t="shared" si="15"/>
        <v>1</v>
      </c>
      <c r="F28" s="51">
        <f t="shared" si="16"/>
        <v>36</v>
      </c>
      <c r="G28" s="34"/>
      <c r="I28" s="50">
        <f t="shared" si="17"/>
        <v>0.58000000000000007</v>
      </c>
      <c r="J28" s="48"/>
      <c r="K28" s="49"/>
      <c r="L28" s="48">
        <f t="shared" si="10"/>
        <v>0.58000000000000007</v>
      </c>
      <c r="M28" s="38">
        <f t="shared" si="18"/>
        <v>3</v>
      </c>
      <c r="N28" s="37">
        <f t="shared" si="11"/>
        <v>3</v>
      </c>
      <c r="O28" s="38">
        <f t="shared" si="19"/>
        <v>3</v>
      </c>
      <c r="P28" s="37">
        <f t="shared" si="12"/>
        <v>3</v>
      </c>
      <c r="Q28"/>
      <c r="R28" s="47">
        <f t="shared" si="13"/>
        <v>36</v>
      </c>
      <c r="S28" s="46">
        <f t="shared" si="14"/>
        <v>0.58000000000000007</v>
      </c>
      <c r="U28" s="56" t="e">
        <v>#N/A</v>
      </c>
      <c r="V28" s="55" t="e">
        <v>#N/A</v>
      </c>
      <c r="W28"/>
      <c r="X28"/>
      <c r="AC28" s="66" t="s">
        <v>63</v>
      </c>
      <c r="AD28" s="65" t="s">
        <v>106</v>
      </c>
    </row>
    <row r="29" spans="1:44" ht="11.25" customHeight="1" x14ac:dyDescent="0.2">
      <c r="A29" s="146"/>
      <c r="B29" s="138" t="s">
        <v>113</v>
      </c>
      <c r="C29" s="144"/>
      <c r="E29" s="52" t="b">
        <f t="shared" si="15"/>
        <v>1</v>
      </c>
      <c r="F29" s="51">
        <f t="shared" si="16"/>
        <v>48</v>
      </c>
      <c r="G29" s="34"/>
      <c r="I29" s="50">
        <f t="shared" si="17"/>
        <v>0.60499999999999998</v>
      </c>
      <c r="J29" s="48"/>
      <c r="K29" s="49"/>
      <c r="L29" s="48">
        <f t="shared" si="10"/>
        <v>0.60499999999999998</v>
      </c>
      <c r="M29" s="38">
        <f t="shared" si="18"/>
        <v>4</v>
      </c>
      <c r="N29" s="37">
        <f t="shared" si="11"/>
        <v>4</v>
      </c>
      <c r="O29" s="38">
        <f t="shared" si="19"/>
        <v>4</v>
      </c>
      <c r="P29" s="37">
        <f t="shared" si="12"/>
        <v>4</v>
      </c>
      <c r="Q29"/>
      <c r="R29" s="47">
        <f t="shared" si="13"/>
        <v>48</v>
      </c>
      <c r="S29" s="46">
        <f t="shared" si="14"/>
        <v>0.60499999999999998</v>
      </c>
      <c r="U29" s="56" t="e">
        <v>#N/A</v>
      </c>
      <c r="V29" s="55" t="e">
        <v>#N/A</v>
      </c>
      <c r="W29"/>
      <c r="X29"/>
      <c r="Y29" s="78" t="s">
        <v>135</v>
      </c>
      <c r="Z29" s="191">
        <v>0.01</v>
      </c>
      <c r="AG29" s="62">
        <f>MAX(AG31:AG72)</f>
        <v>20</v>
      </c>
      <c r="AQ29" s="62">
        <f>MAX(AQ31:AQ60)</f>
        <v>30</v>
      </c>
    </row>
    <row r="30" spans="1:44" ht="11.25" customHeight="1" x14ac:dyDescent="0.2">
      <c r="A30" s="146"/>
      <c r="B30" s="97" t="s">
        <v>114</v>
      </c>
      <c r="C30" s="96" t="s">
        <v>101</v>
      </c>
      <c r="E30" s="52" t="b">
        <f t="shared" si="15"/>
        <v>1</v>
      </c>
      <c r="F30" s="51">
        <f t="shared" si="16"/>
        <v>60</v>
      </c>
      <c r="G30" s="34"/>
      <c r="I30" s="50">
        <f t="shared" si="17"/>
        <v>0.63</v>
      </c>
      <c r="J30" s="48"/>
      <c r="K30" s="49"/>
      <c r="L30" s="48">
        <f t="shared" si="10"/>
        <v>0.63</v>
      </c>
      <c r="M30" s="38">
        <f t="shared" si="18"/>
        <v>5</v>
      </c>
      <c r="N30" s="37">
        <f t="shared" si="11"/>
        <v>5</v>
      </c>
      <c r="O30" s="38">
        <f t="shared" si="19"/>
        <v>5</v>
      </c>
      <c r="P30" s="37">
        <f t="shared" si="12"/>
        <v>5</v>
      </c>
      <c r="Q30"/>
      <c r="R30" s="47">
        <f t="shared" si="13"/>
        <v>60</v>
      </c>
      <c r="S30" s="46">
        <f t="shared" si="14"/>
        <v>0.63</v>
      </c>
      <c r="U30" s="56" t="e">
        <v>#N/A</v>
      </c>
      <c r="V30" s="55" t="e">
        <v>#N/A</v>
      </c>
      <c r="W30"/>
      <c r="X30"/>
      <c r="Y30" s="78" t="s">
        <v>72</v>
      </c>
      <c r="Z30" s="77" t="s">
        <v>71</v>
      </c>
      <c r="AA30" s="76" t="s">
        <v>70</v>
      </c>
      <c r="AF30" s="78" t="s">
        <v>125</v>
      </c>
      <c r="AG30" s="78" t="s">
        <v>126</v>
      </c>
      <c r="AH30" s="40" t="b">
        <f>AND(AQ29&gt;AG29,ISERROR(MATCH(AQ29,$AG$31:$AG$72,0)))</f>
        <v>1</v>
      </c>
      <c r="AI30" s="157"/>
      <c r="AJ30" s="157"/>
      <c r="AK30" s="157"/>
      <c r="AL30" s="152">
        <f>COUNT(AK31:AK72)</f>
        <v>10</v>
      </c>
      <c r="AM30" s="153"/>
      <c r="AQ30" s="78" t="s">
        <v>128</v>
      </c>
      <c r="AR30" s="78" t="s">
        <v>127</v>
      </c>
    </row>
    <row r="31" spans="1:44" ht="11.25" customHeight="1" x14ac:dyDescent="0.2">
      <c r="A31" s="33"/>
      <c r="B31" s="141" t="s">
        <v>115</v>
      </c>
      <c r="C31" s="94" t="s">
        <v>29</v>
      </c>
      <c r="E31" s="52" t="b">
        <f t="shared" si="15"/>
        <v>1</v>
      </c>
      <c r="F31" s="51">
        <f t="shared" si="16"/>
        <v>84</v>
      </c>
      <c r="G31" s="34"/>
      <c r="I31" s="50">
        <f t="shared" si="17"/>
        <v>0.66500000000000004</v>
      </c>
      <c r="J31" s="48"/>
      <c r="K31" s="49"/>
      <c r="L31" s="48">
        <f t="shared" si="10"/>
        <v>0.66500000000000004</v>
      </c>
      <c r="M31" s="38">
        <f t="shared" si="18"/>
        <v>6</v>
      </c>
      <c r="N31" s="37">
        <f t="shared" si="11"/>
        <v>6</v>
      </c>
      <c r="O31" s="38">
        <f t="shared" si="19"/>
        <v>6</v>
      </c>
      <c r="P31" s="37">
        <f t="shared" si="12"/>
        <v>6</v>
      </c>
      <c r="Q31"/>
      <c r="R31" s="47">
        <f t="shared" si="13"/>
        <v>84</v>
      </c>
      <c r="S31" s="46">
        <f t="shared" si="14"/>
        <v>0.66500000000000004</v>
      </c>
      <c r="U31" s="56" t="e">
        <v>#N/A</v>
      </c>
      <c r="V31" s="55" t="e">
        <v>#N/A</v>
      </c>
      <c r="W31"/>
      <c r="X31"/>
      <c r="Y31" s="193">
        <v>1</v>
      </c>
      <c r="Z31" s="75">
        <f>$Z$29*_xll.RtGet($AD$32,$AD$33&amp;$Y31&amp;$AD$34,Z$30)</f>
        <v>0.45500000000000002</v>
      </c>
      <c r="AA31" s="74">
        <f>$Z$29*_xll.RtGet($AD$32,$AD$33&amp;$Y31&amp;$AD$34,AA$30)</f>
        <v>0.55500000000000005</v>
      </c>
      <c r="AF31" s="154">
        <f t="shared" ref="AF31:AF72" si="20">AVERAGE(Z31:AA31)</f>
        <v>0.505</v>
      </c>
      <c r="AG31" s="155">
        <f t="shared" ref="AG31:AG72" si="21">IF(ISNUMBER(AF31),Y31,"")</f>
        <v>1</v>
      </c>
      <c r="AH31" s="104">
        <f>IF(LEN(AG31)&gt;0,AG31,"")</f>
        <v>1</v>
      </c>
      <c r="AI31" s="74">
        <f>IF(LEN(AG31)&gt;0,AF31,"")</f>
        <v>0.505</v>
      </c>
      <c r="AJ31" s="159">
        <v>1</v>
      </c>
      <c r="AK31" s="153">
        <f>IF(LEN(AH31)&gt;0,AJ31,"")</f>
        <v>1</v>
      </c>
      <c r="AL31" s="152">
        <f>IF(AL30&gt;0,1,"")</f>
        <v>1</v>
      </c>
      <c r="AM31" s="158" t="b">
        <f>LEN(AL31)&gt;0</f>
        <v>1</v>
      </c>
      <c r="AN31" s="163">
        <f>IF(AM31,SMALL($AK$31:$AK$72,AL31),"")</f>
        <v>1</v>
      </c>
      <c r="AO31" s="158">
        <f t="array" ref="AO31:AP31">IF(AM31,INDEX($AH$31:$AI$72,AN31,0),"")</f>
        <v>1</v>
      </c>
      <c r="AP31" s="163">
        <v>0.505</v>
      </c>
      <c r="AQ31" s="158">
        <v>1</v>
      </c>
      <c r="AR31" s="166">
        <f t="array" ref="AR31:AR60">_xll.xlInterp1D(AO31:INDEX(AO31:AO72,AL30),AP31:INDEX(AP31:AP72,AL30),AQ31:AQ60,"kruger")</f>
        <v>0.505</v>
      </c>
    </row>
    <row r="32" spans="1:44" ht="11.25" customHeight="1" x14ac:dyDescent="0.2">
      <c r="A32" s="146"/>
      <c r="B32" s="142" t="s">
        <v>116</v>
      </c>
      <c r="C32" s="93"/>
      <c r="E32" s="52" t="b">
        <f t="shared" si="15"/>
        <v>1</v>
      </c>
      <c r="F32" s="51">
        <f t="shared" si="16"/>
        <v>120</v>
      </c>
      <c r="G32" s="34"/>
      <c r="I32" s="50">
        <f t="shared" si="17"/>
        <v>0.6925</v>
      </c>
      <c r="J32" s="48"/>
      <c r="K32" s="49"/>
      <c r="L32" s="48">
        <f t="shared" si="10"/>
        <v>0.6925</v>
      </c>
      <c r="M32" s="38">
        <f t="shared" si="18"/>
        <v>7</v>
      </c>
      <c r="N32" s="37">
        <f t="shared" si="11"/>
        <v>7</v>
      </c>
      <c r="O32" s="38">
        <f t="shared" si="19"/>
        <v>7</v>
      </c>
      <c r="P32" s="37">
        <f t="shared" si="12"/>
        <v>7</v>
      </c>
      <c r="Q32"/>
      <c r="R32" s="47">
        <f t="shared" si="13"/>
        <v>120</v>
      </c>
      <c r="S32" s="46">
        <f t="shared" si="14"/>
        <v>0.6925</v>
      </c>
      <c r="U32" s="56" t="e">
        <v>#N/A</v>
      </c>
      <c r="V32" s="55" t="e">
        <v>#N/A</v>
      </c>
      <c r="Y32" s="194">
        <v>2</v>
      </c>
      <c r="Z32" s="38">
        <f>$Z$29*_xll.RtGet($AD$32,$AD$33&amp;$Y32&amp;$AD$34,Z$30)</f>
        <v>0.49249999999999999</v>
      </c>
      <c r="AA32" s="37">
        <f>$Z$29*_xll.RtGet($AD$32,$AD$33&amp;$Y32&amp;$AD$34,AA$30)</f>
        <v>0.59250000000000003</v>
      </c>
      <c r="AC32" s="71" t="s">
        <v>68</v>
      </c>
      <c r="AD32" s="70" t="s">
        <v>67</v>
      </c>
      <c r="AF32" s="38">
        <f t="shared" si="20"/>
        <v>0.54249999999999998</v>
      </c>
      <c r="AG32" s="104">
        <f t="shared" si="21"/>
        <v>2</v>
      </c>
      <c r="AH32" s="104">
        <f t="shared" ref="AH32:AH71" si="22">IF(LEN(AG32)&gt;0,AG32,"")</f>
        <v>2</v>
      </c>
      <c r="AI32" s="37">
        <f t="shared" ref="AI32:AI71" si="23">IF(LEN(AG32)&gt;0,AF32,"")</f>
        <v>0.54249999999999998</v>
      </c>
      <c r="AJ32" s="159">
        <f>AJ31+1</f>
        <v>2</v>
      </c>
      <c r="AK32" s="153">
        <f t="shared" ref="AK32:AK72" si="24">IF(LEN(AH32)&gt;0,AJ32,"")</f>
        <v>2</v>
      </c>
      <c r="AL32" s="153">
        <f>IF(AL31&lt;$AL$30,AL31+1,"")</f>
        <v>2</v>
      </c>
      <c r="AM32" s="153" t="b">
        <f t="shared" ref="AM32:AM72" si="25">LEN(AL32)&gt;0</f>
        <v>1</v>
      </c>
      <c r="AN32" s="160">
        <f t="shared" ref="AN32:AN72" si="26">IF(AM32,SMALL($AK$31:$AK$72,AL32),"")</f>
        <v>2</v>
      </c>
      <c r="AO32" s="159">
        <f t="array" ref="AO32:AP32">IF(AM32,INDEX($AH$31:$AI$72,AN32,0),"")</f>
        <v>2</v>
      </c>
      <c r="AP32" s="160">
        <v>0.54249999999999998</v>
      </c>
      <c r="AQ32" s="159">
        <f t="shared" ref="AQ32:AQ60" si="27">AQ31+1</f>
        <v>2</v>
      </c>
      <c r="AR32" s="167">
        <v>0.54249999999999998</v>
      </c>
    </row>
    <row r="33" spans="1:44" ht="11.25" customHeight="1" x14ac:dyDescent="0.2">
      <c r="A33" s="146"/>
      <c r="B33" s="142" t="s">
        <v>117</v>
      </c>
      <c r="C33" s="92"/>
      <c r="E33" s="52" t="b">
        <f t="shared" si="15"/>
        <v>1</v>
      </c>
      <c r="F33" s="51">
        <f t="shared" si="16"/>
        <v>180</v>
      </c>
      <c r="G33" s="34"/>
      <c r="I33" s="50">
        <f t="shared" si="17"/>
        <v>0.625</v>
      </c>
      <c r="J33" s="48"/>
      <c r="K33" s="49"/>
      <c r="L33" s="48">
        <f t="shared" si="10"/>
        <v>0.625</v>
      </c>
      <c r="M33" s="38">
        <f t="shared" si="18"/>
        <v>8</v>
      </c>
      <c r="N33" s="37">
        <f t="shared" si="11"/>
        <v>8</v>
      </c>
      <c r="O33" s="38">
        <f t="shared" si="19"/>
        <v>8</v>
      </c>
      <c r="P33" s="37">
        <f t="shared" si="12"/>
        <v>8</v>
      </c>
      <c r="Q33"/>
      <c r="R33" s="47">
        <f t="shared" si="13"/>
        <v>180</v>
      </c>
      <c r="S33" s="46">
        <f t="shared" si="14"/>
        <v>0.625</v>
      </c>
      <c r="U33" s="56" t="e">
        <v>#N/A</v>
      </c>
      <c r="V33" s="55" t="e">
        <v>#N/A</v>
      </c>
      <c r="Y33" s="194">
        <v>3</v>
      </c>
      <c r="Z33" s="38">
        <f>$Z$29*_xll.RtGet($AD$32,$AD$33&amp;$Y33&amp;$AD$34,Z$30)</f>
        <v>0.53</v>
      </c>
      <c r="AA33" s="37">
        <f>$Z$29*_xll.RtGet($AD$32,$AD$33&amp;$Y33&amp;$AD$34,AA$30)</f>
        <v>0.63</v>
      </c>
      <c r="AC33" s="69" t="s">
        <v>66</v>
      </c>
      <c r="AD33" s="68" t="s">
        <v>150</v>
      </c>
      <c r="AF33" s="38">
        <f t="shared" si="20"/>
        <v>0.58000000000000007</v>
      </c>
      <c r="AG33" s="104">
        <f t="shared" si="21"/>
        <v>3</v>
      </c>
      <c r="AH33" s="104">
        <f t="shared" si="22"/>
        <v>3</v>
      </c>
      <c r="AI33" s="37">
        <f t="shared" si="23"/>
        <v>0.58000000000000007</v>
      </c>
      <c r="AJ33" s="159">
        <f t="shared" ref="AJ33:AJ72" si="28">AJ32+1</f>
        <v>3</v>
      </c>
      <c r="AK33" s="153">
        <f t="shared" si="24"/>
        <v>3</v>
      </c>
      <c r="AL33" s="153">
        <f t="shared" ref="AL33:AL72" si="29">IF(AL32&lt;$AL$30,AL32+1,"")</f>
        <v>3</v>
      </c>
      <c r="AM33" s="153" t="b">
        <f t="shared" si="25"/>
        <v>1</v>
      </c>
      <c r="AN33" s="160">
        <f t="shared" si="26"/>
        <v>3</v>
      </c>
      <c r="AO33" s="159">
        <f t="array" ref="AO33:AP33">IF(AM33,INDEX($AH$31:$AI$72,AN33,0),"")</f>
        <v>3</v>
      </c>
      <c r="AP33" s="160">
        <v>0.58000000000000007</v>
      </c>
      <c r="AQ33" s="159">
        <f t="shared" si="27"/>
        <v>3</v>
      </c>
      <c r="AR33" s="167">
        <v>0.58000000000000007</v>
      </c>
    </row>
    <row r="34" spans="1:44" ht="11.25" customHeight="1" x14ac:dyDescent="0.2">
      <c r="A34" s="33"/>
      <c r="B34" s="142" t="s">
        <v>118</v>
      </c>
      <c r="C34" s="92"/>
      <c r="E34" s="52" t="b">
        <f t="shared" si="15"/>
        <v>1</v>
      </c>
      <c r="F34" s="51">
        <f t="shared" si="16"/>
        <v>240</v>
      </c>
      <c r="G34" s="34"/>
      <c r="I34" s="50">
        <f t="shared" si="17"/>
        <v>0.48749999999999999</v>
      </c>
      <c r="J34" s="48"/>
      <c r="K34" s="49"/>
      <c r="L34" s="48">
        <f t="shared" si="10"/>
        <v>0.48749999999999999</v>
      </c>
      <c r="M34" s="38">
        <f t="shared" si="18"/>
        <v>9</v>
      </c>
      <c r="N34" s="37">
        <f t="shared" si="11"/>
        <v>9</v>
      </c>
      <c r="O34" s="38">
        <f t="shared" si="19"/>
        <v>9</v>
      </c>
      <c r="P34" s="37">
        <f t="shared" si="12"/>
        <v>9</v>
      </c>
      <c r="Q34"/>
      <c r="R34" s="47">
        <f t="shared" si="13"/>
        <v>240</v>
      </c>
      <c r="S34" s="46">
        <f t="shared" si="14"/>
        <v>0.48749999999999999</v>
      </c>
      <c r="U34" s="56" t="e">
        <v>#N/A</v>
      </c>
      <c r="V34" s="55" t="e">
        <v>#N/A</v>
      </c>
      <c r="Y34" s="194">
        <v>4</v>
      </c>
      <c r="Z34" s="38">
        <f>$Z$29*_xll.RtGet($AD$32,$AD$33&amp;$Y34&amp;$AD$34,Z$30)</f>
        <v>0.55500000000000005</v>
      </c>
      <c r="AA34" s="37">
        <f>$Z$29*_xll.RtGet($AD$32,$AD$33&amp;$Y34&amp;$AD$34,AA$30)</f>
        <v>0.65500000000000003</v>
      </c>
      <c r="AC34" s="66" t="s">
        <v>63</v>
      </c>
      <c r="AD34" s="65" t="s">
        <v>136</v>
      </c>
      <c r="AF34" s="38">
        <f t="shared" si="20"/>
        <v>0.60499999999999998</v>
      </c>
      <c r="AG34" s="104">
        <f t="shared" si="21"/>
        <v>4</v>
      </c>
      <c r="AH34" s="104">
        <f t="shared" si="22"/>
        <v>4</v>
      </c>
      <c r="AI34" s="37">
        <f t="shared" si="23"/>
        <v>0.60499999999999998</v>
      </c>
      <c r="AJ34" s="159">
        <f t="shared" si="28"/>
        <v>4</v>
      </c>
      <c r="AK34" s="153">
        <f t="shared" si="24"/>
        <v>4</v>
      </c>
      <c r="AL34" s="153">
        <f t="shared" si="29"/>
        <v>4</v>
      </c>
      <c r="AM34" s="153" t="b">
        <f t="shared" si="25"/>
        <v>1</v>
      </c>
      <c r="AN34" s="160">
        <f t="shared" si="26"/>
        <v>4</v>
      </c>
      <c r="AO34" s="159">
        <f t="array" ref="AO34:AP34">IF(AM34,INDEX($AH$31:$AI$72,AN34,0),"")</f>
        <v>4</v>
      </c>
      <c r="AP34" s="160">
        <v>0.60499999999999998</v>
      </c>
      <c r="AQ34" s="159">
        <f t="shared" si="27"/>
        <v>4</v>
      </c>
      <c r="AR34" s="167">
        <v>0.60499999999999998</v>
      </c>
    </row>
    <row r="35" spans="1:44" ht="11.25" customHeight="1" x14ac:dyDescent="0.2">
      <c r="A35" s="33"/>
      <c r="B35" s="142" t="s">
        <v>119</v>
      </c>
      <c r="C35" s="148"/>
      <c r="E35" s="52" t="b">
        <f t="shared" si="15"/>
        <v>0</v>
      </c>
      <c r="F35" s="51" t="str">
        <f t="shared" si="16"/>
        <v/>
      </c>
      <c r="G35" s="34"/>
      <c r="I35" s="50" t="e">
        <f t="shared" si="17"/>
        <v>#VALUE!</v>
      </c>
      <c r="J35" s="48"/>
      <c r="K35" s="49"/>
      <c r="L35" s="48" t="e">
        <f t="shared" si="10"/>
        <v>#VALUE!</v>
      </c>
      <c r="M35" s="38">
        <f t="shared" si="18"/>
        <v>10</v>
      </c>
      <c r="N35" s="37" t="str">
        <f t="shared" si="11"/>
        <v/>
      </c>
      <c r="O35" s="38" t="str">
        <f t="shared" si="19"/>
        <v/>
      </c>
      <c r="P35" s="37" t="str">
        <f t="shared" si="12"/>
        <v/>
      </c>
      <c r="Q35"/>
      <c r="R35" s="47" t="str">
        <f t="shared" si="13"/>
        <v/>
      </c>
      <c r="S35" s="46" t="str">
        <f t="shared" si="14"/>
        <v/>
      </c>
      <c r="U35" s="56" t="e">
        <v>#N/A</v>
      </c>
      <c r="V35" s="55" t="e">
        <v>#N/A</v>
      </c>
      <c r="Y35" s="194">
        <v>5</v>
      </c>
      <c r="Z35" s="38">
        <f>$Z$29*_xll.RtGet($AD$32,$AD$33&amp;$Y35&amp;$AD$34,Z$30)</f>
        <v>0.57999999999999996</v>
      </c>
      <c r="AA35" s="37">
        <f>$Z$29*_xll.RtGet($AD$32,$AD$33&amp;$Y35&amp;$AD$34,AA$30)</f>
        <v>0.68</v>
      </c>
      <c r="AF35" s="38">
        <f t="shared" si="20"/>
        <v>0.63</v>
      </c>
      <c r="AG35" s="104">
        <f t="shared" si="21"/>
        <v>5</v>
      </c>
      <c r="AH35" s="104">
        <f t="shared" si="22"/>
        <v>5</v>
      </c>
      <c r="AI35" s="37">
        <f t="shared" si="23"/>
        <v>0.63</v>
      </c>
      <c r="AJ35" s="159">
        <f t="shared" si="28"/>
        <v>5</v>
      </c>
      <c r="AK35" s="153">
        <f t="shared" si="24"/>
        <v>5</v>
      </c>
      <c r="AL35" s="153">
        <f t="shared" si="29"/>
        <v>5</v>
      </c>
      <c r="AM35" s="153" t="b">
        <f t="shared" si="25"/>
        <v>1</v>
      </c>
      <c r="AN35" s="160">
        <f t="shared" si="26"/>
        <v>5</v>
      </c>
      <c r="AO35" s="159">
        <f t="array" ref="AO35:AP35">IF(AM35,INDEX($AH$31:$AI$72,AN35,0),"")</f>
        <v>5</v>
      </c>
      <c r="AP35" s="160">
        <v>0.63</v>
      </c>
      <c r="AQ35" s="159">
        <f t="shared" si="27"/>
        <v>5</v>
      </c>
      <c r="AR35" s="167">
        <v>0.63</v>
      </c>
    </row>
    <row r="36" spans="1:44" ht="11.25" customHeight="1" x14ac:dyDescent="0.2">
      <c r="A36" s="33"/>
      <c r="B36" s="83" t="s">
        <v>120</v>
      </c>
      <c r="C36" s="82"/>
      <c r="E36" s="52" t="b">
        <f t="shared" si="15"/>
        <v>0</v>
      </c>
      <c r="F36" s="51" t="str">
        <f t="shared" si="16"/>
        <v/>
      </c>
      <c r="G36" s="34"/>
      <c r="I36" s="50" t="e">
        <f t="shared" si="17"/>
        <v>#VALUE!</v>
      </c>
      <c r="J36" s="48"/>
      <c r="K36" s="49"/>
      <c r="L36" s="48" t="e">
        <f t="shared" si="10"/>
        <v>#VALUE!</v>
      </c>
      <c r="M36" s="38">
        <f t="shared" si="18"/>
        <v>11</v>
      </c>
      <c r="N36" s="37" t="str">
        <f t="shared" si="11"/>
        <v/>
      </c>
      <c r="O36" s="38" t="str">
        <f t="shared" si="19"/>
        <v/>
      </c>
      <c r="P36" s="37" t="str">
        <f t="shared" si="12"/>
        <v/>
      </c>
      <c r="Q36"/>
      <c r="R36" s="47" t="str">
        <f t="shared" si="13"/>
        <v/>
      </c>
      <c r="S36" s="46" t="str">
        <f t="shared" si="14"/>
        <v/>
      </c>
      <c r="U36" s="56" t="e">
        <v>#N/A</v>
      </c>
      <c r="V36" s="55" t="e">
        <v>#N/A</v>
      </c>
      <c r="Y36" s="194">
        <v>7</v>
      </c>
      <c r="Z36" s="38">
        <f>$Z$29*_xll.RtGet($AD$32,$AD$33&amp;$Y36&amp;$AD$34,Z$30)</f>
        <v>0.61499999999999999</v>
      </c>
      <c r="AA36" s="37">
        <f>$Z$29*_xll.RtGet($AD$32,$AD$33&amp;$Y36&amp;$AD$34,AA$30)</f>
        <v>0.71499999999999997</v>
      </c>
      <c r="AF36" s="38">
        <f t="shared" si="20"/>
        <v>0.66500000000000004</v>
      </c>
      <c r="AG36" s="104">
        <f t="shared" si="21"/>
        <v>7</v>
      </c>
      <c r="AH36" s="104">
        <f t="shared" si="22"/>
        <v>7</v>
      </c>
      <c r="AI36" s="37">
        <f t="shared" si="23"/>
        <v>0.66500000000000004</v>
      </c>
      <c r="AJ36" s="159">
        <f t="shared" si="28"/>
        <v>6</v>
      </c>
      <c r="AK36" s="153">
        <f t="shared" si="24"/>
        <v>6</v>
      </c>
      <c r="AL36" s="153">
        <f t="shared" si="29"/>
        <v>6</v>
      </c>
      <c r="AM36" s="153" t="b">
        <f t="shared" si="25"/>
        <v>1</v>
      </c>
      <c r="AN36" s="160">
        <f t="shared" si="26"/>
        <v>6</v>
      </c>
      <c r="AO36" s="159">
        <f t="array" ref="AO36:AP36">IF(AM36,INDEX($AH$31:$AI$72,AN36,0),"")</f>
        <v>7</v>
      </c>
      <c r="AP36" s="160">
        <v>0.66500000000000004</v>
      </c>
      <c r="AQ36" s="159">
        <f t="shared" si="27"/>
        <v>6</v>
      </c>
      <c r="AR36" s="167">
        <v>0.64963924632352943</v>
      </c>
    </row>
    <row r="37" spans="1:44" ht="11.25" customHeight="1" x14ac:dyDescent="0.2">
      <c r="A37" s="33"/>
      <c r="B37" s="83" t="s">
        <v>121</v>
      </c>
      <c r="C37" s="82"/>
      <c r="E37" s="52" t="b">
        <f t="shared" si="15"/>
        <v>0</v>
      </c>
      <c r="F37" s="51" t="str">
        <f t="shared" si="16"/>
        <v/>
      </c>
      <c r="G37" s="34"/>
      <c r="I37" s="50" t="e">
        <f t="shared" si="17"/>
        <v>#VALUE!</v>
      </c>
      <c r="J37" s="48"/>
      <c r="K37" s="49"/>
      <c r="L37" s="48" t="e">
        <f t="shared" si="10"/>
        <v>#VALUE!</v>
      </c>
      <c r="M37" s="38">
        <f t="shared" si="18"/>
        <v>12</v>
      </c>
      <c r="N37" s="37" t="str">
        <f t="shared" si="11"/>
        <v/>
      </c>
      <c r="O37" s="38" t="str">
        <f t="shared" si="19"/>
        <v/>
      </c>
      <c r="P37" s="37" t="str">
        <f t="shared" si="12"/>
        <v/>
      </c>
      <c r="Q37"/>
      <c r="R37" s="47" t="str">
        <f t="shared" si="13"/>
        <v/>
      </c>
      <c r="S37" s="46" t="str">
        <f t="shared" si="14"/>
        <v/>
      </c>
      <c r="U37" s="56" t="e">
        <v>#N/A</v>
      </c>
      <c r="V37" s="55" t="e">
        <v>#N/A</v>
      </c>
      <c r="Y37" s="194">
        <v>10</v>
      </c>
      <c r="Z37" s="38">
        <f>$Z$29*_xll.RtGet($AD$32,$AD$33&amp;$Y37&amp;$AD$34,Z$30)</f>
        <v>0.64249999999999996</v>
      </c>
      <c r="AA37" s="37">
        <f>$Z$29*_xll.RtGet($AD$32,$AD$33&amp;$Y37&amp;$AD$34,AA$30)</f>
        <v>0.74250000000000005</v>
      </c>
      <c r="AF37" s="38">
        <f t="shared" si="20"/>
        <v>0.6925</v>
      </c>
      <c r="AG37" s="104">
        <f t="shared" si="21"/>
        <v>10</v>
      </c>
      <c r="AH37" s="104">
        <f t="shared" si="22"/>
        <v>10</v>
      </c>
      <c r="AI37" s="37">
        <f t="shared" si="23"/>
        <v>0.6925</v>
      </c>
      <c r="AJ37" s="159">
        <f t="shared" si="28"/>
        <v>7</v>
      </c>
      <c r="AK37" s="153">
        <f t="shared" si="24"/>
        <v>7</v>
      </c>
      <c r="AL37" s="153">
        <f t="shared" si="29"/>
        <v>7</v>
      </c>
      <c r="AM37" s="153" t="b">
        <f t="shared" si="25"/>
        <v>1</v>
      </c>
      <c r="AN37" s="160">
        <f t="shared" si="26"/>
        <v>7</v>
      </c>
      <c r="AO37" s="159">
        <f t="array" ref="AO37:AP37">IF(AM37,INDEX($AH$31:$AI$72,AN37,0),"")</f>
        <v>10</v>
      </c>
      <c r="AP37" s="160">
        <v>0.6925</v>
      </c>
      <c r="AQ37" s="159">
        <f t="shared" si="27"/>
        <v>7</v>
      </c>
      <c r="AR37" s="167">
        <v>0.66500000000000004</v>
      </c>
    </row>
    <row r="38" spans="1:44" ht="11.25" customHeight="1" x14ac:dyDescent="0.2">
      <c r="A38" s="33"/>
      <c r="B38" s="83" t="s">
        <v>122</v>
      </c>
      <c r="C38" s="82"/>
      <c r="E38" s="52" t="b">
        <f t="shared" si="15"/>
        <v>0</v>
      </c>
      <c r="F38" s="51" t="str">
        <f t="shared" si="16"/>
        <v/>
      </c>
      <c r="G38" s="34"/>
      <c r="I38" s="50" t="e">
        <f t="shared" si="17"/>
        <v>#VALUE!</v>
      </c>
      <c r="J38" s="48"/>
      <c r="K38" s="49"/>
      <c r="L38" s="48" t="e">
        <f t="shared" si="10"/>
        <v>#VALUE!</v>
      </c>
      <c r="M38" s="38">
        <f t="shared" si="18"/>
        <v>13</v>
      </c>
      <c r="N38" s="37" t="str">
        <f t="shared" si="11"/>
        <v/>
      </c>
      <c r="O38" s="38" t="str">
        <f t="shared" si="19"/>
        <v/>
      </c>
      <c r="P38" s="37" t="str">
        <f t="shared" si="12"/>
        <v/>
      </c>
      <c r="Q38"/>
      <c r="R38" s="47" t="str">
        <f t="shared" si="13"/>
        <v/>
      </c>
      <c r="S38" s="46" t="str">
        <f t="shared" si="14"/>
        <v/>
      </c>
      <c r="U38" s="56" t="e">
        <v>#N/A</v>
      </c>
      <c r="V38" s="55" t="e">
        <v>#N/A</v>
      </c>
      <c r="Y38" s="194">
        <v>15</v>
      </c>
      <c r="Z38" s="38">
        <f>$Z$29*_xll.RtGet($AD$32,$AD$33&amp;$Y38&amp;$AD$34,Z$30)</f>
        <v>0.57500000000000007</v>
      </c>
      <c r="AA38" s="37">
        <f>$Z$29*_xll.RtGet($AD$32,$AD$33&amp;$Y38&amp;$AD$34,AA$30)</f>
        <v>0.67500000000000004</v>
      </c>
      <c r="AF38" s="38">
        <f t="shared" si="20"/>
        <v>0.625</v>
      </c>
      <c r="AG38" s="104">
        <f t="shared" si="21"/>
        <v>15</v>
      </c>
      <c r="AH38" s="104">
        <f t="shared" si="22"/>
        <v>15</v>
      </c>
      <c r="AI38" s="37">
        <f t="shared" si="23"/>
        <v>0.625</v>
      </c>
      <c r="AJ38" s="159">
        <f t="shared" si="28"/>
        <v>8</v>
      </c>
      <c r="AK38" s="153">
        <f t="shared" si="24"/>
        <v>8</v>
      </c>
      <c r="AL38" s="153">
        <f t="shared" si="29"/>
        <v>8</v>
      </c>
      <c r="AM38" s="153" t="b">
        <f t="shared" si="25"/>
        <v>1</v>
      </c>
      <c r="AN38" s="160">
        <f t="shared" si="26"/>
        <v>8</v>
      </c>
      <c r="AO38" s="159">
        <f t="array" ref="AO38:AP38">IF(AM38,INDEX($AH$31:$AI$72,AN38,0),"")</f>
        <v>15</v>
      </c>
      <c r="AP38" s="160">
        <v>0.625</v>
      </c>
      <c r="AQ38" s="159">
        <f t="shared" si="27"/>
        <v>8</v>
      </c>
      <c r="AR38" s="167">
        <v>0.67747685185185191</v>
      </c>
    </row>
    <row r="39" spans="1:44" ht="11.25" customHeight="1" x14ac:dyDescent="0.2">
      <c r="A39" s="33"/>
      <c r="B39" s="81" t="s">
        <v>123</v>
      </c>
      <c r="C39" s="149"/>
      <c r="E39" s="52" t="b">
        <f t="shared" si="15"/>
        <v>0</v>
      </c>
      <c r="F39" s="51" t="str">
        <f t="shared" si="16"/>
        <v/>
      </c>
      <c r="G39" s="34"/>
      <c r="H39" s="34"/>
      <c r="I39" s="50" t="e">
        <f t="shared" si="17"/>
        <v>#VALUE!</v>
      </c>
      <c r="J39" s="48"/>
      <c r="K39" s="49"/>
      <c r="L39" s="48" t="e">
        <f t="shared" si="10"/>
        <v>#VALUE!</v>
      </c>
      <c r="M39" s="38">
        <f t="shared" si="18"/>
        <v>14</v>
      </c>
      <c r="N39" s="37" t="str">
        <f t="shared" si="11"/>
        <v/>
      </c>
      <c r="O39" s="38" t="str">
        <f t="shared" si="19"/>
        <v/>
      </c>
      <c r="P39" s="37" t="str">
        <f t="shared" si="12"/>
        <v/>
      </c>
      <c r="Q39"/>
      <c r="R39" s="47" t="str">
        <f t="shared" si="13"/>
        <v/>
      </c>
      <c r="S39" s="46" t="str">
        <f t="shared" si="14"/>
        <v/>
      </c>
      <c r="U39" s="56" t="e">
        <v>#N/A</v>
      </c>
      <c r="V39" s="55" t="e">
        <v>#N/A</v>
      </c>
      <c r="Y39" s="194">
        <v>20</v>
      </c>
      <c r="Z39" s="38">
        <f>$Z$29*_xll.RtGet($AD$32,$AD$33&amp;$Y39&amp;$AD$34,Z$30)</f>
        <v>0.4375</v>
      </c>
      <c r="AA39" s="37">
        <f>$Z$29*_xll.RtGet($AD$32,$AD$33&amp;$Y39&amp;$AD$34,AA$30)</f>
        <v>0.53749999999999998</v>
      </c>
      <c r="AF39" s="38">
        <f t="shared" si="20"/>
        <v>0.48749999999999999</v>
      </c>
      <c r="AG39" s="104">
        <f t="shared" si="21"/>
        <v>20</v>
      </c>
      <c r="AH39" s="104">
        <f t="shared" si="22"/>
        <v>20</v>
      </c>
      <c r="AI39" s="37">
        <f t="shared" si="23"/>
        <v>0.48749999999999999</v>
      </c>
      <c r="AJ39" s="159">
        <f t="shared" si="28"/>
        <v>9</v>
      </c>
      <c r="AK39" s="153">
        <f t="shared" si="24"/>
        <v>9</v>
      </c>
      <c r="AL39" s="153">
        <f t="shared" si="29"/>
        <v>9</v>
      </c>
      <c r="AM39" s="153" t="b">
        <f t="shared" si="25"/>
        <v>1</v>
      </c>
      <c r="AN39" s="160">
        <f t="shared" si="26"/>
        <v>9</v>
      </c>
      <c r="AO39" s="159">
        <f t="array" ref="AO39:AP39">IF(AM39,INDEX($AH$31:$AI$72,AN39,0),"")</f>
        <v>20</v>
      </c>
      <c r="AP39" s="160">
        <v>0.48749999999999999</v>
      </c>
      <c r="AQ39" s="159">
        <f t="shared" si="27"/>
        <v>9</v>
      </c>
      <c r="AR39" s="167">
        <v>0.68804398148148149</v>
      </c>
    </row>
    <row r="40" spans="1:44" ht="11.25" customHeight="1" x14ac:dyDescent="0.2">
      <c r="A40" s="33"/>
      <c r="B40" s="80" t="s">
        <v>83</v>
      </c>
      <c r="C40" s="79" t="s">
        <v>22</v>
      </c>
      <c r="D40" s="63"/>
      <c r="E40" s="52" t="b">
        <f t="shared" si="15"/>
        <v>0</v>
      </c>
      <c r="F40" s="51" t="str">
        <f t="shared" si="16"/>
        <v/>
      </c>
      <c r="G40" s="34"/>
      <c r="H40" s="34"/>
      <c r="I40" s="50" t="e">
        <f t="shared" si="17"/>
        <v>#VALUE!</v>
      </c>
      <c r="J40" s="48"/>
      <c r="K40" s="49"/>
      <c r="L40" s="48" t="e">
        <f t="shared" si="10"/>
        <v>#VALUE!</v>
      </c>
      <c r="M40" s="38">
        <f t="shared" si="18"/>
        <v>15</v>
      </c>
      <c r="N40" s="37" t="str">
        <f t="shared" si="11"/>
        <v/>
      </c>
      <c r="O40" s="38" t="str">
        <f t="shared" si="19"/>
        <v/>
      </c>
      <c r="P40" s="37" t="str">
        <f t="shared" si="12"/>
        <v/>
      </c>
      <c r="Q40"/>
      <c r="R40" s="47" t="str">
        <f t="shared" si="13"/>
        <v/>
      </c>
      <c r="S40" s="46" t="str">
        <f t="shared" si="14"/>
        <v/>
      </c>
      <c r="U40" s="56" t="e">
        <v>#N/A</v>
      </c>
      <c r="V40" s="55" t="e">
        <v>#N/A</v>
      </c>
      <c r="Y40" s="194"/>
      <c r="Z40" s="38" t="e">
        <f>$Z$29*_xll.RtGet($AD$32,$AD$33&amp;$Y40&amp;$AD$34,Z$30)</f>
        <v>#VALUE!</v>
      </c>
      <c r="AA40" s="37" t="e">
        <f>$Z$29*_xll.RtGet($AD$32,$AD$33&amp;$Y40&amp;$AD$34,AA$30)</f>
        <v>#VALUE!</v>
      </c>
      <c r="AF40" s="38" t="e">
        <f t="shared" si="20"/>
        <v>#VALUE!</v>
      </c>
      <c r="AG40" s="104" t="str">
        <f t="shared" si="21"/>
        <v/>
      </c>
      <c r="AH40" s="104" t="str">
        <f t="shared" si="22"/>
        <v/>
      </c>
      <c r="AI40" s="37" t="str">
        <f t="shared" si="23"/>
        <v/>
      </c>
      <c r="AJ40" s="159">
        <f t="shared" si="28"/>
        <v>10</v>
      </c>
      <c r="AK40" s="153" t="str">
        <f t="shared" si="24"/>
        <v/>
      </c>
      <c r="AL40" s="153">
        <f t="shared" si="29"/>
        <v>10</v>
      </c>
      <c r="AM40" s="153" t="b">
        <f t="shared" si="25"/>
        <v>1</v>
      </c>
      <c r="AN40" s="160">
        <f t="shared" si="26"/>
        <v>42</v>
      </c>
      <c r="AO40" s="159">
        <f t="array" ref="AO40:AP40">IF(AM40,INDEX($AH$31:$AI$72,AN40,0),"")</f>
        <v>30</v>
      </c>
      <c r="AP40" s="160">
        <v>0.48749999999999999</v>
      </c>
      <c r="AQ40" s="159">
        <f t="shared" si="27"/>
        <v>10</v>
      </c>
      <c r="AR40" s="167">
        <v>0.6925</v>
      </c>
    </row>
    <row r="41" spans="1:44" ht="11.25" customHeight="1" x14ac:dyDescent="0.2">
      <c r="A41"/>
      <c r="B41"/>
      <c r="C41"/>
      <c r="D41"/>
      <c r="E41" s="52" t="b">
        <f t="shared" si="15"/>
        <v>0</v>
      </c>
      <c r="F41" s="51" t="str">
        <f t="shared" si="16"/>
        <v/>
      </c>
      <c r="G41" s="34"/>
      <c r="H41" s="34"/>
      <c r="I41" s="50" t="e">
        <f t="shared" si="17"/>
        <v>#VALUE!</v>
      </c>
      <c r="J41" s="48"/>
      <c r="K41" s="49"/>
      <c r="L41" s="48" t="e">
        <f t="shared" si="10"/>
        <v>#VALUE!</v>
      </c>
      <c r="M41" s="38">
        <f t="shared" si="18"/>
        <v>16</v>
      </c>
      <c r="N41" s="37" t="str">
        <f t="shared" si="11"/>
        <v/>
      </c>
      <c r="O41" s="38" t="str">
        <f t="shared" si="19"/>
        <v/>
      </c>
      <c r="P41" s="37" t="str">
        <f t="shared" si="12"/>
        <v/>
      </c>
      <c r="Q41"/>
      <c r="R41" s="47" t="str">
        <f t="shared" si="13"/>
        <v/>
      </c>
      <c r="S41" s="46" t="str">
        <f t="shared" si="14"/>
        <v/>
      </c>
      <c r="U41" s="56" t="e">
        <v>#N/A</v>
      </c>
      <c r="V41" s="55" t="e">
        <v>#N/A</v>
      </c>
      <c r="Y41" s="194"/>
      <c r="Z41" s="38" t="e">
        <f>$Z$29*_xll.RtGet($AD$32,$AD$33&amp;$Y41&amp;$AD$34,Z$30)</f>
        <v>#VALUE!</v>
      </c>
      <c r="AA41" s="37" t="e">
        <f>$Z$29*_xll.RtGet($AD$32,$AD$33&amp;$Y41&amp;$AD$34,AA$30)</f>
        <v>#VALUE!</v>
      </c>
      <c r="AF41" s="38" t="e">
        <f t="shared" si="20"/>
        <v>#VALUE!</v>
      </c>
      <c r="AG41" s="104" t="str">
        <f t="shared" si="21"/>
        <v/>
      </c>
      <c r="AH41" s="104" t="str">
        <f t="shared" si="22"/>
        <v/>
      </c>
      <c r="AI41" s="37" t="str">
        <f t="shared" si="23"/>
        <v/>
      </c>
      <c r="AJ41" s="159">
        <f t="shared" si="28"/>
        <v>11</v>
      </c>
      <c r="AK41" s="153" t="str">
        <f t="shared" si="24"/>
        <v/>
      </c>
      <c r="AL41" s="153" t="str">
        <f t="shared" si="29"/>
        <v/>
      </c>
      <c r="AM41" s="153" t="b">
        <f t="shared" si="25"/>
        <v>0</v>
      </c>
      <c r="AN41" s="160" t="str">
        <f t="shared" si="26"/>
        <v/>
      </c>
      <c r="AO41" s="159" t="str">
        <f t="array" ref="AO41:AP41">IF(AM41,INDEX($AH$31:$AI$72,AN41,0),"")</f>
        <v/>
      </c>
      <c r="AP41" s="160" t="str">
        <v/>
      </c>
      <c r="AQ41" s="159">
        <f t="shared" si="27"/>
        <v>11</v>
      </c>
      <c r="AR41" s="167">
        <v>0.68837756097560976</v>
      </c>
    </row>
    <row r="42" spans="1:44" ht="11.25" customHeight="1" x14ac:dyDescent="0.2">
      <c r="A42"/>
      <c r="B42"/>
      <c r="C42"/>
      <c r="D42"/>
      <c r="E42" s="52" t="b">
        <f t="shared" si="15"/>
        <v>0</v>
      </c>
      <c r="F42" s="51" t="str">
        <f t="shared" si="16"/>
        <v/>
      </c>
      <c r="G42" s="34"/>
      <c r="H42" s="34"/>
      <c r="I42" s="50" t="e">
        <f t="shared" si="17"/>
        <v>#VALUE!</v>
      </c>
      <c r="J42" s="48"/>
      <c r="K42" s="49"/>
      <c r="L42" s="48" t="e">
        <f t="shared" si="10"/>
        <v>#VALUE!</v>
      </c>
      <c r="M42" s="38">
        <f t="shared" si="18"/>
        <v>17</v>
      </c>
      <c r="N42" s="37" t="str">
        <f t="shared" si="11"/>
        <v/>
      </c>
      <c r="O42" s="38" t="str">
        <f t="shared" si="19"/>
        <v/>
      </c>
      <c r="P42" s="37" t="str">
        <f t="shared" si="12"/>
        <v/>
      </c>
      <c r="Q42"/>
      <c r="R42" s="47" t="str">
        <f t="shared" si="13"/>
        <v/>
      </c>
      <c r="S42" s="46" t="str">
        <f t="shared" si="14"/>
        <v/>
      </c>
      <c r="U42" s="56" t="e">
        <v>#N/A</v>
      </c>
      <c r="V42" s="55" t="e">
        <v>#N/A</v>
      </c>
      <c r="Y42" s="194"/>
      <c r="Z42" s="38" t="e">
        <f>$Z$29*_xll.RtGet($AD$32,$AD$33&amp;$Y42&amp;$AD$34,Z$30)</f>
        <v>#VALUE!</v>
      </c>
      <c r="AA42" s="37" t="e">
        <f>$Z$29*_xll.RtGet($AD$32,$AD$33&amp;$Y42&amp;$AD$34,AA$30)</f>
        <v>#VALUE!</v>
      </c>
      <c r="AF42" s="38" t="e">
        <f t="shared" si="20"/>
        <v>#VALUE!</v>
      </c>
      <c r="AG42" s="104" t="str">
        <f t="shared" si="21"/>
        <v/>
      </c>
      <c r="AH42" s="104" t="str">
        <f t="shared" si="22"/>
        <v/>
      </c>
      <c r="AI42" s="37" t="str">
        <f t="shared" si="23"/>
        <v/>
      </c>
      <c r="AJ42" s="159">
        <f t="shared" si="28"/>
        <v>12</v>
      </c>
      <c r="AK42" s="153" t="str">
        <f t="shared" si="24"/>
        <v/>
      </c>
      <c r="AL42" s="153" t="str">
        <f t="shared" si="29"/>
        <v/>
      </c>
      <c r="AM42" s="153" t="b">
        <f t="shared" si="25"/>
        <v>0</v>
      </c>
      <c r="AN42" s="160" t="str">
        <f t="shared" si="26"/>
        <v/>
      </c>
      <c r="AO42" s="159" t="str">
        <f t="array" ref="AO42:AP42">IF(AM42,INDEX($AH$31:$AI$72,AN42,0),"")</f>
        <v/>
      </c>
      <c r="AP42" s="160" t="str">
        <v/>
      </c>
      <c r="AQ42" s="159">
        <f t="shared" si="27"/>
        <v>12</v>
      </c>
      <c r="AR42" s="167">
        <v>0.67743268292682923</v>
      </c>
    </row>
    <row r="43" spans="1:44" ht="11.25" customHeight="1" x14ac:dyDescent="0.2">
      <c r="A43"/>
      <c r="B43" s="214" t="s">
        <v>183</v>
      </c>
      <c r="C43" s="212">
        <f>COUNT(V3:V79)</f>
        <v>22</v>
      </c>
      <c r="D43"/>
      <c r="E43" s="52" t="b">
        <f t="shared" si="15"/>
        <v>0</v>
      </c>
      <c r="F43" s="51" t="str">
        <f t="shared" si="16"/>
        <v/>
      </c>
      <c r="G43" s="34"/>
      <c r="H43" s="34"/>
      <c r="I43" s="50" t="e">
        <f t="shared" si="17"/>
        <v>#VALUE!</v>
      </c>
      <c r="J43" s="48"/>
      <c r="K43" s="49"/>
      <c r="L43" s="48" t="e">
        <f t="shared" si="10"/>
        <v>#VALUE!</v>
      </c>
      <c r="M43" s="38">
        <f t="shared" si="18"/>
        <v>18</v>
      </c>
      <c r="N43" s="37" t="str">
        <f t="shared" si="11"/>
        <v/>
      </c>
      <c r="O43" s="38" t="str">
        <f t="shared" si="19"/>
        <v/>
      </c>
      <c r="P43" s="37" t="str">
        <f t="shared" si="12"/>
        <v/>
      </c>
      <c r="Q43"/>
      <c r="R43" s="47" t="str">
        <f t="shared" si="13"/>
        <v/>
      </c>
      <c r="S43" s="46" t="str">
        <f t="shared" si="14"/>
        <v/>
      </c>
      <c r="U43" s="56" t="e">
        <v>#N/A</v>
      </c>
      <c r="V43" s="55" t="e">
        <v>#N/A</v>
      </c>
      <c r="Y43" s="194"/>
      <c r="Z43" s="38" t="e">
        <f>$Z$29*_xll.RtGet($AD$32,$AD$33&amp;$Y43&amp;$AD$34,Z$30)</f>
        <v>#VALUE!</v>
      </c>
      <c r="AA43" s="37" t="e">
        <f>$Z$29*_xll.RtGet($AD$32,$AD$33&amp;$Y43&amp;$AD$34,AA$30)</f>
        <v>#VALUE!</v>
      </c>
      <c r="AF43" s="38" t="e">
        <f t="shared" si="20"/>
        <v>#VALUE!</v>
      </c>
      <c r="AG43" s="104" t="str">
        <f t="shared" si="21"/>
        <v/>
      </c>
      <c r="AH43" s="104" t="str">
        <f t="shared" si="22"/>
        <v/>
      </c>
      <c r="AI43" s="37" t="str">
        <f t="shared" si="23"/>
        <v/>
      </c>
      <c r="AJ43" s="159">
        <f t="shared" si="28"/>
        <v>13</v>
      </c>
      <c r="AK43" s="153" t="str">
        <f t="shared" si="24"/>
        <v/>
      </c>
      <c r="AL43" s="153" t="str">
        <f t="shared" si="29"/>
        <v/>
      </c>
      <c r="AM43" s="153" t="b">
        <f t="shared" si="25"/>
        <v>0</v>
      </c>
      <c r="AN43" s="160" t="str">
        <f t="shared" si="26"/>
        <v/>
      </c>
      <c r="AO43" s="159" t="str">
        <f t="array" ref="AO43:AP43">IF(AM43,INDEX($AH$31:$AI$72,AN43,0),"")</f>
        <v/>
      </c>
      <c r="AP43" s="160" t="str">
        <v/>
      </c>
      <c r="AQ43" s="159">
        <f t="shared" si="27"/>
        <v>13</v>
      </c>
      <c r="AR43" s="167">
        <v>0.66179902439024385</v>
      </c>
    </row>
    <row r="44" spans="1:44" ht="11.25" customHeight="1" x14ac:dyDescent="0.2">
      <c r="A44"/>
      <c r="B44" s="215" t="s">
        <v>91</v>
      </c>
      <c r="C44" s="197" t="s">
        <v>184</v>
      </c>
      <c r="D44"/>
      <c r="E44" s="52" t="b">
        <f t="shared" si="15"/>
        <v>0</v>
      </c>
      <c r="F44" s="51" t="str">
        <f t="shared" si="16"/>
        <v/>
      </c>
      <c r="G44" s="34"/>
      <c r="H44" s="34"/>
      <c r="I44" s="50" t="e">
        <f t="shared" si="17"/>
        <v>#VALUE!</v>
      </c>
      <c r="J44" s="48"/>
      <c r="K44" s="49"/>
      <c r="L44" s="48" t="e">
        <f t="shared" si="10"/>
        <v>#VALUE!</v>
      </c>
      <c r="M44" s="38">
        <f t="shared" si="18"/>
        <v>19</v>
      </c>
      <c r="N44" s="37" t="str">
        <f t="shared" si="11"/>
        <v/>
      </c>
      <c r="O44" s="38" t="str">
        <f t="shared" si="19"/>
        <v/>
      </c>
      <c r="P44" s="37" t="str">
        <f t="shared" si="12"/>
        <v/>
      </c>
      <c r="Q44"/>
      <c r="R44" s="47" t="str">
        <f t="shared" si="13"/>
        <v/>
      </c>
      <c r="S44" s="46" t="str">
        <f t="shared" si="14"/>
        <v/>
      </c>
      <c r="U44" s="56" t="e">
        <v>#N/A</v>
      </c>
      <c r="V44" s="55" t="e">
        <v>#N/A</v>
      </c>
      <c r="Y44" s="194"/>
      <c r="Z44" s="38" t="e">
        <f>$Z$29*_xll.RtGet($AD$32,$AD$33&amp;$Y44&amp;$AD$34,Z$30)</f>
        <v>#VALUE!</v>
      </c>
      <c r="AA44" s="37" t="e">
        <f>$Z$29*_xll.RtGet($AD$32,$AD$33&amp;$Y44&amp;$AD$34,AA$30)</f>
        <v>#VALUE!</v>
      </c>
      <c r="AF44" s="38" t="e">
        <f t="shared" si="20"/>
        <v>#VALUE!</v>
      </c>
      <c r="AG44" s="104" t="str">
        <f t="shared" si="21"/>
        <v/>
      </c>
      <c r="AH44" s="104" t="str">
        <f t="shared" si="22"/>
        <v/>
      </c>
      <c r="AI44" s="37" t="str">
        <f t="shared" si="23"/>
        <v/>
      </c>
      <c r="AJ44" s="159">
        <f t="shared" si="28"/>
        <v>14</v>
      </c>
      <c r="AK44" s="153" t="str">
        <f t="shared" si="24"/>
        <v/>
      </c>
      <c r="AL44" s="153" t="str">
        <f t="shared" si="29"/>
        <v/>
      </c>
      <c r="AM44" s="153" t="b">
        <f t="shared" si="25"/>
        <v>0</v>
      </c>
      <c r="AN44" s="160" t="str">
        <f t="shared" si="26"/>
        <v/>
      </c>
      <c r="AO44" s="159" t="str">
        <f t="array" ref="AO44:AP44">IF(AM44,INDEX($AH$31:$AI$72,AN44,0),"")</f>
        <v/>
      </c>
      <c r="AP44" s="160" t="str">
        <v/>
      </c>
      <c r="AQ44" s="159">
        <f t="shared" si="27"/>
        <v>14</v>
      </c>
      <c r="AR44" s="167">
        <v>0.64361024390243904</v>
      </c>
    </row>
    <row r="45" spans="1:44" ht="11.25" customHeight="1" x14ac:dyDescent="0.2">
      <c r="A45"/>
      <c r="B45" s="215" t="s">
        <v>174</v>
      </c>
      <c r="C45" s="197" t="s">
        <v>178</v>
      </c>
      <c r="D45"/>
      <c r="E45" s="52" t="b">
        <f t="shared" si="15"/>
        <v>0</v>
      </c>
      <c r="F45" s="51" t="str">
        <f t="shared" si="16"/>
        <v/>
      </c>
      <c r="G45" s="34"/>
      <c r="H45" s="34"/>
      <c r="I45" s="50" t="e">
        <f t="shared" si="17"/>
        <v>#VALUE!</v>
      </c>
      <c r="J45" s="48"/>
      <c r="K45" s="49"/>
      <c r="L45" s="48" t="e">
        <f t="shared" si="10"/>
        <v>#VALUE!</v>
      </c>
      <c r="M45" s="38">
        <f t="shared" si="18"/>
        <v>20</v>
      </c>
      <c r="N45" s="37" t="str">
        <f t="shared" si="11"/>
        <v/>
      </c>
      <c r="O45" s="38" t="str">
        <f t="shared" si="19"/>
        <v/>
      </c>
      <c r="P45" s="37" t="str">
        <f t="shared" si="12"/>
        <v/>
      </c>
      <c r="Q45"/>
      <c r="R45" s="47" t="str">
        <f t="shared" si="13"/>
        <v/>
      </c>
      <c r="S45" s="46" t="str">
        <f t="shared" si="14"/>
        <v/>
      </c>
      <c r="U45" s="56" t="e">
        <v>#N/A</v>
      </c>
      <c r="V45" s="55" t="e">
        <v>#N/A</v>
      </c>
      <c r="Y45" s="194"/>
      <c r="Z45" s="38" t="e">
        <f>$Z$29*_xll.RtGet($AD$32,$AD$33&amp;$Y45&amp;$AD$34,Z$30)</f>
        <v>#VALUE!</v>
      </c>
      <c r="AA45" s="37" t="e">
        <f>$Z$29*_xll.RtGet($AD$32,$AD$33&amp;$Y45&amp;$AD$34,AA$30)</f>
        <v>#VALUE!</v>
      </c>
      <c r="AF45" s="38" t="e">
        <f t="shared" si="20"/>
        <v>#VALUE!</v>
      </c>
      <c r="AG45" s="104" t="str">
        <f t="shared" si="21"/>
        <v/>
      </c>
      <c r="AH45" s="104" t="str">
        <f t="shared" si="22"/>
        <v/>
      </c>
      <c r="AI45" s="37" t="str">
        <f t="shared" si="23"/>
        <v/>
      </c>
      <c r="AJ45" s="159">
        <f t="shared" si="28"/>
        <v>15</v>
      </c>
      <c r="AK45" s="153" t="str">
        <f t="shared" si="24"/>
        <v/>
      </c>
      <c r="AL45" s="153" t="str">
        <f t="shared" si="29"/>
        <v/>
      </c>
      <c r="AM45" s="153" t="b">
        <f t="shared" si="25"/>
        <v>0</v>
      </c>
      <c r="AN45" s="160" t="str">
        <f t="shared" si="26"/>
        <v/>
      </c>
      <c r="AO45" s="159" t="str">
        <f t="array" ref="AO45:AP45">IF(AM45,INDEX($AH$31:$AI$72,AN45,0),"")</f>
        <v/>
      </c>
      <c r="AP45" s="160" t="str">
        <v/>
      </c>
      <c r="AQ45" s="159">
        <f t="shared" si="27"/>
        <v>15</v>
      </c>
      <c r="AR45" s="167">
        <v>0.625</v>
      </c>
    </row>
    <row r="46" spans="1:44" ht="11.25" customHeight="1" x14ac:dyDescent="0.2">
      <c r="A46"/>
      <c r="B46" s="215" t="s">
        <v>175</v>
      </c>
      <c r="C46" s="197" t="s">
        <v>179</v>
      </c>
      <c r="D46"/>
      <c r="E46" s="52" t="b">
        <f t="shared" si="15"/>
        <v>0</v>
      </c>
      <c r="F46" s="51" t="str">
        <f t="shared" si="16"/>
        <v/>
      </c>
      <c r="G46" s="34"/>
      <c r="H46" s="34"/>
      <c r="I46" s="50" t="e">
        <f t="shared" si="17"/>
        <v>#VALUE!</v>
      </c>
      <c r="J46" s="48"/>
      <c r="K46" s="49"/>
      <c r="L46" s="48" t="e">
        <f t="shared" si="10"/>
        <v>#VALUE!</v>
      </c>
      <c r="M46" s="38">
        <f t="shared" si="18"/>
        <v>21</v>
      </c>
      <c r="N46" s="37" t="str">
        <f t="shared" si="11"/>
        <v/>
      </c>
      <c r="O46" s="38" t="str">
        <f t="shared" si="19"/>
        <v/>
      </c>
      <c r="P46" s="37" t="str">
        <f t="shared" si="12"/>
        <v/>
      </c>
      <c r="Q46"/>
      <c r="R46" s="47" t="str">
        <f t="shared" si="13"/>
        <v/>
      </c>
      <c r="S46" s="46" t="str">
        <f t="shared" si="14"/>
        <v/>
      </c>
      <c r="U46" s="56" t="e">
        <v>#N/A</v>
      </c>
      <c r="V46" s="55" t="e">
        <v>#N/A</v>
      </c>
      <c r="Y46" s="194"/>
      <c r="Z46" s="38" t="e">
        <f>$Z$29*_xll.RtGet($AD$32,$AD$33&amp;$Y46&amp;$AD$34,Z$30)</f>
        <v>#VALUE!</v>
      </c>
      <c r="AA46" s="37" t="e">
        <f>$Z$29*_xll.RtGet($AD$32,$AD$33&amp;$Y46&amp;$AD$34,AA$30)</f>
        <v>#VALUE!</v>
      </c>
      <c r="AF46" s="38" t="e">
        <f t="shared" si="20"/>
        <v>#VALUE!</v>
      </c>
      <c r="AG46" s="104" t="str">
        <f t="shared" si="21"/>
        <v/>
      </c>
      <c r="AH46" s="104" t="str">
        <f t="shared" si="22"/>
        <v/>
      </c>
      <c r="AI46" s="37" t="str">
        <f t="shared" si="23"/>
        <v/>
      </c>
      <c r="AJ46" s="159">
        <f t="shared" si="28"/>
        <v>16</v>
      </c>
      <c r="AK46" s="153" t="str">
        <f t="shared" si="24"/>
        <v/>
      </c>
      <c r="AL46" s="153" t="str">
        <f t="shared" si="29"/>
        <v/>
      </c>
      <c r="AM46" s="153" t="b">
        <f t="shared" si="25"/>
        <v>0</v>
      </c>
      <c r="AN46" s="160" t="str">
        <f t="shared" si="26"/>
        <v/>
      </c>
      <c r="AO46" s="159" t="str">
        <f t="array" ref="AO46:AP46">IF(AM46,INDEX($AH$31:$AI$72,AN46,0),"")</f>
        <v/>
      </c>
      <c r="AP46" s="160" t="str">
        <v/>
      </c>
      <c r="AQ46" s="159">
        <f t="shared" si="27"/>
        <v>16</v>
      </c>
      <c r="AR46" s="167">
        <v>0.59910975609756101</v>
      </c>
    </row>
    <row r="47" spans="1:44" ht="11.25" customHeight="1" x14ac:dyDescent="0.2">
      <c r="A47"/>
      <c r="B47" s="215" t="s">
        <v>176</v>
      </c>
      <c r="C47" s="197" t="s">
        <v>180</v>
      </c>
      <c r="D47"/>
      <c r="E47" s="52" t="b">
        <f t="shared" si="15"/>
        <v>0</v>
      </c>
      <c r="F47" s="51" t="str">
        <f t="shared" si="16"/>
        <v/>
      </c>
      <c r="G47" s="34"/>
      <c r="H47" s="34"/>
      <c r="I47" s="50" t="e">
        <f t="shared" si="17"/>
        <v>#VALUE!</v>
      </c>
      <c r="J47" s="48"/>
      <c r="K47" s="49"/>
      <c r="L47" s="48" t="e">
        <f t="shared" si="10"/>
        <v>#VALUE!</v>
      </c>
      <c r="M47" s="38">
        <f t="shared" si="18"/>
        <v>22</v>
      </c>
      <c r="N47" s="37" t="str">
        <f t="shared" si="11"/>
        <v/>
      </c>
      <c r="O47" s="38" t="str">
        <f t="shared" si="19"/>
        <v/>
      </c>
      <c r="P47" s="37" t="str">
        <f t="shared" si="12"/>
        <v/>
      </c>
      <c r="Q47" s="34"/>
      <c r="R47" s="47" t="str">
        <f t="shared" si="13"/>
        <v/>
      </c>
      <c r="S47" s="46" t="str">
        <f t="shared" si="14"/>
        <v/>
      </c>
      <c r="U47" s="56" t="e">
        <v>#N/A</v>
      </c>
      <c r="V47" s="55" t="e">
        <v>#N/A</v>
      </c>
      <c r="Y47" s="194"/>
      <c r="Z47" s="38" t="e">
        <f>$Z$29*_xll.RtGet($AD$32,$AD$33&amp;$Y47&amp;$AD$34,Z$30)</f>
        <v>#VALUE!</v>
      </c>
      <c r="AA47" s="37" t="e">
        <f>$Z$29*_xll.RtGet($AD$32,$AD$33&amp;$Y47&amp;$AD$34,AA$30)</f>
        <v>#VALUE!</v>
      </c>
      <c r="AF47" s="38" t="e">
        <f t="shared" si="20"/>
        <v>#VALUE!</v>
      </c>
      <c r="AG47" s="104" t="str">
        <f t="shared" si="21"/>
        <v/>
      </c>
      <c r="AH47" s="104" t="str">
        <f t="shared" si="22"/>
        <v/>
      </c>
      <c r="AI47" s="37" t="str">
        <f t="shared" si="23"/>
        <v/>
      </c>
      <c r="AJ47" s="159">
        <f t="shared" si="28"/>
        <v>17</v>
      </c>
      <c r="AK47" s="153" t="str">
        <f t="shared" si="24"/>
        <v/>
      </c>
      <c r="AL47" s="153" t="str">
        <f t="shared" si="29"/>
        <v/>
      </c>
      <c r="AM47" s="153" t="b">
        <f t="shared" si="25"/>
        <v>0</v>
      </c>
      <c r="AN47" s="160" t="str">
        <f t="shared" si="26"/>
        <v/>
      </c>
      <c r="AO47" s="159" t="str">
        <f t="array" ref="AO47:AP47">IF(AM47,INDEX($AH$31:$AI$72,AN47,0),"")</f>
        <v/>
      </c>
      <c r="AP47" s="160" t="str">
        <v/>
      </c>
      <c r="AQ47" s="159">
        <f t="shared" si="27"/>
        <v>17</v>
      </c>
      <c r="AR47" s="167">
        <v>0.56356097560975604</v>
      </c>
    </row>
    <row r="48" spans="1:44" ht="11.25" customHeight="1" x14ac:dyDescent="0.2">
      <c r="A48"/>
      <c r="B48" s="215" t="s">
        <v>177</v>
      </c>
      <c r="C48" s="197" t="s">
        <v>181</v>
      </c>
      <c r="D48"/>
      <c r="E48" s="52" t="b">
        <f t="shared" si="15"/>
        <v>0</v>
      </c>
      <c r="F48" s="51" t="str">
        <f t="shared" si="16"/>
        <v/>
      </c>
      <c r="G48" s="34"/>
      <c r="H48" s="34"/>
      <c r="I48" s="50" t="e">
        <f t="shared" si="17"/>
        <v>#VALUE!</v>
      </c>
      <c r="J48" s="48"/>
      <c r="K48" s="49"/>
      <c r="L48" s="48" t="e">
        <f t="shared" si="10"/>
        <v>#VALUE!</v>
      </c>
      <c r="M48" s="38">
        <f t="shared" si="18"/>
        <v>23</v>
      </c>
      <c r="N48" s="37" t="str">
        <f t="shared" si="11"/>
        <v/>
      </c>
      <c r="O48" s="38" t="str">
        <f t="shared" si="19"/>
        <v/>
      </c>
      <c r="P48" s="37" t="str">
        <f t="shared" si="12"/>
        <v/>
      </c>
      <c r="Q48" s="34"/>
      <c r="R48" s="47" t="str">
        <f t="shared" si="13"/>
        <v/>
      </c>
      <c r="S48" s="46" t="str">
        <f t="shared" si="14"/>
        <v/>
      </c>
      <c r="U48" s="56" t="e">
        <v>#N/A</v>
      </c>
      <c r="V48" s="55" t="e">
        <v>#N/A</v>
      </c>
      <c r="Y48" s="194"/>
      <c r="Z48" s="38" t="e">
        <f>$Z$29*_xll.RtGet($AD$32,$AD$33&amp;$Y48&amp;$AD$34,Z$30)</f>
        <v>#VALUE!</v>
      </c>
      <c r="AA48" s="37" t="e">
        <f>$Z$29*_xll.RtGet($AD$32,$AD$33&amp;$Y48&amp;$AD$34,AA$30)</f>
        <v>#VALUE!</v>
      </c>
      <c r="AF48" s="38" t="e">
        <f t="shared" si="20"/>
        <v>#VALUE!</v>
      </c>
      <c r="AG48" s="104" t="str">
        <f t="shared" si="21"/>
        <v/>
      </c>
      <c r="AH48" s="104" t="str">
        <f t="shared" si="22"/>
        <v/>
      </c>
      <c r="AI48" s="37" t="str">
        <f t="shared" si="23"/>
        <v/>
      </c>
      <c r="AJ48" s="159">
        <f t="shared" si="28"/>
        <v>18</v>
      </c>
      <c r="AK48" s="153" t="str">
        <f t="shared" si="24"/>
        <v/>
      </c>
      <c r="AL48" s="153" t="str">
        <f t="shared" si="29"/>
        <v/>
      </c>
      <c r="AM48" s="153" t="b">
        <f t="shared" si="25"/>
        <v>0</v>
      </c>
      <c r="AN48" s="160" t="str">
        <f t="shared" si="26"/>
        <v/>
      </c>
      <c r="AO48" s="159" t="str">
        <f t="array" ref="AO48:AP48">IF(AM48,INDEX($AH$31:$AI$72,AN48,0),"")</f>
        <v/>
      </c>
      <c r="AP48" s="160" t="str">
        <v/>
      </c>
      <c r="AQ48" s="159">
        <f t="shared" si="27"/>
        <v>18</v>
      </c>
      <c r="AR48" s="167">
        <v>0.5272073170731707</v>
      </c>
    </row>
    <row r="49" spans="1:44" ht="11.25" customHeight="1" x14ac:dyDescent="0.2">
      <c r="A49"/>
      <c r="B49" s="216" t="s">
        <v>182</v>
      </c>
      <c r="C49" s="217" t="str">
        <f>_xll.qlInterpolatedYieldCurve(C44,U3:INDEX(U3:U79,C43),V3:INDEX(V3:V79,C43),C45,C46,,,C47,C48)</f>
        <v>AUDEURBASOIS#0018</v>
      </c>
      <c r="D49"/>
      <c r="E49" s="52" t="b">
        <f t="shared" si="15"/>
        <v>0</v>
      </c>
      <c r="F49" s="51" t="str">
        <f t="shared" si="16"/>
        <v/>
      </c>
      <c r="G49" s="34"/>
      <c r="H49" s="34"/>
      <c r="I49" s="50" t="e">
        <f t="shared" si="17"/>
        <v>#VALUE!</v>
      </c>
      <c r="J49" s="48"/>
      <c r="K49" s="49"/>
      <c r="L49" s="48" t="e">
        <f t="shared" si="10"/>
        <v>#VALUE!</v>
      </c>
      <c r="M49" s="38">
        <f t="shared" si="18"/>
        <v>24</v>
      </c>
      <c r="N49" s="37" t="str">
        <f t="shared" si="11"/>
        <v/>
      </c>
      <c r="O49" s="38" t="str">
        <f t="shared" si="19"/>
        <v/>
      </c>
      <c r="P49" s="37" t="str">
        <f t="shared" si="12"/>
        <v/>
      </c>
      <c r="Q49" s="34"/>
      <c r="R49" s="47" t="str">
        <f t="shared" si="13"/>
        <v/>
      </c>
      <c r="S49" s="46" t="str">
        <f t="shared" si="14"/>
        <v/>
      </c>
      <c r="U49" s="56" t="e">
        <v>#N/A</v>
      </c>
      <c r="V49" s="55" t="e">
        <v>#N/A</v>
      </c>
      <c r="Y49" s="194"/>
      <c r="Z49" s="38" t="e">
        <f>$Z$29*_xll.RtGet($AD$32,$AD$33&amp;$Y49&amp;$AD$34,Z$30)</f>
        <v>#VALUE!</v>
      </c>
      <c r="AA49" s="37" t="e">
        <f>$Z$29*_xll.RtGet($AD$32,$AD$33&amp;$Y49&amp;$AD$34,AA$30)</f>
        <v>#VALUE!</v>
      </c>
      <c r="AF49" s="38" t="e">
        <f t="shared" si="20"/>
        <v>#VALUE!</v>
      </c>
      <c r="AG49" s="104" t="str">
        <f t="shared" si="21"/>
        <v/>
      </c>
      <c r="AH49" s="104" t="str">
        <f t="shared" si="22"/>
        <v/>
      </c>
      <c r="AI49" s="37" t="str">
        <f t="shared" si="23"/>
        <v/>
      </c>
      <c r="AJ49" s="159">
        <f t="shared" si="28"/>
        <v>19</v>
      </c>
      <c r="AK49" s="153" t="str">
        <f t="shared" si="24"/>
        <v/>
      </c>
      <c r="AL49" s="153" t="str">
        <f t="shared" si="29"/>
        <v/>
      </c>
      <c r="AM49" s="153" t="b">
        <f t="shared" si="25"/>
        <v>0</v>
      </c>
      <c r="AN49" s="160" t="str">
        <f t="shared" si="26"/>
        <v/>
      </c>
      <c r="AO49" s="159" t="str">
        <f t="array" ref="AO49:AP49">IF(AM49,INDEX($AH$31:$AI$72,AN49,0),"")</f>
        <v/>
      </c>
      <c r="AP49" s="160" t="str">
        <v/>
      </c>
      <c r="AQ49" s="159">
        <f t="shared" si="27"/>
        <v>19</v>
      </c>
      <c r="AR49" s="167">
        <v>0.49890243902439019</v>
      </c>
    </row>
    <row r="50" spans="1:44" ht="11.25" customHeight="1" x14ac:dyDescent="0.2">
      <c r="A50"/>
      <c r="C50"/>
      <c r="D50"/>
      <c r="E50" s="52" t="b">
        <f t="shared" si="15"/>
        <v>0</v>
      </c>
      <c r="F50" s="51" t="str">
        <f t="shared" si="16"/>
        <v/>
      </c>
      <c r="G50" s="34"/>
      <c r="H50" s="34"/>
      <c r="I50" s="50" t="e">
        <f t="shared" si="17"/>
        <v>#VALUE!</v>
      </c>
      <c r="J50" s="48"/>
      <c r="K50" s="49"/>
      <c r="L50" s="48" t="e">
        <f t="shared" si="10"/>
        <v>#VALUE!</v>
      </c>
      <c r="M50" s="38">
        <f t="shared" si="18"/>
        <v>25</v>
      </c>
      <c r="N50" s="37" t="str">
        <f t="shared" si="11"/>
        <v/>
      </c>
      <c r="O50" s="38" t="str">
        <f t="shared" si="19"/>
        <v/>
      </c>
      <c r="P50" s="37" t="str">
        <f t="shared" si="12"/>
        <v/>
      </c>
      <c r="Q50" s="34"/>
      <c r="R50" s="47" t="str">
        <f t="shared" si="13"/>
        <v/>
      </c>
      <c r="S50" s="46" t="str">
        <f t="shared" si="14"/>
        <v/>
      </c>
      <c r="U50" s="56" t="e">
        <v>#N/A</v>
      </c>
      <c r="V50" s="55" t="e">
        <v>#N/A</v>
      </c>
      <c r="Y50" s="194"/>
      <c r="Z50" s="38" t="e">
        <f>$Z$29*_xll.RtGet($AD$32,$AD$33&amp;$Y50&amp;$AD$34,Z$30)</f>
        <v>#VALUE!</v>
      </c>
      <c r="AA50" s="37" t="e">
        <f>$Z$29*_xll.RtGet($AD$32,$AD$33&amp;$Y50&amp;$AD$34,AA$30)</f>
        <v>#VALUE!</v>
      </c>
      <c r="AF50" s="38" t="e">
        <f t="shared" si="20"/>
        <v>#VALUE!</v>
      </c>
      <c r="AG50" s="104" t="str">
        <f t="shared" si="21"/>
        <v/>
      </c>
      <c r="AH50" s="104" t="str">
        <f t="shared" si="22"/>
        <v/>
      </c>
      <c r="AI50" s="37" t="str">
        <f t="shared" si="23"/>
        <v/>
      </c>
      <c r="AJ50" s="159">
        <f t="shared" si="28"/>
        <v>20</v>
      </c>
      <c r="AK50" s="153" t="str">
        <f t="shared" si="24"/>
        <v/>
      </c>
      <c r="AL50" s="153" t="str">
        <f t="shared" si="29"/>
        <v/>
      </c>
      <c r="AM50" s="153" t="b">
        <f t="shared" si="25"/>
        <v>0</v>
      </c>
      <c r="AN50" s="160" t="str">
        <f t="shared" si="26"/>
        <v/>
      </c>
      <c r="AO50" s="159" t="str">
        <f t="array" ref="AO50:AP50">IF(AM50,INDEX($AH$31:$AI$72,AN50,0),"")</f>
        <v/>
      </c>
      <c r="AP50" s="160" t="str">
        <v/>
      </c>
      <c r="AQ50" s="159">
        <f t="shared" si="27"/>
        <v>20</v>
      </c>
      <c r="AR50" s="167">
        <v>0.48749999999999999</v>
      </c>
    </row>
    <row r="51" spans="1:44" ht="11.25" customHeight="1" x14ac:dyDescent="0.2">
      <c r="A51"/>
      <c r="C51"/>
      <c r="D51"/>
      <c r="E51" s="52" t="b">
        <f t="shared" si="15"/>
        <v>0</v>
      </c>
      <c r="F51" s="51" t="str">
        <f t="shared" si="16"/>
        <v/>
      </c>
      <c r="G51" s="34"/>
      <c r="H51" s="34"/>
      <c r="I51" s="50" t="e">
        <f t="shared" si="17"/>
        <v>#VALUE!</v>
      </c>
      <c r="J51" s="48"/>
      <c r="K51" s="49"/>
      <c r="L51" s="48" t="e">
        <f t="shared" si="10"/>
        <v>#VALUE!</v>
      </c>
      <c r="M51" s="38">
        <f t="shared" si="18"/>
        <v>26</v>
      </c>
      <c r="N51" s="37" t="str">
        <f t="shared" si="11"/>
        <v/>
      </c>
      <c r="O51" s="38" t="str">
        <f t="shared" si="19"/>
        <v/>
      </c>
      <c r="P51" s="37" t="str">
        <f t="shared" si="12"/>
        <v/>
      </c>
      <c r="Q51" s="34"/>
      <c r="R51" s="47" t="str">
        <f t="shared" si="13"/>
        <v/>
      </c>
      <c r="S51" s="46" t="str">
        <f t="shared" si="14"/>
        <v/>
      </c>
      <c r="U51" s="56" t="e">
        <v>#N/A</v>
      </c>
      <c r="V51" s="55" t="e">
        <v>#N/A</v>
      </c>
      <c r="Y51" s="194"/>
      <c r="Z51" s="38" t="e">
        <f>$Z$29*_xll.RtGet($AD$32,$AD$33&amp;$Y51&amp;$AD$34,Z$30)</f>
        <v>#VALUE!</v>
      </c>
      <c r="AA51" s="37" t="e">
        <f>$Z$29*_xll.RtGet($AD$32,$AD$33&amp;$Y51&amp;$AD$34,AA$30)</f>
        <v>#VALUE!</v>
      </c>
      <c r="AF51" s="38" t="e">
        <f t="shared" si="20"/>
        <v>#VALUE!</v>
      </c>
      <c r="AG51" s="104" t="str">
        <f t="shared" si="21"/>
        <v/>
      </c>
      <c r="AH51" s="104" t="str">
        <f t="shared" si="22"/>
        <v/>
      </c>
      <c r="AI51" s="37" t="str">
        <f t="shared" si="23"/>
        <v/>
      </c>
      <c r="AJ51" s="159">
        <f t="shared" si="28"/>
        <v>21</v>
      </c>
      <c r="AK51" s="153" t="str">
        <f t="shared" si="24"/>
        <v/>
      </c>
      <c r="AL51" s="153" t="str">
        <f t="shared" si="29"/>
        <v/>
      </c>
      <c r="AM51" s="153" t="b">
        <f t="shared" si="25"/>
        <v>0</v>
      </c>
      <c r="AN51" s="160" t="str">
        <f t="shared" si="26"/>
        <v/>
      </c>
      <c r="AO51" s="159" t="str">
        <f t="array" ref="AO51:AP51">IF(AM51,INDEX($AH$31:$AI$72,AN51,0),"")</f>
        <v/>
      </c>
      <c r="AP51" s="160" t="str">
        <v/>
      </c>
      <c r="AQ51" s="159">
        <f t="shared" si="27"/>
        <v>21</v>
      </c>
      <c r="AR51" s="167">
        <v>0.48749999999999999</v>
      </c>
    </row>
    <row r="52" spans="1:44" ht="11.25" customHeight="1" x14ac:dyDescent="0.2">
      <c r="A52"/>
      <c r="C52"/>
      <c r="D52"/>
      <c r="E52" s="52" t="b">
        <f t="shared" si="15"/>
        <v>0</v>
      </c>
      <c r="F52" s="51" t="str">
        <f t="shared" si="16"/>
        <v/>
      </c>
      <c r="G52" s="34"/>
      <c r="H52" s="34"/>
      <c r="I52" s="50" t="e">
        <f t="shared" si="17"/>
        <v>#VALUE!</v>
      </c>
      <c r="J52" s="48"/>
      <c r="K52" s="49"/>
      <c r="L52" s="48" t="e">
        <f t="shared" si="10"/>
        <v>#VALUE!</v>
      </c>
      <c r="M52" s="38">
        <f t="shared" si="18"/>
        <v>27</v>
      </c>
      <c r="N52" s="37" t="str">
        <f t="shared" si="11"/>
        <v/>
      </c>
      <c r="O52" s="38" t="str">
        <f t="shared" si="19"/>
        <v/>
      </c>
      <c r="P52" s="37" t="str">
        <f t="shared" si="12"/>
        <v/>
      </c>
      <c r="Q52" s="34"/>
      <c r="R52" s="47" t="str">
        <f t="shared" si="13"/>
        <v/>
      </c>
      <c r="S52" s="46" t="str">
        <f t="shared" si="14"/>
        <v/>
      </c>
      <c r="U52" s="56" t="e">
        <v>#N/A</v>
      </c>
      <c r="V52" s="55" t="e">
        <v>#N/A</v>
      </c>
      <c r="Y52" s="194"/>
      <c r="Z52" s="38" t="e">
        <f>$Z$29*_xll.RtGet($AD$32,$AD$33&amp;$Y52&amp;$AD$34,Z$30)</f>
        <v>#VALUE!</v>
      </c>
      <c r="AA52" s="37" t="e">
        <f>$Z$29*_xll.RtGet($AD$32,$AD$33&amp;$Y52&amp;$AD$34,AA$30)</f>
        <v>#VALUE!</v>
      </c>
      <c r="AF52" s="38" t="e">
        <f t="shared" si="20"/>
        <v>#VALUE!</v>
      </c>
      <c r="AG52" s="104" t="str">
        <f t="shared" si="21"/>
        <v/>
      </c>
      <c r="AH52" s="104" t="str">
        <f t="shared" si="22"/>
        <v/>
      </c>
      <c r="AI52" s="37" t="str">
        <f t="shared" si="23"/>
        <v/>
      </c>
      <c r="AJ52" s="159">
        <f t="shared" si="28"/>
        <v>22</v>
      </c>
      <c r="AK52" s="153" t="str">
        <f t="shared" si="24"/>
        <v/>
      </c>
      <c r="AL52" s="153" t="str">
        <f t="shared" si="29"/>
        <v/>
      </c>
      <c r="AM52" s="153" t="b">
        <f t="shared" si="25"/>
        <v>0</v>
      </c>
      <c r="AN52" s="160" t="str">
        <f t="shared" si="26"/>
        <v/>
      </c>
      <c r="AO52" s="159" t="str">
        <f t="array" ref="AO52:AP52">IF(AM52,INDEX($AH$31:$AI$72,AN52,0),"")</f>
        <v/>
      </c>
      <c r="AP52" s="160" t="str">
        <v/>
      </c>
      <c r="AQ52" s="159">
        <f t="shared" si="27"/>
        <v>22</v>
      </c>
      <c r="AR52" s="167">
        <v>0.48749999999999999</v>
      </c>
    </row>
    <row r="53" spans="1:44" ht="11.25" customHeight="1" x14ac:dyDescent="0.2">
      <c r="A53"/>
      <c r="B53"/>
      <c r="C53"/>
      <c r="D53"/>
      <c r="E53" s="52" t="b">
        <f t="shared" si="15"/>
        <v>0</v>
      </c>
      <c r="F53" s="51" t="str">
        <f t="shared" si="16"/>
        <v/>
      </c>
      <c r="G53" s="34"/>
      <c r="H53" s="34"/>
      <c r="I53" s="50" t="e">
        <f t="shared" si="17"/>
        <v>#VALUE!</v>
      </c>
      <c r="J53" s="48"/>
      <c r="K53" s="49"/>
      <c r="L53" s="48" t="e">
        <f t="shared" si="10"/>
        <v>#VALUE!</v>
      </c>
      <c r="M53" s="38">
        <f t="shared" si="18"/>
        <v>28</v>
      </c>
      <c r="N53" s="37" t="str">
        <f t="shared" si="11"/>
        <v/>
      </c>
      <c r="O53" s="38" t="str">
        <f t="shared" si="19"/>
        <v/>
      </c>
      <c r="P53" s="37" t="str">
        <f t="shared" si="12"/>
        <v/>
      </c>
      <c r="Q53" s="34"/>
      <c r="R53" s="47" t="str">
        <f t="shared" si="13"/>
        <v/>
      </c>
      <c r="S53" s="46" t="str">
        <f t="shared" si="14"/>
        <v/>
      </c>
      <c r="U53" s="56" t="e">
        <v>#N/A</v>
      </c>
      <c r="V53" s="55" t="e">
        <v>#N/A</v>
      </c>
      <c r="Y53" s="194"/>
      <c r="Z53" s="38" t="e">
        <f>$Z$29*_xll.RtGet($AD$32,$AD$33&amp;$Y53&amp;$AD$34,Z$30)</f>
        <v>#VALUE!</v>
      </c>
      <c r="AA53" s="37" t="e">
        <f>$Z$29*_xll.RtGet($AD$32,$AD$33&amp;$Y53&amp;$AD$34,AA$30)</f>
        <v>#VALUE!</v>
      </c>
      <c r="AF53" s="38" t="e">
        <f t="shared" si="20"/>
        <v>#VALUE!</v>
      </c>
      <c r="AG53" s="104" t="str">
        <f t="shared" si="21"/>
        <v/>
      </c>
      <c r="AH53" s="104" t="str">
        <f t="shared" si="22"/>
        <v/>
      </c>
      <c r="AI53" s="37" t="str">
        <f t="shared" si="23"/>
        <v/>
      </c>
      <c r="AJ53" s="159">
        <f t="shared" si="28"/>
        <v>23</v>
      </c>
      <c r="AK53" s="153" t="str">
        <f t="shared" si="24"/>
        <v/>
      </c>
      <c r="AL53" s="153" t="str">
        <f t="shared" si="29"/>
        <v/>
      </c>
      <c r="AM53" s="153" t="b">
        <f t="shared" si="25"/>
        <v>0</v>
      </c>
      <c r="AN53" s="160" t="str">
        <f t="shared" si="26"/>
        <v/>
      </c>
      <c r="AO53" s="159" t="str">
        <f t="array" ref="AO53:AP53">IF(AM53,INDEX($AH$31:$AI$72,AN53,0),"")</f>
        <v/>
      </c>
      <c r="AP53" s="160" t="str">
        <v/>
      </c>
      <c r="AQ53" s="159">
        <f t="shared" si="27"/>
        <v>23</v>
      </c>
      <c r="AR53" s="167">
        <v>0.48749999999999999</v>
      </c>
    </row>
    <row r="54" spans="1:44" ht="11.25" customHeight="1" x14ac:dyDescent="0.2">
      <c r="A54"/>
      <c r="B54"/>
      <c r="C54"/>
      <c r="D54"/>
      <c r="E54" s="52" t="b">
        <f t="shared" si="15"/>
        <v>0</v>
      </c>
      <c r="F54" s="51" t="str">
        <f t="shared" si="16"/>
        <v/>
      </c>
      <c r="G54" s="34"/>
      <c r="H54" s="34"/>
      <c r="I54" s="50" t="e">
        <f t="shared" si="17"/>
        <v>#VALUE!</v>
      </c>
      <c r="J54" s="48"/>
      <c r="K54" s="49"/>
      <c r="L54" s="48" t="e">
        <f t="shared" si="10"/>
        <v>#VALUE!</v>
      </c>
      <c r="M54" s="38">
        <f t="shared" si="18"/>
        <v>29</v>
      </c>
      <c r="N54" s="37" t="str">
        <f t="shared" si="11"/>
        <v/>
      </c>
      <c r="O54" s="38" t="str">
        <f t="shared" si="19"/>
        <v/>
      </c>
      <c r="P54" s="37" t="str">
        <f t="shared" si="12"/>
        <v/>
      </c>
      <c r="Q54" s="34"/>
      <c r="R54" s="47" t="str">
        <f t="shared" si="13"/>
        <v/>
      </c>
      <c r="S54" s="46" t="str">
        <f t="shared" si="14"/>
        <v/>
      </c>
      <c r="U54" s="56" t="e">
        <v>#N/A</v>
      </c>
      <c r="V54" s="55" t="e">
        <v>#N/A</v>
      </c>
      <c r="Y54" s="194"/>
      <c r="Z54" s="38" t="e">
        <f>$Z$29*_xll.RtGet($AD$32,$AD$33&amp;$Y54&amp;$AD$34,Z$30)</f>
        <v>#VALUE!</v>
      </c>
      <c r="AA54" s="37" t="e">
        <f>$Z$29*_xll.RtGet($AD$32,$AD$33&amp;$Y54&amp;$AD$34,AA$30)</f>
        <v>#VALUE!</v>
      </c>
      <c r="AF54" s="38" t="e">
        <f t="shared" si="20"/>
        <v>#VALUE!</v>
      </c>
      <c r="AG54" s="104" t="str">
        <f t="shared" si="21"/>
        <v/>
      </c>
      <c r="AH54" s="104" t="str">
        <f t="shared" si="22"/>
        <v/>
      </c>
      <c r="AI54" s="37" t="str">
        <f t="shared" si="23"/>
        <v/>
      </c>
      <c r="AJ54" s="159">
        <f t="shared" si="28"/>
        <v>24</v>
      </c>
      <c r="AK54" s="153" t="str">
        <f t="shared" si="24"/>
        <v/>
      </c>
      <c r="AL54" s="153" t="str">
        <f t="shared" si="29"/>
        <v/>
      </c>
      <c r="AM54" s="153" t="b">
        <f t="shared" si="25"/>
        <v>0</v>
      </c>
      <c r="AN54" s="160" t="str">
        <f t="shared" si="26"/>
        <v/>
      </c>
      <c r="AO54" s="159" t="str">
        <f t="array" ref="AO54:AP54">IF(AM54,INDEX($AH$31:$AI$72,AN54,0),"")</f>
        <v/>
      </c>
      <c r="AP54" s="160" t="str">
        <v/>
      </c>
      <c r="AQ54" s="159">
        <f t="shared" si="27"/>
        <v>24</v>
      </c>
      <c r="AR54" s="167">
        <v>0.48749999999999999</v>
      </c>
    </row>
    <row r="55" spans="1:44" ht="11.25" customHeight="1" x14ac:dyDescent="0.2">
      <c r="A55"/>
      <c r="B55"/>
      <c r="C55"/>
      <c r="D55"/>
      <c r="E55" s="52" t="b">
        <f t="shared" si="15"/>
        <v>0</v>
      </c>
      <c r="F55" s="51" t="str">
        <f t="shared" si="16"/>
        <v/>
      </c>
      <c r="G55" s="34"/>
      <c r="H55" s="34"/>
      <c r="I55" s="50" t="e">
        <f t="shared" si="17"/>
        <v>#VALUE!</v>
      </c>
      <c r="J55" s="48"/>
      <c r="K55" s="49"/>
      <c r="L55" s="48" t="e">
        <f t="shared" si="10"/>
        <v>#VALUE!</v>
      </c>
      <c r="M55" s="38">
        <f t="shared" si="18"/>
        <v>30</v>
      </c>
      <c r="N55" s="37" t="str">
        <f t="shared" si="11"/>
        <v/>
      </c>
      <c r="O55" s="38" t="str">
        <f t="shared" si="19"/>
        <v/>
      </c>
      <c r="P55" s="37" t="str">
        <f t="shared" si="12"/>
        <v/>
      </c>
      <c r="Q55" s="34"/>
      <c r="R55" s="47" t="str">
        <f t="shared" si="13"/>
        <v/>
      </c>
      <c r="S55" s="46" t="str">
        <f t="shared" si="14"/>
        <v/>
      </c>
      <c r="U55" s="56" t="e">
        <v>#N/A</v>
      </c>
      <c r="V55" s="55" t="e">
        <v>#N/A</v>
      </c>
      <c r="Y55" s="194"/>
      <c r="Z55" s="38" t="e">
        <f>$Z$29*_xll.RtGet($AD$32,$AD$33&amp;$Y55&amp;$AD$34,Z$30)</f>
        <v>#VALUE!</v>
      </c>
      <c r="AA55" s="37" t="e">
        <f>$Z$29*_xll.RtGet($AD$32,$AD$33&amp;$Y55&amp;$AD$34,AA$30)</f>
        <v>#VALUE!</v>
      </c>
      <c r="AF55" s="38" t="e">
        <f t="shared" si="20"/>
        <v>#VALUE!</v>
      </c>
      <c r="AG55" s="104" t="str">
        <f t="shared" si="21"/>
        <v/>
      </c>
      <c r="AH55" s="104" t="str">
        <f t="shared" si="22"/>
        <v/>
      </c>
      <c r="AI55" s="37" t="str">
        <f t="shared" si="23"/>
        <v/>
      </c>
      <c r="AJ55" s="159">
        <f t="shared" si="28"/>
        <v>25</v>
      </c>
      <c r="AK55" s="153" t="str">
        <f t="shared" si="24"/>
        <v/>
      </c>
      <c r="AL55" s="153" t="str">
        <f t="shared" si="29"/>
        <v/>
      </c>
      <c r="AM55" s="153" t="b">
        <f t="shared" si="25"/>
        <v>0</v>
      </c>
      <c r="AN55" s="160" t="str">
        <f t="shared" si="26"/>
        <v/>
      </c>
      <c r="AO55" s="159" t="str">
        <f t="array" ref="AO55:AP55">IF(AM55,INDEX($AH$31:$AI$72,AN55,0),"")</f>
        <v/>
      </c>
      <c r="AP55" s="160" t="str">
        <v/>
      </c>
      <c r="AQ55" s="159">
        <f t="shared" si="27"/>
        <v>25</v>
      </c>
      <c r="AR55" s="167">
        <v>0.48749999999999999</v>
      </c>
    </row>
    <row r="56" spans="1:44" ht="11.25" customHeight="1" x14ac:dyDescent="0.2">
      <c r="A56"/>
      <c r="B56"/>
      <c r="C56"/>
      <c r="D56"/>
      <c r="E56" s="52" t="b">
        <f t="shared" si="15"/>
        <v>0</v>
      </c>
      <c r="F56" s="51" t="str">
        <f t="shared" si="16"/>
        <v/>
      </c>
      <c r="G56" s="34"/>
      <c r="H56" s="34"/>
      <c r="I56" s="50" t="e">
        <f t="shared" si="17"/>
        <v>#VALUE!</v>
      </c>
      <c r="J56" s="48"/>
      <c r="K56" s="49"/>
      <c r="L56" s="48" t="e">
        <f t="shared" si="10"/>
        <v>#VALUE!</v>
      </c>
      <c r="M56" s="38">
        <f t="shared" si="18"/>
        <v>31</v>
      </c>
      <c r="N56" s="37" t="str">
        <f t="shared" si="11"/>
        <v/>
      </c>
      <c r="O56" s="38" t="str">
        <f t="shared" si="19"/>
        <v/>
      </c>
      <c r="P56" s="37" t="str">
        <f t="shared" si="12"/>
        <v/>
      </c>
      <c r="Q56" s="34"/>
      <c r="R56" s="47" t="str">
        <f t="shared" si="13"/>
        <v/>
      </c>
      <c r="S56" s="46" t="str">
        <f t="shared" si="14"/>
        <v/>
      </c>
      <c r="U56" s="56" t="e">
        <v>#N/A</v>
      </c>
      <c r="V56" s="55" t="e">
        <v>#N/A</v>
      </c>
      <c r="Y56" s="194"/>
      <c r="Z56" s="38" t="e">
        <f>$Z$29*_xll.RtGet($AD$32,$AD$33&amp;$Y56&amp;$AD$34,Z$30)</f>
        <v>#VALUE!</v>
      </c>
      <c r="AA56" s="37" t="e">
        <f>$Z$29*_xll.RtGet($AD$32,$AD$33&amp;$Y56&amp;$AD$34,AA$30)</f>
        <v>#VALUE!</v>
      </c>
      <c r="AF56" s="38" t="e">
        <f t="shared" si="20"/>
        <v>#VALUE!</v>
      </c>
      <c r="AG56" s="104" t="str">
        <f t="shared" si="21"/>
        <v/>
      </c>
      <c r="AH56" s="104" t="str">
        <f t="shared" si="22"/>
        <v/>
      </c>
      <c r="AI56" s="37" t="str">
        <f t="shared" si="23"/>
        <v/>
      </c>
      <c r="AJ56" s="159">
        <f t="shared" si="28"/>
        <v>26</v>
      </c>
      <c r="AK56" s="153" t="str">
        <f t="shared" si="24"/>
        <v/>
      </c>
      <c r="AL56" s="153" t="str">
        <f t="shared" si="29"/>
        <v/>
      </c>
      <c r="AM56" s="153" t="b">
        <f t="shared" si="25"/>
        <v>0</v>
      </c>
      <c r="AN56" s="160" t="str">
        <f t="shared" si="26"/>
        <v/>
      </c>
      <c r="AO56" s="159" t="str">
        <f t="array" ref="AO56:AP56">IF(AM56,INDEX($AH$31:$AI$72,AN56,0),"")</f>
        <v/>
      </c>
      <c r="AP56" s="160" t="str">
        <v/>
      </c>
      <c r="AQ56" s="159">
        <f t="shared" si="27"/>
        <v>26</v>
      </c>
      <c r="AR56" s="167">
        <v>0.48749999999999999</v>
      </c>
    </row>
    <row r="57" spans="1:44" ht="11.25" customHeight="1" x14ac:dyDescent="0.2">
      <c r="A57"/>
      <c r="B57"/>
      <c r="C57"/>
      <c r="D57"/>
      <c r="E57" s="52" t="b">
        <f t="shared" si="15"/>
        <v>0</v>
      </c>
      <c r="F57" s="51" t="str">
        <f t="shared" si="16"/>
        <v/>
      </c>
      <c r="G57" s="34"/>
      <c r="H57" s="34"/>
      <c r="I57" s="50" t="e">
        <f t="shared" si="17"/>
        <v>#VALUE!</v>
      </c>
      <c r="J57" s="48"/>
      <c r="K57" s="49"/>
      <c r="L57" s="48" t="e">
        <f t="shared" si="10"/>
        <v>#VALUE!</v>
      </c>
      <c r="M57" s="38">
        <f t="shared" si="18"/>
        <v>32</v>
      </c>
      <c r="N57" s="37" t="str">
        <f t="shared" si="11"/>
        <v/>
      </c>
      <c r="O57" s="38" t="str">
        <f t="shared" si="19"/>
        <v/>
      </c>
      <c r="P57" s="37" t="str">
        <f t="shared" si="12"/>
        <v/>
      </c>
      <c r="Q57" s="34"/>
      <c r="R57" s="47" t="str">
        <f t="shared" si="13"/>
        <v/>
      </c>
      <c r="S57" s="46" t="str">
        <f t="shared" si="14"/>
        <v/>
      </c>
      <c r="U57" s="56" t="e">
        <v>#N/A</v>
      </c>
      <c r="V57" s="55" t="e">
        <v>#N/A</v>
      </c>
      <c r="Y57" s="194"/>
      <c r="Z57" s="38" t="e">
        <f>$Z$29*_xll.RtGet($AD$32,$AD$33&amp;$Y57&amp;$AD$34,Z$30)</f>
        <v>#VALUE!</v>
      </c>
      <c r="AA57" s="37" t="e">
        <f>$Z$29*_xll.RtGet($AD$32,$AD$33&amp;$Y57&amp;$AD$34,AA$30)</f>
        <v>#VALUE!</v>
      </c>
      <c r="AF57" s="38" t="e">
        <f t="shared" si="20"/>
        <v>#VALUE!</v>
      </c>
      <c r="AG57" s="104" t="str">
        <f t="shared" si="21"/>
        <v/>
      </c>
      <c r="AH57" s="104" t="str">
        <f t="shared" si="22"/>
        <v/>
      </c>
      <c r="AI57" s="37" t="str">
        <f t="shared" si="23"/>
        <v/>
      </c>
      <c r="AJ57" s="159">
        <f t="shared" si="28"/>
        <v>27</v>
      </c>
      <c r="AK57" s="153" t="str">
        <f t="shared" si="24"/>
        <v/>
      </c>
      <c r="AL57" s="153" t="str">
        <f t="shared" si="29"/>
        <v/>
      </c>
      <c r="AM57" s="153" t="b">
        <f t="shared" si="25"/>
        <v>0</v>
      </c>
      <c r="AN57" s="160" t="str">
        <f t="shared" si="26"/>
        <v/>
      </c>
      <c r="AO57" s="159" t="str">
        <f t="array" ref="AO57:AP57">IF(AM57,INDEX($AH$31:$AI$72,AN57,0),"")</f>
        <v/>
      </c>
      <c r="AP57" s="160" t="str">
        <v/>
      </c>
      <c r="AQ57" s="159">
        <f t="shared" si="27"/>
        <v>27</v>
      </c>
      <c r="AR57" s="167">
        <v>0.48749999999999999</v>
      </c>
    </row>
    <row r="58" spans="1:44" ht="11.25" customHeight="1" x14ac:dyDescent="0.2">
      <c r="A58"/>
      <c r="B58"/>
      <c r="C58"/>
      <c r="D58"/>
      <c r="E58" s="52" t="b">
        <f t="shared" si="15"/>
        <v>0</v>
      </c>
      <c r="F58" s="51" t="str">
        <f t="shared" si="16"/>
        <v/>
      </c>
      <c r="G58" s="34"/>
      <c r="H58" s="34"/>
      <c r="I58" s="50" t="e">
        <f t="shared" si="17"/>
        <v>#VALUE!</v>
      </c>
      <c r="J58" s="48"/>
      <c r="K58" s="49"/>
      <c r="L58" s="48" t="e">
        <f t="shared" si="10"/>
        <v>#VALUE!</v>
      </c>
      <c r="M58" s="38">
        <f t="shared" si="18"/>
        <v>33</v>
      </c>
      <c r="N58" s="37" t="str">
        <f t="shared" si="11"/>
        <v/>
      </c>
      <c r="O58" s="38" t="str">
        <f t="shared" si="19"/>
        <v/>
      </c>
      <c r="P58" s="37" t="str">
        <f t="shared" si="12"/>
        <v/>
      </c>
      <c r="Q58" s="34"/>
      <c r="R58" s="47" t="str">
        <f t="shared" si="13"/>
        <v/>
      </c>
      <c r="S58" s="46" t="str">
        <f t="shared" si="14"/>
        <v/>
      </c>
      <c r="U58" s="56" t="e">
        <v>#N/A</v>
      </c>
      <c r="V58" s="55" t="e">
        <v>#N/A</v>
      </c>
      <c r="Y58" s="194"/>
      <c r="Z58" s="38" t="e">
        <f>$Z$29*_xll.RtGet($AD$32,$AD$33&amp;$Y58&amp;$AD$34,Z$30)</f>
        <v>#VALUE!</v>
      </c>
      <c r="AA58" s="37" t="e">
        <f>$Z$29*_xll.RtGet($AD$32,$AD$33&amp;$Y58&amp;$AD$34,AA$30)</f>
        <v>#VALUE!</v>
      </c>
      <c r="AF58" s="38" t="e">
        <f t="shared" si="20"/>
        <v>#VALUE!</v>
      </c>
      <c r="AG58" s="104" t="str">
        <f t="shared" si="21"/>
        <v/>
      </c>
      <c r="AH58" s="104" t="str">
        <f t="shared" si="22"/>
        <v/>
      </c>
      <c r="AI58" s="37" t="str">
        <f t="shared" si="23"/>
        <v/>
      </c>
      <c r="AJ58" s="159">
        <f t="shared" si="28"/>
        <v>28</v>
      </c>
      <c r="AK58" s="153" t="str">
        <f t="shared" si="24"/>
        <v/>
      </c>
      <c r="AL58" s="153" t="str">
        <f t="shared" si="29"/>
        <v/>
      </c>
      <c r="AM58" s="153" t="b">
        <f t="shared" si="25"/>
        <v>0</v>
      </c>
      <c r="AN58" s="160" t="str">
        <f t="shared" si="26"/>
        <v/>
      </c>
      <c r="AO58" s="159" t="str">
        <f t="array" ref="AO58:AP58">IF(AM58,INDEX($AH$31:$AI$72,AN58,0),"")</f>
        <v/>
      </c>
      <c r="AP58" s="160" t="str">
        <v/>
      </c>
      <c r="AQ58" s="159">
        <f t="shared" si="27"/>
        <v>28</v>
      </c>
      <c r="AR58" s="167">
        <v>0.48749999999999999</v>
      </c>
    </row>
    <row r="59" spans="1:44" ht="11.25" customHeight="1" x14ac:dyDescent="0.2">
      <c r="A59"/>
      <c r="B59"/>
      <c r="C59"/>
      <c r="D59"/>
      <c r="E59" s="52" t="b">
        <f t="shared" si="15"/>
        <v>0</v>
      </c>
      <c r="F59" s="51" t="str">
        <f t="shared" si="16"/>
        <v/>
      </c>
      <c r="G59" s="34"/>
      <c r="H59" s="34"/>
      <c r="I59" s="50" t="e">
        <f t="shared" si="17"/>
        <v>#VALUE!</v>
      </c>
      <c r="J59" s="48"/>
      <c r="K59" s="49"/>
      <c r="L59" s="48" t="e">
        <f t="shared" si="10"/>
        <v>#VALUE!</v>
      </c>
      <c r="M59" s="38">
        <f t="shared" si="18"/>
        <v>34</v>
      </c>
      <c r="N59" s="37" t="str">
        <f t="shared" si="11"/>
        <v/>
      </c>
      <c r="O59" s="38" t="str">
        <f t="shared" si="19"/>
        <v/>
      </c>
      <c r="P59" s="37" t="str">
        <f t="shared" si="12"/>
        <v/>
      </c>
      <c r="Q59" s="34"/>
      <c r="R59" s="47" t="str">
        <f t="shared" si="13"/>
        <v/>
      </c>
      <c r="S59" s="46" t="str">
        <f t="shared" si="14"/>
        <v/>
      </c>
      <c r="U59" s="56" t="e">
        <v>#N/A</v>
      </c>
      <c r="V59" s="55" t="e">
        <v>#N/A</v>
      </c>
      <c r="Y59" s="194"/>
      <c r="Z59" s="38" t="e">
        <f>$Z$29*_xll.RtGet($AD$32,$AD$33&amp;$Y59&amp;$AD$34,Z$30)</f>
        <v>#VALUE!</v>
      </c>
      <c r="AA59" s="37" t="e">
        <f>$Z$29*_xll.RtGet($AD$32,$AD$33&amp;$Y59&amp;$AD$34,AA$30)</f>
        <v>#VALUE!</v>
      </c>
      <c r="AF59" s="38" t="e">
        <f t="shared" si="20"/>
        <v>#VALUE!</v>
      </c>
      <c r="AG59" s="104" t="str">
        <f t="shared" si="21"/>
        <v/>
      </c>
      <c r="AH59" s="104" t="str">
        <f t="shared" si="22"/>
        <v/>
      </c>
      <c r="AI59" s="37" t="str">
        <f t="shared" si="23"/>
        <v/>
      </c>
      <c r="AJ59" s="159">
        <f t="shared" si="28"/>
        <v>29</v>
      </c>
      <c r="AK59" s="153" t="str">
        <f t="shared" si="24"/>
        <v/>
      </c>
      <c r="AL59" s="153" t="str">
        <f t="shared" si="29"/>
        <v/>
      </c>
      <c r="AM59" s="153" t="b">
        <f t="shared" si="25"/>
        <v>0</v>
      </c>
      <c r="AN59" s="160" t="str">
        <f t="shared" si="26"/>
        <v/>
      </c>
      <c r="AO59" s="159" t="str">
        <f t="array" ref="AO59:AP59">IF(AM59,INDEX($AH$31:$AI$72,AN59,0),"")</f>
        <v/>
      </c>
      <c r="AP59" s="160" t="str">
        <v/>
      </c>
      <c r="AQ59" s="159">
        <f t="shared" si="27"/>
        <v>29</v>
      </c>
      <c r="AR59" s="167">
        <v>0.48749999999999999</v>
      </c>
    </row>
    <row r="60" spans="1:44" ht="11.25" customHeight="1" x14ac:dyDescent="0.2">
      <c r="A60"/>
      <c r="B60"/>
      <c r="C60"/>
      <c r="D60"/>
      <c r="E60" s="52" t="b">
        <f t="shared" si="15"/>
        <v>0</v>
      </c>
      <c r="F60" s="51" t="str">
        <f t="shared" si="16"/>
        <v/>
      </c>
      <c r="G60" s="34"/>
      <c r="H60" s="34"/>
      <c r="I60" s="50" t="e">
        <f t="shared" si="17"/>
        <v>#VALUE!</v>
      </c>
      <c r="J60" s="48"/>
      <c r="K60" s="49"/>
      <c r="L60" s="48" t="e">
        <f t="shared" si="10"/>
        <v>#VALUE!</v>
      </c>
      <c r="M60" s="38">
        <f t="shared" si="18"/>
        <v>35</v>
      </c>
      <c r="N60" s="37" t="str">
        <f t="shared" si="11"/>
        <v/>
      </c>
      <c r="O60" s="38" t="str">
        <f t="shared" si="19"/>
        <v/>
      </c>
      <c r="P60" s="37" t="str">
        <f t="shared" si="12"/>
        <v/>
      </c>
      <c r="Q60" s="34"/>
      <c r="R60" s="47" t="str">
        <f t="shared" si="13"/>
        <v/>
      </c>
      <c r="S60" s="46" t="str">
        <f t="shared" si="14"/>
        <v/>
      </c>
      <c r="U60" s="56" t="e">
        <v>#N/A</v>
      </c>
      <c r="V60" s="55" t="e">
        <v>#N/A</v>
      </c>
      <c r="Y60" s="194"/>
      <c r="Z60" s="38" t="e">
        <f>$Z$29*_xll.RtGet($AD$32,$AD$33&amp;$Y60&amp;$AD$34,Z$30)</f>
        <v>#VALUE!</v>
      </c>
      <c r="AA60" s="37" t="e">
        <f>$Z$29*_xll.RtGet($AD$32,$AD$33&amp;$Y60&amp;$AD$34,AA$30)</f>
        <v>#VALUE!</v>
      </c>
      <c r="AF60" s="38" t="e">
        <f t="shared" si="20"/>
        <v>#VALUE!</v>
      </c>
      <c r="AG60" s="104" t="str">
        <f t="shared" si="21"/>
        <v/>
      </c>
      <c r="AH60" s="104" t="str">
        <f t="shared" si="22"/>
        <v/>
      </c>
      <c r="AI60" s="37" t="str">
        <f t="shared" si="23"/>
        <v/>
      </c>
      <c r="AJ60" s="159">
        <f t="shared" si="28"/>
        <v>30</v>
      </c>
      <c r="AK60" s="153" t="str">
        <f t="shared" si="24"/>
        <v/>
      </c>
      <c r="AL60" s="153" t="str">
        <f t="shared" si="29"/>
        <v/>
      </c>
      <c r="AM60" s="153" t="b">
        <f t="shared" si="25"/>
        <v>0</v>
      </c>
      <c r="AN60" s="160" t="str">
        <f t="shared" si="26"/>
        <v/>
      </c>
      <c r="AO60" s="159" t="str">
        <f t="array" ref="AO60:AP60">IF(AM60,INDEX($AH$31:$AI$72,AN60,0),"")</f>
        <v/>
      </c>
      <c r="AP60" s="160" t="str">
        <v/>
      </c>
      <c r="AQ60" s="17">
        <f t="shared" si="27"/>
        <v>30</v>
      </c>
      <c r="AR60" s="168">
        <v>0.48749999999999999</v>
      </c>
    </row>
    <row r="61" spans="1:44" ht="11.25" customHeight="1" x14ac:dyDescent="0.2">
      <c r="A61"/>
      <c r="B61"/>
      <c r="C61"/>
      <c r="D61"/>
      <c r="E61" s="52" t="b">
        <f t="shared" si="15"/>
        <v>0</v>
      </c>
      <c r="F61" s="51" t="str">
        <f t="shared" si="16"/>
        <v/>
      </c>
      <c r="G61" s="34"/>
      <c r="H61" s="34"/>
      <c r="I61" s="50" t="e">
        <f t="shared" si="17"/>
        <v>#VALUE!</v>
      </c>
      <c r="J61" s="48"/>
      <c r="K61" s="49"/>
      <c r="L61" s="48" t="e">
        <f t="shared" si="10"/>
        <v>#VALUE!</v>
      </c>
      <c r="M61" s="38">
        <f t="shared" si="18"/>
        <v>36</v>
      </c>
      <c r="N61" s="37" t="str">
        <f t="shared" si="11"/>
        <v/>
      </c>
      <c r="O61" s="38" t="str">
        <f t="shared" si="19"/>
        <v/>
      </c>
      <c r="P61" s="37" t="str">
        <f t="shared" si="12"/>
        <v/>
      </c>
      <c r="Q61" s="34"/>
      <c r="R61" s="47" t="str">
        <f t="shared" si="13"/>
        <v/>
      </c>
      <c r="S61" s="46" t="str">
        <f t="shared" si="14"/>
        <v/>
      </c>
      <c r="U61" s="56" t="e">
        <v>#N/A</v>
      </c>
      <c r="V61" s="55" t="e">
        <v>#N/A</v>
      </c>
      <c r="Y61" s="194"/>
      <c r="Z61" s="38" t="e">
        <f>$Z$29*_xll.RtGet($AD$32,$AD$33&amp;$Y61&amp;$AD$34,Z$30)</f>
        <v>#VALUE!</v>
      </c>
      <c r="AA61" s="37" t="e">
        <f>$Z$29*_xll.RtGet($AD$32,$AD$33&amp;$Y61&amp;$AD$34,AA$30)</f>
        <v>#VALUE!</v>
      </c>
      <c r="AF61" s="38" t="e">
        <f t="shared" si="20"/>
        <v>#VALUE!</v>
      </c>
      <c r="AG61" s="104" t="str">
        <f t="shared" si="21"/>
        <v/>
      </c>
      <c r="AH61" s="104" t="str">
        <f t="shared" si="22"/>
        <v/>
      </c>
      <c r="AI61" s="37" t="str">
        <f t="shared" si="23"/>
        <v/>
      </c>
      <c r="AJ61" s="159">
        <f t="shared" si="28"/>
        <v>31</v>
      </c>
      <c r="AK61" s="153" t="str">
        <f t="shared" si="24"/>
        <v/>
      </c>
      <c r="AL61" s="153" t="str">
        <f t="shared" si="29"/>
        <v/>
      </c>
      <c r="AM61" s="153" t="b">
        <f t="shared" si="25"/>
        <v>0</v>
      </c>
      <c r="AN61" s="160" t="str">
        <f t="shared" si="26"/>
        <v/>
      </c>
      <c r="AO61" s="164"/>
      <c r="AP61" s="165"/>
      <c r="AQ61" s="169"/>
      <c r="AR61" s="170"/>
    </row>
    <row r="62" spans="1:44" ht="11.25" customHeight="1" x14ac:dyDescent="0.2">
      <c r="A62"/>
      <c r="B62"/>
      <c r="C62"/>
      <c r="D62"/>
      <c r="E62" s="52" t="b">
        <f t="shared" si="15"/>
        <v>0</v>
      </c>
      <c r="F62" s="51" t="str">
        <f t="shared" si="16"/>
        <v/>
      </c>
      <c r="G62" s="34"/>
      <c r="H62" s="34"/>
      <c r="I62" s="50" t="e">
        <f t="shared" si="17"/>
        <v>#VALUE!</v>
      </c>
      <c r="J62" s="48"/>
      <c r="K62" s="49"/>
      <c r="L62" s="48" t="e">
        <f t="shared" si="10"/>
        <v>#VALUE!</v>
      </c>
      <c r="M62" s="38">
        <f t="shared" si="18"/>
        <v>37</v>
      </c>
      <c r="N62" s="37" t="str">
        <f t="shared" si="11"/>
        <v/>
      </c>
      <c r="O62" s="38" t="str">
        <f t="shared" si="19"/>
        <v/>
      </c>
      <c r="P62" s="37" t="str">
        <f t="shared" si="12"/>
        <v/>
      </c>
      <c r="Q62" s="34"/>
      <c r="R62" s="47" t="str">
        <f t="shared" si="13"/>
        <v/>
      </c>
      <c r="S62" s="46" t="str">
        <f t="shared" si="14"/>
        <v/>
      </c>
      <c r="U62" s="56" t="e">
        <v>#N/A</v>
      </c>
      <c r="V62" s="55" t="e">
        <v>#N/A</v>
      </c>
      <c r="Y62" s="194"/>
      <c r="Z62" s="38" t="e">
        <f>$Z$29*_xll.RtGet($AD$32,$AD$33&amp;$Y62&amp;$AD$34,Z$30)</f>
        <v>#VALUE!</v>
      </c>
      <c r="AA62" s="37" t="e">
        <f>$Z$29*_xll.RtGet($AD$32,$AD$33&amp;$Y62&amp;$AD$34,AA$30)</f>
        <v>#VALUE!</v>
      </c>
      <c r="AF62" s="38" t="e">
        <f t="shared" si="20"/>
        <v>#VALUE!</v>
      </c>
      <c r="AG62" s="104" t="str">
        <f t="shared" si="21"/>
        <v/>
      </c>
      <c r="AH62" s="104" t="str">
        <f t="shared" si="22"/>
        <v/>
      </c>
      <c r="AI62" s="37" t="str">
        <f t="shared" si="23"/>
        <v/>
      </c>
      <c r="AJ62" s="159">
        <f t="shared" si="28"/>
        <v>32</v>
      </c>
      <c r="AK62" s="153" t="str">
        <f t="shared" si="24"/>
        <v/>
      </c>
      <c r="AL62" s="153" t="str">
        <f t="shared" si="29"/>
        <v/>
      </c>
      <c r="AM62" s="153" t="b">
        <f t="shared" si="25"/>
        <v>0</v>
      </c>
      <c r="AN62" s="160" t="str">
        <f t="shared" si="26"/>
        <v/>
      </c>
      <c r="AO62" s="164"/>
      <c r="AP62" s="165"/>
      <c r="AQ62" s="171"/>
      <c r="AR62" s="172"/>
    </row>
    <row r="63" spans="1:44" ht="11.25" customHeight="1" x14ac:dyDescent="0.2">
      <c r="A63"/>
      <c r="B63"/>
      <c r="C63"/>
      <c r="D63"/>
      <c r="E63" s="52" t="b">
        <f t="shared" si="15"/>
        <v>0</v>
      </c>
      <c r="F63" s="51" t="str">
        <f t="shared" si="16"/>
        <v/>
      </c>
      <c r="G63" s="34"/>
      <c r="H63" s="34"/>
      <c r="I63" s="50" t="e">
        <f t="shared" si="17"/>
        <v>#VALUE!</v>
      </c>
      <c r="J63" s="48"/>
      <c r="K63" s="49"/>
      <c r="L63" s="48" t="e">
        <f t="shared" si="10"/>
        <v>#VALUE!</v>
      </c>
      <c r="M63" s="38">
        <f t="shared" si="18"/>
        <v>38</v>
      </c>
      <c r="N63" s="37" t="str">
        <f t="shared" si="11"/>
        <v/>
      </c>
      <c r="O63" s="38" t="str">
        <f t="shared" si="19"/>
        <v/>
      </c>
      <c r="P63" s="37" t="str">
        <f t="shared" si="12"/>
        <v/>
      </c>
      <c r="Q63" s="34"/>
      <c r="R63" s="47" t="str">
        <f t="shared" si="13"/>
        <v/>
      </c>
      <c r="S63" s="46" t="str">
        <f t="shared" si="14"/>
        <v/>
      </c>
      <c r="U63" s="56" t="e">
        <v>#N/A</v>
      </c>
      <c r="V63" s="55" t="e">
        <v>#N/A</v>
      </c>
      <c r="Y63" s="194"/>
      <c r="Z63" s="38" t="e">
        <f>$Z$29*_xll.RtGet($AD$32,$AD$33&amp;$Y63&amp;$AD$34,Z$30)</f>
        <v>#VALUE!</v>
      </c>
      <c r="AA63" s="37" t="e">
        <f>$Z$29*_xll.RtGet($AD$32,$AD$33&amp;$Y63&amp;$AD$34,AA$30)</f>
        <v>#VALUE!</v>
      </c>
      <c r="AF63" s="38" t="e">
        <f t="shared" si="20"/>
        <v>#VALUE!</v>
      </c>
      <c r="AG63" s="104" t="str">
        <f t="shared" si="21"/>
        <v/>
      </c>
      <c r="AH63" s="104" t="str">
        <f t="shared" si="22"/>
        <v/>
      </c>
      <c r="AI63" s="37" t="str">
        <f t="shared" si="23"/>
        <v/>
      </c>
      <c r="AJ63" s="159">
        <f t="shared" si="28"/>
        <v>33</v>
      </c>
      <c r="AK63" s="153" t="str">
        <f t="shared" si="24"/>
        <v/>
      </c>
      <c r="AL63" s="153" t="str">
        <f t="shared" si="29"/>
        <v/>
      </c>
      <c r="AM63" s="153" t="b">
        <f t="shared" si="25"/>
        <v>0</v>
      </c>
      <c r="AN63" s="160" t="str">
        <f t="shared" si="26"/>
        <v/>
      </c>
      <c r="AO63" s="159" t="str">
        <f t="array" ref="AO63:AP63">IF(AM63,INDEX($AH$31:$AI$72,AN63,0),"")</f>
        <v/>
      </c>
      <c r="AP63" s="160" t="str">
        <v/>
      </c>
      <c r="AQ63" s="173"/>
      <c r="AR63" s="172"/>
    </row>
    <row r="64" spans="1:44" ht="11.25" customHeight="1" x14ac:dyDescent="0.2">
      <c r="A64"/>
      <c r="B64"/>
      <c r="C64"/>
      <c r="D64"/>
      <c r="E64" s="52" t="b">
        <f t="shared" si="15"/>
        <v>0</v>
      </c>
      <c r="F64" s="51" t="str">
        <f t="shared" si="16"/>
        <v/>
      </c>
      <c r="G64" s="34"/>
      <c r="H64" s="34"/>
      <c r="I64" s="50" t="e">
        <f t="shared" si="17"/>
        <v>#VALUE!</v>
      </c>
      <c r="J64" s="48"/>
      <c r="K64" s="49"/>
      <c r="L64" s="48" t="e">
        <f t="shared" si="10"/>
        <v>#VALUE!</v>
      </c>
      <c r="M64" s="38">
        <f t="shared" si="18"/>
        <v>39</v>
      </c>
      <c r="N64" s="37" t="str">
        <f t="shared" si="11"/>
        <v/>
      </c>
      <c r="O64" s="38" t="str">
        <f t="shared" si="19"/>
        <v/>
      </c>
      <c r="P64" s="37" t="str">
        <f t="shared" si="12"/>
        <v/>
      </c>
      <c r="Q64" s="34"/>
      <c r="R64" s="47" t="str">
        <f t="shared" si="13"/>
        <v/>
      </c>
      <c r="S64" s="46" t="str">
        <f t="shared" si="14"/>
        <v/>
      </c>
      <c r="U64" s="56" t="e">
        <v>#N/A</v>
      </c>
      <c r="V64" s="55" t="e">
        <v>#N/A</v>
      </c>
      <c r="Y64" s="194"/>
      <c r="Z64" s="38" t="e">
        <f>$Z$29*_xll.RtGet($AD$32,$AD$33&amp;$Y64&amp;$AD$34,Z$30)</f>
        <v>#VALUE!</v>
      </c>
      <c r="AA64" s="37" t="e">
        <f>$Z$29*_xll.RtGet($AD$32,$AD$33&amp;$Y64&amp;$AD$34,AA$30)</f>
        <v>#VALUE!</v>
      </c>
      <c r="AF64" s="38" t="e">
        <f t="shared" si="20"/>
        <v>#VALUE!</v>
      </c>
      <c r="AG64" s="104" t="str">
        <f t="shared" si="21"/>
        <v/>
      </c>
      <c r="AH64" s="104" t="str">
        <f t="shared" si="22"/>
        <v/>
      </c>
      <c r="AI64" s="37" t="str">
        <f t="shared" si="23"/>
        <v/>
      </c>
      <c r="AJ64" s="159">
        <f t="shared" si="28"/>
        <v>34</v>
      </c>
      <c r="AK64" s="153" t="str">
        <f t="shared" si="24"/>
        <v/>
      </c>
      <c r="AL64" s="153" t="str">
        <f t="shared" si="29"/>
        <v/>
      </c>
      <c r="AM64" s="153" t="b">
        <f t="shared" si="25"/>
        <v>0</v>
      </c>
      <c r="AN64" s="160" t="str">
        <f t="shared" si="26"/>
        <v/>
      </c>
      <c r="AO64" s="159" t="str">
        <f t="array" ref="AO64:AP64">IF(AM64,INDEX($AH$31:$AI$72,AN64,0),"")</f>
        <v/>
      </c>
      <c r="AP64" s="160" t="str">
        <v/>
      </c>
      <c r="AQ64" s="173"/>
      <c r="AR64" s="172"/>
    </row>
    <row r="65" spans="1:44" ht="11.25" customHeight="1" x14ac:dyDescent="0.2">
      <c r="A65"/>
      <c r="B65"/>
      <c r="C65"/>
      <c r="D65"/>
      <c r="E65" s="52" t="b">
        <f t="shared" si="15"/>
        <v>0</v>
      </c>
      <c r="F65" s="51" t="str">
        <f t="shared" si="16"/>
        <v/>
      </c>
      <c r="G65" s="34"/>
      <c r="H65" s="34"/>
      <c r="I65" s="50" t="e">
        <f t="shared" si="17"/>
        <v>#VALUE!</v>
      </c>
      <c r="J65" s="48"/>
      <c r="K65" s="49"/>
      <c r="L65" s="48" t="e">
        <f t="shared" si="10"/>
        <v>#VALUE!</v>
      </c>
      <c r="M65" s="38">
        <f t="shared" si="18"/>
        <v>40</v>
      </c>
      <c r="N65" s="37" t="str">
        <f t="shared" si="11"/>
        <v/>
      </c>
      <c r="O65" s="38" t="str">
        <f t="shared" si="19"/>
        <v/>
      </c>
      <c r="P65" s="37" t="str">
        <f t="shared" si="12"/>
        <v/>
      </c>
      <c r="Q65" s="34"/>
      <c r="R65" s="47" t="str">
        <f t="shared" si="13"/>
        <v/>
      </c>
      <c r="S65" s="46" t="str">
        <f t="shared" si="14"/>
        <v/>
      </c>
      <c r="U65" s="56" t="e">
        <v>#N/A</v>
      </c>
      <c r="V65" s="55" t="e">
        <v>#N/A</v>
      </c>
      <c r="Y65" s="194"/>
      <c r="Z65" s="38" t="e">
        <f>$Z$29*_xll.RtGet($AD$32,$AD$33&amp;$Y65&amp;$AD$34,Z$30)</f>
        <v>#VALUE!</v>
      </c>
      <c r="AA65" s="37" t="e">
        <f>$Z$29*_xll.RtGet($AD$32,$AD$33&amp;$Y65&amp;$AD$34,AA$30)</f>
        <v>#VALUE!</v>
      </c>
      <c r="AF65" s="38" t="e">
        <f t="shared" si="20"/>
        <v>#VALUE!</v>
      </c>
      <c r="AG65" s="104" t="str">
        <f t="shared" si="21"/>
        <v/>
      </c>
      <c r="AH65" s="104" t="str">
        <f t="shared" si="22"/>
        <v/>
      </c>
      <c r="AI65" s="37" t="str">
        <f t="shared" si="23"/>
        <v/>
      </c>
      <c r="AJ65" s="159">
        <f t="shared" si="28"/>
        <v>35</v>
      </c>
      <c r="AK65" s="153" t="str">
        <f t="shared" si="24"/>
        <v/>
      </c>
      <c r="AL65" s="153" t="str">
        <f t="shared" si="29"/>
        <v/>
      </c>
      <c r="AM65" s="153" t="b">
        <f t="shared" si="25"/>
        <v>0</v>
      </c>
      <c r="AN65" s="160" t="str">
        <f t="shared" si="26"/>
        <v/>
      </c>
      <c r="AO65" s="159" t="str">
        <f t="array" ref="AO65:AP65">IF(AM65,INDEX($AH$31:$AI$72,AN65,0),"")</f>
        <v/>
      </c>
      <c r="AP65" s="160" t="str">
        <v/>
      </c>
      <c r="AQ65" s="173"/>
      <c r="AR65" s="172"/>
    </row>
    <row r="66" spans="1:44" ht="11.25" customHeight="1" x14ac:dyDescent="0.2">
      <c r="A66"/>
      <c r="B66"/>
      <c r="C66"/>
      <c r="D66"/>
      <c r="E66" s="52" t="b">
        <f t="shared" si="15"/>
        <v>0</v>
      </c>
      <c r="F66" s="51" t="str">
        <f t="shared" si="16"/>
        <v/>
      </c>
      <c r="G66" s="34"/>
      <c r="H66" s="34"/>
      <c r="I66" s="50" t="e">
        <f t="shared" si="17"/>
        <v>#VALUE!</v>
      </c>
      <c r="J66" s="48"/>
      <c r="K66" s="49"/>
      <c r="L66" s="48" t="e">
        <f t="shared" si="10"/>
        <v>#VALUE!</v>
      </c>
      <c r="M66" s="38">
        <f t="shared" si="18"/>
        <v>41</v>
      </c>
      <c r="N66" s="37" t="str">
        <f t="shared" si="11"/>
        <v/>
      </c>
      <c r="O66" s="38" t="str">
        <f t="shared" si="19"/>
        <v/>
      </c>
      <c r="P66" s="37" t="str">
        <f t="shared" si="12"/>
        <v/>
      </c>
      <c r="Q66" s="34"/>
      <c r="R66" s="47" t="str">
        <f t="shared" si="13"/>
        <v/>
      </c>
      <c r="S66" s="46" t="str">
        <f t="shared" si="14"/>
        <v/>
      </c>
      <c r="U66" s="56" t="e">
        <v>#N/A</v>
      </c>
      <c r="V66" s="55" t="e">
        <v>#N/A</v>
      </c>
      <c r="Y66" s="194"/>
      <c r="Z66" s="38" t="e">
        <f>$Z$29*_xll.RtGet($AD$32,$AD$33&amp;$Y66&amp;$AD$34,Z$30)</f>
        <v>#VALUE!</v>
      </c>
      <c r="AA66" s="37" t="e">
        <f>$Z$29*_xll.RtGet($AD$32,$AD$33&amp;$Y66&amp;$AD$34,AA$30)</f>
        <v>#VALUE!</v>
      </c>
      <c r="AF66" s="38" t="e">
        <f t="shared" si="20"/>
        <v>#VALUE!</v>
      </c>
      <c r="AG66" s="104" t="str">
        <f t="shared" si="21"/>
        <v/>
      </c>
      <c r="AH66" s="104" t="str">
        <f t="shared" si="22"/>
        <v/>
      </c>
      <c r="AI66" s="37" t="str">
        <f t="shared" si="23"/>
        <v/>
      </c>
      <c r="AJ66" s="159">
        <f t="shared" si="28"/>
        <v>36</v>
      </c>
      <c r="AK66" s="153" t="str">
        <f t="shared" si="24"/>
        <v/>
      </c>
      <c r="AL66" s="153" t="str">
        <f t="shared" si="29"/>
        <v/>
      </c>
      <c r="AM66" s="153" t="b">
        <f t="shared" si="25"/>
        <v>0</v>
      </c>
      <c r="AN66" s="160" t="str">
        <f t="shared" si="26"/>
        <v/>
      </c>
      <c r="AO66" s="159" t="str">
        <f t="array" ref="AO66:AP66">IF(AM66,INDEX($AH$31:$AI$72,AN66,0),"")</f>
        <v/>
      </c>
      <c r="AP66" s="160" t="str">
        <v/>
      </c>
      <c r="AQ66" s="173"/>
      <c r="AR66" s="172"/>
    </row>
    <row r="67" spans="1:44" ht="11.25" customHeight="1" x14ac:dyDescent="0.2">
      <c r="A67"/>
      <c r="B67"/>
      <c r="C67"/>
      <c r="D67"/>
      <c r="E67" s="45" t="b">
        <f t="shared" si="15"/>
        <v>0</v>
      </c>
      <c r="F67" s="44" t="str">
        <f t="shared" si="16"/>
        <v/>
      </c>
      <c r="I67" s="43" t="e">
        <f t="shared" si="17"/>
        <v>#VALUE!</v>
      </c>
      <c r="J67" s="41"/>
      <c r="K67" s="42"/>
      <c r="L67" s="41" t="e">
        <f t="shared" si="10"/>
        <v>#VALUE!</v>
      </c>
      <c r="M67" s="36">
        <f t="shared" si="18"/>
        <v>42</v>
      </c>
      <c r="N67" s="35" t="str">
        <f t="shared" si="11"/>
        <v/>
      </c>
      <c r="O67" s="36" t="str">
        <f t="shared" si="19"/>
        <v/>
      </c>
      <c r="P67" s="35" t="str">
        <f t="shared" si="12"/>
        <v/>
      </c>
      <c r="R67" s="40" t="str">
        <f t="shared" si="13"/>
        <v/>
      </c>
      <c r="S67" s="39" t="str">
        <f t="shared" si="14"/>
        <v/>
      </c>
      <c r="U67" s="56" t="e">
        <v>#N/A</v>
      </c>
      <c r="V67" s="55" t="e">
        <v>#N/A</v>
      </c>
      <c r="Y67" s="194"/>
      <c r="Z67" s="38" t="e">
        <f>$Z$29*_xll.RtGet($AD$32,$AD$33&amp;$Y67&amp;$AD$34,Z$30)</f>
        <v>#VALUE!</v>
      </c>
      <c r="AA67" s="37" t="e">
        <f>$Z$29*_xll.RtGet($AD$32,$AD$33&amp;$Y67&amp;$AD$34,AA$30)</f>
        <v>#VALUE!</v>
      </c>
      <c r="AF67" s="38" t="e">
        <f t="shared" si="20"/>
        <v>#VALUE!</v>
      </c>
      <c r="AG67" s="104" t="str">
        <f t="shared" si="21"/>
        <v/>
      </c>
      <c r="AH67" s="104" t="str">
        <f t="shared" si="22"/>
        <v/>
      </c>
      <c r="AI67" s="37" t="str">
        <f t="shared" si="23"/>
        <v/>
      </c>
      <c r="AJ67" s="159">
        <f t="shared" si="28"/>
        <v>37</v>
      </c>
      <c r="AK67" s="153" t="str">
        <f t="shared" si="24"/>
        <v/>
      </c>
      <c r="AL67" s="153" t="str">
        <f t="shared" si="29"/>
        <v/>
      </c>
      <c r="AM67" s="153" t="b">
        <f t="shared" si="25"/>
        <v>0</v>
      </c>
      <c r="AN67" s="160" t="str">
        <f t="shared" si="26"/>
        <v/>
      </c>
      <c r="AO67" s="159" t="str">
        <f t="array" ref="AO67:AP67">IF(AM67,INDEX($AH$31:$AI$72,AN67,0),"")</f>
        <v/>
      </c>
      <c r="AP67" s="160" t="str">
        <v/>
      </c>
      <c r="AQ67" s="173"/>
      <c r="AR67" s="172"/>
    </row>
    <row r="68" spans="1:44" ht="11.25" customHeight="1" x14ac:dyDescent="0.2">
      <c r="A68"/>
      <c r="B68"/>
      <c r="C68"/>
      <c r="D68"/>
      <c r="I68" s="34"/>
      <c r="J68" s="34"/>
      <c r="K68" s="34"/>
      <c r="L68" s="34"/>
      <c r="N68" s="26"/>
      <c r="O68" s="26"/>
      <c r="U68" s="56" t="e">
        <v>#N/A</v>
      </c>
      <c r="V68" s="55" t="e">
        <v>#N/A</v>
      </c>
      <c r="Y68" s="194"/>
      <c r="Z68" s="38" t="e">
        <f>$Z$29*_xll.RtGet($AD$32,$AD$33&amp;$Y68&amp;$AD$34,Z$30)</f>
        <v>#VALUE!</v>
      </c>
      <c r="AA68" s="37" t="e">
        <f>$Z$29*_xll.RtGet($AD$32,$AD$33&amp;$Y68&amp;$AD$34,AA$30)</f>
        <v>#VALUE!</v>
      </c>
      <c r="AF68" s="38" t="e">
        <f t="shared" si="20"/>
        <v>#VALUE!</v>
      </c>
      <c r="AG68" s="104" t="str">
        <f t="shared" si="21"/>
        <v/>
      </c>
      <c r="AH68" s="104" t="str">
        <f t="shared" si="22"/>
        <v/>
      </c>
      <c r="AI68" s="37" t="str">
        <f t="shared" si="23"/>
        <v/>
      </c>
      <c r="AJ68" s="159">
        <f t="shared" si="28"/>
        <v>38</v>
      </c>
      <c r="AK68" s="153" t="str">
        <f t="shared" si="24"/>
        <v/>
      </c>
      <c r="AL68" s="153" t="str">
        <f t="shared" si="29"/>
        <v/>
      </c>
      <c r="AM68" s="153" t="b">
        <f t="shared" si="25"/>
        <v>0</v>
      </c>
      <c r="AN68" s="160" t="str">
        <f t="shared" si="26"/>
        <v/>
      </c>
      <c r="AO68" s="159" t="str">
        <f t="array" ref="AO68:AP68">IF(AM68,INDEX($AH$31:$AI$72,AN68,0),"")</f>
        <v/>
      </c>
      <c r="AP68" s="160" t="str">
        <v/>
      </c>
      <c r="AQ68" s="173"/>
      <c r="AR68" s="172"/>
    </row>
    <row r="69" spans="1:44" ht="11.25" customHeight="1" x14ac:dyDescent="0.2">
      <c r="A69"/>
      <c r="B69"/>
      <c r="C69"/>
      <c r="D69"/>
      <c r="N69" s="26"/>
      <c r="O69" s="26"/>
      <c r="U69" s="56" t="e">
        <v>#N/A</v>
      </c>
      <c r="V69" s="55" t="e">
        <v>#N/A</v>
      </c>
      <c r="Y69" s="194"/>
      <c r="Z69" s="38" t="e">
        <f>$Z$29*_xll.RtGet($AD$32,$AD$33&amp;$Y69&amp;$AD$34,Z$30)</f>
        <v>#VALUE!</v>
      </c>
      <c r="AA69" s="37" t="e">
        <f>$Z$29*_xll.RtGet($AD$32,$AD$33&amp;$Y69&amp;$AD$34,AA$30)</f>
        <v>#VALUE!</v>
      </c>
      <c r="AF69" s="38" t="e">
        <f t="shared" si="20"/>
        <v>#VALUE!</v>
      </c>
      <c r="AG69" s="104" t="str">
        <f t="shared" si="21"/>
        <v/>
      </c>
      <c r="AH69" s="104" t="str">
        <f t="shared" si="22"/>
        <v/>
      </c>
      <c r="AI69" s="37" t="str">
        <f t="shared" si="23"/>
        <v/>
      </c>
      <c r="AJ69" s="159">
        <f t="shared" si="28"/>
        <v>39</v>
      </c>
      <c r="AK69" s="153" t="str">
        <f t="shared" si="24"/>
        <v/>
      </c>
      <c r="AL69" s="153" t="str">
        <f t="shared" si="29"/>
        <v/>
      </c>
      <c r="AM69" s="153" t="b">
        <f t="shared" si="25"/>
        <v>0</v>
      </c>
      <c r="AN69" s="160" t="str">
        <f t="shared" si="26"/>
        <v/>
      </c>
      <c r="AO69" s="159" t="str">
        <f t="array" ref="AO69:AP69">IF(AM69,INDEX($AH$31:$AI$72,AN69,0),"")</f>
        <v/>
      </c>
      <c r="AP69" s="160" t="str">
        <v/>
      </c>
      <c r="AQ69" s="173"/>
      <c r="AR69" s="172"/>
    </row>
    <row r="70" spans="1:44" ht="11.25" customHeight="1" x14ac:dyDescent="0.2">
      <c r="A70"/>
      <c r="B70"/>
      <c r="C70"/>
      <c r="D70"/>
      <c r="N70" s="26"/>
      <c r="O70" s="26"/>
      <c r="U70" s="56" t="e">
        <v>#N/A</v>
      </c>
      <c r="V70" s="55" t="e">
        <v>#N/A</v>
      </c>
      <c r="Y70" s="194"/>
      <c r="Z70" s="38" t="e">
        <f>$Z$29*_xll.RtGet($AD$32,$AD$33&amp;$Y70&amp;$AD$34,Z$30)</f>
        <v>#VALUE!</v>
      </c>
      <c r="AA70" s="37" t="e">
        <f>$Z$29*_xll.RtGet($AD$32,$AD$33&amp;$Y70&amp;$AD$34,AA$30)</f>
        <v>#VALUE!</v>
      </c>
      <c r="AF70" s="38" t="e">
        <f t="shared" si="20"/>
        <v>#VALUE!</v>
      </c>
      <c r="AG70" s="104" t="str">
        <f t="shared" si="21"/>
        <v/>
      </c>
      <c r="AH70" s="104" t="str">
        <f t="shared" si="22"/>
        <v/>
      </c>
      <c r="AI70" s="37" t="str">
        <f t="shared" si="23"/>
        <v/>
      </c>
      <c r="AJ70" s="159">
        <f t="shared" si="28"/>
        <v>40</v>
      </c>
      <c r="AK70" s="153" t="str">
        <f t="shared" si="24"/>
        <v/>
      </c>
      <c r="AL70" s="153" t="str">
        <f t="shared" si="29"/>
        <v/>
      </c>
      <c r="AM70" s="153" t="b">
        <f t="shared" si="25"/>
        <v>0</v>
      </c>
      <c r="AN70" s="160" t="str">
        <f t="shared" si="26"/>
        <v/>
      </c>
      <c r="AO70" s="159" t="str">
        <f t="array" ref="AO70:AP70">IF(AM70,INDEX($AH$31:$AI$72,AN70,0),"")</f>
        <v/>
      </c>
      <c r="AP70" s="160" t="str">
        <v/>
      </c>
      <c r="AQ70" s="173"/>
      <c r="AR70" s="172"/>
    </row>
    <row r="71" spans="1:44" ht="11.25" customHeight="1" x14ac:dyDescent="0.2">
      <c r="A71"/>
      <c r="B71"/>
      <c r="C71"/>
      <c r="D71"/>
      <c r="N71" s="26"/>
      <c r="O71" s="26"/>
      <c r="U71" s="56" t="e">
        <v>#N/A</v>
      </c>
      <c r="V71" s="55" t="e">
        <v>#N/A</v>
      </c>
      <c r="Y71" s="194"/>
      <c r="Z71" s="38" t="e">
        <f>$Z$29*_xll.RtGet($AD$32,$AD$33&amp;$Y71&amp;$AD$34,Z$30)</f>
        <v>#VALUE!</v>
      </c>
      <c r="AA71" s="37" t="e">
        <f>$Z$29*_xll.RtGet($AD$32,$AD$33&amp;$Y71&amp;$AD$34,AA$30)</f>
        <v>#VALUE!</v>
      </c>
      <c r="AF71" s="38" t="e">
        <f t="shared" si="20"/>
        <v>#VALUE!</v>
      </c>
      <c r="AG71" s="104" t="str">
        <f t="shared" si="21"/>
        <v/>
      </c>
      <c r="AH71" s="104" t="str">
        <f t="shared" si="22"/>
        <v/>
      </c>
      <c r="AI71" s="37" t="str">
        <f t="shared" si="23"/>
        <v/>
      </c>
      <c r="AJ71" s="159">
        <f t="shared" si="28"/>
        <v>41</v>
      </c>
      <c r="AK71" s="153" t="str">
        <f t="shared" si="24"/>
        <v/>
      </c>
      <c r="AL71" s="153" t="str">
        <f t="shared" si="29"/>
        <v/>
      </c>
      <c r="AM71" s="153" t="b">
        <f t="shared" si="25"/>
        <v>0</v>
      </c>
      <c r="AN71" s="160" t="str">
        <f t="shared" si="26"/>
        <v/>
      </c>
      <c r="AO71" s="159" t="str">
        <f t="array" ref="AO71:AP71">IF(AM71,INDEX($AH$31:$AI$72,AN71,0),"")</f>
        <v/>
      </c>
      <c r="AP71" s="160" t="str">
        <v/>
      </c>
      <c r="AQ71" s="173"/>
      <c r="AR71" s="172"/>
    </row>
    <row r="72" spans="1:44" ht="11.25" customHeight="1" x14ac:dyDescent="0.2">
      <c r="A72"/>
      <c r="B72"/>
      <c r="C72"/>
      <c r="D72"/>
      <c r="N72" s="26"/>
      <c r="O72" s="26"/>
      <c r="U72" s="56" t="e">
        <v>#N/A</v>
      </c>
      <c r="V72" s="55" t="e">
        <v>#N/A</v>
      </c>
      <c r="Y72" s="195"/>
      <c r="Z72" s="36" t="e">
        <f>$Z$29*_xll.RtGet($AD$32,$AD$33&amp;$Y72&amp;$AD$34,Z$30)</f>
        <v>#VALUE!</v>
      </c>
      <c r="AA72" s="35" t="e">
        <f>$Z$29*_xll.RtGet($AD$32,$AD$33&amp;$Y72&amp;$AD$34,AA$30)</f>
        <v>#VALUE!</v>
      </c>
      <c r="AF72" s="36" t="e">
        <f t="shared" si="20"/>
        <v>#VALUE!</v>
      </c>
      <c r="AG72" s="109" t="str">
        <f t="shared" si="21"/>
        <v/>
      </c>
      <c r="AH72" s="156">
        <f>IF(AH30,AQ29,AG72)</f>
        <v>30</v>
      </c>
      <c r="AI72" s="156">
        <f>IF(AH30,INDEX(AF31:AF72,MATCH(AG29,AG31:AG72,0)),AF72)</f>
        <v>0.48749999999999999</v>
      </c>
      <c r="AJ72" s="17">
        <f t="shared" si="28"/>
        <v>42</v>
      </c>
      <c r="AK72" s="161">
        <f t="shared" si="24"/>
        <v>42</v>
      </c>
      <c r="AL72" s="161" t="str">
        <f t="shared" si="29"/>
        <v/>
      </c>
      <c r="AM72" s="161" t="b">
        <f t="shared" si="25"/>
        <v>0</v>
      </c>
      <c r="AN72" s="162" t="str">
        <f t="shared" si="26"/>
        <v/>
      </c>
      <c r="AO72" s="17" t="str">
        <f t="array" ref="AO72:AP72">IF(AM72,INDEX($AH$31:$AI$72,AN72,0),"")</f>
        <v/>
      </c>
      <c r="AP72" s="162" t="str">
        <v/>
      </c>
      <c r="AQ72" s="174"/>
      <c r="AR72" s="175"/>
    </row>
    <row r="73" spans="1:44" ht="11.25" customHeight="1" x14ac:dyDescent="0.2">
      <c r="A73"/>
      <c r="B73"/>
      <c r="C73"/>
      <c r="D73"/>
      <c r="N73" s="26"/>
      <c r="O73" s="26"/>
      <c r="U73" s="56" t="e">
        <v>#N/A</v>
      </c>
      <c r="V73" s="55" t="e">
        <v>#N/A</v>
      </c>
    </row>
    <row r="74" spans="1:44" ht="11.25" customHeight="1" x14ac:dyDescent="0.2">
      <c r="A74"/>
      <c r="B74" t="s">
        <v>173</v>
      </c>
      <c r="C74"/>
      <c r="D74"/>
      <c r="N74" s="26"/>
      <c r="O74" s="26"/>
      <c r="U74" s="56" t="e">
        <v>#N/A</v>
      </c>
      <c r="V74" s="55" t="e">
        <v>#N/A</v>
      </c>
    </row>
    <row r="75" spans="1:44" ht="11.25" customHeight="1" x14ac:dyDescent="0.2">
      <c r="A75"/>
      <c r="B75"/>
      <c r="C75"/>
      <c r="D75"/>
      <c r="N75" s="26"/>
      <c r="O75" s="26"/>
      <c r="U75" s="56" t="e">
        <v>#N/A</v>
      </c>
      <c r="V75" s="55" t="e">
        <v>#N/A</v>
      </c>
    </row>
    <row r="76" spans="1:44" ht="11.25" customHeight="1" x14ac:dyDescent="0.2">
      <c r="A76"/>
      <c r="B76"/>
      <c r="C76"/>
      <c r="D76"/>
      <c r="N76" s="26"/>
      <c r="O76" s="26"/>
      <c r="U76" s="56" t="e">
        <v>#N/A</v>
      </c>
      <c r="V76" s="55" t="e">
        <v>#N/A</v>
      </c>
    </row>
    <row r="77" spans="1:44" ht="11.25" customHeight="1" x14ac:dyDescent="0.2">
      <c r="A77"/>
      <c r="B77"/>
      <c r="C77"/>
      <c r="D77"/>
      <c r="N77" s="26"/>
      <c r="O77" s="26"/>
      <c r="U77" s="56" t="e">
        <v>#N/A</v>
      </c>
      <c r="V77" s="55" t="e">
        <v>#N/A</v>
      </c>
    </row>
    <row r="78" spans="1:44" ht="11.25" customHeight="1" x14ac:dyDescent="0.2">
      <c r="A78"/>
      <c r="B78"/>
      <c r="C78"/>
      <c r="D78"/>
      <c r="N78" s="26"/>
      <c r="O78" s="26"/>
      <c r="U78" s="56" t="e">
        <v>#N/A</v>
      </c>
      <c r="V78" s="55" t="e">
        <v>#N/A</v>
      </c>
    </row>
    <row r="79" spans="1:44" ht="11.25" customHeight="1" x14ac:dyDescent="0.2">
      <c r="A79"/>
      <c r="B79"/>
      <c r="C79"/>
      <c r="D79"/>
      <c r="N79" s="26"/>
      <c r="O79" s="26"/>
      <c r="U79" s="54" t="e">
        <v>#N/A</v>
      </c>
      <c r="V79" s="53" t="e">
        <v>#N/A</v>
      </c>
    </row>
    <row r="80" spans="1:44" ht="11.25" customHeight="1" x14ac:dyDescent="0.2">
      <c r="A80"/>
      <c r="B80"/>
      <c r="C80"/>
      <c r="D80"/>
      <c r="N80" s="26"/>
      <c r="O80" s="26"/>
    </row>
    <row r="81" spans="1:15" ht="11.25" customHeight="1" x14ac:dyDescent="0.2">
      <c r="B81" s="73" t="s">
        <v>69</v>
      </c>
      <c r="C81" s="72">
        <f>VLOOKUP(C14,dvCurveBootstrapperDayCount,2,FALSE)</f>
        <v>5</v>
      </c>
      <c r="N81" s="26"/>
      <c r="O81" s="26"/>
    </row>
    <row r="82" spans="1:15" ht="11.25" customHeight="1" x14ac:dyDescent="0.2">
      <c r="N82" s="26"/>
      <c r="O82" s="26"/>
    </row>
    <row r="83" spans="1:15" ht="11.25" customHeight="1" x14ac:dyDescent="0.2">
      <c r="B83" s="67" t="s">
        <v>65</v>
      </c>
      <c r="C83" s="67" t="s">
        <v>64</v>
      </c>
      <c r="N83" s="26"/>
      <c r="O83" s="26"/>
    </row>
    <row r="84" spans="1:15" ht="11.25" customHeight="1" x14ac:dyDescent="0.2">
      <c r="B84" s="60" t="str">
        <f>"DomDiscCurveName"&amp;IF(ISBLANK(C8),"","#"&amp;C8)</f>
        <v>DomDiscCurveName#AUDEURBAS.EUR.ON</v>
      </c>
      <c r="C84" s="59"/>
      <c r="N84" s="26"/>
      <c r="O84" s="26"/>
    </row>
    <row r="85" spans="1:15" ht="11.25" customHeight="1" x14ac:dyDescent="0.2">
      <c r="B85" s="60" t="str">
        <f>"DomFwdCurveName"&amp;IF(ISBLANK(C9),"","#"&amp;C9)</f>
        <v>DomFwdCurveName#AUDEURBAS.EUR.3M</v>
      </c>
      <c r="C85" s="59"/>
      <c r="N85" s="26"/>
      <c r="O85" s="26"/>
    </row>
    <row r="86" spans="1:15" ht="11.25" customHeight="1" x14ac:dyDescent="0.2">
      <c r="B86" s="60" t="str">
        <f>"ForFwdCurveName"&amp;IF(ISBLANK(C10),"","#"&amp;C10)</f>
        <v>ForFwdCurveName#AUDEURBAS.AUD.3M</v>
      </c>
      <c r="C86" s="59"/>
      <c r="N86" s="26"/>
      <c r="O86" s="26"/>
    </row>
    <row r="87" spans="1:15" ht="11.25" customHeight="1" x14ac:dyDescent="0.2">
      <c r="B87" s="60" t="str">
        <f>"CCSSpreadCurr"&amp;IF(ISBLANK(C7),"","#"&amp;C7)</f>
        <v>CCSSpreadCurr#AUD</v>
      </c>
      <c r="C87" s="59"/>
      <c r="N87" s="26"/>
      <c r="O87" s="26"/>
    </row>
    <row r="88" spans="1:15" ht="11.25" customHeight="1" x14ac:dyDescent="0.2">
      <c r="B88" s="60" t="str">
        <f>"BlockOrder"&amp;IF(ISBLANK(C25),"","#"&amp;C25)</f>
        <v>BlockOrder#132</v>
      </c>
      <c r="C88" s="59"/>
      <c r="N88" s="26"/>
      <c r="O88" s="26"/>
    </row>
    <row r="89" spans="1:15" ht="11.25" customHeight="1" x14ac:dyDescent="0.2">
      <c r="B89" s="60" t="str">
        <f>"MatBlockCons"&amp;IF(ISBLANK(C26),"","#"&amp;C26)</f>
        <v>MatBlockCons#on</v>
      </c>
      <c r="C89" s="59"/>
      <c r="N89" s="26"/>
      <c r="O89" s="26"/>
    </row>
    <row r="90" spans="1:15" ht="11.25" customHeight="1" x14ac:dyDescent="0.2">
      <c r="B90" s="60" t="str">
        <f>"CCSM2MCurr"&amp;IF(ISBLANK(C30),"","#"&amp;C30)</f>
        <v>CCSM2MCurr#EUR</v>
      </c>
      <c r="C90" s="59"/>
      <c r="N90" s="26"/>
      <c r="O90" s="26"/>
    </row>
    <row r="91" spans="1:15" ht="11.25" customHeight="1" x14ac:dyDescent="0.2">
      <c r="A91" s="63"/>
      <c r="B91" s="64" t="str">
        <f>IF(ISBLANK(C27),"","CCDepoValDays")</f>
        <v>CCDepoValDays</v>
      </c>
      <c r="C91" s="143">
        <f>C27</f>
        <v>2</v>
      </c>
      <c r="N91" s="26"/>
      <c r="O91" s="26"/>
    </row>
    <row r="92" spans="1:15" ht="11.25" customHeight="1" x14ac:dyDescent="0.2">
      <c r="A92" s="63"/>
      <c r="B92" s="60" t="str">
        <f>IF(ISBLANK(C28),"","CCSDomNotional")</f>
        <v/>
      </c>
      <c r="C92" s="59">
        <f>C28</f>
        <v>0</v>
      </c>
      <c r="N92" s="26"/>
      <c r="O92" s="26"/>
    </row>
    <row r="93" spans="1:15" ht="11.25" customHeight="1" x14ac:dyDescent="0.2">
      <c r="A93" s="63"/>
      <c r="B93" s="60" t="str">
        <f>IF(ISBLANK(C29),"","CCSForNotional")</f>
        <v/>
      </c>
      <c r="C93" s="59">
        <f t="shared" ref="C93" si="30">C29</f>
        <v>0</v>
      </c>
      <c r="N93" s="26"/>
      <c r="O93" s="26"/>
    </row>
    <row r="94" spans="1:15" ht="11.25" customHeight="1" x14ac:dyDescent="0.2">
      <c r="B94" s="60" t="str">
        <f>IF(ISBLANK(C31),"","CCSMatType")</f>
        <v>CCSMatType</v>
      </c>
      <c r="C94" s="147">
        <f>IF(ISBLANK(C31),0,VLOOKUP(C31,dvCurveBootstrapperSwapMatType,2,FALSE))</f>
        <v>1</v>
      </c>
      <c r="N94" s="26"/>
      <c r="O94" s="26"/>
    </row>
    <row r="95" spans="1:15" ht="11.25" customHeight="1" x14ac:dyDescent="0.2">
      <c r="B95" s="60" t="str">
        <f>IF(ISBLANK(C32),"","CCSDomFreq")</f>
        <v/>
      </c>
      <c r="C95" s="147">
        <f>C32</f>
        <v>0</v>
      </c>
      <c r="N95" s="26"/>
      <c r="O95" s="26"/>
    </row>
    <row r="96" spans="1:15" ht="11.25" customHeight="1" x14ac:dyDescent="0.2">
      <c r="B96" s="60" t="str">
        <f>IF(ISBLANK(C33),"","CCSDomYrf")</f>
        <v/>
      </c>
      <c r="C96" s="147">
        <f>IF(ISBLANK(C33),0,VLOOKUP(C33,dvCurveBootstrapperDayCount,2,FALSE))</f>
        <v>0</v>
      </c>
      <c r="N96" s="26"/>
      <c r="O96" s="26"/>
    </row>
    <row r="97" spans="2:15" ht="11.25" customHeight="1" x14ac:dyDescent="0.2">
      <c r="B97" s="60" t="str">
        <f>IF(ISBLANK(C34),"","CCSDomMult")</f>
        <v/>
      </c>
      <c r="C97" s="147">
        <f>C34</f>
        <v>0</v>
      </c>
      <c r="N97" s="26"/>
      <c r="O97" s="26"/>
    </row>
    <row r="98" spans="2:15" ht="11.25" customHeight="1" x14ac:dyDescent="0.2">
      <c r="B98" s="60" t="str">
        <f>IF(ISBLANK(C35),"","CCSDom1stRate")</f>
        <v/>
      </c>
      <c r="C98" s="61">
        <f>C35</f>
        <v>0</v>
      </c>
    </row>
    <row r="99" spans="2:15" ht="11.25" customHeight="1" x14ac:dyDescent="0.2">
      <c r="B99" s="60" t="str">
        <f>IF(ISBLANK(C36),"","CCSForFreq")</f>
        <v/>
      </c>
      <c r="C99" s="147">
        <f>C36</f>
        <v>0</v>
      </c>
    </row>
    <row r="100" spans="2:15" ht="11.25" customHeight="1" x14ac:dyDescent="0.2">
      <c r="B100" s="60" t="str">
        <f>IF(ISBLANK(C37),"","CCSForYrf")</f>
        <v/>
      </c>
      <c r="C100" s="147">
        <f>IF(ISBLANK(C37),0,VLOOKUP(C37,dvCurveBootstrapperDayCount,2,FALSE))</f>
        <v>0</v>
      </c>
    </row>
    <row r="101" spans="2:15" ht="11.25" customHeight="1" x14ac:dyDescent="0.2">
      <c r="B101" s="60" t="str">
        <f>IF(ISBLANK(C38),"","CCSForMult")</f>
        <v/>
      </c>
      <c r="C101" s="147">
        <f>C38</f>
        <v>0</v>
      </c>
    </row>
    <row r="102" spans="2:15" ht="11.25" customHeight="1" x14ac:dyDescent="0.2">
      <c r="B102" s="60" t="str">
        <f>IF(ISBLANK(C39),"","CCSFor1stRate")</f>
        <v/>
      </c>
      <c r="C102" s="61">
        <f>C39</f>
        <v>0</v>
      </c>
    </row>
    <row r="103" spans="2:15" ht="11.25" customHeight="1" x14ac:dyDescent="0.2">
      <c r="B103" s="58" t="str">
        <f>IF(ISBLANK(C40),"","OutputType")</f>
        <v>OutputType</v>
      </c>
      <c r="C103" s="57">
        <f>IF(ISBLANK(C40),0,VLOOKUP(C40,dvCurveBootstrapperOutputType,2,FALSE))</f>
        <v>1</v>
      </c>
    </row>
  </sheetData>
  <sheetProtection formatCells="0" formatColumns="0" formatRows="0"/>
  <mergeCells count="2">
    <mergeCell ref="B2:C2"/>
    <mergeCell ref="B24:C24"/>
  </mergeCells>
  <conditionalFormatting sqref="E3:E20 E23 E26:E67">
    <cfRule type="cellIs" dxfId="17" priority="13" stopIfTrue="1" operator="equal">
      <formula>FALSE</formula>
    </cfRule>
  </conditionalFormatting>
  <conditionalFormatting sqref="I3:L20 I23:L23">
    <cfRule type="expression" dxfId="16" priority="7" stopIfTrue="1">
      <formula>NOT($E3)</formula>
    </cfRule>
  </conditionalFormatting>
  <conditionalFormatting sqref="I26:L67">
    <cfRule type="expression" dxfId="15" priority="1" stopIfTrue="1">
      <formula>NOT($E26)</formula>
    </cfRule>
  </conditionalFormatting>
  <conditionalFormatting sqref="L3:L20">
    <cfRule type="expression" dxfId="14" priority="8" stopIfTrue="1">
      <formula>ISNUMBER(J3)</formula>
    </cfRule>
    <cfRule type="expression" dxfId="13" priority="12" stopIfTrue="1">
      <formula>ISNUMBER(K3)</formula>
    </cfRule>
  </conditionalFormatting>
  <conditionalFormatting sqref="L23">
    <cfRule type="expression" dxfId="12" priority="6" stopIfTrue="1">
      <formula>ISNUMBER(J23)</formula>
    </cfRule>
    <cfRule type="expression" dxfId="11" priority="11" stopIfTrue="1">
      <formula>ISNUMBER(K23)</formula>
    </cfRule>
  </conditionalFormatting>
  <conditionalFormatting sqref="L26:L67">
    <cfRule type="expression" dxfId="10" priority="2" stopIfTrue="1">
      <formula>ISNUMBER(J26)</formula>
    </cfRule>
    <cfRule type="expression" dxfId="9" priority="9" stopIfTrue="1">
      <formula>ISNUMBER(K26)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btnRun">
          <controlPr defaultSize="0" autoLine="0" r:id="rId5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1</xdr:col>
                <xdr:colOff>914400</xdr:colOff>
                <xdr:row>19</xdr:row>
                <xdr:rowOff>9525</xdr:rowOff>
              </to>
            </anchor>
          </controlPr>
        </control>
      </mc:Choice>
      <mc:Fallback>
        <control shapeId="1025" r:id="rId4" name="btnRun"/>
      </mc:Fallback>
    </mc:AlternateContent>
    <mc:AlternateContent xmlns:mc="http://schemas.openxmlformats.org/markup-compatibility/2006">
      <mc:Choice Requires="x14">
        <control shapeId="1026" r:id="rId6" name="btnFreeze">
          <controlPr defaultSize="0" autoLine="0" r:id="rId7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1</xdr:col>
                <xdr:colOff>914400</xdr:colOff>
                <xdr:row>21</xdr:row>
                <xdr:rowOff>9525</xdr:rowOff>
              </to>
            </anchor>
          </controlPr>
        </control>
      </mc:Choice>
      <mc:Fallback>
        <control shapeId="1026" r:id="rId6" name="btnFreez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CCECFF"/>
    <outlinePr summaryRight="0"/>
  </sheetPr>
  <dimension ref="A1:AR103"/>
  <sheetViews>
    <sheetView showGridLines="0" tabSelected="1" workbookViewId="0">
      <selection activeCell="C45" sqref="C45"/>
    </sheetView>
  </sheetViews>
  <sheetFormatPr defaultRowHeight="11.25" customHeight="1" outlineLevelCol="1" x14ac:dyDescent="0.2"/>
  <cols>
    <col min="1" max="1" width="3.83203125" style="26" customWidth="1"/>
    <col min="2" max="2" width="25.83203125" style="26" customWidth="1"/>
    <col min="3" max="3" width="20.83203125" style="26" customWidth="1"/>
    <col min="4" max="4" width="2.83203125" style="26" customWidth="1"/>
    <col min="5" max="5" width="9.33203125" style="33"/>
    <col min="6" max="6" width="9.33203125" style="33" collapsed="1"/>
    <col min="7" max="8" width="9.33203125" style="33" hidden="1" customWidth="1" outlineLevel="1"/>
    <col min="9" max="11" width="9.33203125" style="33"/>
    <col min="12" max="12" width="9.33203125" style="33" collapsed="1"/>
    <col min="13" max="17" width="9.33203125" style="33" hidden="1" customWidth="1" outlineLevel="1"/>
    <col min="18" max="18" width="10.83203125" style="33" hidden="1" customWidth="1" outlineLevel="1"/>
    <col min="19" max="19" width="9.33203125" style="33" hidden="1" customWidth="1" outlineLevel="1"/>
    <col min="20" max="20" width="2.83203125" style="33" customWidth="1"/>
    <col min="21" max="21" width="10.83203125" style="34" customWidth="1"/>
    <col min="22" max="22" width="12.83203125" style="34" customWidth="1"/>
    <col min="23" max="23" width="9.33203125" style="26"/>
    <col min="24" max="24" width="9.33203125" style="26" customWidth="1"/>
    <col min="25" max="25" width="11.83203125" style="33" customWidth="1"/>
    <col min="26" max="27" width="9.5" style="33" bestFit="1" customWidth="1"/>
    <col min="28" max="28" width="2.83203125" style="33" customWidth="1"/>
    <col min="29" max="29" width="10.33203125" style="33" customWidth="1"/>
    <col min="30" max="30" width="14.6640625" style="33" bestFit="1" customWidth="1"/>
    <col min="31" max="31" width="9.33203125" style="33"/>
    <col min="32" max="34" width="9.83203125" style="33" customWidth="1"/>
    <col min="35" max="35" width="16.83203125" style="33" customWidth="1"/>
    <col min="36" max="39" width="9.33203125" style="33"/>
    <col min="43" max="16384" width="9.33203125" style="33"/>
  </cols>
  <sheetData>
    <row r="1" spans="1:35" ht="11.25" customHeight="1" x14ac:dyDescent="0.2">
      <c r="A1"/>
      <c r="B1" s="128"/>
      <c r="C1" s="33"/>
      <c r="D1" s="33"/>
      <c r="F1" s="34"/>
      <c r="G1" s="34"/>
      <c r="H1" s="34"/>
      <c r="I1" s="34"/>
      <c r="J1" s="34"/>
      <c r="K1" s="34"/>
      <c r="L1" s="34"/>
      <c r="W1"/>
      <c r="X1"/>
    </row>
    <row r="2" spans="1:35" ht="11.25" customHeight="1" x14ac:dyDescent="0.2">
      <c r="A2" s="33"/>
      <c r="B2" s="230" t="s">
        <v>98</v>
      </c>
      <c r="C2" s="231"/>
      <c r="D2" s="33"/>
      <c r="E2" s="91" t="s">
        <v>77</v>
      </c>
      <c r="G2" s="62"/>
      <c r="H2" s="62"/>
      <c r="I2" s="91" t="s">
        <v>76</v>
      </c>
      <c r="J2" s="91" t="s">
        <v>75</v>
      </c>
      <c r="K2" s="91" t="s">
        <v>74</v>
      </c>
      <c r="L2" s="91" t="s">
        <v>73</v>
      </c>
      <c r="M2" s="62"/>
      <c r="N2" s="62"/>
      <c r="P2" s="62"/>
      <c r="Q2" s="62"/>
      <c r="R2" s="62"/>
      <c r="S2" s="86">
        <f t="array" ref="S2">SUM(1*E3:E20)</f>
        <v>12</v>
      </c>
      <c r="U2" s="127" t="s">
        <v>97</v>
      </c>
      <c r="V2" s="127" t="s">
        <v>96</v>
      </c>
      <c r="W2"/>
      <c r="X2"/>
      <c r="Y2" s="78" t="s">
        <v>82</v>
      </c>
      <c r="Z2" s="77" t="s">
        <v>71</v>
      </c>
      <c r="AA2" s="76" t="s">
        <v>70</v>
      </c>
      <c r="AC2" s="190" t="s">
        <v>166</v>
      </c>
      <c r="AD2" s="70"/>
      <c r="AF2" s="188" t="s">
        <v>151</v>
      </c>
      <c r="AG2" s="187"/>
      <c r="AH2" s="187"/>
      <c r="AI2" s="204" t="str">
        <f>'AUD Curves'!M8&amp;T(TYPE('AUD Curves'!M14))</f>
        <v>AUDEURBAS.AUD.STD</v>
      </c>
    </row>
    <row r="3" spans="1:35" ht="11.25" customHeight="1" x14ac:dyDescent="0.2">
      <c r="A3" s="33"/>
      <c r="B3" s="126" t="s">
        <v>95</v>
      </c>
      <c r="C3" s="125">
        <f>EvaluationDate</f>
        <v>42814</v>
      </c>
      <c r="D3" s="33"/>
      <c r="E3" s="106" t="b">
        <v>1</v>
      </c>
      <c r="F3" s="124" t="str">
        <f>Y3</f>
        <v>ON</v>
      </c>
      <c r="G3" s="75">
        <v>0</v>
      </c>
      <c r="H3" s="74" t="s">
        <v>24</v>
      </c>
      <c r="I3" s="89" t="e">
        <f>AVERAGE(Z3:AA3)</f>
        <v>#DIV/0!</v>
      </c>
      <c r="J3" s="87">
        <f>AI15*100</f>
        <v>1.6221831029112899</v>
      </c>
      <c r="K3" s="88"/>
      <c r="L3" s="87">
        <f t="shared" ref="L3:L20" si="0">IF(ISNUMBER(J3),J3,I3)+K3</f>
        <v>1.6221831029112899</v>
      </c>
      <c r="M3" s="75">
        <v>1</v>
      </c>
      <c r="N3" s="74">
        <f t="shared" ref="N3:N20" si="1">IF(E3,M3,"")</f>
        <v>1</v>
      </c>
      <c r="O3" s="86">
        <f>IF($S$2&gt;0,1,"")</f>
        <v>1</v>
      </c>
      <c r="P3" s="74">
        <f t="shared" ref="P3:P20" si="2">IF(LEN(O3)&gt;0,SMALL($N$3:$N$20,O3),"")</f>
        <v>1</v>
      </c>
      <c r="Q3" s="75">
        <f t="shared" ref="Q3:Q20" si="3">IF(LEN(O3)&gt;0,INDEX($G$3:$G$20,$P3),"")</f>
        <v>0</v>
      </c>
      <c r="R3" s="123" t="str">
        <f t="shared" ref="R3:R20" si="4">IF(LEN(P3)&gt;0,INDEX($H$3:$H$20,$P3),"")</f>
        <v>on</v>
      </c>
      <c r="S3" s="84">
        <f t="shared" ref="S3:S20" si="5">IF(LEN(P3)&gt;0,INDEX($L$3:$L$20,$P3),"")</f>
        <v>1.6221831029112899</v>
      </c>
      <c r="U3" s="122">
        <f t="array" ref="U3:V79">_xll.xlCCBasisCurveBootstrapper(C4,C3,C5,C6,L23,S2,Q3:S20,0,U2:V2,S25,R26:S67,C11,C12,C13,C81,B84:B103,C84:C103,C15)</f>
        <v>42814</v>
      </c>
      <c r="V3" s="121">
        <v>0</v>
      </c>
      <c r="W3"/>
      <c r="X3"/>
      <c r="Y3" s="75" t="s">
        <v>94</v>
      </c>
      <c r="Z3" s="75" t="str">
        <f>_xll.RtGet($AD$4,$AD$2,$AD$3)</f>
        <v>#N/A No instrument defined.</v>
      </c>
      <c r="AA3" s="74" t="str">
        <f>_xll.RtGet($AD$4,$AD$2,$AD$3)</f>
        <v>#N/A No instrument defined.</v>
      </c>
      <c r="AC3" s="189" t="s">
        <v>165</v>
      </c>
      <c r="AD3" s="65"/>
      <c r="AF3" s="186" t="s">
        <v>130</v>
      </c>
      <c r="AG3" s="185"/>
      <c r="AH3" s="185"/>
      <c r="AI3" s="201">
        <f>_xll.xlDateWorkFw($C$6,$C$3+1,0)</f>
        <v>42815</v>
      </c>
    </row>
    <row r="4" spans="1:35" ht="11.25" customHeight="1" x14ac:dyDescent="0.2">
      <c r="A4" s="33"/>
      <c r="B4" s="108" t="s">
        <v>91</v>
      </c>
      <c r="C4" s="119" t="s">
        <v>152</v>
      </c>
      <c r="D4" s="33"/>
      <c r="E4" s="52" t="b">
        <v>1</v>
      </c>
      <c r="F4" s="120" t="str">
        <f>Y4</f>
        <v>TN</v>
      </c>
      <c r="G4" s="38">
        <v>0</v>
      </c>
      <c r="H4" s="37" t="s">
        <v>93</v>
      </c>
      <c r="I4" s="50" t="e">
        <f>AVERAGE(Z4:AA4)</f>
        <v>#DIV/0!</v>
      </c>
      <c r="J4" s="48">
        <f>AI16*100</f>
        <v>1.6221831029193945</v>
      </c>
      <c r="K4" s="49"/>
      <c r="L4" s="48">
        <f t="shared" si="0"/>
        <v>1.6221831029193945</v>
      </c>
      <c r="M4" s="38">
        <f t="shared" ref="M4:M20" si="6">M3+1</f>
        <v>2</v>
      </c>
      <c r="N4" s="37">
        <f t="shared" si="1"/>
        <v>2</v>
      </c>
      <c r="O4" s="38">
        <f t="shared" ref="O4:O20" si="7">IF(O3&lt;$S$2,O3+1,"")</f>
        <v>2</v>
      </c>
      <c r="P4" s="37">
        <f t="shared" si="2"/>
        <v>2</v>
      </c>
      <c r="Q4" s="38">
        <f t="shared" si="3"/>
        <v>0</v>
      </c>
      <c r="R4" s="104" t="str">
        <f t="shared" si="4"/>
        <v>tn</v>
      </c>
      <c r="S4" s="46">
        <f t="shared" si="5"/>
        <v>1.6221831029193945</v>
      </c>
      <c r="U4" s="56">
        <v>42815</v>
      </c>
      <c r="V4" s="55">
        <v>1.6446763689774147E-2</v>
      </c>
      <c r="W4"/>
      <c r="X4"/>
      <c r="Y4" s="38" t="s">
        <v>92</v>
      </c>
      <c r="Z4" s="38" t="str">
        <f>_xll.RtGet($AD$4,$AD$5&amp;$Y4&amp;$AD$6,Z$2)</f>
        <v>#N/A The record could not be found</v>
      </c>
      <c r="AA4" s="37" t="str">
        <f>_xll.RtGet($AD$4,$AD$5&amp;$Y4&amp;$AD$6,AA$2)</f>
        <v>#N/A The record could not be found</v>
      </c>
      <c r="AC4" s="71" t="s">
        <v>68</v>
      </c>
      <c r="AD4" s="70"/>
      <c r="AF4" s="69" t="s">
        <v>131</v>
      </c>
      <c r="AG4" s="34"/>
      <c r="AH4" s="34"/>
      <c r="AI4" s="202">
        <f>_xll.xlDateWorkFw($C$6,$AI$3+1,0)</f>
        <v>42816</v>
      </c>
    </row>
    <row r="5" spans="1:35" ht="11.25" customHeight="1" x14ac:dyDescent="0.2">
      <c r="A5" s="34"/>
      <c r="B5" s="129" t="s">
        <v>99</v>
      </c>
      <c r="C5" s="98" t="s">
        <v>101</v>
      </c>
      <c r="D5" s="33"/>
      <c r="E5" s="45" t="b">
        <v>0</v>
      </c>
      <c r="F5" s="118" t="str">
        <f>Y5</f>
        <v>SN</v>
      </c>
      <c r="G5" s="36">
        <v>0</v>
      </c>
      <c r="H5" s="35" t="s">
        <v>90</v>
      </c>
      <c r="I5" s="43">
        <f>AVERAGE(Z5:AA5)</f>
        <v>11.459999999999999</v>
      </c>
      <c r="J5" s="41"/>
      <c r="K5" s="42"/>
      <c r="L5" s="41">
        <f t="shared" si="0"/>
        <v>11.459999999999999</v>
      </c>
      <c r="M5" s="38">
        <f t="shared" si="6"/>
        <v>3</v>
      </c>
      <c r="N5" s="37" t="str">
        <f t="shared" si="1"/>
        <v/>
      </c>
      <c r="O5" s="38">
        <f t="shared" si="7"/>
        <v>3</v>
      </c>
      <c r="P5" s="37">
        <f t="shared" si="2"/>
        <v>4</v>
      </c>
      <c r="Q5" s="38">
        <f t="shared" si="3"/>
        <v>1</v>
      </c>
      <c r="R5" s="104" t="str">
        <f t="shared" si="4"/>
        <v>w</v>
      </c>
      <c r="S5" s="46">
        <f t="shared" si="5"/>
        <v>1.824069468</v>
      </c>
      <c r="U5" s="56">
        <v>42816</v>
      </c>
      <c r="V5" s="55">
        <v>1.6446763689807083E-2</v>
      </c>
      <c r="W5"/>
      <c r="X5"/>
      <c r="Y5" s="36" t="s">
        <v>89</v>
      </c>
      <c r="Z5" s="36">
        <f>_xll.RtGet($AD$4,$AD$5&amp;$Y5&amp;$AD$6,Z$2)</f>
        <v>9.0499999999999989</v>
      </c>
      <c r="AA5" s="35">
        <f>_xll.RtGet($AD$4,$AD$5&amp;$Y5&amp;$AD$6,AA$2)</f>
        <v>13.87</v>
      </c>
      <c r="AC5" s="69" t="s">
        <v>66</v>
      </c>
      <c r="AD5" s="68"/>
      <c r="AF5" s="66" t="s">
        <v>132</v>
      </c>
      <c r="AG5" s="182"/>
      <c r="AH5" s="182"/>
      <c r="AI5" s="203">
        <f>_xll.xlDateWorkFw($C$6,$AI$4+7,0)</f>
        <v>42823</v>
      </c>
    </row>
    <row r="6" spans="1:35" ht="11.25" customHeight="1" x14ac:dyDescent="0.2">
      <c r="A6" s="34"/>
      <c r="B6" s="136" t="s">
        <v>100</v>
      </c>
      <c r="C6" s="92" t="s">
        <v>140</v>
      </c>
      <c r="D6" s="33"/>
      <c r="E6" s="106" t="b">
        <v>1</v>
      </c>
      <c r="F6" s="117">
        <v>1</v>
      </c>
      <c r="G6" s="75">
        <v>1</v>
      </c>
      <c r="H6" s="74" t="s">
        <v>86</v>
      </c>
      <c r="I6" s="89">
        <f>AVERAGE(Z8:AA8)</f>
        <v>1.824069468</v>
      </c>
      <c r="J6" s="87"/>
      <c r="K6" s="88"/>
      <c r="L6" s="87">
        <f t="shared" si="0"/>
        <v>1.824069468</v>
      </c>
      <c r="M6" s="38">
        <f t="shared" si="6"/>
        <v>4</v>
      </c>
      <c r="N6" s="37">
        <f t="shared" si="1"/>
        <v>4</v>
      </c>
      <c r="O6" s="38">
        <f t="shared" si="7"/>
        <v>4</v>
      </c>
      <c r="P6" s="37">
        <f t="shared" si="2"/>
        <v>5</v>
      </c>
      <c r="Q6" s="38">
        <f t="shared" si="3"/>
        <v>2</v>
      </c>
      <c r="R6" s="104" t="str">
        <f t="shared" si="4"/>
        <v>w</v>
      </c>
      <c r="S6" s="46">
        <f t="shared" si="5"/>
        <v>2.5546962030000002</v>
      </c>
      <c r="U6" s="56">
        <v>42823</v>
      </c>
      <c r="V6" s="55">
        <v>1.8036537588735382E-2</v>
      </c>
      <c r="W6"/>
      <c r="X6"/>
      <c r="Y6" s="104"/>
      <c r="Z6" s="104"/>
      <c r="AA6" s="104"/>
      <c r="AC6" s="66" t="s">
        <v>63</v>
      </c>
      <c r="AD6" s="65"/>
      <c r="AF6" s="186" t="s">
        <v>167</v>
      </c>
      <c r="AG6" s="185"/>
      <c r="AH6" s="185"/>
      <c r="AI6" s="180">
        <f>_xll.xlShmInterpDisc(AI$2,AI3)</f>
        <v>0.99995616630503936</v>
      </c>
    </row>
    <row r="7" spans="1:35" ht="11.25" customHeight="1" x14ac:dyDescent="0.2">
      <c r="A7" s="34"/>
      <c r="B7" s="130" t="s">
        <v>124</v>
      </c>
      <c r="C7" s="96" t="s">
        <v>140</v>
      </c>
      <c r="D7" s="33"/>
      <c r="E7" s="52" t="b">
        <v>1</v>
      </c>
      <c r="F7" s="116">
        <f>Y9</f>
        <v>2</v>
      </c>
      <c r="G7" s="38">
        <v>2</v>
      </c>
      <c r="H7" s="37" t="s">
        <v>86</v>
      </c>
      <c r="I7" s="50">
        <f>AVERAGE(Z9:AA9)</f>
        <v>2.5546962030000002</v>
      </c>
      <c r="J7" s="48"/>
      <c r="K7" s="49"/>
      <c r="L7" s="48">
        <f t="shared" si="0"/>
        <v>2.5546962030000002</v>
      </c>
      <c r="M7" s="38">
        <f t="shared" si="6"/>
        <v>5</v>
      </c>
      <c r="N7" s="37">
        <f t="shared" si="1"/>
        <v>5</v>
      </c>
      <c r="O7" s="38">
        <f t="shared" si="7"/>
        <v>5</v>
      </c>
      <c r="P7" s="37">
        <f t="shared" si="2"/>
        <v>6</v>
      </c>
      <c r="Q7" s="38">
        <f t="shared" si="3"/>
        <v>3</v>
      </c>
      <c r="R7" s="104" t="str">
        <f t="shared" si="4"/>
        <v>w</v>
      </c>
      <c r="S7" s="46">
        <f t="shared" si="5"/>
        <v>2.3792096460000001</v>
      </c>
      <c r="U7" s="56">
        <v>42830</v>
      </c>
      <c r="V7" s="55">
        <v>2.4708652949774177E-2</v>
      </c>
      <c r="W7"/>
      <c r="X7"/>
      <c r="Y7" s="78" t="s">
        <v>82</v>
      </c>
      <c r="Z7" s="77" t="s">
        <v>71</v>
      </c>
      <c r="AA7" s="76" t="s">
        <v>70</v>
      </c>
      <c r="AF7" s="164" t="s">
        <v>168</v>
      </c>
      <c r="AG7" s="34"/>
      <c r="AH7" s="34"/>
      <c r="AI7" s="184">
        <f>_xll.xlShmInterpDisc(AI$2,AI4)</f>
        <v>0.99991233453147144</v>
      </c>
    </row>
    <row r="8" spans="1:35" ht="11.25" customHeight="1" x14ac:dyDescent="0.2">
      <c r="A8" s="34"/>
      <c r="B8" s="138" t="s">
        <v>108</v>
      </c>
      <c r="C8" s="92" t="s">
        <v>153</v>
      </c>
      <c r="D8" s="33"/>
      <c r="E8" s="45" t="b">
        <v>1</v>
      </c>
      <c r="F8" s="115">
        <f>Y10</f>
        <v>3</v>
      </c>
      <c r="G8" s="36">
        <v>3</v>
      </c>
      <c r="H8" s="35" t="s">
        <v>86</v>
      </c>
      <c r="I8" s="43">
        <f>AVERAGE(Z10:AA10)</f>
        <v>2.3792096460000001</v>
      </c>
      <c r="J8" s="41"/>
      <c r="K8" s="42"/>
      <c r="L8" s="41">
        <f t="shared" si="0"/>
        <v>2.3792096460000001</v>
      </c>
      <c r="M8" s="38">
        <f t="shared" si="6"/>
        <v>6</v>
      </c>
      <c r="N8" s="37">
        <f t="shared" si="1"/>
        <v>6</v>
      </c>
      <c r="O8" s="38">
        <f t="shared" si="7"/>
        <v>6</v>
      </c>
      <c r="P8" s="37">
        <f t="shared" si="2"/>
        <v>7</v>
      </c>
      <c r="Q8" s="38">
        <f t="shared" si="3"/>
        <v>1</v>
      </c>
      <c r="R8" s="104" t="str">
        <f t="shared" si="4"/>
        <v>m</v>
      </c>
      <c r="S8" s="46">
        <f t="shared" si="5"/>
        <v>2.24694474</v>
      </c>
      <c r="U8" s="56">
        <v>42837</v>
      </c>
      <c r="V8" s="55">
        <v>2.3439813471159601E-2</v>
      </c>
      <c r="W8"/>
      <c r="X8"/>
      <c r="Y8" s="114" t="s">
        <v>85</v>
      </c>
      <c r="Z8" s="75">
        <f>_xll.RtGet($AD$8,$AD$9&amp;$Y8&amp;$AD$10,Z$7)</f>
        <v>1.824069468</v>
      </c>
      <c r="AA8" s="74">
        <f>_xll.RtGet($AD$8,$AD$9&amp;$Y8&amp;$AD$10,AA$7)</f>
        <v>1.824069468</v>
      </c>
      <c r="AC8" s="71" t="s">
        <v>68</v>
      </c>
      <c r="AD8" s="70" t="s">
        <v>103</v>
      </c>
      <c r="AF8" s="183" t="s">
        <v>169</v>
      </c>
      <c r="AG8" s="182"/>
      <c r="AH8" s="182"/>
      <c r="AI8" s="181">
        <f>_xll.xlShmInterpDisc(AI$2,AI5)</f>
        <v>0.99956691823304455</v>
      </c>
    </row>
    <row r="9" spans="1:35" ht="11.25" customHeight="1" x14ac:dyDescent="0.2">
      <c r="A9" s="34"/>
      <c r="B9" s="138" t="s">
        <v>109</v>
      </c>
      <c r="C9" s="92" t="s">
        <v>148</v>
      </c>
      <c r="D9" s="33"/>
      <c r="E9" s="52" t="b">
        <v>1</v>
      </c>
      <c r="F9" s="112">
        <f t="shared" ref="F9:F20" si="8">Y13</f>
        <v>1</v>
      </c>
      <c r="G9" s="38">
        <v>1</v>
      </c>
      <c r="H9" s="37" t="s">
        <v>81</v>
      </c>
      <c r="I9" s="50">
        <f t="shared" ref="I9:I20" si="9">AVERAGE(Z13:AA13)</f>
        <v>2.24694474</v>
      </c>
      <c r="J9" s="48"/>
      <c r="K9" s="49"/>
      <c r="L9" s="48">
        <f t="shared" si="0"/>
        <v>2.24694474</v>
      </c>
      <c r="M9" s="38">
        <f t="shared" si="6"/>
        <v>7</v>
      </c>
      <c r="N9" s="37">
        <f t="shared" si="1"/>
        <v>7</v>
      </c>
      <c r="O9" s="38">
        <f t="shared" si="7"/>
        <v>7</v>
      </c>
      <c r="P9" s="37">
        <f t="shared" si="2"/>
        <v>8</v>
      </c>
      <c r="Q9" s="38">
        <f t="shared" si="3"/>
        <v>2</v>
      </c>
      <c r="R9" s="104" t="str">
        <f t="shared" si="4"/>
        <v>m</v>
      </c>
      <c r="S9" s="46">
        <f t="shared" si="5"/>
        <v>2.187325312</v>
      </c>
      <c r="U9" s="56">
        <v>42849</v>
      </c>
      <c r="V9" s="55">
        <v>2.2397446252372437E-2</v>
      </c>
      <c r="W9"/>
      <c r="X9"/>
      <c r="Y9" s="38">
        <v>2</v>
      </c>
      <c r="Z9" s="38">
        <f>_xll.RtGet($AD$8,$AD$9&amp;$Y9&amp;$AD$10,Z$7)</f>
        <v>2.5546962030000002</v>
      </c>
      <c r="AA9" s="37">
        <f>_xll.RtGet($AD$8,$AD$9&amp;$Y9&amp;$AD$10,AA$7)</f>
        <v>2.5546962030000002</v>
      </c>
      <c r="AC9" s="69" t="s">
        <v>66</v>
      </c>
      <c r="AD9" s="68" t="s">
        <v>149</v>
      </c>
      <c r="AF9" s="190" t="s">
        <v>157</v>
      </c>
      <c r="AG9" s="185"/>
      <c r="AH9" s="185"/>
      <c r="AI9" s="166">
        <v>5</v>
      </c>
    </row>
    <row r="10" spans="1:35" ht="11.25" customHeight="1" x14ac:dyDescent="0.2">
      <c r="A10" s="34"/>
      <c r="B10" s="139" t="s">
        <v>110</v>
      </c>
      <c r="C10" s="92" t="s">
        <v>144</v>
      </c>
      <c r="D10" s="33"/>
      <c r="E10" s="52" t="b">
        <v>1</v>
      </c>
      <c r="F10" s="112">
        <f t="shared" si="8"/>
        <v>2</v>
      </c>
      <c r="G10" s="38">
        <v>2</v>
      </c>
      <c r="H10" s="37" t="s">
        <v>81</v>
      </c>
      <c r="I10" s="50">
        <f t="shared" si="9"/>
        <v>2.187325312</v>
      </c>
      <c r="J10" s="48"/>
      <c r="K10" s="49"/>
      <c r="L10" s="48">
        <f t="shared" si="0"/>
        <v>2.187325312</v>
      </c>
      <c r="M10" s="38">
        <f t="shared" si="6"/>
        <v>8</v>
      </c>
      <c r="N10" s="37">
        <f t="shared" si="1"/>
        <v>8</v>
      </c>
      <c r="O10" s="38">
        <f t="shared" si="7"/>
        <v>8</v>
      </c>
      <c r="P10" s="37">
        <f t="shared" si="2"/>
        <v>9</v>
      </c>
      <c r="Q10" s="38">
        <f t="shared" si="3"/>
        <v>3</v>
      </c>
      <c r="R10" s="104" t="str">
        <f t="shared" si="4"/>
        <v>m</v>
      </c>
      <c r="S10" s="46">
        <f t="shared" si="5"/>
        <v>2.153822908</v>
      </c>
      <c r="U10" s="56">
        <v>42877</v>
      </c>
      <c r="V10" s="55">
        <v>2.1955439824144236E-2</v>
      </c>
      <c r="W10"/>
      <c r="X10"/>
      <c r="Y10" s="36">
        <v>3</v>
      </c>
      <c r="Z10" s="36">
        <f>_xll.RtGet($AD$8,$AD$9&amp;$Y10&amp;$AD$10,Z$7)</f>
        <v>2.3792096460000001</v>
      </c>
      <c r="AA10" s="35">
        <f>_xll.RtGet($AD$8,$AD$9&amp;$Y10&amp;$AD$10,AA$7)</f>
        <v>2.3792096460000001</v>
      </c>
      <c r="AC10" s="66" t="s">
        <v>63</v>
      </c>
      <c r="AD10" s="65" t="s">
        <v>104</v>
      </c>
      <c r="AF10" s="190" t="s">
        <v>133</v>
      </c>
      <c r="AG10" s="185"/>
      <c r="AH10" s="185"/>
      <c r="AI10" s="180">
        <f>_xll.xlYrfDayCount(AI4,AI5,AI9)</f>
        <v>1.9178082191780823E-2</v>
      </c>
    </row>
    <row r="11" spans="1:35" ht="11.25" customHeight="1" x14ac:dyDescent="0.2">
      <c r="A11" s="34"/>
      <c r="B11" s="103" t="s">
        <v>88</v>
      </c>
      <c r="C11" s="98" t="s">
        <v>58</v>
      </c>
      <c r="D11" s="33"/>
      <c r="E11" s="52" t="b">
        <v>1</v>
      </c>
      <c r="F11" s="112">
        <f t="shared" si="8"/>
        <v>3</v>
      </c>
      <c r="G11" s="38">
        <v>3</v>
      </c>
      <c r="H11" s="37" t="s">
        <v>81</v>
      </c>
      <c r="I11" s="50">
        <f t="shared" si="9"/>
        <v>2.153822908</v>
      </c>
      <c r="J11" s="48"/>
      <c r="K11" s="49"/>
      <c r="L11" s="48">
        <f t="shared" si="0"/>
        <v>2.153822908</v>
      </c>
      <c r="M11" s="38">
        <f t="shared" si="6"/>
        <v>9</v>
      </c>
      <c r="N11" s="37">
        <f t="shared" si="1"/>
        <v>9</v>
      </c>
      <c r="O11" s="38">
        <f t="shared" si="7"/>
        <v>9</v>
      </c>
      <c r="P11" s="37">
        <f t="shared" si="2"/>
        <v>10</v>
      </c>
      <c r="Q11" s="38">
        <f t="shared" si="3"/>
        <v>4</v>
      </c>
      <c r="R11" s="104" t="str">
        <f t="shared" si="4"/>
        <v>m</v>
      </c>
      <c r="S11" s="46">
        <f t="shared" si="5"/>
        <v>2.2331625320000001</v>
      </c>
      <c r="U11" s="56">
        <v>42908</v>
      </c>
      <c r="V11" s="55">
        <v>2.1664072241014021E-2</v>
      </c>
      <c r="W11"/>
      <c r="X11"/>
      <c r="Y11" s="104"/>
      <c r="Z11" s="104"/>
      <c r="AA11" s="104"/>
      <c r="AF11" s="189" t="s">
        <v>134</v>
      </c>
      <c r="AG11" s="182"/>
      <c r="AH11" s="182"/>
      <c r="AI11" s="181">
        <f>LN((1+$AI$10*L6/100)*(AI8/AI7))/$AI$10</f>
        <v>2.2182123831160792E-4</v>
      </c>
    </row>
    <row r="12" spans="1:35" ht="11.25" customHeight="1" x14ac:dyDescent="0.2">
      <c r="A12" s="34"/>
      <c r="B12" s="113" t="s">
        <v>87</v>
      </c>
      <c r="C12" s="92" t="s">
        <v>46</v>
      </c>
      <c r="D12" s="33"/>
      <c r="E12" s="52" t="b">
        <v>1</v>
      </c>
      <c r="F12" s="112">
        <f t="shared" si="8"/>
        <v>4</v>
      </c>
      <c r="G12" s="38">
        <v>4</v>
      </c>
      <c r="H12" s="37" t="s">
        <v>81</v>
      </c>
      <c r="I12" s="50">
        <f t="shared" si="9"/>
        <v>2.2331625320000001</v>
      </c>
      <c r="J12" s="48"/>
      <c r="K12" s="49"/>
      <c r="L12" s="48">
        <f t="shared" si="0"/>
        <v>2.2331625320000001</v>
      </c>
      <c r="M12" s="38">
        <f t="shared" si="6"/>
        <v>10</v>
      </c>
      <c r="N12" s="37">
        <f t="shared" si="1"/>
        <v>10</v>
      </c>
      <c r="O12" s="38">
        <f t="shared" si="7"/>
        <v>10</v>
      </c>
      <c r="P12" s="37">
        <f t="shared" si="2"/>
        <v>11</v>
      </c>
      <c r="Q12" s="38">
        <f t="shared" si="3"/>
        <v>5</v>
      </c>
      <c r="R12" s="104" t="str">
        <f t="shared" si="4"/>
        <v>m</v>
      </c>
      <c r="S12" s="46">
        <f t="shared" si="5"/>
        <v>2.2333645130000002</v>
      </c>
      <c r="U12" s="56">
        <v>42940</v>
      </c>
      <c r="V12" s="55">
        <v>2.2458191890968631E-2</v>
      </c>
      <c r="W12"/>
      <c r="X12"/>
      <c r="Y12" s="78" t="s">
        <v>82</v>
      </c>
      <c r="Z12" s="178" t="s">
        <v>71</v>
      </c>
      <c r="AA12" s="179" t="s">
        <v>70</v>
      </c>
      <c r="AF12" s="164" t="s">
        <v>160</v>
      </c>
      <c r="AG12" s="34"/>
      <c r="AH12" s="34"/>
      <c r="AI12" s="184">
        <f>AI6*EXP(-$AI$11*_xll.xlYrfDayCount($C$3,AI3,$AI$9))</f>
        <v>0.99995555860244301</v>
      </c>
    </row>
    <row r="13" spans="1:35" ht="11.25" customHeight="1" x14ac:dyDescent="0.2">
      <c r="A13" s="34"/>
      <c r="B13" s="113" t="s">
        <v>84</v>
      </c>
      <c r="C13" s="92" t="s">
        <v>13</v>
      </c>
      <c r="D13" s="33"/>
      <c r="E13" s="52" t="b">
        <v>1</v>
      </c>
      <c r="F13" s="112">
        <f t="shared" si="8"/>
        <v>5</v>
      </c>
      <c r="G13" s="38">
        <v>5</v>
      </c>
      <c r="H13" s="37" t="s">
        <v>81</v>
      </c>
      <c r="I13" s="50">
        <f t="shared" si="9"/>
        <v>2.2333645130000002</v>
      </c>
      <c r="J13" s="48"/>
      <c r="K13" s="49"/>
      <c r="L13" s="48">
        <f t="shared" si="0"/>
        <v>2.2333645130000002</v>
      </c>
      <c r="M13" s="38">
        <f t="shared" si="6"/>
        <v>11</v>
      </c>
      <c r="N13" s="37">
        <f t="shared" si="1"/>
        <v>11</v>
      </c>
      <c r="O13" s="38">
        <f t="shared" si="7"/>
        <v>11</v>
      </c>
      <c r="P13" s="37">
        <f t="shared" si="2"/>
        <v>12</v>
      </c>
      <c r="Q13" s="38">
        <f t="shared" si="3"/>
        <v>6</v>
      </c>
      <c r="R13" s="104" t="str">
        <f t="shared" si="4"/>
        <v>m</v>
      </c>
      <c r="S13" s="46">
        <f t="shared" si="5"/>
        <v>2.2513474840000001</v>
      </c>
      <c r="U13" s="56">
        <v>42969</v>
      </c>
      <c r="V13" s="55">
        <v>2.2458460233497183E-2</v>
      </c>
      <c r="W13"/>
      <c r="X13"/>
      <c r="Y13" s="38">
        <v>1</v>
      </c>
      <c r="Z13" s="38">
        <f>_xll.RtGet($AD$13,$AD$14&amp;$Y13&amp;$AD$15,Z$12)</f>
        <v>2.24694474</v>
      </c>
      <c r="AA13" s="37">
        <f>_xll.RtGet($AD$13,$AD$14&amp;$Y13&amp;$AD$15,AA$12)</f>
        <v>2.24694474</v>
      </c>
      <c r="AC13" s="71" t="s">
        <v>68</v>
      </c>
      <c r="AD13" s="70" t="s">
        <v>103</v>
      </c>
      <c r="AF13" s="164" t="s">
        <v>161</v>
      </c>
      <c r="AG13" s="34"/>
      <c r="AH13" s="34"/>
      <c r="AI13" s="184">
        <f>AI7*EXP(-$AI$11*_xll.xlYrfDayCount($C$3,AI4,$AI$9))</f>
        <v>0.9999111191799237</v>
      </c>
    </row>
    <row r="14" spans="1:35" ht="11.25" customHeight="1" x14ac:dyDescent="0.2">
      <c r="A14" s="34"/>
      <c r="B14" s="101" t="s">
        <v>69</v>
      </c>
      <c r="C14" s="96" t="s">
        <v>50</v>
      </c>
      <c r="D14" s="33"/>
      <c r="E14" s="52" t="b">
        <v>1</v>
      </c>
      <c r="F14" s="112">
        <f t="shared" si="8"/>
        <v>6</v>
      </c>
      <c r="G14" s="38">
        <v>6</v>
      </c>
      <c r="H14" s="37" t="s">
        <v>81</v>
      </c>
      <c r="I14" s="50">
        <f t="shared" si="9"/>
        <v>2.2513474840000001</v>
      </c>
      <c r="J14" s="48"/>
      <c r="K14" s="49"/>
      <c r="L14" s="48">
        <f t="shared" si="0"/>
        <v>2.2513474840000001</v>
      </c>
      <c r="M14" s="38">
        <f t="shared" si="6"/>
        <v>12</v>
      </c>
      <c r="N14" s="37">
        <f t="shared" si="1"/>
        <v>12</v>
      </c>
      <c r="O14" s="38">
        <f t="shared" si="7"/>
        <v>12</v>
      </c>
      <c r="P14" s="37">
        <f t="shared" si="2"/>
        <v>15</v>
      </c>
      <c r="Q14" s="38">
        <f t="shared" si="3"/>
        <v>9</v>
      </c>
      <c r="R14" s="104" t="str">
        <f t="shared" si="4"/>
        <v>m</v>
      </c>
      <c r="S14" s="46">
        <f t="shared" si="5"/>
        <v>2.3536969270000001</v>
      </c>
      <c r="U14" s="56">
        <v>43000</v>
      </c>
      <c r="V14" s="55">
        <v>2.2628637518533827E-2</v>
      </c>
      <c r="W14"/>
      <c r="X14"/>
      <c r="Y14" s="38">
        <v>2</v>
      </c>
      <c r="Z14" s="38">
        <f>_xll.RtGet($AD$13,$AD$14&amp;$Y14&amp;$AD$15,Z$12)</f>
        <v>2.187325312</v>
      </c>
      <c r="AA14" s="37">
        <f>_xll.RtGet($AD$13,$AD$14&amp;$Y14&amp;$AD$15,AA$12)</f>
        <v>2.187325312</v>
      </c>
      <c r="AC14" s="69" t="s">
        <v>66</v>
      </c>
      <c r="AD14" s="68" t="s">
        <v>149</v>
      </c>
      <c r="AF14" s="183" t="s">
        <v>162</v>
      </c>
      <c r="AG14" s="182"/>
      <c r="AH14" s="182"/>
      <c r="AI14" s="181">
        <f>AI8*EXP(-$AI$11*_xll.xlYrfDayCount($C$3,AI5,$AI$9))</f>
        <v>0.99956145105198457</v>
      </c>
    </row>
    <row r="15" spans="1:35" ht="11.25" customHeight="1" x14ac:dyDescent="0.2">
      <c r="A15" s="151">
        <v>60</v>
      </c>
      <c r="B15" s="140" t="s">
        <v>102</v>
      </c>
      <c r="C15" s="150">
        <f>_xll.RtNow(A15&amp;"s")</f>
        <v>0.50005787036934635</v>
      </c>
      <c r="D15" s="33"/>
      <c r="E15" s="52" t="b">
        <v>0</v>
      </c>
      <c r="F15" s="112">
        <f t="shared" si="8"/>
        <v>7</v>
      </c>
      <c r="G15" s="38">
        <v>7</v>
      </c>
      <c r="H15" s="37" t="s">
        <v>81</v>
      </c>
      <c r="I15" s="50" t="e">
        <f t="shared" si="9"/>
        <v>#DIV/0!</v>
      </c>
      <c r="J15" s="48"/>
      <c r="K15" s="49"/>
      <c r="L15" s="48" t="e">
        <f t="shared" si="0"/>
        <v>#DIV/0!</v>
      </c>
      <c r="M15" s="38">
        <f t="shared" si="6"/>
        <v>13</v>
      </c>
      <c r="N15" s="37" t="str">
        <f t="shared" si="1"/>
        <v/>
      </c>
      <c r="O15" s="38" t="str">
        <f t="shared" si="7"/>
        <v/>
      </c>
      <c r="P15" s="37" t="str">
        <f t="shared" si="2"/>
        <v/>
      </c>
      <c r="Q15" s="38" t="str">
        <f t="shared" si="3"/>
        <v/>
      </c>
      <c r="R15" s="104" t="str">
        <f t="shared" si="4"/>
        <v/>
      </c>
      <c r="S15" s="46" t="str">
        <f t="shared" si="5"/>
        <v/>
      </c>
      <c r="U15" s="56">
        <v>43091</v>
      </c>
      <c r="V15" s="55">
        <v>2.3599854642395945E-2</v>
      </c>
      <c r="W15"/>
      <c r="X15"/>
      <c r="Y15" s="38">
        <v>3</v>
      </c>
      <c r="Z15" s="38">
        <f>_xll.RtGet($AD$13,$AD$14&amp;$Y15&amp;$AD$15,Z$12)</f>
        <v>2.153822908</v>
      </c>
      <c r="AA15" s="37">
        <f>_xll.RtGet($AD$13,$AD$14&amp;$Y15&amp;$AD$15,AA$12)</f>
        <v>2.153822908</v>
      </c>
      <c r="AB15" s="26"/>
      <c r="AC15" s="66" t="s">
        <v>63</v>
      </c>
      <c r="AD15" s="65" t="s">
        <v>105</v>
      </c>
      <c r="AF15" s="205" t="s">
        <v>163</v>
      </c>
      <c r="AG15" s="206"/>
      <c r="AH15" s="206"/>
      <c r="AI15" s="207">
        <f>(1/AI12-1)/_xll.xlYrfDayCount($C$3,AI3,$AI$9)</f>
        <v>1.6221831029112899E-2</v>
      </c>
    </row>
    <row r="16" spans="1:35" ht="11.25" customHeight="1" x14ac:dyDescent="0.2">
      <c r="A16" s="34"/>
      <c r="D16" s="33"/>
      <c r="E16" s="52" t="b">
        <v>0</v>
      </c>
      <c r="F16" s="112">
        <f t="shared" si="8"/>
        <v>8</v>
      </c>
      <c r="G16" s="38">
        <v>8</v>
      </c>
      <c r="H16" s="37" t="s">
        <v>81</v>
      </c>
      <c r="I16" s="50" t="e">
        <f t="shared" si="9"/>
        <v>#DIV/0!</v>
      </c>
      <c r="J16" s="48"/>
      <c r="K16" s="49"/>
      <c r="L16" s="48" t="e">
        <f t="shared" si="0"/>
        <v>#DIV/0!</v>
      </c>
      <c r="M16" s="38">
        <f t="shared" si="6"/>
        <v>14</v>
      </c>
      <c r="N16" s="37" t="str">
        <f t="shared" si="1"/>
        <v/>
      </c>
      <c r="O16" s="38" t="str">
        <f t="shared" si="7"/>
        <v/>
      </c>
      <c r="P16" s="37" t="str">
        <f t="shared" si="2"/>
        <v/>
      </c>
      <c r="Q16" s="38" t="str">
        <f t="shared" si="3"/>
        <v/>
      </c>
      <c r="R16" s="104" t="str">
        <f t="shared" si="4"/>
        <v/>
      </c>
      <c r="S16" s="46" t="str">
        <f t="shared" si="5"/>
        <v/>
      </c>
      <c r="U16" s="56">
        <v>43181</v>
      </c>
      <c r="V16" s="55">
        <v>2.410574279668878E-2</v>
      </c>
      <c r="W16"/>
      <c r="X16"/>
      <c r="Y16" s="38">
        <v>4</v>
      </c>
      <c r="Z16" s="38">
        <f>_xll.RtGet($AD$13,$AD$14&amp;$Y16&amp;$AD$15,Z$12)</f>
        <v>2.2331625320000001</v>
      </c>
      <c r="AA16" s="37">
        <f>_xll.RtGet($AD$13,$AD$14&amp;$Y16&amp;$AD$15,AA$12)</f>
        <v>2.2331625320000001</v>
      </c>
      <c r="AB16" s="26"/>
      <c r="AC16" s="26"/>
      <c r="AD16" s="26"/>
      <c r="AF16" s="208" t="s">
        <v>164</v>
      </c>
      <c r="AG16" s="209"/>
      <c r="AH16" s="209"/>
      <c r="AI16" s="210">
        <f>(AI12/AI13-1)/_xll.xlYrfDayCount(AI3,AI4,$AI$9)</f>
        <v>1.6221831029193945E-2</v>
      </c>
    </row>
    <row r="17" spans="1:44" ht="11.25" customHeight="1" x14ac:dyDescent="0.2">
      <c r="A17" s="34"/>
      <c r="D17" s="33"/>
      <c r="E17" s="52" t="b">
        <v>1</v>
      </c>
      <c r="F17" s="112">
        <f t="shared" si="8"/>
        <v>9</v>
      </c>
      <c r="G17" s="38">
        <v>9</v>
      </c>
      <c r="H17" s="37" t="s">
        <v>81</v>
      </c>
      <c r="I17" s="50">
        <f t="shared" si="9"/>
        <v>2.3536969270000001</v>
      </c>
      <c r="J17" s="48"/>
      <c r="K17" s="49"/>
      <c r="L17" s="48">
        <f t="shared" si="0"/>
        <v>2.3536969270000001</v>
      </c>
      <c r="M17" s="38">
        <f t="shared" si="6"/>
        <v>15</v>
      </c>
      <c r="N17" s="37">
        <f t="shared" si="1"/>
        <v>15</v>
      </c>
      <c r="O17" s="38" t="str">
        <f t="shared" si="7"/>
        <v/>
      </c>
      <c r="P17" s="37" t="str">
        <f t="shared" si="2"/>
        <v/>
      </c>
      <c r="Q17" s="38" t="str">
        <f t="shared" si="3"/>
        <v/>
      </c>
      <c r="R17" s="104" t="str">
        <f t="shared" si="4"/>
        <v/>
      </c>
      <c r="S17" s="46" t="str">
        <f t="shared" si="5"/>
        <v/>
      </c>
      <c r="U17" s="56">
        <v>43546</v>
      </c>
      <c r="V17" s="55">
        <v>2.5455512563768195E-2</v>
      </c>
      <c r="W17"/>
      <c r="X17"/>
      <c r="Y17" s="38">
        <v>5</v>
      </c>
      <c r="Z17" s="38">
        <f>_xll.RtGet($AD$13,$AD$14&amp;$Y17&amp;$AD$15,Z$12)</f>
        <v>2.2333645130000002</v>
      </c>
      <c r="AA17" s="37">
        <f>_xll.RtGet($AD$13,$AD$14&amp;$Y17&amp;$AD$15,AA$12)</f>
        <v>2.2333645130000002</v>
      </c>
      <c r="AB17" s="26"/>
      <c r="AC17" s="26"/>
      <c r="AD17" s="26"/>
      <c r="AF17" s="164" t="s">
        <v>170</v>
      </c>
      <c r="AG17" s="34"/>
      <c r="AH17" s="34"/>
      <c r="AI17" s="184">
        <f>AI15*100-IF(ISNUMBER(J3),J3,I3)</f>
        <v>0</v>
      </c>
    </row>
    <row r="18" spans="1:44" ht="11.25" customHeight="1" x14ac:dyDescent="0.2">
      <c r="A18" s="34"/>
      <c r="C18" s="177" t="s">
        <v>129</v>
      </c>
      <c r="D18" s="33"/>
      <c r="E18" s="52" t="b">
        <v>0</v>
      </c>
      <c r="F18" s="112">
        <f t="shared" si="8"/>
        <v>10</v>
      </c>
      <c r="G18" s="38">
        <v>10</v>
      </c>
      <c r="H18" s="37" t="s">
        <v>81</v>
      </c>
      <c r="I18" s="50" t="e">
        <f t="shared" si="9"/>
        <v>#DIV/0!</v>
      </c>
      <c r="J18" s="48"/>
      <c r="K18" s="49"/>
      <c r="L18" s="48" t="e">
        <f t="shared" si="0"/>
        <v>#DIV/0!</v>
      </c>
      <c r="M18" s="38">
        <f t="shared" si="6"/>
        <v>16</v>
      </c>
      <c r="N18" s="37" t="str">
        <f t="shared" si="1"/>
        <v/>
      </c>
      <c r="O18" s="38" t="str">
        <f t="shared" si="7"/>
        <v/>
      </c>
      <c r="P18" s="37" t="str">
        <f t="shared" si="2"/>
        <v/>
      </c>
      <c r="Q18" s="38" t="str">
        <f t="shared" si="3"/>
        <v/>
      </c>
      <c r="R18" s="104" t="str">
        <f t="shared" si="4"/>
        <v/>
      </c>
      <c r="S18" s="46" t="str">
        <f t="shared" si="5"/>
        <v/>
      </c>
      <c r="U18" s="56">
        <v>43913</v>
      </c>
      <c r="V18" s="55">
        <v>2.8190024989731808E-2</v>
      </c>
      <c r="W18"/>
      <c r="X18"/>
      <c r="Y18" s="38">
        <v>6</v>
      </c>
      <c r="Z18" s="38">
        <f>_xll.RtGet($AD$13,$AD$14&amp;$Y18&amp;$AD$15,Z$12)</f>
        <v>2.2513474840000001</v>
      </c>
      <c r="AA18" s="37">
        <f>_xll.RtGet($AD$13,$AD$14&amp;$Y18&amp;$AD$15,AA$12)</f>
        <v>2.2513474840000001</v>
      </c>
      <c r="AB18" s="26"/>
      <c r="AC18" s="26"/>
      <c r="AD18" s="26"/>
      <c r="AF18" s="183" t="s">
        <v>171</v>
      </c>
      <c r="AG18" s="182"/>
      <c r="AH18" s="182"/>
      <c r="AI18" s="181">
        <f>AI16*100-IF(ISNUMBER(J4),J4,I4)</f>
        <v>0</v>
      </c>
    </row>
    <row r="19" spans="1:44" ht="11.25" customHeight="1" x14ac:dyDescent="0.2">
      <c r="A19" s="34"/>
      <c r="C19" s="176" t="b">
        <v>0</v>
      </c>
      <c r="D19" s="33"/>
      <c r="E19" s="52" t="b">
        <v>0</v>
      </c>
      <c r="F19" s="112">
        <f t="shared" si="8"/>
        <v>11</v>
      </c>
      <c r="G19" s="38">
        <v>11</v>
      </c>
      <c r="H19" s="37" t="s">
        <v>81</v>
      </c>
      <c r="I19" s="50" t="e">
        <f t="shared" si="9"/>
        <v>#DIV/0!</v>
      </c>
      <c r="J19" s="48"/>
      <c r="K19" s="49"/>
      <c r="L19" s="48" t="e">
        <f t="shared" si="0"/>
        <v>#DIV/0!</v>
      </c>
      <c r="M19" s="38">
        <f t="shared" si="6"/>
        <v>17</v>
      </c>
      <c r="N19" s="37" t="str">
        <f t="shared" si="1"/>
        <v/>
      </c>
      <c r="O19" s="38" t="str">
        <f t="shared" si="7"/>
        <v/>
      </c>
      <c r="P19" s="37" t="str">
        <f t="shared" si="2"/>
        <v/>
      </c>
      <c r="Q19" s="38" t="str">
        <f t="shared" si="3"/>
        <v/>
      </c>
      <c r="R19" s="104" t="str">
        <f t="shared" si="4"/>
        <v/>
      </c>
      <c r="S19" s="46" t="str">
        <f t="shared" si="5"/>
        <v/>
      </c>
      <c r="U19" s="56">
        <v>44277</v>
      </c>
      <c r="V19" s="55">
        <v>3.0180816951514783E-2</v>
      </c>
      <c r="W19"/>
      <c r="X19"/>
      <c r="Y19" s="38">
        <v>7</v>
      </c>
      <c r="Z19" s="38" t="str">
        <f>_xll.RtGet($AD$13,$AD$14&amp;$Y19&amp;$AD$15,Z$12)</f>
        <v>#N/A RIC Not Found</v>
      </c>
      <c r="AA19" s="37" t="str">
        <f>_xll.RtGet($AD$13,$AD$14&amp;$Y19&amp;$AD$15,AA$12)</f>
        <v>#N/A RIC Not Found</v>
      </c>
      <c r="AB19" s="26"/>
      <c r="AC19" s="26"/>
      <c r="AD19" s="26"/>
    </row>
    <row r="20" spans="1:44" ht="11.25" customHeight="1" x14ac:dyDescent="0.2">
      <c r="A20" s="34"/>
      <c r="D20" s="33"/>
      <c r="E20" s="45" t="b">
        <v>0</v>
      </c>
      <c r="F20" s="111">
        <f t="shared" si="8"/>
        <v>12</v>
      </c>
      <c r="G20" s="36">
        <v>12</v>
      </c>
      <c r="H20" s="35" t="s">
        <v>81</v>
      </c>
      <c r="I20" s="43" t="e">
        <f t="shared" si="9"/>
        <v>#DIV/0!</v>
      </c>
      <c r="J20" s="41"/>
      <c r="K20" s="110"/>
      <c r="L20" s="41" t="e">
        <f t="shared" si="0"/>
        <v>#DIV/0!</v>
      </c>
      <c r="M20" s="36">
        <f t="shared" si="6"/>
        <v>18</v>
      </c>
      <c r="N20" s="35" t="str">
        <f t="shared" si="1"/>
        <v/>
      </c>
      <c r="O20" s="36" t="str">
        <f t="shared" si="7"/>
        <v/>
      </c>
      <c r="P20" s="35" t="str">
        <f t="shared" si="2"/>
        <v/>
      </c>
      <c r="Q20" s="36" t="str">
        <f t="shared" si="3"/>
        <v/>
      </c>
      <c r="R20" s="109" t="str">
        <f t="shared" si="4"/>
        <v/>
      </c>
      <c r="S20" s="39" t="str">
        <f t="shared" si="5"/>
        <v/>
      </c>
      <c r="U20" s="56">
        <v>44642</v>
      </c>
      <c r="V20" s="55">
        <v>3.1988627467453838E-2</v>
      </c>
      <c r="W20"/>
      <c r="X20"/>
      <c r="Y20" s="38">
        <v>8</v>
      </c>
      <c r="Z20" s="38" t="str">
        <f>_xll.RtGet($AD$13,$AD$14&amp;$Y20&amp;$AD$15,Z$12)</f>
        <v>#N/A RIC Not Found</v>
      </c>
      <c r="AA20" s="37" t="str">
        <f>_xll.RtGet($AD$13,$AD$14&amp;$Y20&amp;$AD$15,AA$12)</f>
        <v>#N/A RIC Not Found</v>
      </c>
      <c r="AB20" s="26"/>
      <c r="AC20" s="26"/>
      <c r="AD20" s="26"/>
    </row>
    <row r="21" spans="1:44" ht="11.25" customHeight="1" x14ac:dyDescent="0.2">
      <c r="A21" s="34"/>
      <c r="D21" s="33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U21" s="56">
        <v>45373</v>
      </c>
      <c r="V21" s="55">
        <v>3.4982593902331161E-2</v>
      </c>
      <c r="W21"/>
      <c r="X21"/>
      <c r="Y21" s="38">
        <v>9</v>
      </c>
      <c r="Z21" s="38">
        <f>_xll.RtGet($AD$13,$AD$14&amp;$Y21&amp;$AD$15,Z$12)</f>
        <v>2.3536969270000001</v>
      </c>
      <c r="AA21" s="37">
        <f>_xll.RtGet($AD$13,$AD$14&amp;$Y21&amp;$AD$15,AA$12)</f>
        <v>2.3536969270000001</v>
      </c>
      <c r="AB21" s="26"/>
      <c r="AC21" s="26"/>
      <c r="AD21" s="26"/>
    </row>
    <row r="22" spans="1:44" ht="11.25" customHeight="1" x14ac:dyDescent="0.2">
      <c r="A22" s="34"/>
      <c r="D22" s="33"/>
      <c r="E22" s="91" t="s">
        <v>77</v>
      </c>
      <c r="F22" s="34"/>
      <c r="H22" s="34"/>
      <c r="I22" s="91" t="s">
        <v>76</v>
      </c>
      <c r="J22" s="91" t="s">
        <v>75</v>
      </c>
      <c r="K22" s="91" t="s">
        <v>74</v>
      </c>
      <c r="L22" s="91" t="s">
        <v>73</v>
      </c>
      <c r="M22" s="26"/>
      <c r="N22" s="26"/>
      <c r="O22" s="26"/>
      <c r="P22" s="26"/>
      <c r="Q22" s="26"/>
      <c r="R22" s="26"/>
      <c r="S22" s="26"/>
      <c r="U22" s="56">
        <v>46468</v>
      </c>
      <c r="V22" s="55">
        <v>3.778928897434871E-2</v>
      </c>
      <c r="W22"/>
      <c r="X22"/>
      <c r="Y22" s="38">
        <v>10</v>
      </c>
      <c r="Z22" s="38" t="str">
        <f>_xll.RtGet($AD$13,$AD$14&amp;$Y22&amp;$AD$15,Z$12)</f>
        <v>#N/A RIC Not Found</v>
      </c>
      <c r="AA22" s="37" t="str">
        <f>_xll.RtGet($AD$13,$AD$14&amp;$Y22&amp;$AD$15,AA$12)</f>
        <v>#N/A RIC Not Found</v>
      </c>
      <c r="AB22" s="26"/>
      <c r="AC22" s="26"/>
      <c r="AD22" s="26"/>
    </row>
    <row r="23" spans="1:44" ht="11.25" customHeight="1" x14ac:dyDescent="0.2">
      <c r="A23" s="34"/>
      <c r="D23" s="33"/>
      <c r="E23" s="90" t="b">
        <v>1</v>
      </c>
      <c r="F23" s="132" t="str">
        <f>Y27</f>
        <v>AUD</v>
      </c>
      <c r="G23" s="26"/>
      <c r="H23" s="26"/>
      <c r="I23" s="133">
        <f>AVERAGE(Z27:AA27)</f>
        <v>1.3924500000000002</v>
      </c>
      <c r="J23" s="134"/>
      <c r="K23" s="135"/>
      <c r="L23" s="134">
        <f>IF(ISNUMBER(J23),J23,I23)+K23</f>
        <v>1.3924500000000002</v>
      </c>
      <c r="M23" s="26"/>
      <c r="N23" s="26"/>
      <c r="O23" s="26"/>
      <c r="P23" s="26"/>
      <c r="Q23"/>
      <c r="R23" s="26"/>
      <c r="S23" s="26"/>
      <c r="U23" s="56">
        <v>48295</v>
      </c>
      <c r="V23" s="55">
        <v>3.9637007273702576E-2</v>
      </c>
      <c r="W23"/>
      <c r="X23"/>
      <c r="Y23" s="38">
        <v>11</v>
      </c>
      <c r="Z23" s="38" t="str">
        <f>_xll.RtGet($AD$13,$AD$14&amp;$Y23&amp;$AD$15,Z$12)</f>
        <v>#N/A RIC Not Found</v>
      </c>
      <c r="AA23" s="37" t="str">
        <f>_xll.RtGet($AD$13,$AD$14&amp;$Y23&amp;$AD$15,AA$12)</f>
        <v>#N/A RIC Not Found</v>
      </c>
      <c r="AB23" s="26"/>
      <c r="AC23" s="26"/>
      <c r="AD23" s="26"/>
      <c r="AJ23"/>
      <c r="AK23"/>
      <c r="AL23"/>
      <c r="AM23"/>
    </row>
    <row r="24" spans="1:44" ht="11.25" customHeight="1" x14ac:dyDescent="0.2">
      <c r="A24" s="34"/>
      <c r="B24" s="230" t="s">
        <v>80</v>
      </c>
      <c r="C24" s="231"/>
      <c r="D24" s="33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/>
      <c r="R24" s="26"/>
      <c r="S24" s="26"/>
      <c r="U24" s="56">
        <v>50122</v>
      </c>
      <c r="V24" s="55">
        <v>3.9185788879389317E-2</v>
      </c>
      <c r="W24"/>
      <c r="X24"/>
      <c r="Y24" s="36">
        <v>12</v>
      </c>
      <c r="Z24" s="40" t="str">
        <f>_xll.RtGet($AD$13,$AD$14&amp;$Y24&amp;$AD$15,Z$12)</f>
        <v>#N/A RIC Not Found</v>
      </c>
      <c r="AA24" s="131" t="str">
        <f>_xll.RtGet($AD$13,$AD$14&amp;$Y24&amp;$AD$15,AA$12)</f>
        <v>#N/A RIC Not Found</v>
      </c>
      <c r="AB24" s="26"/>
      <c r="AC24" s="26"/>
      <c r="AD24" s="26"/>
      <c r="AJ24"/>
      <c r="AK24"/>
      <c r="AL24"/>
      <c r="AM24"/>
    </row>
    <row r="25" spans="1:44" ht="11.25" customHeight="1" x14ac:dyDescent="0.2">
      <c r="A25" s="33"/>
      <c r="B25" s="103" t="s">
        <v>79</v>
      </c>
      <c r="C25" s="98">
        <v>132</v>
      </c>
      <c r="D25" s="33"/>
      <c r="E25" s="91" t="s">
        <v>77</v>
      </c>
      <c r="F25" s="34"/>
      <c r="G25" s="34"/>
      <c r="H25" s="34"/>
      <c r="I25" s="91" t="s">
        <v>76</v>
      </c>
      <c r="J25" s="91" t="s">
        <v>75</v>
      </c>
      <c r="K25" s="91" t="s">
        <v>74</v>
      </c>
      <c r="L25" s="91" t="s">
        <v>73</v>
      </c>
      <c r="M25" s="63"/>
      <c r="N25" s="62"/>
      <c r="P25" s="62"/>
      <c r="Q25"/>
      <c r="R25" s="26"/>
      <c r="S25" s="86">
        <f t="array" ref="S25">SUM(1*E26:E67)</f>
        <v>9</v>
      </c>
      <c r="U25" s="56" t="e">
        <v>#N/A</v>
      </c>
      <c r="V25" s="55" t="e">
        <v>#N/A</v>
      </c>
      <c r="W25"/>
      <c r="X25"/>
      <c r="Y25" s="104"/>
      <c r="Z25" s="104"/>
      <c r="AA25" s="104"/>
      <c r="AB25" s="26"/>
      <c r="AC25" s="26"/>
      <c r="AD25" s="26"/>
      <c r="AH25"/>
      <c r="AJ25"/>
      <c r="AK25"/>
      <c r="AL25"/>
      <c r="AM25"/>
    </row>
    <row r="26" spans="1:44" ht="11.25" customHeight="1" x14ac:dyDescent="0.2">
      <c r="A26" s="34"/>
      <c r="B26" s="101" t="s">
        <v>78</v>
      </c>
      <c r="C26" s="96" t="s">
        <v>24</v>
      </c>
      <c r="D26" s="33"/>
      <c r="E26" s="52" t="b">
        <f>LEN(F26)&gt;0</f>
        <v>1</v>
      </c>
      <c r="F26" s="196">
        <f>IF($C$19,IF(LEN(AQ31)&gt;0,12*AQ31,""),IF(LEN(AG31)&gt;0,12*AG31,""))</f>
        <v>12</v>
      </c>
      <c r="G26" s="34"/>
      <c r="H26" s="34"/>
      <c r="I26" s="89">
        <f>IF($C$19,AR31,AF31)</f>
        <v>0.505</v>
      </c>
      <c r="J26" s="87"/>
      <c r="K26" s="88"/>
      <c r="L26" s="87">
        <f t="shared" ref="L26:L67" si="10">IF(ISNUMBER(J26),J26,I26)+K26</f>
        <v>0.505</v>
      </c>
      <c r="M26" s="75">
        <v>1</v>
      </c>
      <c r="N26" s="74">
        <f t="shared" ref="N26:N67" si="11">IF(E26,M26,"")</f>
        <v>1</v>
      </c>
      <c r="O26" s="86">
        <f>IF($S$25&gt;0,1,"")</f>
        <v>1</v>
      </c>
      <c r="P26" s="74">
        <f t="shared" ref="P26:P67" si="12">IF(LEN(O26)&gt;0,SMALL($N$26:$N$67,O26),"")</f>
        <v>1</v>
      </c>
      <c r="Q26"/>
      <c r="R26" s="85">
        <f t="shared" ref="R26:R67" si="13">IF(LEN(P26)&gt;0,INDEX($F$26:$F$67,$P26),"")</f>
        <v>12</v>
      </c>
      <c r="S26" s="84">
        <f t="shared" ref="S26:S67" si="14">IF(LEN(P26)&gt;0,INDEX($L$26:$L$67,$P26),"")</f>
        <v>0.505</v>
      </c>
      <c r="U26" s="56" t="e">
        <v>#N/A</v>
      </c>
      <c r="V26" s="55" t="e">
        <v>#N/A</v>
      </c>
      <c r="W26"/>
      <c r="X26"/>
      <c r="Y26" s="78" t="s">
        <v>107</v>
      </c>
      <c r="Z26" s="102" t="s">
        <v>71</v>
      </c>
      <c r="AA26" s="107" t="s">
        <v>70</v>
      </c>
      <c r="AC26" s="71" t="s">
        <v>68</v>
      </c>
      <c r="AD26" s="70" t="s">
        <v>67</v>
      </c>
      <c r="AJ26"/>
      <c r="AK26"/>
      <c r="AL26"/>
      <c r="AM26"/>
    </row>
    <row r="27" spans="1:44" ht="11.25" customHeight="1" x14ac:dyDescent="0.2">
      <c r="A27" s="34"/>
      <c r="B27" s="130" t="s">
        <v>111</v>
      </c>
      <c r="C27" s="96">
        <v>2</v>
      </c>
      <c r="D27" s="33"/>
      <c r="E27" s="52" t="b">
        <f t="shared" ref="E27:E67" si="15">LEN(F27)&gt;0</f>
        <v>1</v>
      </c>
      <c r="F27" s="112">
        <f t="shared" ref="F27:F67" si="16">IF($C$19,IF(LEN(AQ32)&gt;0,12*AQ32,""),IF(LEN(AG32)&gt;0,12*AG32,""))</f>
        <v>24</v>
      </c>
      <c r="G27" s="34"/>
      <c r="I27" s="50">
        <f t="shared" ref="I27:I67" si="17">IF($C$19,AR32,AF32)</f>
        <v>0.54249999999999998</v>
      </c>
      <c r="J27" s="48"/>
      <c r="K27" s="49"/>
      <c r="L27" s="48">
        <f t="shared" si="10"/>
        <v>0.54249999999999998</v>
      </c>
      <c r="M27" s="38">
        <f t="shared" ref="M27:M67" si="18">M26+1</f>
        <v>2</v>
      </c>
      <c r="N27" s="37">
        <f t="shared" si="11"/>
        <v>2</v>
      </c>
      <c r="O27" s="38">
        <f t="shared" ref="O27:O67" si="19">IF(O26&lt;$S$25,O26+1,"")</f>
        <v>2</v>
      </c>
      <c r="P27" s="37">
        <f t="shared" si="12"/>
        <v>2</v>
      </c>
      <c r="Q27"/>
      <c r="R27" s="47">
        <f t="shared" si="13"/>
        <v>24</v>
      </c>
      <c r="S27" s="46">
        <f t="shared" si="14"/>
        <v>0.54249999999999998</v>
      </c>
      <c r="U27" s="56" t="e">
        <v>#N/A</v>
      </c>
      <c r="V27" s="55" t="e">
        <v>#N/A</v>
      </c>
      <c r="W27"/>
      <c r="X27"/>
      <c r="Y27" s="100" t="s">
        <v>140</v>
      </c>
      <c r="Z27" s="99">
        <f>_xll.RtGet($AD$26,$AD$27&amp;$Y27&amp;$AD$28,Z$26)</f>
        <v>1.3917000000000002</v>
      </c>
      <c r="AA27" s="105">
        <f>_xll.RtGet($AD$26,$AD$27&amp;$Y27&amp;$AD$28,AA$26)</f>
        <v>1.3932</v>
      </c>
      <c r="AC27" s="69" t="s">
        <v>66</v>
      </c>
      <c r="AD27" s="68" t="s">
        <v>101</v>
      </c>
      <c r="AJ27"/>
      <c r="AK27"/>
      <c r="AL27"/>
      <c r="AM27"/>
    </row>
    <row r="28" spans="1:44" ht="11.25" customHeight="1" x14ac:dyDescent="0.2">
      <c r="A28" s="145"/>
      <c r="B28" s="137" t="s">
        <v>112</v>
      </c>
      <c r="C28" s="95"/>
      <c r="D28" s="33"/>
      <c r="E28" s="52" t="b">
        <f t="shared" si="15"/>
        <v>1</v>
      </c>
      <c r="F28" s="112">
        <f t="shared" si="16"/>
        <v>36</v>
      </c>
      <c r="G28" s="34"/>
      <c r="I28" s="50">
        <f t="shared" si="17"/>
        <v>0.58000000000000007</v>
      </c>
      <c r="J28" s="48"/>
      <c r="K28" s="49"/>
      <c r="L28" s="48">
        <f t="shared" si="10"/>
        <v>0.58000000000000007</v>
      </c>
      <c r="M28" s="38">
        <f t="shared" si="18"/>
        <v>3</v>
      </c>
      <c r="N28" s="37">
        <f t="shared" si="11"/>
        <v>3</v>
      </c>
      <c r="O28" s="38">
        <f t="shared" si="19"/>
        <v>3</v>
      </c>
      <c r="P28" s="37">
        <f t="shared" si="12"/>
        <v>3</v>
      </c>
      <c r="Q28"/>
      <c r="R28" s="47">
        <f t="shared" si="13"/>
        <v>36</v>
      </c>
      <c r="S28" s="46">
        <f t="shared" si="14"/>
        <v>0.58000000000000007</v>
      </c>
      <c r="U28" s="56" t="e">
        <v>#N/A</v>
      </c>
      <c r="V28" s="55" t="e">
        <v>#N/A</v>
      </c>
      <c r="W28"/>
      <c r="X28"/>
      <c r="AC28" s="66" t="s">
        <v>63</v>
      </c>
      <c r="AD28" s="65" t="s">
        <v>106</v>
      </c>
    </row>
    <row r="29" spans="1:44" ht="11.25" customHeight="1" x14ac:dyDescent="0.2">
      <c r="A29" s="146"/>
      <c r="B29" s="138" t="s">
        <v>113</v>
      </c>
      <c r="C29" s="144"/>
      <c r="E29" s="52" t="b">
        <f t="shared" si="15"/>
        <v>1</v>
      </c>
      <c r="F29" s="112">
        <f t="shared" si="16"/>
        <v>48</v>
      </c>
      <c r="G29" s="34"/>
      <c r="I29" s="50">
        <f t="shared" si="17"/>
        <v>0.60499999999999998</v>
      </c>
      <c r="J29" s="48"/>
      <c r="K29" s="49"/>
      <c r="L29" s="48">
        <f t="shared" si="10"/>
        <v>0.60499999999999998</v>
      </c>
      <c r="M29" s="38">
        <f t="shared" si="18"/>
        <v>4</v>
      </c>
      <c r="N29" s="37">
        <f t="shared" si="11"/>
        <v>4</v>
      </c>
      <c r="O29" s="38">
        <f t="shared" si="19"/>
        <v>4</v>
      </c>
      <c r="P29" s="37">
        <f t="shared" si="12"/>
        <v>4</v>
      </c>
      <c r="Q29"/>
      <c r="R29" s="47">
        <f t="shared" si="13"/>
        <v>48</v>
      </c>
      <c r="S29" s="46">
        <f t="shared" si="14"/>
        <v>0.60499999999999998</v>
      </c>
      <c r="U29" s="56" t="e">
        <v>#N/A</v>
      </c>
      <c r="V29" s="55" t="e">
        <v>#N/A</v>
      </c>
      <c r="W29"/>
      <c r="X29"/>
      <c r="Y29" s="78" t="s">
        <v>135</v>
      </c>
      <c r="Z29" s="191">
        <v>0.01</v>
      </c>
      <c r="AG29" s="62">
        <f>MAX(AG31:AG72)</f>
        <v>20</v>
      </c>
      <c r="AQ29" s="62">
        <f>MAX(AQ31:AQ60)</f>
        <v>30</v>
      </c>
    </row>
    <row r="30" spans="1:44" ht="11.25" customHeight="1" x14ac:dyDescent="0.2">
      <c r="A30" s="146"/>
      <c r="B30" s="97" t="s">
        <v>114</v>
      </c>
      <c r="C30" s="96" t="s">
        <v>101</v>
      </c>
      <c r="E30" s="52" t="b">
        <f t="shared" si="15"/>
        <v>1</v>
      </c>
      <c r="F30" s="112">
        <f t="shared" si="16"/>
        <v>60</v>
      </c>
      <c r="G30" s="34"/>
      <c r="I30" s="50">
        <f t="shared" si="17"/>
        <v>0.63</v>
      </c>
      <c r="J30" s="48"/>
      <c r="K30" s="49"/>
      <c r="L30" s="48">
        <f t="shared" si="10"/>
        <v>0.63</v>
      </c>
      <c r="M30" s="38">
        <f t="shared" si="18"/>
        <v>5</v>
      </c>
      <c r="N30" s="37">
        <f t="shared" si="11"/>
        <v>5</v>
      </c>
      <c r="O30" s="38">
        <f t="shared" si="19"/>
        <v>5</v>
      </c>
      <c r="P30" s="37">
        <f t="shared" si="12"/>
        <v>5</v>
      </c>
      <c r="Q30"/>
      <c r="R30" s="47">
        <f t="shared" si="13"/>
        <v>60</v>
      </c>
      <c r="S30" s="46">
        <f t="shared" si="14"/>
        <v>0.63</v>
      </c>
      <c r="U30" s="56" t="e">
        <v>#N/A</v>
      </c>
      <c r="V30" s="55" t="e">
        <v>#N/A</v>
      </c>
      <c r="W30"/>
      <c r="X30"/>
      <c r="Y30" s="78" t="s">
        <v>72</v>
      </c>
      <c r="Z30" s="77" t="s">
        <v>71</v>
      </c>
      <c r="AA30" s="76" t="s">
        <v>70</v>
      </c>
      <c r="AF30" s="78" t="s">
        <v>125</v>
      </c>
      <c r="AG30" s="78" t="s">
        <v>126</v>
      </c>
      <c r="AH30" s="40" t="b">
        <f>AND(AQ29&gt;AG29,ISERROR(MATCH(AQ29,$AG$31:$AG$72,0)))</f>
        <v>1</v>
      </c>
      <c r="AI30" s="157"/>
      <c r="AJ30" s="157"/>
      <c r="AK30" s="157"/>
      <c r="AL30" s="152">
        <f>COUNT(AK31:AK72)</f>
        <v>10</v>
      </c>
      <c r="AM30" s="153"/>
      <c r="AQ30" s="78" t="s">
        <v>128</v>
      </c>
      <c r="AR30" s="78" t="s">
        <v>127</v>
      </c>
    </row>
    <row r="31" spans="1:44" ht="11.25" customHeight="1" x14ac:dyDescent="0.2">
      <c r="A31" s="33"/>
      <c r="B31" s="141" t="s">
        <v>115</v>
      </c>
      <c r="C31" s="94" t="s">
        <v>29</v>
      </c>
      <c r="E31" s="52" t="b">
        <f t="shared" si="15"/>
        <v>1</v>
      </c>
      <c r="F31" s="112">
        <f t="shared" si="16"/>
        <v>84</v>
      </c>
      <c r="G31" s="34"/>
      <c r="I31" s="50">
        <f t="shared" si="17"/>
        <v>0.66500000000000004</v>
      </c>
      <c r="J31" s="48"/>
      <c r="K31" s="49"/>
      <c r="L31" s="48">
        <f t="shared" si="10"/>
        <v>0.66500000000000004</v>
      </c>
      <c r="M31" s="38">
        <f t="shared" si="18"/>
        <v>6</v>
      </c>
      <c r="N31" s="37">
        <f t="shared" si="11"/>
        <v>6</v>
      </c>
      <c r="O31" s="38">
        <f t="shared" si="19"/>
        <v>6</v>
      </c>
      <c r="P31" s="37">
        <f t="shared" si="12"/>
        <v>6</v>
      </c>
      <c r="Q31"/>
      <c r="R31" s="47">
        <f t="shared" si="13"/>
        <v>84</v>
      </c>
      <c r="S31" s="46">
        <f t="shared" si="14"/>
        <v>0.66500000000000004</v>
      </c>
      <c r="U31" s="56" t="e">
        <v>#N/A</v>
      </c>
      <c r="V31" s="55" t="e">
        <v>#N/A</v>
      </c>
      <c r="W31"/>
      <c r="X31"/>
      <c r="Y31" s="193">
        <v>1</v>
      </c>
      <c r="Z31" s="75">
        <f>$Z$29*_xll.RtGet($AD$32,$AD$33&amp;$Y31&amp;$AD$34,Z$30)</f>
        <v>0.45500000000000002</v>
      </c>
      <c r="AA31" s="74">
        <f>$Z$29*_xll.RtGet($AD$32,$AD$33&amp;$Y31&amp;$AD$34,AA$30)</f>
        <v>0.55500000000000005</v>
      </c>
      <c r="AF31" s="154">
        <f t="shared" ref="AF31:AF72" si="20">AVERAGE(Z31:AA31)</f>
        <v>0.505</v>
      </c>
      <c r="AG31" s="155">
        <f t="shared" ref="AG31:AG72" si="21">IF(ISNUMBER(AF31),Y31,"")</f>
        <v>1</v>
      </c>
      <c r="AH31" s="104">
        <f>IF(LEN(AG31)&gt;0,AG31,"")</f>
        <v>1</v>
      </c>
      <c r="AI31" s="74">
        <f>IF(LEN(AG31)&gt;0,AF31,"")</f>
        <v>0.505</v>
      </c>
      <c r="AJ31" s="159">
        <v>1</v>
      </c>
      <c r="AK31" s="153">
        <f>IF(LEN(AH31)&gt;0,AJ31,"")</f>
        <v>1</v>
      </c>
      <c r="AL31" s="152">
        <f>IF(AL30&gt;0,1,"")</f>
        <v>1</v>
      </c>
      <c r="AM31" s="158" t="b">
        <f>LEN(AL31)&gt;0</f>
        <v>1</v>
      </c>
      <c r="AN31" s="163">
        <f>IF(AM31,SMALL($AK$31:$AK$72,AL31),"")</f>
        <v>1</v>
      </c>
      <c r="AO31" s="158">
        <f t="array" ref="AO31:AP31">IF(AM31,INDEX($AH$31:$AI$72,AN31,0),"")</f>
        <v>1</v>
      </c>
      <c r="AP31" s="163">
        <v>0.505</v>
      </c>
      <c r="AQ31" s="158">
        <v>1</v>
      </c>
      <c r="AR31" s="166">
        <f t="array" ref="AR31:AR60">_xll.xlInterp1D(AO31:INDEX(AO31:AO72,AL30),AP31:INDEX(AP31:AP72,AL30),AQ31:AQ60,"kruger")</f>
        <v>0.505</v>
      </c>
    </row>
    <row r="32" spans="1:44" ht="11.25" customHeight="1" x14ac:dyDescent="0.2">
      <c r="A32" s="146"/>
      <c r="B32" s="142" t="s">
        <v>116</v>
      </c>
      <c r="C32" s="93"/>
      <c r="E32" s="52" t="b">
        <f t="shared" si="15"/>
        <v>1</v>
      </c>
      <c r="F32" s="112">
        <f t="shared" si="16"/>
        <v>120</v>
      </c>
      <c r="G32" s="34"/>
      <c r="I32" s="50">
        <f t="shared" si="17"/>
        <v>0.6925</v>
      </c>
      <c r="J32" s="48"/>
      <c r="K32" s="49"/>
      <c r="L32" s="48">
        <f t="shared" si="10"/>
        <v>0.6925</v>
      </c>
      <c r="M32" s="38">
        <f t="shared" si="18"/>
        <v>7</v>
      </c>
      <c r="N32" s="37">
        <f t="shared" si="11"/>
        <v>7</v>
      </c>
      <c r="O32" s="38">
        <f t="shared" si="19"/>
        <v>7</v>
      </c>
      <c r="P32" s="37">
        <f t="shared" si="12"/>
        <v>7</v>
      </c>
      <c r="Q32"/>
      <c r="R32" s="47">
        <f t="shared" si="13"/>
        <v>120</v>
      </c>
      <c r="S32" s="46">
        <f t="shared" si="14"/>
        <v>0.6925</v>
      </c>
      <c r="U32" s="56" t="e">
        <v>#N/A</v>
      </c>
      <c r="V32" s="55" t="e">
        <v>#N/A</v>
      </c>
      <c r="Y32" s="194">
        <v>2</v>
      </c>
      <c r="Z32" s="38">
        <f>$Z$29*_xll.RtGet($AD$32,$AD$33&amp;$Y32&amp;$AD$34,Z$30)</f>
        <v>0.49249999999999999</v>
      </c>
      <c r="AA32" s="37">
        <f>$Z$29*_xll.RtGet($AD$32,$AD$33&amp;$Y32&amp;$AD$34,AA$30)</f>
        <v>0.59250000000000003</v>
      </c>
      <c r="AC32" s="71" t="s">
        <v>68</v>
      </c>
      <c r="AD32" s="70" t="s">
        <v>67</v>
      </c>
      <c r="AF32" s="38">
        <f t="shared" si="20"/>
        <v>0.54249999999999998</v>
      </c>
      <c r="AG32" s="104">
        <f t="shared" si="21"/>
        <v>2</v>
      </c>
      <c r="AH32" s="104">
        <f t="shared" ref="AH32:AH71" si="22">IF(LEN(AG32)&gt;0,AG32,"")</f>
        <v>2</v>
      </c>
      <c r="AI32" s="37">
        <f t="shared" ref="AI32:AI71" si="23">IF(LEN(AG32)&gt;0,AF32,"")</f>
        <v>0.54249999999999998</v>
      </c>
      <c r="AJ32" s="159">
        <f>AJ31+1</f>
        <v>2</v>
      </c>
      <c r="AK32" s="153">
        <f t="shared" ref="AK32:AK72" si="24">IF(LEN(AH32)&gt;0,AJ32,"")</f>
        <v>2</v>
      </c>
      <c r="AL32" s="153">
        <f>IF(AL31&lt;$AL$30,AL31+1,"")</f>
        <v>2</v>
      </c>
      <c r="AM32" s="153" t="b">
        <f t="shared" ref="AM32:AM72" si="25">LEN(AL32)&gt;0</f>
        <v>1</v>
      </c>
      <c r="AN32" s="160">
        <f t="shared" ref="AN32:AN72" si="26">IF(AM32,SMALL($AK$31:$AK$72,AL32),"")</f>
        <v>2</v>
      </c>
      <c r="AO32" s="159">
        <f t="array" ref="AO32:AP32">IF(AM32,INDEX($AH$31:$AI$72,AN32,0),"")</f>
        <v>2</v>
      </c>
      <c r="AP32" s="160">
        <v>0.54249999999999998</v>
      </c>
      <c r="AQ32" s="159">
        <f t="shared" ref="AQ32:AQ60" si="27">AQ31+1</f>
        <v>2</v>
      </c>
      <c r="AR32" s="167">
        <v>0.54249999999999998</v>
      </c>
    </row>
    <row r="33" spans="1:44" ht="11.25" customHeight="1" x14ac:dyDescent="0.2">
      <c r="A33" s="146"/>
      <c r="B33" s="142" t="s">
        <v>117</v>
      </c>
      <c r="C33" s="92"/>
      <c r="E33" s="52" t="b">
        <f t="shared" si="15"/>
        <v>1</v>
      </c>
      <c r="F33" s="112">
        <f t="shared" si="16"/>
        <v>180</v>
      </c>
      <c r="G33" s="34"/>
      <c r="I33" s="50">
        <f t="shared" si="17"/>
        <v>0.625</v>
      </c>
      <c r="J33" s="48"/>
      <c r="K33" s="49"/>
      <c r="L33" s="48">
        <f t="shared" si="10"/>
        <v>0.625</v>
      </c>
      <c r="M33" s="38">
        <f t="shared" si="18"/>
        <v>8</v>
      </c>
      <c r="N33" s="37">
        <f t="shared" si="11"/>
        <v>8</v>
      </c>
      <c r="O33" s="38">
        <f t="shared" si="19"/>
        <v>8</v>
      </c>
      <c r="P33" s="37">
        <f t="shared" si="12"/>
        <v>8</v>
      </c>
      <c r="Q33"/>
      <c r="R33" s="47">
        <f t="shared" si="13"/>
        <v>180</v>
      </c>
      <c r="S33" s="46">
        <f t="shared" si="14"/>
        <v>0.625</v>
      </c>
      <c r="U33" s="56" t="e">
        <v>#N/A</v>
      </c>
      <c r="V33" s="55" t="e">
        <v>#N/A</v>
      </c>
      <c r="Y33" s="194">
        <v>3</v>
      </c>
      <c r="Z33" s="38">
        <f>$Z$29*_xll.RtGet($AD$32,$AD$33&amp;$Y33&amp;$AD$34,Z$30)</f>
        <v>0.53</v>
      </c>
      <c r="AA33" s="37">
        <f>$Z$29*_xll.RtGet($AD$32,$AD$33&amp;$Y33&amp;$AD$34,AA$30)</f>
        <v>0.63</v>
      </c>
      <c r="AC33" s="69" t="s">
        <v>66</v>
      </c>
      <c r="AD33" s="68" t="s">
        <v>150</v>
      </c>
      <c r="AF33" s="38">
        <f t="shared" si="20"/>
        <v>0.58000000000000007</v>
      </c>
      <c r="AG33" s="104">
        <f t="shared" si="21"/>
        <v>3</v>
      </c>
      <c r="AH33" s="104">
        <f t="shared" si="22"/>
        <v>3</v>
      </c>
      <c r="AI33" s="37">
        <f t="shared" si="23"/>
        <v>0.58000000000000007</v>
      </c>
      <c r="AJ33" s="159">
        <f t="shared" ref="AJ33:AJ72" si="28">AJ32+1</f>
        <v>3</v>
      </c>
      <c r="AK33" s="153">
        <f t="shared" si="24"/>
        <v>3</v>
      </c>
      <c r="AL33" s="153">
        <f t="shared" ref="AL33:AL72" si="29">IF(AL32&lt;$AL$30,AL32+1,"")</f>
        <v>3</v>
      </c>
      <c r="AM33" s="153" t="b">
        <f t="shared" si="25"/>
        <v>1</v>
      </c>
      <c r="AN33" s="160">
        <f t="shared" si="26"/>
        <v>3</v>
      </c>
      <c r="AO33" s="159">
        <f t="array" ref="AO33:AP33">IF(AM33,INDEX($AH$31:$AI$72,AN33,0),"")</f>
        <v>3</v>
      </c>
      <c r="AP33" s="160">
        <v>0.58000000000000007</v>
      </c>
      <c r="AQ33" s="159">
        <f t="shared" si="27"/>
        <v>3</v>
      </c>
      <c r="AR33" s="167">
        <v>0.58000000000000007</v>
      </c>
    </row>
    <row r="34" spans="1:44" ht="11.25" customHeight="1" x14ac:dyDescent="0.2">
      <c r="A34" s="33"/>
      <c r="B34" s="142" t="s">
        <v>118</v>
      </c>
      <c r="C34" s="92"/>
      <c r="E34" s="52" t="b">
        <f t="shared" si="15"/>
        <v>1</v>
      </c>
      <c r="F34" s="112">
        <f t="shared" si="16"/>
        <v>240</v>
      </c>
      <c r="G34" s="34"/>
      <c r="I34" s="50">
        <f t="shared" si="17"/>
        <v>0.48749999999999999</v>
      </c>
      <c r="J34" s="48"/>
      <c r="K34" s="49"/>
      <c r="L34" s="48">
        <f t="shared" si="10"/>
        <v>0.48749999999999999</v>
      </c>
      <c r="M34" s="38">
        <f t="shared" si="18"/>
        <v>9</v>
      </c>
      <c r="N34" s="37">
        <f t="shared" si="11"/>
        <v>9</v>
      </c>
      <c r="O34" s="38">
        <f t="shared" si="19"/>
        <v>9</v>
      </c>
      <c r="P34" s="37">
        <f t="shared" si="12"/>
        <v>9</v>
      </c>
      <c r="Q34"/>
      <c r="R34" s="47">
        <f t="shared" si="13"/>
        <v>240</v>
      </c>
      <c r="S34" s="46">
        <f t="shared" si="14"/>
        <v>0.48749999999999999</v>
      </c>
      <c r="U34" s="56" t="e">
        <v>#N/A</v>
      </c>
      <c r="V34" s="55" t="e">
        <v>#N/A</v>
      </c>
      <c r="Y34" s="194">
        <v>4</v>
      </c>
      <c r="Z34" s="38">
        <f>$Z$29*_xll.RtGet($AD$32,$AD$33&amp;$Y34&amp;$AD$34,Z$30)</f>
        <v>0.55500000000000005</v>
      </c>
      <c r="AA34" s="37">
        <f>$Z$29*_xll.RtGet($AD$32,$AD$33&amp;$Y34&amp;$AD$34,AA$30)</f>
        <v>0.65500000000000003</v>
      </c>
      <c r="AC34" s="66" t="s">
        <v>63</v>
      </c>
      <c r="AD34" s="65" t="s">
        <v>136</v>
      </c>
      <c r="AF34" s="38">
        <f t="shared" si="20"/>
        <v>0.60499999999999998</v>
      </c>
      <c r="AG34" s="104">
        <f t="shared" si="21"/>
        <v>4</v>
      </c>
      <c r="AH34" s="104">
        <f t="shared" si="22"/>
        <v>4</v>
      </c>
      <c r="AI34" s="37">
        <f t="shared" si="23"/>
        <v>0.60499999999999998</v>
      </c>
      <c r="AJ34" s="159">
        <f t="shared" si="28"/>
        <v>4</v>
      </c>
      <c r="AK34" s="153">
        <f t="shared" si="24"/>
        <v>4</v>
      </c>
      <c r="AL34" s="153">
        <f t="shared" si="29"/>
        <v>4</v>
      </c>
      <c r="AM34" s="153" t="b">
        <f t="shared" si="25"/>
        <v>1</v>
      </c>
      <c r="AN34" s="160">
        <f t="shared" si="26"/>
        <v>4</v>
      </c>
      <c r="AO34" s="159">
        <f t="array" ref="AO34:AP34">IF(AM34,INDEX($AH$31:$AI$72,AN34,0),"")</f>
        <v>4</v>
      </c>
      <c r="AP34" s="160">
        <v>0.60499999999999998</v>
      </c>
      <c r="AQ34" s="159">
        <f t="shared" si="27"/>
        <v>4</v>
      </c>
      <c r="AR34" s="167">
        <v>0.60499999999999998</v>
      </c>
    </row>
    <row r="35" spans="1:44" ht="11.25" customHeight="1" x14ac:dyDescent="0.2">
      <c r="A35" s="33"/>
      <c r="B35" s="142" t="s">
        <v>119</v>
      </c>
      <c r="C35" s="148"/>
      <c r="E35" s="52" t="b">
        <f t="shared" si="15"/>
        <v>0</v>
      </c>
      <c r="F35" s="112" t="str">
        <f t="shared" si="16"/>
        <v/>
      </c>
      <c r="G35" s="34"/>
      <c r="I35" s="50" t="e">
        <f t="shared" si="17"/>
        <v>#VALUE!</v>
      </c>
      <c r="J35" s="48"/>
      <c r="K35" s="49"/>
      <c r="L35" s="48" t="e">
        <f t="shared" si="10"/>
        <v>#VALUE!</v>
      </c>
      <c r="M35" s="38">
        <f t="shared" si="18"/>
        <v>10</v>
      </c>
      <c r="N35" s="37" t="str">
        <f t="shared" si="11"/>
        <v/>
      </c>
      <c r="O35" s="38" t="str">
        <f t="shared" si="19"/>
        <v/>
      </c>
      <c r="P35" s="37" t="str">
        <f t="shared" si="12"/>
        <v/>
      </c>
      <c r="Q35"/>
      <c r="R35" s="47" t="str">
        <f t="shared" si="13"/>
        <v/>
      </c>
      <c r="S35" s="46" t="str">
        <f t="shared" si="14"/>
        <v/>
      </c>
      <c r="U35" s="56" t="e">
        <v>#N/A</v>
      </c>
      <c r="V35" s="55" t="e">
        <v>#N/A</v>
      </c>
      <c r="Y35" s="194">
        <v>5</v>
      </c>
      <c r="Z35" s="38">
        <f>$Z$29*_xll.RtGet($AD$32,$AD$33&amp;$Y35&amp;$AD$34,Z$30)</f>
        <v>0.57999999999999996</v>
      </c>
      <c r="AA35" s="37">
        <f>$Z$29*_xll.RtGet($AD$32,$AD$33&amp;$Y35&amp;$AD$34,AA$30)</f>
        <v>0.68</v>
      </c>
      <c r="AF35" s="38">
        <f t="shared" si="20"/>
        <v>0.63</v>
      </c>
      <c r="AG35" s="104">
        <f t="shared" si="21"/>
        <v>5</v>
      </c>
      <c r="AH35" s="104">
        <f t="shared" si="22"/>
        <v>5</v>
      </c>
      <c r="AI35" s="37">
        <f t="shared" si="23"/>
        <v>0.63</v>
      </c>
      <c r="AJ35" s="159">
        <f t="shared" si="28"/>
        <v>5</v>
      </c>
      <c r="AK35" s="153">
        <f t="shared" si="24"/>
        <v>5</v>
      </c>
      <c r="AL35" s="153">
        <f t="shared" si="29"/>
        <v>5</v>
      </c>
      <c r="AM35" s="153" t="b">
        <f t="shared" si="25"/>
        <v>1</v>
      </c>
      <c r="AN35" s="160">
        <f t="shared" si="26"/>
        <v>5</v>
      </c>
      <c r="AO35" s="159">
        <f t="array" ref="AO35:AP35">IF(AM35,INDEX($AH$31:$AI$72,AN35,0),"")</f>
        <v>5</v>
      </c>
      <c r="AP35" s="160">
        <v>0.63</v>
      </c>
      <c r="AQ35" s="159">
        <f t="shared" si="27"/>
        <v>5</v>
      </c>
      <c r="AR35" s="167">
        <v>0.63</v>
      </c>
    </row>
    <row r="36" spans="1:44" ht="11.25" customHeight="1" x14ac:dyDescent="0.2">
      <c r="A36" s="33"/>
      <c r="B36" s="83" t="s">
        <v>120</v>
      </c>
      <c r="C36" s="82"/>
      <c r="E36" s="52" t="b">
        <f t="shared" si="15"/>
        <v>0</v>
      </c>
      <c r="F36" s="112" t="str">
        <f t="shared" si="16"/>
        <v/>
      </c>
      <c r="G36" s="34"/>
      <c r="I36" s="50" t="e">
        <f t="shared" si="17"/>
        <v>#VALUE!</v>
      </c>
      <c r="J36" s="48"/>
      <c r="K36" s="49"/>
      <c r="L36" s="48" t="e">
        <f t="shared" si="10"/>
        <v>#VALUE!</v>
      </c>
      <c r="M36" s="38">
        <f t="shared" si="18"/>
        <v>11</v>
      </c>
      <c r="N36" s="37" t="str">
        <f t="shared" si="11"/>
        <v/>
      </c>
      <c r="O36" s="38" t="str">
        <f t="shared" si="19"/>
        <v/>
      </c>
      <c r="P36" s="37" t="str">
        <f t="shared" si="12"/>
        <v/>
      </c>
      <c r="Q36"/>
      <c r="R36" s="47" t="str">
        <f t="shared" si="13"/>
        <v/>
      </c>
      <c r="S36" s="46" t="str">
        <f t="shared" si="14"/>
        <v/>
      </c>
      <c r="U36" s="56" t="e">
        <v>#N/A</v>
      </c>
      <c r="V36" s="55" t="e">
        <v>#N/A</v>
      </c>
      <c r="Y36" s="194">
        <v>7</v>
      </c>
      <c r="Z36" s="38">
        <f>$Z$29*_xll.RtGet($AD$32,$AD$33&amp;$Y36&amp;$AD$34,Z$30)</f>
        <v>0.61499999999999999</v>
      </c>
      <c r="AA36" s="37">
        <f>$Z$29*_xll.RtGet($AD$32,$AD$33&amp;$Y36&amp;$AD$34,AA$30)</f>
        <v>0.71499999999999997</v>
      </c>
      <c r="AF36" s="38">
        <f t="shared" si="20"/>
        <v>0.66500000000000004</v>
      </c>
      <c r="AG36" s="104">
        <f t="shared" si="21"/>
        <v>7</v>
      </c>
      <c r="AH36" s="104">
        <f t="shared" si="22"/>
        <v>7</v>
      </c>
      <c r="AI36" s="37">
        <f t="shared" si="23"/>
        <v>0.66500000000000004</v>
      </c>
      <c r="AJ36" s="159">
        <f t="shared" si="28"/>
        <v>6</v>
      </c>
      <c r="AK36" s="153">
        <f t="shared" si="24"/>
        <v>6</v>
      </c>
      <c r="AL36" s="153">
        <f t="shared" si="29"/>
        <v>6</v>
      </c>
      <c r="AM36" s="153" t="b">
        <f t="shared" si="25"/>
        <v>1</v>
      </c>
      <c r="AN36" s="160">
        <f t="shared" si="26"/>
        <v>6</v>
      </c>
      <c r="AO36" s="159">
        <f t="array" ref="AO36:AP36">IF(AM36,INDEX($AH$31:$AI$72,AN36,0),"")</f>
        <v>7</v>
      </c>
      <c r="AP36" s="160">
        <v>0.66500000000000004</v>
      </c>
      <c r="AQ36" s="159">
        <f t="shared" si="27"/>
        <v>6</v>
      </c>
      <c r="AR36" s="167">
        <v>0.64963924632352943</v>
      </c>
    </row>
    <row r="37" spans="1:44" ht="11.25" customHeight="1" x14ac:dyDescent="0.2">
      <c r="A37" s="33"/>
      <c r="B37" s="83" t="s">
        <v>121</v>
      </c>
      <c r="C37" s="82"/>
      <c r="E37" s="52" t="b">
        <f t="shared" si="15"/>
        <v>0</v>
      </c>
      <c r="F37" s="112" t="str">
        <f t="shared" si="16"/>
        <v/>
      </c>
      <c r="G37" s="34"/>
      <c r="I37" s="50" t="e">
        <f t="shared" si="17"/>
        <v>#VALUE!</v>
      </c>
      <c r="J37" s="48"/>
      <c r="K37" s="49"/>
      <c r="L37" s="48" t="e">
        <f t="shared" si="10"/>
        <v>#VALUE!</v>
      </c>
      <c r="M37" s="38">
        <f t="shared" si="18"/>
        <v>12</v>
      </c>
      <c r="N37" s="37" t="str">
        <f t="shared" si="11"/>
        <v/>
      </c>
      <c r="O37" s="38" t="str">
        <f t="shared" si="19"/>
        <v/>
      </c>
      <c r="P37" s="37" t="str">
        <f t="shared" si="12"/>
        <v/>
      </c>
      <c r="Q37"/>
      <c r="R37" s="47" t="str">
        <f t="shared" si="13"/>
        <v/>
      </c>
      <c r="S37" s="46" t="str">
        <f t="shared" si="14"/>
        <v/>
      </c>
      <c r="U37" s="56" t="e">
        <v>#N/A</v>
      </c>
      <c r="V37" s="55" t="e">
        <v>#N/A</v>
      </c>
      <c r="Y37" s="194">
        <v>10</v>
      </c>
      <c r="Z37" s="38">
        <f>$Z$29*_xll.RtGet($AD$32,$AD$33&amp;$Y37&amp;$AD$34,Z$30)</f>
        <v>0.64249999999999996</v>
      </c>
      <c r="AA37" s="37">
        <f>$Z$29*_xll.RtGet($AD$32,$AD$33&amp;$Y37&amp;$AD$34,AA$30)</f>
        <v>0.74250000000000005</v>
      </c>
      <c r="AF37" s="38">
        <f t="shared" si="20"/>
        <v>0.6925</v>
      </c>
      <c r="AG37" s="104">
        <f t="shared" si="21"/>
        <v>10</v>
      </c>
      <c r="AH37" s="104">
        <f t="shared" si="22"/>
        <v>10</v>
      </c>
      <c r="AI37" s="37">
        <f t="shared" si="23"/>
        <v>0.6925</v>
      </c>
      <c r="AJ37" s="159">
        <f t="shared" si="28"/>
        <v>7</v>
      </c>
      <c r="AK37" s="153">
        <f t="shared" si="24"/>
        <v>7</v>
      </c>
      <c r="AL37" s="153">
        <f t="shared" si="29"/>
        <v>7</v>
      </c>
      <c r="AM37" s="153" t="b">
        <f t="shared" si="25"/>
        <v>1</v>
      </c>
      <c r="AN37" s="160">
        <f t="shared" si="26"/>
        <v>7</v>
      </c>
      <c r="AO37" s="159">
        <f t="array" ref="AO37:AP37">IF(AM37,INDEX($AH$31:$AI$72,AN37,0),"")</f>
        <v>10</v>
      </c>
      <c r="AP37" s="160">
        <v>0.6925</v>
      </c>
      <c r="AQ37" s="159">
        <f t="shared" si="27"/>
        <v>7</v>
      </c>
      <c r="AR37" s="167">
        <v>0.66500000000000004</v>
      </c>
    </row>
    <row r="38" spans="1:44" ht="11.25" customHeight="1" x14ac:dyDescent="0.2">
      <c r="A38" s="33"/>
      <c r="B38" s="83" t="s">
        <v>122</v>
      </c>
      <c r="C38" s="82"/>
      <c r="E38" s="52" t="b">
        <f t="shared" si="15"/>
        <v>0</v>
      </c>
      <c r="F38" s="112" t="str">
        <f t="shared" si="16"/>
        <v/>
      </c>
      <c r="G38" s="34"/>
      <c r="I38" s="50" t="e">
        <f t="shared" si="17"/>
        <v>#VALUE!</v>
      </c>
      <c r="J38" s="48"/>
      <c r="K38" s="49"/>
      <c r="L38" s="48" t="e">
        <f t="shared" si="10"/>
        <v>#VALUE!</v>
      </c>
      <c r="M38" s="38">
        <f t="shared" si="18"/>
        <v>13</v>
      </c>
      <c r="N38" s="37" t="str">
        <f t="shared" si="11"/>
        <v/>
      </c>
      <c r="O38" s="38" t="str">
        <f t="shared" si="19"/>
        <v/>
      </c>
      <c r="P38" s="37" t="str">
        <f t="shared" si="12"/>
        <v/>
      </c>
      <c r="Q38"/>
      <c r="R38" s="47" t="str">
        <f t="shared" si="13"/>
        <v/>
      </c>
      <c r="S38" s="46" t="str">
        <f t="shared" si="14"/>
        <v/>
      </c>
      <c r="U38" s="56" t="e">
        <v>#N/A</v>
      </c>
      <c r="V38" s="55" t="e">
        <v>#N/A</v>
      </c>
      <c r="Y38" s="194">
        <v>15</v>
      </c>
      <c r="Z38" s="38">
        <f>$Z$29*_xll.RtGet($AD$32,$AD$33&amp;$Y38&amp;$AD$34,Z$30)</f>
        <v>0.57500000000000007</v>
      </c>
      <c r="AA38" s="37">
        <f>$Z$29*_xll.RtGet($AD$32,$AD$33&amp;$Y38&amp;$AD$34,AA$30)</f>
        <v>0.67500000000000004</v>
      </c>
      <c r="AF38" s="38">
        <f t="shared" si="20"/>
        <v>0.625</v>
      </c>
      <c r="AG38" s="104">
        <f t="shared" si="21"/>
        <v>15</v>
      </c>
      <c r="AH38" s="104">
        <f t="shared" si="22"/>
        <v>15</v>
      </c>
      <c r="AI38" s="37">
        <f t="shared" si="23"/>
        <v>0.625</v>
      </c>
      <c r="AJ38" s="159">
        <f t="shared" si="28"/>
        <v>8</v>
      </c>
      <c r="AK38" s="153">
        <f t="shared" si="24"/>
        <v>8</v>
      </c>
      <c r="AL38" s="153">
        <f t="shared" si="29"/>
        <v>8</v>
      </c>
      <c r="AM38" s="153" t="b">
        <f t="shared" si="25"/>
        <v>1</v>
      </c>
      <c r="AN38" s="160">
        <f t="shared" si="26"/>
        <v>8</v>
      </c>
      <c r="AO38" s="159">
        <f t="array" ref="AO38:AP38">IF(AM38,INDEX($AH$31:$AI$72,AN38,0),"")</f>
        <v>15</v>
      </c>
      <c r="AP38" s="160">
        <v>0.625</v>
      </c>
      <c r="AQ38" s="159">
        <f t="shared" si="27"/>
        <v>8</v>
      </c>
      <c r="AR38" s="167">
        <v>0.67747685185185191</v>
      </c>
    </row>
    <row r="39" spans="1:44" ht="11.25" customHeight="1" x14ac:dyDescent="0.2">
      <c r="A39" s="33"/>
      <c r="B39" s="81" t="s">
        <v>123</v>
      </c>
      <c r="C39" s="149"/>
      <c r="E39" s="52" t="b">
        <f t="shared" si="15"/>
        <v>0</v>
      </c>
      <c r="F39" s="112" t="str">
        <f t="shared" si="16"/>
        <v/>
      </c>
      <c r="G39" s="34"/>
      <c r="H39" s="34"/>
      <c r="I39" s="50" t="e">
        <f t="shared" si="17"/>
        <v>#VALUE!</v>
      </c>
      <c r="J39" s="48"/>
      <c r="K39" s="49"/>
      <c r="L39" s="48" t="e">
        <f t="shared" si="10"/>
        <v>#VALUE!</v>
      </c>
      <c r="M39" s="38">
        <f t="shared" si="18"/>
        <v>14</v>
      </c>
      <c r="N39" s="37" t="str">
        <f t="shared" si="11"/>
        <v/>
      </c>
      <c r="O39" s="38" t="str">
        <f t="shared" si="19"/>
        <v/>
      </c>
      <c r="P39" s="37" t="str">
        <f t="shared" si="12"/>
        <v/>
      </c>
      <c r="Q39"/>
      <c r="R39" s="47" t="str">
        <f t="shared" si="13"/>
        <v/>
      </c>
      <c r="S39" s="46" t="str">
        <f t="shared" si="14"/>
        <v/>
      </c>
      <c r="U39" s="56" t="e">
        <v>#N/A</v>
      </c>
      <c r="V39" s="55" t="e">
        <v>#N/A</v>
      </c>
      <c r="Y39" s="194">
        <v>20</v>
      </c>
      <c r="Z39" s="38">
        <f>$Z$29*_xll.RtGet($AD$32,$AD$33&amp;$Y39&amp;$AD$34,Z$30)</f>
        <v>0.4375</v>
      </c>
      <c r="AA39" s="37">
        <f>$Z$29*_xll.RtGet($AD$32,$AD$33&amp;$Y39&amp;$AD$34,AA$30)</f>
        <v>0.53749999999999998</v>
      </c>
      <c r="AF39" s="38">
        <f t="shared" si="20"/>
        <v>0.48749999999999999</v>
      </c>
      <c r="AG39" s="104">
        <f t="shared" si="21"/>
        <v>20</v>
      </c>
      <c r="AH39" s="104">
        <f t="shared" si="22"/>
        <v>20</v>
      </c>
      <c r="AI39" s="37">
        <f t="shared" si="23"/>
        <v>0.48749999999999999</v>
      </c>
      <c r="AJ39" s="159">
        <f t="shared" si="28"/>
        <v>9</v>
      </c>
      <c r="AK39" s="153">
        <f t="shared" si="24"/>
        <v>9</v>
      </c>
      <c r="AL39" s="153">
        <f t="shared" si="29"/>
        <v>9</v>
      </c>
      <c r="AM39" s="153" t="b">
        <f t="shared" si="25"/>
        <v>1</v>
      </c>
      <c r="AN39" s="160">
        <f t="shared" si="26"/>
        <v>9</v>
      </c>
      <c r="AO39" s="159">
        <f t="array" ref="AO39:AP39">IF(AM39,INDEX($AH$31:$AI$72,AN39,0),"")</f>
        <v>20</v>
      </c>
      <c r="AP39" s="160">
        <v>0.48749999999999999</v>
      </c>
      <c r="AQ39" s="159">
        <f t="shared" si="27"/>
        <v>9</v>
      </c>
      <c r="AR39" s="167">
        <v>0.68804398148148149</v>
      </c>
    </row>
    <row r="40" spans="1:44" ht="11.25" customHeight="1" x14ac:dyDescent="0.2">
      <c r="A40" s="33"/>
      <c r="B40" s="80" t="s">
        <v>83</v>
      </c>
      <c r="C40" s="79" t="s">
        <v>22</v>
      </c>
      <c r="D40" s="63"/>
      <c r="E40" s="52" t="b">
        <f t="shared" si="15"/>
        <v>0</v>
      </c>
      <c r="F40" s="112" t="str">
        <f t="shared" si="16"/>
        <v/>
      </c>
      <c r="G40" s="34"/>
      <c r="H40" s="34"/>
      <c r="I40" s="50" t="e">
        <f t="shared" si="17"/>
        <v>#VALUE!</v>
      </c>
      <c r="J40" s="48"/>
      <c r="K40" s="49"/>
      <c r="L40" s="48" t="e">
        <f t="shared" si="10"/>
        <v>#VALUE!</v>
      </c>
      <c r="M40" s="38">
        <f t="shared" si="18"/>
        <v>15</v>
      </c>
      <c r="N40" s="37" t="str">
        <f t="shared" si="11"/>
        <v/>
      </c>
      <c r="O40" s="38" t="str">
        <f t="shared" si="19"/>
        <v/>
      </c>
      <c r="P40" s="37" t="str">
        <f t="shared" si="12"/>
        <v/>
      </c>
      <c r="Q40"/>
      <c r="R40" s="47" t="str">
        <f t="shared" si="13"/>
        <v/>
      </c>
      <c r="S40" s="46" t="str">
        <f t="shared" si="14"/>
        <v/>
      </c>
      <c r="U40" s="56" t="e">
        <v>#N/A</v>
      </c>
      <c r="V40" s="55" t="e">
        <v>#N/A</v>
      </c>
      <c r="Y40" s="194"/>
      <c r="Z40" s="38" t="e">
        <f>$Z$29*_xll.RtGet($AD$32,$AD$33&amp;$Y40&amp;$AD$34,Z$30)</f>
        <v>#VALUE!</v>
      </c>
      <c r="AA40" s="37" t="e">
        <f>$Z$29*_xll.RtGet($AD$32,$AD$33&amp;$Y40&amp;$AD$34,AA$30)</f>
        <v>#VALUE!</v>
      </c>
      <c r="AF40" s="38" t="e">
        <f t="shared" si="20"/>
        <v>#VALUE!</v>
      </c>
      <c r="AG40" s="104" t="str">
        <f t="shared" si="21"/>
        <v/>
      </c>
      <c r="AH40" s="104" t="str">
        <f t="shared" si="22"/>
        <v/>
      </c>
      <c r="AI40" s="37" t="str">
        <f t="shared" si="23"/>
        <v/>
      </c>
      <c r="AJ40" s="159">
        <f t="shared" si="28"/>
        <v>10</v>
      </c>
      <c r="AK40" s="153" t="str">
        <f t="shared" si="24"/>
        <v/>
      </c>
      <c r="AL40" s="153">
        <f t="shared" si="29"/>
        <v>10</v>
      </c>
      <c r="AM40" s="153" t="b">
        <f t="shared" si="25"/>
        <v>1</v>
      </c>
      <c r="AN40" s="160">
        <f t="shared" si="26"/>
        <v>42</v>
      </c>
      <c r="AO40" s="159">
        <f t="array" ref="AO40:AP40">IF(AM40,INDEX($AH$31:$AI$72,AN40,0),"")</f>
        <v>30</v>
      </c>
      <c r="AP40" s="160">
        <v>0.48749999999999999</v>
      </c>
      <c r="AQ40" s="159">
        <f t="shared" si="27"/>
        <v>10</v>
      </c>
      <c r="AR40" s="167">
        <v>0.6925</v>
      </c>
    </row>
    <row r="41" spans="1:44" ht="11.25" customHeight="1" x14ac:dyDescent="0.2">
      <c r="A41"/>
      <c r="B41"/>
      <c r="C41"/>
      <c r="D41"/>
      <c r="E41" s="52" t="b">
        <f t="shared" si="15"/>
        <v>0</v>
      </c>
      <c r="F41" s="112" t="str">
        <f t="shared" si="16"/>
        <v/>
      </c>
      <c r="G41" s="34"/>
      <c r="H41" s="34"/>
      <c r="I41" s="50" t="e">
        <f t="shared" si="17"/>
        <v>#VALUE!</v>
      </c>
      <c r="J41" s="48"/>
      <c r="K41" s="49"/>
      <c r="L41" s="48" t="e">
        <f t="shared" si="10"/>
        <v>#VALUE!</v>
      </c>
      <c r="M41" s="38">
        <f t="shared" si="18"/>
        <v>16</v>
      </c>
      <c r="N41" s="37" t="str">
        <f t="shared" si="11"/>
        <v/>
      </c>
      <c r="O41" s="38" t="str">
        <f t="shared" si="19"/>
        <v/>
      </c>
      <c r="P41" s="37" t="str">
        <f t="shared" si="12"/>
        <v/>
      </c>
      <c r="Q41"/>
      <c r="R41" s="47" t="str">
        <f t="shared" si="13"/>
        <v/>
      </c>
      <c r="S41" s="46" t="str">
        <f t="shared" si="14"/>
        <v/>
      </c>
      <c r="U41" s="56" t="e">
        <v>#N/A</v>
      </c>
      <c r="V41" s="55" t="e">
        <v>#N/A</v>
      </c>
      <c r="Y41" s="194"/>
      <c r="Z41" s="38" t="e">
        <f>$Z$29*_xll.RtGet($AD$32,$AD$33&amp;$Y41&amp;$AD$34,Z$30)</f>
        <v>#VALUE!</v>
      </c>
      <c r="AA41" s="37" t="e">
        <f>$Z$29*_xll.RtGet($AD$32,$AD$33&amp;$Y41&amp;$AD$34,AA$30)</f>
        <v>#VALUE!</v>
      </c>
      <c r="AF41" s="38" t="e">
        <f t="shared" si="20"/>
        <v>#VALUE!</v>
      </c>
      <c r="AG41" s="104" t="str">
        <f t="shared" si="21"/>
        <v/>
      </c>
      <c r="AH41" s="104" t="str">
        <f t="shared" si="22"/>
        <v/>
      </c>
      <c r="AI41" s="37" t="str">
        <f t="shared" si="23"/>
        <v/>
      </c>
      <c r="AJ41" s="159">
        <f t="shared" si="28"/>
        <v>11</v>
      </c>
      <c r="AK41" s="153" t="str">
        <f t="shared" si="24"/>
        <v/>
      </c>
      <c r="AL41" s="153" t="str">
        <f t="shared" si="29"/>
        <v/>
      </c>
      <c r="AM41" s="153" t="b">
        <f t="shared" si="25"/>
        <v>0</v>
      </c>
      <c r="AN41" s="160" t="str">
        <f t="shared" si="26"/>
        <v/>
      </c>
      <c r="AO41" s="159" t="str">
        <f t="array" ref="AO41:AP41">IF(AM41,INDEX($AH$31:$AI$72,AN41,0),"")</f>
        <v/>
      </c>
      <c r="AP41" s="160" t="str">
        <v/>
      </c>
      <c r="AQ41" s="159">
        <f t="shared" si="27"/>
        <v>11</v>
      </c>
      <c r="AR41" s="167">
        <v>0.68837756097560976</v>
      </c>
    </row>
    <row r="42" spans="1:44" ht="11.25" customHeight="1" x14ac:dyDescent="0.2">
      <c r="A42"/>
      <c r="B42"/>
      <c r="C42"/>
      <c r="D42"/>
      <c r="E42" s="52" t="b">
        <f t="shared" si="15"/>
        <v>0</v>
      </c>
      <c r="F42" s="112" t="str">
        <f t="shared" si="16"/>
        <v/>
      </c>
      <c r="G42" s="34"/>
      <c r="H42" s="34"/>
      <c r="I42" s="50" t="e">
        <f t="shared" si="17"/>
        <v>#VALUE!</v>
      </c>
      <c r="J42" s="48"/>
      <c r="K42" s="49"/>
      <c r="L42" s="48" t="e">
        <f t="shared" si="10"/>
        <v>#VALUE!</v>
      </c>
      <c r="M42" s="38">
        <f t="shared" si="18"/>
        <v>17</v>
      </c>
      <c r="N42" s="37" t="str">
        <f t="shared" si="11"/>
        <v/>
      </c>
      <c r="O42" s="38" t="str">
        <f t="shared" si="19"/>
        <v/>
      </c>
      <c r="P42" s="37" t="str">
        <f t="shared" si="12"/>
        <v/>
      </c>
      <c r="Q42"/>
      <c r="R42" s="47" t="str">
        <f t="shared" si="13"/>
        <v/>
      </c>
      <c r="S42" s="46" t="str">
        <f t="shared" si="14"/>
        <v/>
      </c>
      <c r="U42" s="56" t="e">
        <v>#N/A</v>
      </c>
      <c r="V42" s="55" t="e">
        <v>#N/A</v>
      </c>
      <c r="Y42" s="194"/>
      <c r="Z42" s="38" t="e">
        <f>$Z$29*_xll.RtGet($AD$32,$AD$33&amp;$Y42&amp;$AD$34,Z$30)</f>
        <v>#VALUE!</v>
      </c>
      <c r="AA42" s="37" t="e">
        <f>$Z$29*_xll.RtGet($AD$32,$AD$33&amp;$Y42&amp;$AD$34,AA$30)</f>
        <v>#VALUE!</v>
      </c>
      <c r="AF42" s="38" t="e">
        <f t="shared" si="20"/>
        <v>#VALUE!</v>
      </c>
      <c r="AG42" s="104" t="str">
        <f t="shared" si="21"/>
        <v/>
      </c>
      <c r="AH42" s="104" t="str">
        <f t="shared" si="22"/>
        <v/>
      </c>
      <c r="AI42" s="37" t="str">
        <f t="shared" si="23"/>
        <v/>
      </c>
      <c r="AJ42" s="159">
        <f t="shared" si="28"/>
        <v>12</v>
      </c>
      <c r="AK42" s="153" t="str">
        <f t="shared" si="24"/>
        <v/>
      </c>
      <c r="AL42" s="153" t="str">
        <f t="shared" si="29"/>
        <v/>
      </c>
      <c r="AM42" s="153" t="b">
        <f t="shared" si="25"/>
        <v>0</v>
      </c>
      <c r="AN42" s="160" t="str">
        <f t="shared" si="26"/>
        <v/>
      </c>
      <c r="AO42" s="159" t="str">
        <f t="array" ref="AO42:AP42">IF(AM42,INDEX($AH$31:$AI$72,AN42,0),"")</f>
        <v/>
      </c>
      <c r="AP42" s="160" t="str">
        <v/>
      </c>
      <c r="AQ42" s="159">
        <f t="shared" si="27"/>
        <v>12</v>
      </c>
      <c r="AR42" s="167">
        <v>0.67743268292682923</v>
      </c>
    </row>
    <row r="43" spans="1:44" ht="11.25" customHeight="1" x14ac:dyDescent="0.2">
      <c r="A43"/>
      <c r="B43" s="211" t="s">
        <v>183</v>
      </c>
      <c r="C43" s="212">
        <f>COUNT(V3:V79)</f>
        <v>22</v>
      </c>
      <c r="D43"/>
      <c r="E43" s="52" t="b">
        <f t="shared" si="15"/>
        <v>0</v>
      </c>
      <c r="F43" s="112" t="str">
        <f t="shared" si="16"/>
        <v/>
      </c>
      <c r="G43" s="34"/>
      <c r="H43" s="34"/>
      <c r="I43" s="50" t="e">
        <f t="shared" si="17"/>
        <v>#VALUE!</v>
      </c>
      <c r="J43" s="48"/>
      <c r="K43" s="49"/>
      <c r="L43" s="48" t="e">
        <f t="shared" si="10"/>
        <v>#VALUE!</v>
      </c>
      <c r="M43" s="38">
        <f t="shared" si="18"/>
        <v>18</v>
      </c>
      <c r="N43" s="37" t="str">
        <f t="shared" si="11"/>
        <v/>
      </c>
      <c r="O43" s="38" t="str">
        <f t="shared" si="19"/>
        <v/>
      </c>
      <c r="P43" s="37" t="str">
        <f t="shared" si="12"/>
        <v/>
      </c>
      <c r="Q43"/>
      <c r="R43" s="47" t="str">
        <f t="shared" si="13"/>
        <v/>
      </c>
      <c r="S43" s="46" t="str">
        <f t="shared" si="14"/>
        <v/>
      </c>
      <c r="U43" s="56" t="e">
        <v>#N/A</v>
      </c>
      <c r="V43" s="55" t="e">
        <v>#N/A</v>
      </c>
      <c r="Y43" s="194"/>
      <c r="Z43" s="38" t="e">
        <f>$Z$29*_xll.RtGet($AD$32,$AD$33&amp;$Y43&amp;$AD$34,Z$30)</f>
        <v>#VALUE!</v>
      </c>
      <c r="AA43" s="37" t="e">
        <f>$Z$29*_xll.RtGet($AD$32,$AD$33&amp;$Y43&amp;$AD$34,AA$30)</f>
        <v>#VALUE!</v>
      </c>
      <c r="AF43" s="38" t="e">
        <f t="shared" si="20"/>
        <v>#VALUE!</v>
      </c>
      <c r="AG43" s="104" t="str">
        <f t="shared" si="21"/>
        <v/>
      </c>
      <c r="AH43" s="104" t="str">
        <f t="shared" si="22"/>
        <v/>
      </c>
      <c r="AI43" s="37" t="str">
        <f t="shared" si="23"/>
        <v/>
      </c>
      <c r="AJ43" s="159">
        <f t="shared" si="28"/>
        <v>13</v>
      </c>
      <c r="AK43" s="153" t="str">
        <f t="shared" si="24"/>
        <v/>
      </c>
      <c r="AL43" s="153" t="str">
        <f t="shared" si="29"/>
        <v/>
      </c>
      <c r="AM43" s="153" t="b">
        <f t="shared" si="25"/>
        <v>0</v>
      </c>
      <c r="AN43" s="160" t="str">
        <f t="shared" si="26"/>
        <v/>
      </c>
      <c r="AO43" s="159" t="str">
        <f t="array" ref="AO43:AP43">IF(AM43,INDEX($AH$31:$AI$72,AN43,0),"")</f>
        <v/>
      </c>
      <c r="AP43" s="160" t="str">
        <v/>
      </c>
      <c r="AQ43" s="159">
        <f t="shared" si="27"/>
        <v>13</v>
      </c>
      <c r="AR43" s="167">
        <v>0.66179902439024385</v>
      </c>
    </row>
    <row r="44" spans="1:44" ht="11.25" customHeight="1" x14ac:dyDescent="0.2">
      <c r="A44"/>
      <c r="B44" s="213" t="s">
        <v>91</v>
      </c>
      <c r="C44" s="197" t="s">
        <v>185</v>
      </c>
      <c r="D44"/>
      <c r="E44" s="52" t="b">
        <f t="shared" si="15"/>
        <v>0</v>
      </c>
      <c r="F44" s="112" t="str">
        <f t="shared" si="16"/>
        <v/>
      </c>
      <c r="G44" s="34"/>
      <c r="H44" s="34"/>
      <c r="I44" s="50" t="e">
        <f t="shared" si="17"/>
        <v>#VALUE!</v>
      </c>
      <c r="J44" s="48"/>
      <c r="K44" s="49"/>
      <c r="L44" s="48" t="e">
        <f t="shared" si="10"/>
        <v>#VALUE!</v>
      </c>
      <c r="M44" s="38">
        <f t="shared" si="18"/>
        <v>19</v>
      </c>
      <c r="N44" s="37" t="str">
        <f t="shared" si="11"/>
        <v/>
      </c>
      <c r="O44" s="38" t="str">
        <f t="shared" si="19"/>
        <v/>
      </c>
      <c r="P44" s="37" t="str">
        <f t="shared" si="12"/>
        <v/>
      </c>
      <c r="Q44"/>
      <c r="R44" s="47" t="str">
        <f t="shared" si="13"/>
        <v/>
      </c>
      <c r="S44" s="46" t="str">
        <f t="shared" si="14"/>
        <v/>
      </c>
      <c r="U44" s="56" t="e">
        <v>#N/A</v>
      </c>
      <c r="V44" s="55" t="e">
        <v>#N/A</v>
      </c>
      <c r="Y44" s="194"/>
      <c r="Z44" s="38" t="e">
        <f>$Z$29*_xll.RtGet($AD$32,$AD$33&amp;$Y44&amp;$AD$34,Z$30)</f>
        <v>#VALUE!</v>
      </c>
      <c r="AA44" s="37" t="e">
        <f>$Z$29*_xll.RtGet($AD$32,$AD$33&amp;$Y44&amp;$AD$34,AA$30)</f>
        <v>#VALUE!</v>
      </c>
      <c r="AF44" s="38" t="e">
        <f t="shared" si="20"/>
        <v>#VALUE!</v>
      </c>
      <c r="AG44" s="104" t="str">
        <f t="shared" si="21"/>
        <v/>
      </c>
      <c r="AH44" s="104" t="str">
        <f t="shared" si="22"/>
        <v/>
      </c>
      <c r="AI44" s="37" t="str">
        <f t="shared" si="23"/>
        <v/>
      </c>
      <c r="AJ44" s="159">
        <f t="shared" si="28"/>
        <v>14</v>
      </c>
      <c r="AK44" s="153" t="str">
        <f t="shared" si="24"/>
        <v/>
      </c>
      <c r="AL44" s="153" t="str">
        <f t="shared" si="29"/>
        <v/>
      </c>
      <c r="AM44" s="153" t="b">
        <f t="shared" si="25"/>
        <v>0</v>
      </c>
      <c r="AN44" s="160" t="str">
        <f t="shared" si="26"/>
        <v/>
      </c>
      <c r="AO44" s="159" t="str">
        <f t="array" ref="AO44:AP44">IF(AM44,INDEX($AH$31:$AI$72,AN44,0),"")</f>
        <v/>
      </c>
      <c r="AP44" s="160" t="str">
        <v/>
      </c>
      <c r="AQ44" s="159">
        <f t="shared" si="27"/>
        <v>14</v>
      </c>
      <c r="AR44" s="167">
        <v>0.64361024390243904</v>
      </c>
    </row>
    <row r="45" spans="1:44" ht="11.25" customHeight="1" x14ac:dyDescent="0.2">
      <c r="A45"/>
      <c r="B45" s="213" t="s">
        <v>174</v>
      </c>
      <c r="C45" s="197" t="s">
        <v>178</v>
      </c>
      <c r="D45"/>
      <c r="E45" s="52" t="b">
        <f t="shared" si="15"/>
        <v>0</v>
      </c>
      <c r="F45" s="112" t="str">
        <f t="shared" si="16"/>
        <v/>
      </c>
      <c r="G45" s="34"/>
      <c r="H45" s="34"/>
      <c r="I45" s="50" t="e">
        <f t="shared" si="17"/>
        <v>#VALUE!</v>
      </c>
      <c r="J45" s="48"/>
      <c r="K45" s="49"/>
      <c r="L45" s="48" t="e">
        <f t="shared" si="10"/>
        <v>#VALUE!</v>
      </c>
      <c r="M45" s="38">
        <f t="shared" si="18"/>
        <v>20</v>
      </c>
      <c r="N45" s="37" t="str">
        <f t="shared" si="11"/>
        <v/>
      </c>
      <c r="O45" s="38" t="str">
        <f t="shared" si="19"/>
        <v/>
      </c>
      <c r="P45" s="37" t="str">
        <f t="shared" si="12"/>
        <v/>
      </c>
      <c r="Q45"/>
      <c r="R45" s="47" t="str">
        <f t="shared" si="13"/>
        <v/>
      </c>
      <c r="S45" s="46" t="str">
        <f t="shared" si="14"/>
        <v/>
      </c>
      <c r="U45" s="56" t="e">
        <v>#N/A</v>
      </c>
      <c r="V45" s="55" t="e">
        <v>#N/A</v>
      </c>
      <c r="Y45" s="194"/>
      <c r="Z45" s="38" t="e">
        <f>$Z$29*_xll.RtGet($AD$32,$AD$33&amp;$Y45&amp;$AD$34,Z$30)</f>
        <v>#VALUE!</v>
      </c>
      <c r="AA45" s="37" t="e">
        <f>$Z$29*_xll.RtGet($AD$32,$AD$33&amp;$Y45&amp;$AD$34,AA$30)</f>
        <v>#VALUE!</v>
      </c>
      <c r="AF45" s="38" t="e">
        <f t="shared" si="20"/>
        <v>#VALUE!</v>
      </c>
      <c r="AG45" s="104" t="str">
        <f t="shared" si="21"/>
        <v/>
      </c>
      <c r="AH45" s="104" t="str">
        <f t="shared" si="22"/>
        <v/>
      </c>
      <c r="AI45" s="37" t="str">
        <f t="shared" si="23"/>
        <v/>
      </c>
      <c r="AJ45" s="159">
        <f t="shared" si="28"/>
        <v>15</v>
      </c>
      <c r="AK45" s="153" t="str">
        <f t="shared" si="24"/>
        <v/>
      </c>
      <c r="AL45" s="153" t="str">
        <f t="shared" si="29"/>
        <v/>
      </c>
      <c r="AM45" s="153" t="b">
        <f t="shared" si="25"/>
        <v>0</v>
      </c>
      <c r="AN45" s="160" t="str">
        <f t="shared" si="26"/>
        <v/>
      </c>
      <c r="AO45" s="159" t="str">
        <f t="array" ref="AO45:AP45">IF(AM45,INDEX($AH$31:$AI$72,AN45,0),"")</f>
        <v/>
      </c>
      <c r="AP45" s="160" t="str">
        <v/>
      </c>
      <c r="AQ45" s="159">
        <f t="shared" si="27"/>
        <v>15</v>
      </c>
      <c r="AR45" s="167">
        <v>0.625</v>
      </c>
    </row>
    <row r="46" spans="1:44" ht="11.25" customHeight="1" x14ac:dyDescent="0.2">
      <c r="A46"/>
      <c r="B46" s="213" t="s">
        <v>175</v>
      </c>
      <c r="C46" s="197" t="s">
        <v>179</v>
      </c>
      <c r="D46"/>
      <c r="E46" s="52" t="b">
        <f t="shared" si="15"/>
        <v>0</v>
      </c>
      <c r="F46" s="112" t="str">
        <f t="shared" si="16"/>
        <v/>
      </c>
      <c r="G46" s="34"/>
      <c r="H46" s="34"/>
      <c r="I46" s="50" t="e">
        <f t="shared" si="17"/>
        <v>#VALUE!</v>
      </c>
      <c r="J46" s="48"/>
      <c r="K46" s="49"/>
      <c r="L46" s="48" t="e">
        <f t="shared" si="10"/>
        <v>#VALUE!</v>
      </c>
      <c r="M46" s="38">
        <f t="shared" si="18"/>
        <v>21</v>
      </c>
      <c r="N46" s="37" t="str">
        <f t="shared" si="11"/>
        <v/>
      </c>
      <c r="O46" s="38" t="str">
        <f t="shared" si="19"/>
        <v/>
      </c>
      <c r="P46" s="37" t="str">
        <f t="shared" si="12"/>
        <v/>
      </c>
      <c r="Q46"/>
      <c r="R46" s="47" t="str">
        <f t="shared" si="13"/>
        <v/>
      </c>
      <c r="S46" s="46" t="str">
        <f t="shared" si="14"/>
        <v/>
      </c>
      <c r="U46" s="56" t="e">
        <v>#N/A</v>
      </c>
      <c r="V46" s="55" t="e">
        <v>#N/A</v>
      </c>
      <c r="Y46" s="194"/>
      <c r="Z46" s="38" t="e">
        <f>$Z$29*_xll.RtGet($AD$32,$AD$33&amp;$Y46&amp;$AD$34,Z$30)</f>
        <v>#VALUE!</v>
      </c>
      <c r="AA46" s="37" t="e">
        <f>$Z$29*_xll.RtGet($AD$32,$AD$33&amp;$Y46&amp;$AD$34,AA$30)</f>
        <v>#VALUE!</v>
      </c>
      <c r="AF46" s="38" t="e">
        <f t="shared" si="20"/>
        <v>#VALUE!</v>
      </c>
      <c r="AG46" s="104" t="str">
        <f t="shared" si="21"/>
        <v/>
      </c>
      <c r="AH46" s="104" t="str">
        <f t="shared" si="22"/>
        <v/>
      </c>
      <c r="AI46" s="37" t="str">
        <f t="shared" si="23"/>
        <v/>
      </c>
      <c r="AJ46" s="159">
        <f t="shared" si="28"/>
        <v>16</v>
      </c>
      <c r="AK46" s="153" t="str">
        <f t="shared" si="24"/>
        <v/>
      </c>
      <c r="AL46" s="153" t="str">
        <f t="shared" si="29"/>
        <v/>
      </c>
      <c r="AM46" s="153" t="b">
        <f t="shared" si="25"/>
        <v>0</v>
      </c>
      <c r="AN46" s="160" t="str">
        <f t="shared" si="26"/>
        <v/>
      </c>
      <c r="AO46" s="159" t="str">
        <f t="array" ref="AO46:AP46">IF(AM46,INDEX($AH$31:$AI$72,AN46,0),"")</f>
        <v/>
      </c>
      <c r="AP46" s="160" t="str">
        <v/>
      </c>
      <c r="AQ46" s="159">
        <f t="shared" si="27"/>
        <v>16</v>
      </c>
      <c r="AR46" s="167">
        <v>0.59910975609756101</v>
      </c>
    </row>
    <row r="47" spans="1:44" ht="11.25" customHeight="1" x14ac:dyDescent="0.2">
      <c r="A47"/>
      <c r="B47" s="213" t="s">
        <v>176</v>
      </c>
      <c r="C47" s="197" t="s">
        <v>180</v>
      </c>
      <c r="D47"/>
      <c r="E47" s="52" t="b">
        <f t="shared" si="15"/>
        <v>0</v>
      </c>
      <c r="F47" s="112" t="str">
        <f t="shared" si="16"/>
        <v/>
      </c>
      <c r="G47" s="34"/>
      <c r="H47" s="34"/>
      <c r="I47" s="50" t="e">
        <f t="shared" si="17"/>
        <v>#VALUE!</v>
      </c>
      <c r="J47" s="48"/>
      <c r="K47" s="49"/>
      <c r="L47" s="48" t="e">
        <f t="shared" si="10"/>
        <v>#VALUE!</v>
      </c>
      <c r="M47" s="38">
        <f t="shared" si="18"/>
        <v>22</v>
      </c>
      <c r="N47" s="37" t="str">
        <f t="shared" si="11"/>
        <v/>
      </c>
      <c r="O47" s="38" t="str">
        <f t="shared" si="19"/>
        <v/>
      </c>
      <c r="P47" s="37" t="str">
        <f t="shared" si="12"/>
        <v/>
      </c>
      <c r="Q47" s="34"/>
      <c r="R47" s="47" t="str">
        <f t="shared" si="13"/>
        <v/>
      </c>
      <c r="S47" s="46" t="str">
        <f t="shared" si="14"/>
        <v/>
      </c>
      <c r="U47" s="56" t="e">
        <v>#N/A</v>
      </c>
      <c r="V47" s="55" t="e">
        <v>#N/A</v>
      </c>
      <c r="Y47" s="194"/>
      <c r="Z47" s="38" t="e">
        <f>$Z$29*_xll.RtGet($AD$32,$AD$33&amp;$Y47&amp;$AD$34,Z$30)</f>
        <v>#VALUE!</v>
      </c>
      <c r="AA47" s="37" t="e">
        <f>$Z$29*_xll.RtGet($AD$32,$AD$33&amp;$Y47&amp;$AD$34,AA$30)</f>
        <v>#VALUE!</v>
      </c>
      <c r="AF47" s="38" t="e">
        <f t="shared" si="20"/>
        <v>#VALUE!</v>
      </c>
      <c r="AG47" s="104" t="str">
        <f t="shared" si="21"/>
        <v/>
      </c>
      <c r="AH47" s="104" t="str">
        <f t="shared" si="22"/>
        <v/>
      </c>
      <c r="AI47" s="37" t="str">
        <f t="shared" si="23"/>
        <v/>
      </c>
      <c r="AJ47" s="159">
        <f t="shared" si="28"/>
        <v>17</v>
      </c>
      <c r="AK47" s="153" t="str">
        <f t="shared" si="24"/>
        <v/>
      </c>
      <c r="AL47" s="153" t="str">
        <f t="shared" si="29"/>
        <v/>
      </c>
      <c r="AM47" s="153" t="b">
        <f t="shared" si="25"/>
        <v>0</v>
      </c>
      <c r="AN47" s="160" t="str">
        <f t="shared" si="26"/>
        <v/>
      </c>
      <c r="AO47" s="159" t="str">
        <f t="array" ref="AO47:AP47">IF(AM47,INDEX($AH$31:$AI$72,AN47,0),"")</f>
        <v/>
      </c>
      <c r="AP47" s="160" t="str">
        <v/>
      </c>
      <c r="AQ47" s="159">
        <f t="shared" si="27"/>
        <v>17</v>
      </c>
      <c r="AR47" s="167">
        <v>0.56356097560975604</v>
      </c>
    </row>
    <row r="48" spans="1:44" ht="11.25" customHeight="1" x14ac:dyDescent="0.2">
      <c r="A48"/>
      <c r="B48" s="213" t="s">
        <v>177</v>
      </c>
      <c r="C48" s="197" t="s">
        <v>181</v>
      </c>
      <c r="D48"/>
      <c r="E48" s="52" t="b">
        <f t="shared" si="15"/>
        <v>0</v>
      </c>
      <c r="F48" s="112" t="str">
        <f t="shared" si="16"/>
        <v/>
      </c>
      <c r="G48" s="34"/>
      <c r="H48" s="34"/>
      <c r="I48" s="50" t="e">
        <f t="shared" si="17"/>
        <v>#VALUE!</v>
      </c>
      <c r="J48" s="48"/>
      <c r="K48" s="49"/>
      <c r="L48" s="48" t="e">
        <f t="shared" si="10"/>
        <v>#VALUE!</v>
      </c>
      <c r="M48" s="38">
        <f t="shared" si="18"/>
        <v>23</v>
      </c>
      <c r="N48" s="37" t="str">
        <f t="shared" si="11"/>
        <v/>
      </c>
      <c r="O48" s="38" t="str">
        <f t="shared" si="19"/>
        <v/>
      </c>
      <c r="P48" s="37" t="str">
        <f t="shared" si="12"/>
        <v/>
      </c>
      <c r="Q48" s="34"/>
      <c r="R48" s="47" t="str">
        <f t="shared" si="13"/>
        <v/>
      </c>
      <c r="S48" s="46" t="str">
        <f t="shared" si="14"/>
        <v/>
      </c>
      <c r="U48" s="56" t="e">
        <v>#N/A</v>
      </c>
      <c r="V48" s="55" t="e">
        <v>#N/A</v>
      </c>
      <c r="Y48" s="194"/>
      <c r="Z48" s="38" t="e">
        <f>$Z$29*_xll.RtGet($AD$32,$AD$33&amp;$Y48&amp;$AD$34,Z$30)</f>
        <v>#VALUE!</v>
      </c>
      <c r="AA48" s="37" t="e">
        <f>$Z$29*_xll.RtGet($AD$32,$AD$33&amp;$Y48&amp;$AD$34,AA$30)</f>
        <v>#VALUE!</v>
      </c>
      <c r="AF48" s="38" t="e">
        <f t="shared" si="20"/>
        <v>#VALUE!</v>
      </c>
      <c r="AG48" s="104" t="str">
        <f t="shared" si="21"/>
        <v/>
      </c>
      <c r="AH48" s="104" t="str">
        <f t="shared" si="22"/>
        <v/>
      </c>
      <c r="AI48" s="37" t="str">
        <f t="shared" si="23"/>
        <v/>
      </c>
      <c r="AJ48" s="159">
        <f t="shared" si="28"/>
        <v>18</v>
      </c>
      <c r="AK48" s="153" t="str">
        <f t="shared" si="24"/>
        <v/>
      </c>
      <c r="AL48" s="153" t="str">
        <f t="shared" si="29"/>
        <v/>
      </c>
      <c r="AM48" s="153" t="b">
        <f t="shared" si="25"/>
        <v>0</v>
      </c>
      <c r="AN48" s="160" t="str">
        <f t="shared" si="26"/>
        <v/>
      </c>
      <c r="AO48" s="159" t="str">
        <f t="array" ref="AO48:AP48">IF(AM48,INDEX($AH$31:$AI$72,AN48,0),"")</f>
        <v/>
      </c>
      <c r="AP48" s="160" t="str">
        <v/>
      </c>
      <c r="AQ48" s="159">
        <f t="shared" si="27"/>
        <v>18</v>
      </c>
      <c r="AR48" s="167">
        <v>0.5272073170731707</v>
      </c>
    </row>
    <row r="49" spans="1:44" ht="11.25" customHeight="1" x14ac:dyDescent="0.2">
      <c r="A49"/>
      <c r="B49" s="216" t="s">
        <v>182</v>
      </c>
      <c r="C49" s="217" t="str">
        <f>_xll.qlInterpolatedYieldCurve(C44,U3:INDEX(U3:U79,C43),V3:INDEX(V3:V79,C43),C45,C46,,,C47,C48)</f>
        <v>AUDEURBASSTD#0018</v>
      </c>
      <c r="D49"/>
      <c r="E49" s="52" t="b">
        <f t="shared" si="15"/>
        <v>0</v>
      </c>
      <c r="F49" s="112" t="str">
        <f t="shared" si="16"/>
        <v/>
      </c>
      <c r="G49" s="34"/>
      <c r="H49" s="34"/>
      <c r="I49" s="50" t="e">
        <f t="shared" si="17"/>
        <v>#VALUE!</v>
      </c>
      <c r="J49" s="48"/>
      <c r="K49" s="49"/>
      <c r="L49" s="48" t="e">
        <f t="shared" si="10"/>
        <v>#VALUE!</v>
      </c>
      <c r="M49" s="38">
        <f t="shared" si="18"/>
        <v>24</v>
      </c>
      <c r="N49" s="37" t="str">
        <f t="shared" si="11"/>
        <v/>
      </c>
      <c r="O49" s="38" t="str">
        <f t="shared" si="19"/>
        <v/>
      </c>
      <c r="P49" s="37" t="str">
        <f t="shared" si="12"/>
        <v/>
      </c>
      <c r="Q49" s="34"/>
      <c r="R49" s="47" t="str">
        <f t="shared" si="13"/>
        <v/>
      </c>
      <c r="S49" s="46" t="str">
        <f t="shared" si="14"/>
        <v/>
      </c>
      <c r="U49" s="56" t="e">
        <v>#N/A</v>
      </c>
      <c r="V49" s="55" t="e">
        <v>#N/A</v>
      </c>
      <c r="Y49" s="194"/>
      <c r="Z49" s="38" t="e">
        <f>$Z$29*_xll.RtGet($AD$32,$AD$33&amp;$Y49&amp;$AD$34,Z$30)</f>
        <v>#VALUE!</v>
      </c>
      <c r="AA49" s="37" t="e">
        <f>$Z$29*_xll.RtGet($AD$32,$AD$33&amp;$Y49&amp;$AD$34,AA$30)</f>
        <v>#VALUE!</v>
      </c>
      <c r="AF49" s="38" t="e">
        <f t="shared" si="20"/>
        <v>#VALUE!</v>
      </c>
      <c r="AG49" s="104" t="str">
        <f t="shared" si="21"/>
        <v/>
      </c>
      <c r="AH49" s="104" t="str">
        <f t="shared" si="22"/>
        <v/>
      </c>
      <c r="AI49" s="37" t="str">
        <f t="shared" si="23"/>
        <v/>
      </c>
      <c r="AJ49" s="159">
        <f t="shared" si="28"/>
        <v>19</v>
      </c>
      <c r="AK49" s="153" t="str">
        <f t="shared" si="24"/>
        <v/>
      </c>
      <c r="AL49" s="153" t="str">
        <f t="shared" si="29"/>
        <v/>
      </c>
      <c r="AM49" s="153" t="b">
        <f t="shared" si="25"/>
        <v>0</v>
      </c>
      <c r="AN49" s="160" t="str">
        <f t="shared" si="26"/>
        <v/>
      </c>
      <c r="AO49" s="159" t="str">
        <f t="array" ref="AO49:AP49">IF(AM49,INDEX($AH$31:$AI$72,AN49,0),"")</f>
        <v/>
      </c>
      <c r="AP49" s="160" t="str">
        <v/>
      </c>
      <c r="AQ49" s="159">
        <f t="shared" si="27"/>
        <v>19</v>
      </c>
      <c r="AR49" s="167">
        <v>0.49890243902439019</v>
      </c>
    </row>
    <row r="50" spans="1:44" ht="11.25" customHeight="1" x14ac:dyDescent="0.2">
      <c r="A50"/>
      <c r="B50"/>
      <c r="C50"/>
      <c r="D50"/>
      <c r="E50" s="52" t="b">
        <f t="shared" si="15"/>
        <v>0</v>
      </c>
      <c r="F50" s="112" t="str">
        <f t="shared" si="16"/>
        <v/>
      </c>
      <c r="G50" s="34"/>
      <c r="H50" s="34"/>
      <c r="I50" s="50" t="e">
        <f t="shared" si="17"/>
        <v>#VALUE!</v>
      </c>
      <c r="J50" s="48"/>
      <c r="K50" s="49"/>
      <c r="L50" s="48" t="e">
        <f t="shared" si="10"/>
        <v>#VALUE!</v>
      </c>
      <c r="M50" s="38">
        <f t="shared" si="18"/>
        <v>25</v>
      </c>
      <c r="N50" s="37" t="str">
        <f t="shared" si="11"/>
        <v/>
      </c>
      <c r="O50" s="38" t="str">
        <f t="shared" si="19"/>
        <v/>
      </c>
      <c r="P50" s="37" t="str">
        <f t="shared" si="12"/>
        <v/>
      </c>
      <c r="Q50" s="34"/>
      <c r="R50" s="47" t="str">
        <f t="shared" si="13"/>
        <v/>
      </c>
      <c r="S50" s="46" t="str">
        <f t="shared" si="14"/>
        <v/>
      </c>
      <c r="U50" s="56" t="e">
        <v>#N/A</v>
      </c>
      <c r="V50" s="55" t="e">
        <v>#N/A</v>
      </c>
      <c r="Y50" s="194"/>
      <c r="Z50" s="38" t="e">
        <f>$Z$29*_xll.RtGet($AD$32,$AD$33&amp;$Y50&amp;$AD$34,Z$30)</f>
        <v>#VALUE!</v>
      </c>
      <c r="AA50" s="37" t="e">
        <f>$Z$29*_xll.RtGet($AD$32,$AD$33&amp;$Y50&amp;$AD$34,AA$30)</f>
        <v>#VALUE!</v>
      </c>
      <c r="AF50" s="38" t="e">
        <f t="shared" si="20"/>
        <v>#VALUE!</v>
      </c>
      <c r="AG50" s="104" t="str">
        <f t="shared" si="21"/>
        <v/>
      </c>
      <c r="AH50" s="104" t="str">
        <f t="shared" si="22"/>
        <v/>
      </c>
      <c r="AI50" s="37" t="str">
        <f t="shared" si="23"/>
        <v/>
      </c>
      <c r="AJ50" s="159">
        <f t="shared" si="28"/>
        <v>20</v>
      </c>
      <c r="AK50" s="153" t="str">
        <f t="shared" si="24"/>
        <v/>
      </c>
      <c r="AL50" s="153" t="str">
        <f t="shared" si="29"/>
        <v/>
      </c>
      <c r="AM50" s="153" t="b">
        <f t="shared" si="25"/>
        <v>0</v>
      </c>
      <c r="AN50" s="160" t="str">
        <f t="shared" si="26"/>
        <v/>
      </c>
      <c r="AO50" s="159" t="str">
        <f t="array" ref="AO50:AP50">IF(AM50,INDEX($AH$31:$AI$72,AN50,0),"")</f>
        <v/>
      </c>
      <c r="AP50" s="160" t="str">
        <v/>
      </c>
      <c r="AQ50" s="159">
        <f t="shared" si="27"/>
        <v>20</v>
      </c>
      <c r="AR50" s="167">
        <v>0.48749999999999999</v>
      </c>
    </row>
    <row r="51" spans="1:44" ht="11.25" customHeight="1" x14ac:dyDescent="0.2">
      <c r="A51"/>
      <c r="B51"/>
      <c r="C51"/>
      <c r="D51"/>
      <c r="E51" s="52" t="b">
        <f t="shared" si="15"/>
        <v>0</v>
      </c>
      <c r="F51" s="112" t="str">
        <f t="shared" si="16"/>
        <v/>
      </c>
      <c r="G51" s="34"/>
      <c r="H51" s="34"/>
      <c r="I51" s="50" t="e">
        <f t="shared" si="17"/>
        <v>#VALUE!</v>
      </c>
      <c r="J51" s="48"/>
      <c r="K51" s="49"/>
      <c r="L51" s="48" t="e">
        <f t="shared" si="10"/>
        <v>#VALUE!</v>
      </c>
      <c r="M51" s="38">
        <f t="shared" si="18"/>
        <v>26</v>
      </c>
      <c r="N51" s="37" t="str">
        <f t="shared" si="11"/>
        <v/>
      </c>
      <c r="O51" s="38" t="str">
        <f t="shared" si="19"/>
        <v/>
      </c>
      <c r="P51" s="37" t="str">
        <f t="shared" si="12"/>
        <v/>
      </c>
      <c r="Q51" s="34"/>
      <c r="R51" s="47" t="str">
        <f t="shared" si="13"/>
        <v/>
      </c>
      <c r="S51" s="46" t="str">
        <f t="shared" si="14"/>
        <v/>
      </c>
      <c r="U51" s="56" t="e">
        <v>#N/A</v>
      </c>
      <c r="V51" s="55" t="e">
        <v>#N/A</v>
      </c>
      <c r="Y51" s="194"/>
      <c r="Z51" s="38" t="e">
        <f>$Z$29*_xll.RtGet($AD$32,$AD$33&amp;$Y51&amp;$AD$34,Z$30)</f>
        <v>#VALUE!</v>
      </c>
      <c r="AA51" s="37" t="e">
        <f>$Z$29*_xll.RtGet($AD$32,$AD$33&amp;$Y51&amp;$AD$34,AA$30)</f>
        <v>#VALUE!</v>
      </c>
      <c r="AF51" s="38" t="e">
        <f t="shared" si="20"/>
        <v>#VALUE!</v>
      </c>
      <c r="AG51" s="104" t="str">
        <f t="shared" si="21"/>
        <v/>
      </c>
      <c r="AH51" s="104" t="str">
        <f t="shared" si="22"/>
        <v/>
      </c>
      <c r="AI51" s="37" t="str">
        <f t="shared" si="23"/>
        <v/>
      </c>
      <c r="AJ51" s="159">
        <f t="shared" si="28"/>
        <v>21</v>
      </c>
      <c r="AK51" s="153" t="str">
        <f t="shared" si="24"/>
        <v/>
      </c>
      <c r="AL51" s="153" t="str">
        <f t="shared" si="29"/>
        <v/>
      </c>
      <c r="AM51" s="153" t="b">
        <f t="shared" si="25"/>
        <v>0</v>
      </c>
      <c r="AN51" s="160" t="str">
        <f t="shared" si="26"/>
        <v/>
      </c>
      <c r="AO51" s="159" t="str">
        <f t="array" ref="AO51:AP51">IF(AM51,INDEX($AH$31:$AI$72,AN51,0),"")</f>
        <v/>
      </c>
      <c r="AP51" s="160" t="str">
        <v/>
      </c>
      <c r="AQ51" s="159">
        <f t="shared" si="27"/>
        <v>21</v>
      </c>
      <c r="AR51" s="167">
        <v>0.48749999999999999</v>
      </c>
    </row>
    <row r="52" spans="1:44" ht="11.25" customHeight="1" x14ac:dyDescent="0.2">
      <c r="A52"/>
      <c r="B52"/>
      <c r="C52"/>
      <c r="D52"/>
      <c r="E52" s="52" t="b">
        <f t="shared" si="15"/>
        <v>0</v>
      </c>
      <c r="F52" s="112" t="str">
        <f t="shared" si="16"/>
        <v/>
      </c>
      <c r="G52" s="34"/>
      <c r="H52" s="34"/>
      <c r="I52" s="50" t="e">
        <f t="shared" si="17"/>
        <v>#VALUE!</v>
      </c>
      <c r="J52" s="48"/>
      <c r="K52" s="49"/>
      <c r="L52" s="48" t="e">
        <f t="shared" si="10"/>
        <v>#VALUE!</v>
      </c>
      <c r="M52" s="38">
        <f t="shared" si="18"/>
        <v>27</v>
      </c>
      <c r="N52" s="37" t="str">
        <f t="shared" si="11"/>
        <v/>
      </c>
      <c r="O52" s="38" t="str">
        <f t="shared" si="19"/>
        <v/>
      </c>
      <c r="P52" s="37" t="str">
        <f t="shared" si="12"/>
        <v/>
      </c>
      <c r="Q52" s="34"/>
      <c r="R52" s="47" t="str">
        <f t="shared" si="13"/>
        <v/>
      </c>
      <c r="S52" s="46" t="str">
        <f t="shared" si="14"/>
        <v/>
      </c>
      <c r="U52" s="56" t="e">
        <v>#N/A</v>
      </c>
      <c r="V52" s="55" t="e">
        <v>#N/A</v>
      </c>
      <c r="Y52" s="194"/>
      <c r="Z52" s="38" t="e">
        <f>$Z$29*_xll.RtGet($AD$32,$AD$33&amp;$Y52&amp;$AD$34,Z$30)</f>
        <v>#VALUE!</v>
      </c>
      <c r="AA52" s="37" t="e">
        <f>$Z$29*_xll.RtGet($AD$32,$AD$33&amp;$Y52&amp;$AD$34,AA$30)</f>
        <v>#VALUE!</v>
      </c>
      <c r="AF52" s="38" t="e">
        <f t="shared" si="20"/>
        <v>#VALUE!</v>
      </c>
      <c r="AG52" s="104" t="str">
        <f t="shared" si="21"/>
        <v/>
      </c>
      <c r="AH52" s="104" t="str">
        <f t="shared" si="22"/>
        <v/>
      </c>
      <c r="AI52" s="37" t="str">
        <f t="shared" si="23"/>
        <v/>
      </c>
      <c r="AJ52" s="159">
        <f t="shared" si="28"/>
        <v>22</v>
      </c>
      <c r="AK52" s="153" t="str">
        <f t="shared" si="24"/>
        <v/>
      </c>
      <c r="AL52" s="153" t="str">
        <f t="shared" si="29"/>
        <v/>
      </c>
      <c r="AM52" s="153" t="b">
        <f t="shared" si="25"/>
        <v>0</v>
      </c>
      <c r="AN52" s="160" t="str">
        <f t="shared" si="26"/>
        <v/>
      </c>
      <c r="AO52" s="159" t="str">
        <f t="array" ref="AO52:AP52">IF(AM52,INDEX($AH$31:$AI$72,AN52,0),"")</f>
        <v/>
      </c>
      <c r="AP52" s="160" t="str">
        <v/>
      </c>
      <c r="AQ52" s="159">
        <f t="shared" si="27"/>
        <v>22</v>
      </c>
      <c r="AR52" s="167">
        <v>0.48749999999999999</v>
      </c>
    </row>
    <row r="53" spans="1:44" ht="11.25" customHeight="1" x14ac:dyDescent="0.2">
      <c r="A53"/>
      <c r="B53"/>
      <c r="C53"/>
      <c r="D53"/>
      <c r="E53" s="52" t="b">
        <f t="shared" si="15"/>
        <v>0</v>
      </c>
      <c r="F53" s="112" t="str">
        <f t="shared" si="16"/>
        <v/>
      </c>
      <c r="G53" s="34"/>
      <c r="H53" s="34"/>
      <c r="I53" s="50" t="e">
        <f t="shared" si="17"/>
        <v>#VALUE!</v>
      </c>
      <c r="J53" s="48"/>
      <c r="K53" s="49"/>
      <c r="L53" s="48" t="e">
        <f t="shared" si="10"/>
        <v>#VALUE!</v>
      </c>
      <c r="M53" s="38">
        <f t="shared" si="18"/>
        <v>28</v>
      </c>
      <c r="N53" s="37" t="str">
        <f t="shared" si="11"/>
        <v/>
      </c>
      <c r="O53" s="38" t="str">
        <f t="shared" si="19"/>
        <v/>
      </c>
      <c r="P53" s="37" t="str">
        <f t="shared" si="12"/>
        <v/>
      </c>
      <c r="Q53" s="34"/>
      <c r="R53" s="47" t="str">
        <f t="shared" si="13"/>
        <v/>
      </c>
      <c r="S53" s="46" t="str">
        <f t="shared" si="14"/>
        <v/>
      </c>
      <c r="U53" s="56" t="e">
        <v>#N/A</v>
      </c>
      <c r="V53" s="55" t="e">
        <v>#N/A</v>
      </c>
      <c r="Y53" s="194"/>
      <c r="Z53" s="38" t="e">
        <f>$Z$29*_xll.RtGet($AD$32,$AD$33&amp;$Y53&amp;$AD$34,Z$30)</f>
        <v>#VALUE!</v>
      </c>
      <c r="AA53" s="37" t="e">
        <f>$Z$29*_xll.RtGet($AD$32,$AD$33&amp;$Y53&amp;$AD$34,AA$30)</f>
        <v>#VALUE!</v>
      </c>
      <c r="AF53" s="38" t="e">
        <f t="shared" si="20"/>
        <v>#VALUE!</v>
      </c>
      <c r="AG53" s="104" t="str">
        <f t="shared" si="21"/>
        <v/>
      </c>
      <c r="AH53" s="104" t="str">
        <f t="shared" si="22"/>
        <v/>
      </c>
      <c r="AI53" s="37" t="str">
        <f t="shared" si="23"/>
        <v/>
      </c>
      <c r="AJ53" s="159">
        <f t="shared" si="28"/>
        <v>23</v>
      </c>
      <c r="AK53" s="153" t="str">
        <f t="shared" si="24"/>
        <v/>
      </c>
      <c r="AL53" s="153" t="str">
        <f t="shared" si="29"/>
        <v/>
      </c>
      <c r="AM53" s="153" t="b">
        <f t="shared" si="25"/>
        <v>0</v>
      </c>
      <c r="AN53" s="160" t="str">
        <f t="shared" si="26"/>
        <v/>
      </c>
      <c r="AO53" s="159" t="str">
        <f t="array" ref="AO53:AP53">IF(AM53,INDEX($AH$31:$AI$72,AN53,0),"")</f>
        <v/>
      </c>
      <c r="AP53" s="160" t="str">
        <v/>
      </c>
      <c r="AQ53" s="159">
        <f t="shared" si="27"/>
        <v>23</v>
      </c>
      <c r="AR53" s="167">
        <v>0.48749999999999999</v>
      </c>
    </row>
    <row r="54" spans="1:44" ht="11.25" customHeight="1" x14ac:dyDescent="0.2">
      <c r="A54"/>
      <c r="B54"/>
      <c r="C54"/>
      <c r="D54"/>
      <c r="E54" s="52" t="b">
        <f t="shared" si="15"/>
        <v>0</v>
      </c>
      <c r="F54" s="112" t="str">
        <f t="shared" si="16"/>
        <v/>
      </c>
      <c r="G54" s="34"/>
      <c r="H54" s="34"/>
      <c r="I54" s="50" t="e">
        <f t="shared" si="17"/>
        <v>#VALUE!</v>
      </c>
      <c r="J54" s="48"/>
      <c r="K54" s="49"/>
      <c r="L54" s="48" t="e">
        <f t="shared" si="10"/>
        <v>#VALUE!</v>
      </c>
      <c r="M54" s="38">
        <f t="shared" si="18"/>
        <v>29</v>
      </c>
      <c r="N54" s="37" t="str">
        <f t="shared" si="11"/>
        <v/>
      </c>
      <c r="O54" s="38" t="str">
        <f t="shared" si="19"/>
        <v/>
      </c>
      <c r="P54" s="37" t="str">
        <f t="shared" si="12"/>
        <v/>
      </c>
      <c r="Q54" s="34"/>
      <c r="R54" s="47" t="str">
        <f t="shared" si="13"/>
        <v/>
      </c>
      <c r="S54" s="46" t="str">
        <f t="shared" si="14"/>
        <v/>
      </c>
      <c r="U54" s="56" t="e">
        <v>#N/A</v>
      </c>
      <c r="V54" s="55" t="e">
        <v>#N/A</v>
      </c>
      <c r="Y54" s="194"/>
      <c r="Z54" s="38" t="e">
        <f>$Z$29*_xll.RtGet($AD$32,$AD$33&amp;$Y54&amp;$AD$34,Z$30)</f>
        <v>#VALUE!</v>
      </c>
      <c r="AA54" s="37" t="e">
        <f>$Z$29*_xll.RtGet($AD$32,$AD$33&amp;$Y54&amp;$AD$34,AA$30)</f>
        <v>#VALUE!</v>
      </c>
      <c r="AF54" s="38" t="e">
        <f t="shared" si="20"/>
        <v>#VALUE!</v>
      </c>
      <c r="AG54" s="104" t="str">
        <f t="shared" si="21"/>
        <v/>
      </c>
      <c r="AH54" s="104" t="str">
        <f t="shared" si="22"/>
        <v/>
      </c>
      <c r="AI54" s="37" t="str">
        <f t="shared" si="23"/>
        <v/>
      </c>
      <c r="AJ54" s="159">
        <f t="shared" si="28"/>
        <v>24</v>
      </c>
      <c r="AK54" s="153" t="str">
        <f t="shared" si="24"/>
        <v/>
      </c>
      <c r="AL54" s="153" t="str">
        <f t="shared" si="29"/>
        <v/>
      </c>
      <c r="AM54" s="153" t="b">
        <f t="shared" si="25"/>
        <v>0</v>
      </c>
      <c r="AN54" s="160" t="str">
        <f t="shared" si="26"/>
        <v/>
      </c>
      <c r="AO54" s="159" t="str">
        <f t="array" ref="AO54:AP54">IF(AM54,INDEX($AH$31:$AI$72,AN54,0),"")</f>
        <v/>
      </c>
      <c r="AP54" s="160" t="str">
        <v/>
      </c>
      <c r="AQ54" s="159">
        <f t="shared" si="27"/>
        <v>24</v>
      </c>
      <c r="AR54" s="167">
        <v>0.48749999999999999</v>
      </c>
    </row>
    <row r="55" spans="1:44" ht="11.25" customHeight="1" x14ac:dyDescent="0.2">
      <c r="A55"/>
      <c r="B55"/>
      <c r="C55"/>
      <c r="D55"/>
      <c r="E55" s="52" t="b">
        <f t="shared" si="15"/>
        <v>0</v>
      </c>
      <c r="F55" s="112" t="str">
        <f t="shared" si="16"/>
        <v/>
      </c>
      <c r="G55" s="34"/>
      <c r="H55" s="34"/>
      <c r="I55" s="50" t="e">
        <f t="shared" si="17"/>
        <v>#VALUE!</v>
      </c>
      <c r="J55" s="48"/>
      <c r="K55" s="49"/>
      <c r="L55" s="48" t="e">
        <f t="shared" si="10"/>
        <v>#VALUE!</v>
      </c>
      <c r="M55" s="38">
        <f t="shared" si="18"/>
        <v>30</v>
      </c>
      <c r="N55" s="37" t="str">
        <f t="shared" si="11"/>
        <v/>
      </c>
      <c r="O55" s="38" t="str">
        <f t="shared" si="19"/>
        <v/>
      </c>
      <c r="P55" s="37" t="str">
        <f t="shared" si="12"/>
        <v/>
      </c>
      <c r="Q55" s="34"/>
      <c r="R55" s="47" t="str">
        <f t="shared" si="13"/>
        <v/>
      </c>
      <c r="S55" s="46" t="str">
        <f t="shared" si="14"/>
        <v/>
      </c>
      <c r="U55" s="56" t="e">
        <v>#N/A</v>
      </c>
      <c r="V55" s="55" t="e">
        <v>#N/A</v>
      </c>
      <c r="Y55" s="194"/>
      <c r="Z55" s="38" t="e">
        <f>$Z$29*_xll.RtGet($AD$32,$AD$33&amp;$Y55&amp;$AD$34,Z$30)</f>
        <v>#VALUE!</v>
      </c>
      <c r="AA55" s="37" t="e">
        <f>$Z$29*_xll.RtGet($AD$32,$AD$33&amp;$Y55&amp;$AD$34,AA$30)</f>
        <v>#VALUE!</v>
      </c>
      <c r="AF55" s="38" t="e">
        <f t="shared" si="20"/>
        <v>#VALUE!</v>
      </c>
      <c r="AG55" s="104" t="str">
        <f t="shared" si="21"/>
        <v/>
      </c>
      <c r="AH55" s="104" t="str">
        <f t="shared" si="22"/>
        <v/>
      </c>
      <c r="AI55" s="37" t="str">
        <f t="shared" si="23"/>
        <v/>
      </c>
      <c r="AJ55" s="159">
        <f t="shared" si="28"/>
        <v>25</v>
      </c>
      <c r="AK55" s="153" t="str">
        <f t="shared" si="24"/>
        <v/>
      </c>
      <c r="AL55" s="153" t="str">
        <f t="shared" si="29"/>
        <v/>
      </c>
      <c r="AM55" s="153" t="b">
        <f t="shared" si="25"/>
        <v>0</v>
      </c>
      <c r="AN55" s="160" t="str">
        <f t="shared" si="26"/>
        <v/>
      </c>
      <c r="AO55" s="159" t="str">
        <f t="array" ref="AO55:AP55">IF(AM55,INDEX($AH$31:$AI$72,AN55,0),"")</f>
        <v/>
      </c>
      <c r="AP55" s="160" t="str">
        <v/>
      </c>
      <c r="AQ55" s="159">
        <f t="shared" si="27"/>
        <v>25</v>
      </c>
      <c r="AR55" s="167">
        <v>0.48749999999999999</v>
      </c>
    </row>
    <row r="56" spans="1:44" ht="11.25" customHeight="1" x14ac:dyDescent="0.2">
      <c r="A56"/>
      <c r="B56"/>
      <c r="C56"/>
      <c r="D56"/>
      <c r="E56" s="52" t="b">
        <f t="shared" si="15"/>
        <v>0</v>
      </c>
      <c r="F56" s="112" t="str">
        <f t="shared" si="16"/>
        <v/>
      </c>
      <c r="G56" s="34"/>
      <c r="H56" s="34"/>
      <c r="I56" s="50" t="e">
        <f t="shared" si="17"/>
        <v>#VALUE!</v>
      </c>
      <c r="J56" s="48"/>
      <c r="K56" s="49"/>
      <c r="L56" s="48" t="e">
        <f t="shared" si="10"/>
        <v>#VALUE!</v>
      </c>
      <c r="M56" s="38">
        <f t="shared" si="18"/>
        <v>31</v>
      </c>
      <c r="N56" s="37" t="str">
        <f t="shared" si="11"/>
        <v/>
      </c>
      <c r="O56" s="38" t="str">
        <f t="shared" si="19"/>
        <v/>
      </c>
      <c r="P56" s="37" t="str">
        <f t="shared" si="12"/>
        <v/>
      </c>
      <c r="Q56" s="34"/>
      <c r="R56" s="47" t="str">
        <f t="shared" si="13"/>
        <v/>
      </c>
      <c r="S56" s="46" t="str">
        <f t="shared" si="14"/>
        <v/>
      </c>
      <c r="U56" s="56" t="e">
        <v>#N/A</v>
      </c>
      <c r="V56" s="55" t="e">
        <v>#N/A</v>
      </c>
      <c r="Y56" s="194"/>
      <c r="Z56" s="38" t="e">
        <f>$Z$29*_xll.RtGet($AD$32,$AD$33&amp;$Y56&amp;$AD$34,Z$30)</f>
        <v>#VALUE!</v>
      </c>
      <c r="AA56" s="37" t="e">
        <f>$Z$29*_xll.RtGet($AD$32,$AD$33&amp;$Y56&amp;$AD$34,AA$30)</f>
        <v>#VALUE!</v>
      </c>
      <c r="AF56" s="38" t="e">
        <f t="shared" si="20"/>
        <v>#VALUE!</v>
      </c>
      <c r="AG56" s="104" t="str">
        <f t="shared" si="21"/>
        <v/>
      </c>
      <c r="AH56" s="104" t="str">
        <f t="shared" si="22"/>
        <v/>
      </c>
      <c r="AI56" s="37" t="str">
        <f t="shared" si="23"/>
        <v/>
      </c>
      <c r="AJ56" s="159">
        <f t="shared" si="28"/>
        <v>26</v>
      </c>
      <c r="AK56" s="153" t="str">
        <f t="shared" si="24"/>
        <v/>
      </c>
      <c r="AL56" s="153" t="str">
        <f t="shared" si="29"/>
        <v/>
      </c>
      <c r="AM56" s="153" t="b">
        <f t="shared" si="25"/>
        <v>0</v>
      </c>
      <c r="AN56" s="160" t="str">
        <f t="shared" si="26"/>
        <v/>
      </c>
      <c r="AO56" s="159" t="str">
        <f t="array" ref="AO56:AP56">IF(AM56,INDEX($AH$31:$AI$72,AN56,0),"")</f>
        <v/>
      </c>
      <c r="AP56" s="160" t="str">
        <v/>
      </c>
      <c r="AQ56" s="159">
        <f t="shared" si="27"/>
        <v>26</v>
      </c>
      <c r="AR56" s="167">
        <v>0.48749999999999999</v>
      </c>
    </row>
    <row r="57" spans="1:44" ht="11.25" customHeight="1" x14ac:dyDescent="0.2">
      <c r="A57"/>
      <c r="B57"/>
      <c r="C57"/>
      <c r="D57"/>
      <c r="E57" s="52" t="b">
        <f t="shared" si="15"/>
        <v>0</v>
      </c>
      <c r="F57" s="112" t="str">
        <f t="shared" si="16"/>
        <v/>
      </c>
      <c r="G57" s="34"/>
      <c r="H57" s="34"/>
      <c r="I57" s="50" t="e">
        <f t="shared" si="17"/>
        <v>#VALUE!</v>
      </c>
      <c r="J57" s="48"/>
      <c r="K57" s="49"/>
      <c r="L57" s="48" t="e">
        <f t="shared" si="10"/>
        <v>#VALUE!</v>
      </c>
      <c r="M57" s="38">
        <f t="shared" si="18"/>
        <v>32</v>
      </c>
      <c r="N57" s="37" t="str">
        <f t="shared" si="11"/>
        <v/>
      </c>
      <c r="O57" s="38" t="str">
        <f t="shared" si="19"/>
        <v/>
      </c>
      <c r="P57" s="37" t="str">
        <f t="shared" si="12"/>
        <v/>
      </c>
      <c r="Q57" s="34"/>
      <c r="R57" s="47" t="str">
        <f t="shared" si="13"/>
        <v/>
      </c>
      <c r="S57" s="46" t="str">
        <f t="shared" si="14"/>
        <v/>
      </c>
      <c r="U57" s="56" t="e">
        <v>#N/A</v>
      </c>
      <c r="V57" s="55" t="e">
        <v>#N/A</v>
      </c>
      <c r="Y57" s="194"/>
      <c r="Z57" s="38" t="e">
        <f>$Z$29*_xll.RtGet($AD$32,$AD$33&amp;$Y57&amp;$AD$34,Z$30)</f>
        <v>#VALUE!</v>
      </c>
      <c r="AA57" s="37" t="e">
        <f>$Z$29*_xll.RtGet($AD$32,$AD$33&amp;$Y57&amp;$AD$34,AA$30)</f>
        <v>#VALUE!</v>
      </c>
      <c r="AF57" s="38" t="e">
        <f t="shared" si="20"/>
        <v>#VALUE!</v>
      </c>
      <c r="AG57" s="104" t="str">
        <f t="shared" si="21"/>
        <v/>
      </c>
      <c r="AH57" s="104" t="str">
        <f t="shared" si="22"/>
        <v/>
      </c>
      <c r="AI57" s="37" t="str">
        <f t="shared" si="23"/>
        <v/>
      </c>
      <c r="AJ57" s="159">
        <f t="shared" si="28"/>
        <v>27</v>
      </c>
      <c r="AK57" s="153" t="str">
        <f t="shared" si="24"/>
        <v/>
      </c>
      <c r="AL57" s="153" t="str">
        <f t="shared" si="29"/>
        <v/>
      </c>
      <c r="AM57" s="153" t="b">
        <f t="shared" si="25"/>
        <v>0</v>
      </c>
      <c r="AN57" s="160" t="str">
        <f t="shared" si="26"/>
        <v/>
      </c>
      <c r="AO57" s="159" t="str">
        <f t="array" ref="AO57:AP57">IF(AM57,INDEX($AH$31:$AI$72,AN57,0),"")</f>
        <v/>
      </c>
      <c r="AP57" s="160" t="str">
        <v/>
      </c>
      <c r="AQ57" s="159">
        <f t="shared" si="27"/>
        <v>27</v>
      </c>
      <c r="AR57" s="167">
        <v>0.48749999999999999</v>
      </c>
    </row>
    <row r="58" spans="1:44" ht="11.25" customHeight="1" x14ac:dyDescent="0.2">
      <c r="A58"/>
      <c r="B58"/>
      <c r="C58"/>
      <c r="D58"/>
      <c r="E58" s="52" t="b">
        <f t="shared" si="15"/>
        <v>0</v>
      </c>
      <c r="F58" s="112" t="str">
        <f t="shared" si="16"/>
        <v/>
      </c>
      <c r="G58" s="34"/>
      <c r="H58" s="34"/>
      <c r="I58" s="50" t="e">
        <f t="shared" si="17"/>
        <v>#VALUE!</v>
      </c>
      <c r="J58" s="48"/>
      <c r="K58" s="49"/>
      <c r="L58" s="48" t="e">
        <f t="shared" si="10"/>
        <v>#VALUE!</v>
      </c>
      <c r="M58" s="38">
        <f t="shared" si="18"/>
        <v>33</v>
      </c>
      <c r="N58" s="37" t="str">
        <f t="shared" si="11"/>
        <v/>
      </c>
      <c r="O58" s="38" t="str">
        <f t="shared" si="19"/>
        <v/>
      </c>
      <c r="P58" s="37" t="str">
        <f t="shared" si="12"/>
        <v/>
      </c>
      <c r="Q58" s="34"/>
      <c r="R58" s="47" t="str">
        <f t="shared" si="13"/>
        <v/>
      </c>
      <c r="S58" s="46" t="str">
        <f t="shared" si="14"/>
        <v/>
      </c>
      <c r="U58" s="56" t="e">
        <v>#N/A</v>
      </c>
      <c r="V58" s="55" t="e">
        <v>#N/A</v>
      </c>
      <c r="Y58" s="194"/>
      <c r="Z58" s="38" t="e">
        <f>$Z$29*_xll.RtGet($AD$32,$AD$33&amp;$Y58&amp;$AD$34,Z$30)</f>
        <v>#VALUE!</v>
      </c>
      <c r="AA58" s="37" t="e">
        <f>$Z$29*_xll.RtGet($AD$32,$AD$33&amp;$Y58&amp;$AD$34,AA$30)</f>
        <v>#VALUE!</v>
      </c>
      <c r="AF58" s="38" t="e">
        <f t="shared" si="20"/>
        <v>#VALUE!</v>
      </c>
      <c r="AG58" s="104" t="str">
        <f t="shared" si="21"/>
        <v/>
      </c>
      <c r="AH58" s="104" t="str">
        <f t="shared" si="22"/>
        <v/>
      </c>
      <c r="AI58" s="37" t="str">
        <f t="shared" si="23"/>
        <v/>
      </c>
      <c r="AJ58" s="159">
        <f t="shared" si="28"/>
        <v>28</v>
      </c>
      <c r="AK58" s="153" t="str">
        <f t="shared" si="24"/>
        <v/>
      </c>
      <c r="AL58" s="153" t="str">
        <f t="shared" si="29"/>
        <v/>
      </c>
      <c r="AM58" s="153" t="b">
        <f t="shared" si="25"/>
        <v>0</v>
      </c>
      <c r="AN58" s="160" t="str">
        <f t="shared" si="26"/>
        <v/>
      </c>
      <c r="AO58" s="159" t="str">
        <f t="array" ref="AO58:AP58">IF(AM58,INDEX($AH$31:$AI$72,AN58,0),"")</f>
        <v/>
      </c>
      <c r="AP58" s="160" t="str">
        <v/>
      </c>
      <c r="AQ58" s="159">
        <f t="shared" si="27"/>
        <v>28</v>
      </c>
      <c r="AR58" s="167">
        <v>0.48749999999999999</v>
      </c>
    </row>
    <row r="59" spans="1:44" ht="11.25" customHeight="1" x14ac:dyDescent="0.2">
      <c r="A59"/>
      <c r="B59"/>
      <c r="C59"/>
      <c r="D59"/>
      <c r="E59" s="52" t="b">
        <f t="shared" si="15"/>
        <v>0</v>
      </c>
      <c r="F59" s="112" t="str">
        <f t="shared" si="16"/>
        <v/>
      </c>
      <c r="G59" s="34"/>
      <c r="H59" s="34"/>
      <c r="I59" s="50" t="e">
        <f t="shared" si="17"/>
        <v>#VALUE!</v>
      </c>
      <c r="J59" s="48"/>
      <c r="K59" s="49"/>
      <c r="L59" s="48" t="e">
        <f t="shared" si="10"/>
        <v>#VALUE!</v>
      </c>
      <c r="M59" s="38">
        <f t="shared" si="18"/>
        <v>34</v>
      </c>
      <c r="N59" s="37" t="str">
        <f t="shared" si="11"/>
        <v/>
      </c>
      <c r="O59" s="38" t="str">
        <f t="shared" si="19"/>
        <v/>
      </c>
      <c r="P59" s="37" t="str">
        <f t="shared" si="12"/>
        <v/>
      </c>
      <c r="Q59" s="34"/>
      <c r="R59" s="47" t="str">
        <f t="shared" si="13"/>
        <v/>
      </c>
      <c r="S59" s="46" t="str">
        <f t="shared" si="14"/>
        <v/>
      </c>
      <c r="U59" s="56" t="e">
        <v>#N/A</v>
      </c>
      <c r="V59" s="55" t="e">
        <v>#N/A</v>
      </c>
      <c r="Y59" s="194"/>
      <c r="Z59" s="38" t="e">
        <f>$Z$29*_xll.RtGet($AD$32,$AD$33&amp;$Y59&amp;$AD$34,Z$30)</f>
        <v>#VALUE!</v>
      </c>
      <c r="AA59" s="37" t="e">
        <f>$Z$29*_xll.RtGet($AD$32,$AD$33&amp;$Y59&amp;$AD$34,AA$30)</f>
        <v>#VALUE!</v>
      </c>
      <c r="AF59" s="38" t="e">
        <f t="shared" si="20"/>
        <v>#VALUE!</v>
      </c>
      <c r="AG59" s="104" t="str">
        <f t="shared" si="21"/>
        <v/>
      </c>
      <c r="AH59" s="104" t="str">
        <f t="shared" si="22"/>
        <v/>
      </c>
      <c r="AI59" s="37" t="str">
        <f t="shared" si="23"/>
        <v/>
      </c>
      <c r="AJ59" s="159">
        <f t="shared" si="28"/>
        <v>29</v>
      </c>
      <c r="AK59" s="153" t="str">
        <f t="shared" si="24"/>
        <v/>
      </c>
      <c r="AL59" s="153" t="str">
        <f t="shared" si="29"/>
        <v/>
      </c>
      <c r="AM59" s="153" t="b">
        <f t="shared" si="25"/>
        <v>0</v>
      </c>
      <c r="AN59" s="160" t="str">
        <f t="shared" si="26"/>
        <v/>
      </c>
      <c r="AO59" s="159" t="str">
        <f t="array" ref="AO59:AP59">IF(AM59,INDEX($AH$31:$AI$72,AN59,0),"")</f>
        <v/>
      </c>
      <c r="AP59" s="160" t="str">
        <v/>
      </c>
      <c r="AQ59" s="159">
        <f t="shared" si="27"/>
        <v>29</v>
      </c>
      <c r="AR59" s="167">
        <v>0.48749999999999999</v>
      </c>
    </row>
    <row r="60" spans="1:44" ht="11.25" customHeight="1" x14ac:dyDescent="0.2">
      <c r="A60"/>
      <c r="B60"/>
      <c r="C60"/>
      <c r="D60"/>
      <c r="E60" s="52" t="b">
        <f t="shared" si="15"/>
        <v>0</v>
      </c>
      <c r="F60" s="112" t="str">
        <f t="shared" si="16"/>
        <v/>
      </c>
      <c r="G60" s="34"/>
      <c r="H60" s="34"/>
      <c r="I60" s="50" t="e">
        <f t="shared" si="17"/>
        <v>#VALUE!</v>
      </c>
      <c r="J60" s="48"/>
      <c r="K60" s="49"/>
      <c r="L60" s="48" t="e">
        <f t="shared" si="10"/>
        <v>#VALUE!</v>
      </c>
      <c r="M60" s="38">
        <f t="shared" si="18"/>
        <v>35</v>
      </c>
      <c r="N60" s="37" t="str">
        <f t="shared" si="11"/>
        <v/>
      </c>
      <c r="O60" s="38" t="str">
        <f t="shared" si="19"/>
        <v/>
      </c>
      <c r="P60" s="37" t="str">
        <f t="shared" si="12"/>
        <v/>
      </c>
      <c r="Q60" s="34"/>
      <c r="R60" s="47" t="str">
        <f t="shared" si="13"/>
        <v/>
      </c>
      <c r="S60" s="46" t="str">
        <f t="shared" si="14"/>
        <v/>
      </c>
      <c r="U60" s="56" t="e">
        <v>#N/A</v>
      </c>
      <c r="V60" s="55" t="e">
        <v>#N/A</v>
      </c>
      <c r="Y60" s="194"/>
      <c r="Z60" s="38" t="e">
        <f>$Z$29*_xll.RtGet($AD$32,$AD$33&amp;$Y60&amp;$AD$34,Z$30)</f>
        <v>#VALUE!</v>
      </c>
      <c r="AA60" s="37" t="e">
        <f>$Z$29*_xll.RtGet($AD$32,$AD$33&amp;$Y60&amp;$AD$34,AA$30)</f>
        <v>#VALUE!</v>
      </c>
      <c r="AF60" s="38" t="e">
        <f t="shared" si="20"/>
        <v>#VALUE!</v>
      </c>
      <c r="AG60" s="104" t="str">
        <f t="shared" si="21"/>
        <v/>
      </c>
      <c r="AH60" s="104" t="str">
        <f t="shared" si="22"/>
        <v/>
      </c>
      <c r="AI60" s="37" t="str">
        <f t="shared" si="23"/>
        <v/>
      </c>
      <c r="AJ60" s="159">
        <f t="shared" si="28"/>
        <v>30</v>
      </c>
      <c r="AK60" s="153" t="str">
        <f t="shared" si="24"/>
        <v/>
      </c>
      <c r="AL60" s="153" t="str">
        <f t="shared" si="29"/>
        <v/>
      </c>
      <c r="AM60" s="153" t="b">
        <f t="shared" si="25"/>
        <v>0</v>
      </c>
      <c r="AN60" s="160" t="str">
        <f t="shared" si="26"/>
        <v/>
      </c>
      <c r="AO60" s="159" t="str">
        <f t="array" ref="AO60:AP60">IF(AM60,INDEX($AH$31:$AI$72,AN60,0),"")</f>
        <v/>
      </c>
      <c r="AP60" s="160" t="str">
        <v/>
      </c>
      <c r="AQ60" s="17">
        <f t="shared" si="27"/>
        <v>30</v>
      </c>
      <c r="AR60" s="168">
        <v>0.48749999999999999</v>
      </c>
    </row>
    <row r="61" spans="1:44" ht="11.25" customHeight="1" x14ac:dyDescent="0.2">
      <c r="A61"/>
      <c r="B61"/>
      <c r="C61"/>
      <c r="D61"/>
      <c r="E61" s="52" t="b">
        <f t="shared" si="15"/>
        <v>0</v>
      </c>
      <c r="F61" s="112" t="str">
        <f t="shared" si="16"/>
        <v/>
      </c>
      <c r="G61" s="34"/>
      <c r="H61" s="34"/>
      <c r="I61" s="50" t="e">
        <f t="shared" si="17"/>
        <v>#VALUE!</v>
      </c>
      <c r="J61" s="48"/>
      <c r="K61" s="49"/>
      <c r="L61" s="48" t="e">
        <f t="shared" si="10"/>
        <v>#VALUE!</v>
      </c>
      <c r="M61" s="38">
        <f t="shared" si="18"/>
        <v>36</v>
      </c>
      <c r="N61" s="37" t="str">
        <f t="shared" si="11"/>
        <v/>
      </c>
      <c r="O61" s="38" t="str">
        <f t="shared" si="19"/>
        <v/>
      </c>
      <c r="P61" s="37" t="str">
        <f t="shared" si="12"/>
        <v/>
      </c>
      <c r="Q61" s="34"/>
      <c r="R61" s="47" t="str">
        <f t="shared" si="13"/>
        <v/>
      </c>
      <c r="S61" s="46" t="str">
        <f t="shared" si="14"/>
        <v/>
      </c>
      <c r="U61" s="56" t="e">
        <v>#N/A</v>
      </c>
      <c r="V61" s="55" t="e">
        <v>#N/A</v>
      </c>
      <c r="Y61" s="194"/>
      <c r="Z61" s="38" t="e">
        <f>$Z$29*_xll.RtGet($AD$32,$AD$33&amp;$Y61&amp;$AD$34,Z$30)</f>
        <v>#VALUE!</v>
      </c>
      <c r="AA61" s="37" t="e">
        <f>$Z$29*_xll.RtGet($AD$32,$AD$33&amp;$Y61&amp;$AD$34,AA$30)</f>
        <v>#VALUE!</v>
      </c>
      <c r="AF61" s="38" t="e">
        <f t="shared" si="20"/>
        <v>#VALUE!</v>
      </c>
      <c r="AG61" s="104" t="str">
        <f t="shared" si="21"/>
        <v/>
      </c>
      <c r="AH61" s="104" t="str">
        <f t="shared" si="22"/>
        <v/>
      </c>
      <c r="AI61" s="37" t="str">
        <f t="shared" si="23"/>
        <v/>
      </c>
      <c r="AJ61" s="159">
        <f t="shared" si="28"/>
        <v>31</v>
      </c>
      <c r="AK61" s="153" t="str">
        <f t="shared" si="24"/>
        <v/>
      </c>
      <c r="AL61" s="153" t="str">
        <f t="shared" si="29"/>
        <v/>
      </c>
      <c r="AM61" s="153" t="b">
        <f t="shared" si="25"/>
        <v>0</v>
      </c>
      <c r="AN61" s="160" t="str">
        <f t="shared" si="26"/>
        <v/>
      </c>
      <c r="AO61" s="164"/>
      <c r="AP61" s="165"/>
      <c r="AQ61" s="169"/>
      <c r="AR61" s="170"/>
    </row>
    <row r="62" spans="1:44" ht="11.25" customHeight="1" x14ac:dyDescent="0.2">
      <c r="A62"/>
      <c r="B62"/>
      <c r="C62"/>
      <c r="D62"/>
      <c r="E62" s="52" t="b">
        <f t="shared" si="15"/>
        <v>0</v>
      </c>
      <c r="F62" s="112" t="str">
        <f t="shared" si="16"/>
        <v/>
      </c>
      <c r="G62" s="34"/>
      <c r="H62" s="34"/>
      <c r="I62" s="50" t="e">
        <f t="shared" si="17"/>
        <v>#VALUE!</v>
      </c>
      <c r="J62" s="48"/>
      <c r="K62" s="49"/>
      <c r="L62" s="48" t="e">
        <f t="shared" si="10"/>
        <v>#VALUE!</v>
      </c>
      <c r="M62" s="38">
        <f t="shared" si="18"/>
        <v>37</v>
      </c>
      <c r="N62" s="37" t="str">
        <f t="shared" si="11"/>
        <v/>
      </c>
      <c r="O62" s="38" t="str">
        <f t="shared" si="19"/>
        <v/>
      </c>
      <c r="P62" s="37" t="str">
        <f t="shared" si="12"/>
        <v/>
      </c>
      <c r="Q62" s="34"/>
      <c r="R62" s="47" t="str">
        <f t="shared" si="13"/>
        <v/>
      </c>
      <c r="S62" s="46" t="str">
        <f t="shared" si="14"/>
        <v/>
      </c>
      <c r="U62" s="56" t="e">
        <v>#N/A</v>
      </c>
      <c r="V62" s="55" t="e">
        <v>#N/A</v>
      </c>
      <c r="Y62" s="194"/>
      <c r="Z62" s="38" t="e">
        <f>$Z$29*_xll.RtGet($AD$32,$AD$33&amp;$Y62&amp;$AD$34,Z$30)</f>
        <v>#VALUE!</v>
      </c>
      <c r="AA62" s="37" t="e">
        <f>$Z$29*_xll.RtGet($AD$32,$AD$33&amp;$Y62&amp;$AD$34,AA$30)</f>
        <v>#VALUE!</v>
      </c>
      <c r="AF62" s="38" t="e">
        <f t="shared" si="20"/>
        <v>#VALUE!</v>
      </c>
      <c r="AG62" s="104" t="str">
        <f t="shared" si="21"/>
        <v/>
      </c>
      <c r="AH62" s="104" t="str">
        <f t="shared" si="22"/>
        <v/>
      </c>
      <c r="AI62" s="37" t="str">
        <f t="shared" si="23"/>
        <v/>
      </c>
      <c r="AJ62" s="159">
        <f t="shared" si="28"/>
        <v>32</v>
      </c>
      <c r="AK62" s="153" t="str">
        <f t="shared" si="24"/>
        <v/>
      </c>
      <c r="AL62" s="153" t="str">
        <f t="shared" si="29"/>
        <v/>
      </c>
      <c r="AM62" s="153" t="b">
        <f t="shared" si="25"/>
        <v>0</v>
      </c>
      <c r="AN62" s="160" t="str">
        <f t="shared" si="26"/>
        <v/>
      </c>
      <c r="AO62" s="164"/>
      <c r="AP62" s="165"/>
      <c r="AQ62" s="171"/>
      <c r="AR62" s="172"/>
    </row>
    <row r="63" spans="1:44" ht="11.25" customHeight="1" x14ac:dyDescent="0.2">
      <c r="A63"/>
      <c r="B63"/>
      <c r="C63"/>
      <c r="D63"/>
      <c r="E63" s="52" t="b">
        <f t="shared" si="15"/>
        <v>0</v>
      </c>
      <c r="F63" s="112" t="str">
        <f t="shared" si="16"/>
        <v/>
      </c>
      <c r="G63" s="34"/>
      <c r="H63" s="34"/>
      <c r="I63" s="50" t="e">
        <f t="shared" si="17"/>
        <v>#VALUE!</v>
      </c>
      <c r="J63" s="48"/>
      <c r="K63" s="49"/>
      <c r="L63" s="48" t="e">
        <f t="shared" si="10"/>
        <v>#VALUE!</v>
      </c>
      <c r="M63" s="38">
        <f t="shared" si="18"/>
        <v>38</v>
      </c>
      <c r="N63" s="37" t="str">
        <f t="shared" si="11"/>
        <v/>
      </c>
      <c r="O63" s="38" t="str">
        <f t="shared" si="19"/>
        <v/>
      </c>
      <c r="P63" s="37" t="str">
        <f t="shared" si="12"/>
        <v/>
      </c>
      <c r="Q63" s="34"/>
      <c r="R63" s="47" t="str">
        <f t="shared" si="13"/>
        <v/>
      </c>
      <c r="S63" s="46" t="str">
        <f t="shared" si="14"/>
        <v/>
      </c>
      <c r="U63" s="56" t="e">
        <v>#N/A</v>
      </c>
      <c r="V63" s="55" t="e">
        <v>#N/A</v>
      </c>
      <c r="Y63" s="194"/>
      <c r="Z63" s="38" t="e">
        <f>$Z$29*_xll.RtGet($AD$32,$AD$33&amp;$Y63&amp;$AD$34,Z$30)</f>
        <v>#VALUE!</v>
      </c>
      <c r="AA63" s="37" t="e">
        <f>$Z$29*_xll.RtGet($AD$32,$AD$33&amp;$Y63&amp;$AD$34,AA$30)</f>
        <v>#VALUE!</v>
      </c>
      <c r="AF63" s="38" t="e">
        <f t="shared" si="20"/>
        <v>#VALUE!</v>
      </c>
      <c r="AG63" s="104" t="str">
        <f t="shared" si="21"/>
        <v/>
      </c>
      <c r="AH63" s="104" t="str">
        <f t="shared" si="22"/>
        <v/>
      </c>
      <c r="AI63" s="37" t="str">
        <f t="shared" si="23"/>
        <v/>
      </c>
      <c r="AJ63" s="159">
        <f t="shared" si="28"/>
        <v>33</v>
      </c>
      <c r="AK63" s="153" t="str">
        <f t="shared" si="24"/>
        <v/>
      </c>
      <c r="AL63" s="153" t="str">
        <f t="shared" si="29"/>
        <v/>
      </c>
      <c r="AM63" s="153" t="b">
        <f t="shared" si="25"/>
        <v>0</v>
      </c>
      <c r="AN63" s="160" t="str">
        <f t="shared" si="26"/>
        <v/>
      </c>
      <c r="AO63" s="159" t="str">
        <f t="array" ref="AO63:AP63">IF(AM63,INDEX($AH$31:$AI$72,AN63,0),"")</f>
        <v/>
      </c>
      <c r="AP63" s="160" t="str">
        <v/>
      </c>
      <c r="AQ63" s="173"/>
      <c r="AR63" s="172"/>
    </row>
    <row r="64" spans="1:44" ht="11.25" customHeight="1" x14ac:dyDescent="0.2">
      <c r="A64"/>
      <c r="B64"/>
      <c r="C64"/>
      <c r="D64"/>
      <c r="E64" s="52" t="b">
        <f t="shared" si="15"/>
        <v>0</v>
      </c>
      <c r="F64" s="112" t="str">
        <f t="shared" si="16"/>
        <v/>
      </c>
      <c r="G64" s="34"/>
      <c r="H64" s="34"/>
      <c r="I64" s="50" t="e">
        <f t="shared" si="17"/>
        <v>#VALUE!</v>
      </c>
      <c r="J64" s="48"/>
      <c r="K64" s="49"/>
      <c r="L64" s="48" t="e">
        <f t="shared" si="10"/>
        <v>#VALUE!</v>
      </c>
      <c r="M64" s="38">
        <f t="shared" si="18"/>
        <v>39</v>
      </c>
      <c r="N64" s="37" t="str">
        <f t="shared" si="11"/>
        <v/>
      </c>
      <c r="O64" s="38" t="str">
        <f t="shared" si="19"/>
        <v/>
      </c>
      <c r="P64" s="37" t="str">
        <f t="shared" si="12"/>
        <v/>
      </c>
      <c r="Q64" s="34"/>
      <c r="R64" s="47" t="str">
        <f t="shared" si="13"/>
        <v/>
      </c>
      <c r="S64" s="46" t="str">
        <f t="shared" si="14"/>
        <v/>
      </c>
      <c r="U64" s="56" t="e">
        <v>#N/A</v>
      </c>
      <c r="V64" s="55" t="e">
        <v>#N/A</v>
      </c>
      <c r="Y64" s="194"/>
      <c r="Z64" s="38" t="e">
        <f>$Z$29*_xll.RtGet($AD$32,$AD$33&amp;$Y64&amp;$AD$34,Z$30)</f>
        <v>#VALUE!</v>
      </c>
      <c r="AA64" s="37" t="e">
        <f>$Z$29*_xll.RtGet($AD$32,$AD$33&amp;$Y64&amp;$AD$34,AA$30)</f>
        <v>#VALUE!</v>
      </c>
      <c r="AF64" s="38" t="e">
        <f t="shared" si="20"/>
        <v>#VALUE!</v>
      </c>
      <c r="AG64" s="104" t="str">
        <f t="shared" si="21"/>
        <v/>
      </c>
      <c r="AH64" s="104" t="str">
        <f t="shared" si="22"/>
        <v/>
      </c>
      <c r="AI64" s="37" t="str">
        <f t="shared" si="23"/>
        <v/>
      </c>
      <c r="AJ64" s="159">
        <f t="shared" si="28"/>
        <v>34</v>
      </c>
      <c r="AK64" s="153" t="str">
        <f t="shared" si="24"/>
        <v/>
      </c>
      <c r="AL64" s="153" t="str">
        <f t="shared" si="29"/>
        <v/>
      </c>
      <c r="AM64" s="153" t="b">
        <f t="shared" si="25"/>
        <v>0</v>
      </c>
      <c r="AN64" s="160" t="str">
        <f t="shared" si="26"/>
        <v/>
      </c>
      <c r="AO64" s="159" t="str">
        <f t="array" ref="AO64:AP64">IF(AM64,INDEX($AH$31:$AI$72,AN64,0),"")</f>
        <v/>
      </c>
      <c r="AP64" s="160" t="str">
        <v/>
      </c>
      <c r="AQ64" s="173"/>
      <c r="AR64" s="172"/>
    </row>
    <row r="65" spans="1:44" ht="11.25" customHeight="1" x14ac:dyDescent="0.2">
      <c r="A65"/>
      <c r="B65"/>
      <c r="C65"/>
      <c r="D65"/>
      <c r="E65" s="52" t="b">
        <f t="shared" si="15"/>
        <v>0</v>
      </c>
      <c r="F65" s="112" t="str">
        <f t="shared" si="16"/>
        <v/>
      </c>
      <c r="G65" s="34"/>
      <c r="H65" s="34"/>
      <c r="I65" s="50" t="e">
        <f t="shared" si="17"/>
        <v>#VALUE!</v>
      </c>
      <c r="J65" s="48"/>
      <c r="K65" s="49"/>
      <c r="L65" s="48" t="e">
        <f t="shared" si="10"/>
        <v>#VALUE!</v>
      </c>
      <c r="M65" s="38">
        <f t="shared" si="18"/>
        <v>40</v>
      </c>
      <c r="N65" s="37" t="str">
        <f t="shared" si="11"/>
        <v/>
      </c>
      <c r="O65" s="38" t="str">
        <f t="shared" si="19"/>
        <v/>
      </c>
      <c r="P65" s="37" t="str">
        <f t="shared" si="12"/>
        <v/>
      </c>
      <c r="Q65" s="34"/>
      <c r="R65" s="47" t="str">
        <f t="shared" si="13"/>
        <v/>
      </c>
      <c r="S65" s="46" t="str">
        <f t="shared" si="14"/>
        <v/>
      </c>
      <c r="U65" s="56" t="e">
        <v>#N/A</v>
      </c>
      <c r="V65" s="55" t="e">
        <v>#N/A</v>
      </c>
      <c r="Y65" s="194"/>
      <c r="Z65" s="38" t="e">
        <f>$Z$29*_xll.RtGet($AD$32,$AD$33&amp;$Y65&amp;$AD$34,Z$30)</f>
        <v>#VALUE!</v>
      </c>
      <c r="AA65" s="37" t="e">
        <f>$Z$29*_xll.RtGet($AD$32,$AD$33&amp;$Y65&amp;$AD$34,AA$30)</f>
        <v>#VALUE!</v>
      </c>
      <c r="AF65" s="38" t="e">
        <f t="shared" si="20"/>
        <v>#VALUE!</v>
      </c>
      <c r="AG65" s="104" t="str">
        <f t="shared" si="21"/>
        <v/>
      </c>
      <c r="AH65" s="104" t="str">
        <f t="shared" si="22"/>
        <v/>
      </c>
      <c r="AI65" s="37" t="str">
        <f t="shared" si="23"/>
        <v/>
      </c>
      <c r="AJ65" s="159">
        <f t="shared" si="28"/>
        <v>35</v>
      </c>
      <c r="AK65" s="153" t="str">
        <f t="shared" si="24"/>
        <v/>
      </c>
      <c r="AL65" s="153" t="str">
        <f t="shared" si="29"/>
        <v/>
      </c>
      <c r="AM65" s="153" t="b">
        <f t="shared" si="25"/>
        <v>0</v>
      </c>
      <c r="AN65" s="160" t="str">
        <f t="shared" si="26"/>
        <v/>
      </c>
      <c r="AO65" s="159" t="str">
        <f t="array" ref="AO65:AP65">IF(AM65,INDEX($AH$31:$AI$72,AN65,0),"")</f>
        <v/>
      </c>
      <c r="AP65" s="160" t="str">
        <v/>
      </c>
      <c r="AQ65" s="173"/>
      <c r="AR65" s="172"/>
    </row>
    <row r="66" spans="1:44" ht="11.25" customHeight="1" x14ac:dyDescent="0.2">
      <c r="A66"/>
      <c r="B66"/>
      <c r="C66"/>
      <c r="D66"/>
      <c r="E66" s="52" t="b">
        <f t="shared" si="15"/>
        <v>0</v>
      </c>
      <c r="F66" s="112" t="str">
        <f t="shared" si="16"/>
        <v/>
      </c>
      <c r="G66" s="34"/>
      <c r="H66" s="34"/>
      <c r="I66" s="50" t="e">
        <f t="shared" si="17"/>
        <v>#VALUE!</v>
      </c>
      <c r="J66" s="48"/>
      <c r="K66" s="49"/>
      <c r="L66" s="48" t="e">
        <f t="shared" si="10"/>
        <v>#VALUE!</v>
      </c>
      <c r="M66" s="38">
        <f t="shared" si="18"/>
        <v>41</v>
      </c>
      <c r="N66" s="37" t="str">
        <f t="shared" si="11"/>
        <v/>
      </c>
      <c r="O66" s="38" t="str">
        <f t="shared" si="19"/>
        <v/>
      </c>
      <c r="P66" s="37" t="str">
        <f t="shared" si="12"/>
        <v/>
      </c>
      <c r="Q66" s="34"/>
      <c r="R66" s="47" t="str">
        <f t="shared" si="13"/>
        <v/>
      </c>
      <c r="S66" s="46" t="str">
        <f t="shared" si="14"/>
        <v/>
      </c>
      <c r="U66" s="56" t="e">
        <v>#N/A</v>
      </c>
      <c r="V66" s="55" t="e">
        <v>#N/A</v>
      </c>
      <c r="Y66" s="194"/>
      <c r="Z66" s="38" t="e">
        <f>$Z$29*_xll.RtGet($AD$32,$AD$33&amp;$Y66&amp;$AD$34,Z$30)</f>
        <v>#VALUE!</v>
      </c>
      <c r="AA66" s="37" t="e">
        <f>$Z$29*_xll.RtGet($AD$32,$AD$33&amp;$Y66&amp;$AD$34,AA$30)</f>
        <v>#VALUE!</v>
      </c>
      <c r="AF66" s="38" t="e">
        <f t="shared" si="20"/>
        <v>#VALUE!</v>
      </c>
      <c r="AG66" s="104" t="str">
        <f t="shared" si="21"/>
        <v/>
      </c>
      <c r="AH66" s="104" t="str">
        <f t="shared" si="22"/>
        <v/>
      </c>
      <c r="AI66" s="37" t="str">
        <f t="shared" si="23"/>
        <v/>
      </c>
      <c r="AJ66" s="159">
        <f t="shared" si="28"/>
        <v>36</v>
      </c>
      <c r="AK66" s="153" t="str">
        <f t="shared" si="24"/>
        <v/>
      </c>
      <c r="AL66" s="153" t="str">
        <f t="shared" si="29"/>
        <v/>
      </c>
      <c r="AM66" s="153" t="b">
        <f t="shared" si="25"/>
        <v>0</v>
      </c>
      <c r="AN66" s="160" t="str">
        <f t="shared" si="26"/>
        <v/>
      </c>
      <c r="AO66" s="159" t="str">
        <f t="array" ref="AO66:AP66">IF(AM66,INDEX($AH$31:$AI$72,AN66,0),"")</f>
        <v/>
      </c>
      <c r="AP66" s="160" t="str">
        <v/>
      </c>
      <c r="AQ66" s="173"/>
      <c r="AR66" s="172"/>
    </row>
    <row r="67" spans="1:44" ht="11.25" customHeight="1" x14ac:dyDescent="0.2">
      <c r="A67"/>
      <c r="B67"/>
      <c r="C67"/>
      <c r="D67"/>
      <c r="E67" s="45" t="b">
        <f t="shared" si="15"/>
        <v>0</v>
      </c>
      <c r="F67" s="111" t="str">
        <f t="shared" si="16"/>
        <v/>
      </c>
      <c r="I67" s="43" t="e">
        <f t="shared" si="17"/>
        <v>#VALUE!</v>
      </c>
      <c r="J67" s="41"/>
      <c r="K67" s="42"/>
      <c r="L67" s="41" t="e">
        <f t="shared" si="10"/>
        <v>#VALUE!</v>
      </c>
      <c r="M67" s="36">
        <f t="shared" si="18"/>
        <v>42</v>
      </c>
      <c r="N67" s="35" t="str">
        <f t="shared" si="11"/>
        <v/>
      </c>
      <c r="O67" s="36" t="str">
        <f t="shared" si="19"/>
        <v/>
      </c>
      <c r="P67" s="35" t="str">
        <f t="shared" si="12"/>
        <v/>
      </c>
      <c r="R67" s="40" t="str">
        <f t="shared" si="13"/>
        <v/>
      </c>
      <c r="S67" s="39" t="str">
        <f t="shared" si="14"/>
        <v/>
      </c>
      <c r="U67" s="56" t="e">
        <v>#N/A</v>
      </c>
      <c r="V67" s="55" t="e">
        <v>#N/A</v>
      </c>
      <c r="Y67" s="194"/>
      <c r="Z67" s="38" t="e">
        <f>$Z$29*_xll.RtGet($AD$32,$AD$33&amp;$Y67&amp;$AD$34,Z$30)</f>
        <v>#VALUE!</v>
      </c>
      <c r="AA67" s="37" t="e">
        <f>$Z$29*_xll.RtGet($AD$32,$AD$33&amp;$Y67&amp;$AD$34,AA$30)</f>
        <v>#VALUE!</v>
      </c>
      <c r="AF67" s="38" t="e">
        <f t="shared" si="20"/>
        <v>#VALUE!</v>
      </c>
      <c r="AG67" s="104" t="str">
        <f t="shared" si="21"/>
        <v/>
      </c>
      <c r="AH67" s="104" t="str">
        <f t="shared" si="22"/>
        <v/>
      </c>
      <c r="AI67" s="37" t="str">
        <f t="shared" si="23"/>
        <v/>
      </c>
      <c r="AJ67" s="159">
        <f t="shared" si="28"/>
        <v>37</v>
      </c>
      <c r="AK67" s="153" t="str">
        <f t="shared" si="24"/>
        <v/>
      </c>
      <c r="AL67" s="153" t="str">
        <f t="shared" si="29"/>
        <v/>
      </c>
      <c r="AM67" s="153" t="b">
        <f t="shared" si="25"/>
        <v>0</v>
      </c>
      <c r="AN67" s="160" t="str">
        <f t="shared" si="26"/>
        <v/>
      </c>
      <c r="AO67" s="159" t="str">
        <f t="array" ref="AO67:AP67">IF(AM67,INDEX($AH$31:$AI$72,AN67,0),"")</f>
        <v/>
      </c>
      <c r="AP67" s="160" t="str">
        <v/>
      </c>
      <c r="AQ67" s="173"/>
      <c r="AR67" s="172"/>
    </row>
    <row r="68" spans="1:44" ht="11.25" customHeight="1" x14ac:dyDescent="0.2">
      <c r="A68"/>
      <c r="B68"/>
      <c r="C68"/>
      <c r="D68"/>
      <c r="I68" s="34"/>
      <c r="J68" s="34"/>
      <c r="K68" s="34"/>
      <c r="L68" s="34"/>
      <c r="N68" s="26"/>
      <c r="O68" s="26"/>
      <c r="U68" s="56" t="e">
        <v>#N/A</v>
      </c>
      <c r="V68" s="55" t="e">
        <v>#N/A</v>
      </c>
      <c r="Y68" s="194"/>
      <c r="Z68" s="38" t="e">
        <f>$Z$29*_xll.RtGet($AD$32,$AD$33&amp;$Y68&amp;$AD$34,Z$30)</f>
        <v>#VALUE!</v>
      </c>
      <c r="AA68" s="37" t="e">
        <f>$Z$29*_xll.RtGet($AD$32,$AD$33&amp;$Y68&amp;$AD$34,AA$30)</f>
        <v>#VALUE!</v>
      </c>
      <c r="AF68" s="38" t="e">
        <f t="shared" si="20"/>
        <v>#VALUE!</v>
      </c>
      <c r="AG68" s="104" t="str">
        <f t="shared" si="21"/>
        <v/>
      </c>
      <c r="AH68" s="104" t="str">
        <f t="shared" si="22"/>
        <v/>
      </c>
      <c r="AI68" s="37" t="str">
        <f t="shared" si="23"/>
        <v/>
      </c>
      <c r="AJ68" s="159">
        <f t="shared" si="28"/>
        <v>38</v>
      </c>
      <c r="AK68" s="153" t="str">
        <f t="shared" si="24"/>
        <v/>
      </c>
      <c r="AL68" s="153" t="str">
        <f t="shared" si="29"/>
        <v/>
      </c>
      <c r="AM68" s="153" t="b">
        <f t="shared" si="25"/>
        <v>0</v>
      </c>
      <c r="AN68" s="160" t="str">
        <f t="shared" si="26"/>
        <v/>
      </c>
      <c r="AO68" s="159" t="str">
        <f t="array" ref="AO68:AP68">IF(AM68,INDEX($AH$31:$AI$72,AN68,0),"")</f>
        <v/>
      </c>
      <c r="AP68" s="160" t="str">
        <v/>
      </c>
      <c r="AQ68" s="173"/>
      <c r="AR68" s="172"/>
    </row>
    <row r="69" spans="1:44" ht="11.25" customHeight="1" x14ac:dyDescent="0.2">
      <c r="A69"/>
      <c r="B69"/>
      <c r="C69"/>
      <c r="D69"/>
      <c r="N69" s="26"/>
      <c r="O69" s="26"/>
      <c r="U69" s="56" t="e">
        <v>#N/A</v>
      </c>
      <c r="V69" s="55" t="e">
        <v>#N/A</v>
      </c>
      <c r="Y69" s="194"/>
      <c r="Z69" s="38" t="e">
        <f>$Z$29*_xll.RtGet($AD$32,$AD$33&amp;$Y69&amp;$AD$34,Z$30)</f>
        <v>#VALUE!</v>
      </c>
      <c r="AA69" s="37" t="e">
        <f>$Z$29*_xll.RtGet($AD$32,$AD$33&amp;$Y69&amp;$AD$34,AA$30)</f>
        <v>#VALUE!</v>
      </c>
      <c r="AF69" s="38" t="e">
        <f t="shared" si="20"/>
        <v>#VALUE!</v>
      </c>
      <c r="AG69" s="104" t="str">
        <f t="shared" si="21"/>
        <v/>
      </c>
      <c r="AH69" s="104" t="str">
        <f t="shared" si="22"/>
        <v/>
      </c>
      <c r="AI69" s="37" t="str">
        <f t="shared" si="23"/>
        <v/>
      </c>
      <c r="AJ69" s="159">
        <f t="shared" si="28"/>
        <v>39</v>
      </c>
      <c r="AK69" s="153" t="str">
        <f t="shared" si="24"/>
        <v/>
      </c>
      <c r="AL69" s="153" t="str">
        <f t="shared" si="29"/>
        <v/>
      </c>
      <c r="AM69" s="153" t="b">
        <f t="shared" si="25"/>
        <v>0</v>
      </c>
      <c r="AN69" s="160" t="str">
        <f t="shared" si="26"/>
        <v/>
      </c>
      <c r="AO69" s="159" t="str">
        <f t="array" ref="AO69:AP69">IF(AM69,INDEX($AH$31:$AI$72,AN69,0),"")</f>
        <v/>
      </c>
      <c r="AP69" s="160" t="str">
        <v/>
      </c>
      <c r="AQ69" s="173"/>
      <c r="AR69" s="172"/>
    </row>
    <row r="70" spans="1:44" ht="11.25" customHeight="1" x14ac:dyDescent="0.2">
      <c r="A70"/>
      <c r="B70"/>
      <c r="C70"/>
      <c r="D70"/>
      <c r="N70" s="26"/>
      <c r="O70" s="26"/>
      <c r="U70" s="56" t="e">
        <v>#N/A</v>
      </c>
      <c r="V70" s="55" t="e">
        <v>#N/A</v>
      </c>
      <c r="Y70" s="194"/>
      <c r="Z70" s="38" t="e">
        <f>$Z$29*_xll.RtGet($AD$32,$AD$33&amp;$Y70&amp;$AD$34,Z$30)</f>
        <v>#VALUE!</v>
      </c>
      <c r="AA70" s="37" t="e">
        <f>$Z$29*_xll.RtGet($AD$32,$AD$33&amp;$Y70&amp;$AD$34,AA$30)</f>
        <v>#VALUE!</v>
      </c>
      <c r="AF70" s="38" t="e">
        <f t="shared" si="20"/>
        <v>#VALUE!</v>
      </c>
      <c r="AG70" s="104" t="str">
        <f t="shared" si="21"/>
        <v/>
      </c>
      <c r="AH70" s="104" t="str">
        <f t="shared" si="22"/>
        <v/>
      </c>
      <c r="AI70" s="37" t="str">
        <f t="shared" si="23"/>
        <v/>
      </c>
      <c r="AJ70" s="159">
        <f t="shared" si="28"/>
        <v>40</v>
      </c>
      <c r="AK70" s="153" t="str">
        <f t="shared" si="24"/>
        <v/>
      </c>
      <c r="AL70" s="153" t="str">
        <f t="shared" si="29"/>
        <v/>
      </c>
      <c r="AM70" s="153" t="b">
        <f t="shared" si="25"/>
        <v>0</v>
      </c>
      <c r="AN70" s="160" t="str">
        <f t="shared" si="26"/>
        <v/>
      </c>
      <c r="AO70" s="159" t="str">
        <f t="array" ref="AO70:AP70">IF(AM70,INDEX($AH$31:$AI$72,AN70,0),"")</f>
        <v/>
      </c>
      <c r="AP70" s="160" t="str">
        <v/>
      </c>
      <c r="AQ70" s="173"/>
      <c r="AR70" s="172"/>
    </row>
    <row r="71" spans="1:44" ht="11.25" customHeight="1" x14ac:dyDescent="0.2">
      <c r="A71"/>
      <c r="B71"/>
      <c r="C71"/>
      <c r="D71"/>
      <c r="N71" s="26"/>
      <c r="O71" s="26"/>
      <c r="U71" s="56" t="e">
        <v>#N/A</v>
      </c>
      <c r="V71" s="55" t="e">
        <v>#N/A</v>
      </c>
      <c r="Y71" s="194"/>
      <c r="Z71" s="38" t="e">
        <f>$Z$29*_xll.RtGet($AD$32,$AD$33&amp;$Y71&amp;$AD$34,Z$30)</f>
        <v>#VALUE!</v>
      </c>
      <c r="AA71" s="37" t="e">
        <f>$Z$29*_xll.RtGet($AD$32,$AD$33&amp;$Y71&amp;$AD$34,AA$30)</f>
        <v>#VALUE!</v>
      </c>
      <c r="AF71" s="38" t="e">
        <f t="shared" si="20"/>
        <v>#VALUE!</v>
      </c>
      <c r="AG71" s="104" t="str">
        <f t="shared" si="21"/>
        <v/>
      </c>
      <c r="AH71" s="104" t="str">
        <f t="shared" si="22"/>
        <v/>
      </c>
      <c r="AI71" s="37" t="str">
        <f t="shared" si="23"/>
        <v/>
      </c>
      <c r="AJ71" s="159">
        <f t="shared" si="28"/>
        <v>41</v>
      </c>
      <c r="AK71" s="153" t="str">
        <f t="shared" si="24"/>
        <v/>
      </c>
      <c r="AL71" s="153" t="str">
        <f t="shared" si="29"/>
        <v/>
      </c>
      <c r="AM71" s="153" t="b">
        <f t="shared" si="25"/>
        <v>0</v>
      </c>
      <c r="AN71" s="160" t="str">
        <f t="shared" si="26"/>
        <v/>
      </c>
      <c r="AO71" s="159" t="str">
        <f t="array" ref="AO71:AP71">IF(AM71,INDEX($AH$31:$AI$72,AN71,0),"")</f>
        <v/>
      </c>
      <c r="AP71" s="160" t="str">
        <v/>
      </c>
      <c r="AQ71" s="173"/>
      <c r="AR71" s="172"/>
    </row>
    <row r="72" spans="1:44" ht="11.25" customHeight="1" x14ac:dyDescent="0.2">
      <c r="A72"/>
      <c r="B72"/>
      <c r="C72"/>
      <c r="D72"/>
      <c r="N72" s="26"/>
      <c r="O72" s="26"/>
      <c r="U72" s="56" t="e">
        <v>#N/A</v>
      </c>
      <c r="V72" s="55" t="e">
        <v>#N/A</v>
      </c>
      <c r="Y72" s="195"/>
      <c r="Z72" s="36" t="e">
        <f>$Z$29*_xll.RtGet($AD$32,$AD$33&amp;$Y72&amp;$AD$34,Z$30)</f>
        <v>#VALUE!</v>
      </c>
      <c r="AA72" s="35" t="e">
        <f>$Z$29*_xll.RtGet($AD$32,$AD$33&amp;$Y72&amp;$AD$34,AA$30)</f>
        <v>#VALUE!</v>
      </c>
      <c r="AF72" s="36" t="e">
        <f t="shared" si="20"/>
        <v>#VALUE!</v>
      </c>
      <c r="AG72" s="109" t="str">
        <f t="shared" si="21"/>
        <v/>
      </c>
      <c r="AH72" s="156">
        <f>IF(AH30,AQ29,AG72)</f>
        <v>30</v>
      </c>
      <c r="AI72" s="156">
        <f>IF(AH30,INDEX(AF31:AF72,MATCH(AG29,AG31:AG72,0)),AF72)</f>
        <v>0.48749999999999999</v>
      </c>
      <c r="AJ72" s="17">
        <f t="shared" si="28"/>
        <v>42</v>
      </c>
      <c r="AK72" s="161">
        <f t="shared" si="24"/>
        <v>42</v>
      </c>
      <c r="AL72" s="161" t="str">
        <f t="shared" si="29"/>
        <v/>
      </c>
      <c r="AM72" s="161" t="b">
        <f t="shared" si="25"/>
        <v>0</v>
      </c>
      <c r="AN72" s="162" t="str">
        <f t="shared" si="26"/>
        <v/>
      </c>
      <c r="AO72" s="17" t="str">
        <f t="array" ref="AO72:AP72">IF(AM72,INDEX($AH$31:$AI$72,AN72,0),"")</f>
        <v/>
      </c>
      <c r="AP72" s="162" t="str">
        <v/>
      </c>
      <c r="AQ72" s="174"/>
      <c r="AR72" s="175"/>
    </row>
    <row r="73" spans="1:44" ht="11.25" customHeight="1" x14ac:dyDescent="0.2">
      <c r="A73"/>
      <c r="B73"/>
      <c r="C73"/>
      <c r="D73"/>
      <c r="N73" s="26"/>
      <c r="O73" s="26"/>
      <c r="U73" s="56" t="e">
        <v>#N/A</v>
      </c>
      <c r="V73" s="55" t="e">
        <v>#N/A</v>
      </c>
    </row>
    <row r="74" spans="1:44" ht="11.25" customHeight="1" x14ac:dyDescent="0.2">
      <c r="A74"/>
      <c r="B74"/>
      <c r="C74"/>
      <c r="D74"/>
      <c r="N74" s="26"/>
      <c r="O74" s="26"/>
      <c r="U74" s="56" t="e">
        <v>#N/A</v>
      </c>
      <c r="V74" s="55" t="e">
        <v>#N/A</v>
      </c>
    </row>
    <row r="75" spans="1:44" ht="11.25" customHeight="1" x14ac:dyDescent="0.2">
      <c r="A75"/>
      <c r="B75"/>
      <c r="C75"/>
      <c r="D75"/>
      <c r="N75" s="26"/>
      <c r="O75" s="26"/>
      <c r="U75" s="56" t="e">
        <v>#N/A</v>
      </c>
      <c r="V75" s="55" t="e">
        <v>#N/A</v>
      </c>
    </row>
    <row r="76" spans="1:44" ht="11.25" customHeight="1" x14ac:dyDescent="0.2">
      <c r="A76"/>
      <c r="B76"/>
      <c r="C76"/>
      <c r="D76"/>
      <c r="N76" s="26"/>
      <c r="O76" s="26"/>
      <c r="U76" s="56" t="e">
        <v>#N/A</v>
      </c>
      <c r="V76" s="55" t="e">
        <v>#N/A</v>
      </c>
    </row>
    <row r="77" spans="1:44" ht="11.25" customHeight="1" x14ac:dyDescent="0.2">
      <c r="A77"/>
      <c r="B77"/>
      <c r="C77"/>
      <c r="D77"/>
      <c r="N77" s="26"/>
      <c r="O77" s="26"/>
      <c r="U77" s="56" t="e">
        <v>#N/A</v>
      </c>
      <c r="V77" s="55" t="e">
        <v>#N/A</v>
      </c>
    </row>
    <row r="78" spans="1:44" ht="11.25" customHeight="1" x14ac:dyDescent="0.2">
      <c r="A78"/>
      <c r="B78"/>
      <c r="C78"/>
      <c r="D78"/>
      <c r="N78" s="26"/>
      <c r="O78" s="26"/>
      <c r="U78" s="56" t="e">
        <v>#N/A</v>
      </c>
      <c r="V78" s="55" t="e">
        <v>#N/A</v>
      </c>
    </row>
    <row r="79" spans="1:44" ht="11.25" customHeight="1" x14ac:dyDescent="0.2">
      <c r="A79"/>
      <c r="B79"/>
      <c r="C79"/>
      <c r="D79"/>
      <c r="N79" s="26"/>
      <c r="O79" s="26"/>
      <c r="U79" s="54" t="e">
        <v>#N/A</v>
      </c>
      <c r="V79" s="53" t="e">
        <v>#N/A</v>
      </c>
    </row>
    <row r="80" spans="1:44" ht="11.25" customHeight="1" x14ac:dyDescent="0.2">
      <c r="A80"/>
      <c r="B80"/>
      <c r="C80"/>
      <c r="D80"/>
      <c r="N80" s="26"/>
      <c r="O80" s="26"/>
    </row>
    <row r="81" spans="1:15" ht="11.25" customHeight="1" x14ac:dyDescent="0.2">
      <c r="B81" s="73" t="s">
        <v>69</v>
      </c>
      <c r="C81" s="72">
        <f>VLOOKUP(C14,dvCurveBootstrapperDayCount,2,FALSE)</f>
        <v>5</v>
      </c>
      <c r="N81" s="26"/>
      <c r="O81" s="26"/>
    </row>
    <row r="82" spans="1:15" ht="11.25" customHeight="1" x14ac:dyDescent="0.2">
      <c r="N82" s="26"/>
      <c r="O82" s="26"/>
    </row>
    <row r="83" spans="1:15" ht="11.25" customHeight="1" x14ac:dyDescent="0.2">
      <c r="B83" s="67" t="s">
        <v>65</v>
      </c>
      <c r="C83" s="67" t="s">
        <v>64</v>
      </c>
      <c r="N83" s="26"/>
      <c r="O83" s="26"/>
    </row>
    <row r="84" spans="1:15" ht="11.25" customHeight="1" x14ac:dyDescent="0.2">
      <c r="B84" s="60" t="str">
        <f>"DomDiscCurveName"&amp;IF(ISBLANK(C8),"","#"&amp;C8)</f>
        <v>DomDiscCurveName#AUDEURBAS.EUR.STD</v>
      </c>
      <c r="C84" s="59"/>
      <c r="N84" s="26"/>
      <c r="O84" s="26"/>
    </row>
    <row r="85" spans="1:15" ht="11.25" customHeight="1" x14ac:dyDescent="0.2">
      <c r="B85" s="60" t="str">
        <f>"DomFwdCurveName"&amp;IF(ISBLANK(C9),"","#"&amp;C9)</f>
        <v>DomFwdCurveName#AUDEURBAS.EUR.3M</v>
      </c>
      <c r="C85" s="59"/>
      <c r="N85" s="26"/>
      <c r="O85" s="26"/>
    </row>
    <row r="86" spans="1:15" ht="11.25" customHeight="1" x14ac:dyDescent="0.2">
      <c r="B86" s="60" t="str">
        <f>"ForFwdCurveName"&amp;IF(ISBLANK(C10),"","#"&amp;C10)</f>
        <v>ForFwdCurveName#AUDEURBAS.AUD.3M</v>
      </c>
      <c r="C86" s="59"/>
      <c r="N86" s="26"/>
      <c r="O86" s="26"/>
    </row>
    <row r="87" spans="1:15" ht="11.25" customHeight="1" x14ac:dyDescent="0.2">
      <c r="B87" s="60" t="str">
        <f>"CCSSpreadCurr"&amp;IF(ISBLANK(C7),"","#"&amp;C7)</f>
        <v>CCSSpreadCurr#AUD</v>
      </c>
      <c r="C87" s="59"/>
      <c r="N87" s="26"/>
      <c r="O87" s="26"/>
    </row>
    <row r="88" spans="1:15" ht="11.25" customHeight="1" x14ac:dyDescent="0.2">
      <c r="B88" s="60" t="str">
        <f>"BlockOrder"&amp;IF(ISBLANK(C25),"","#"&amp;C25)</f>
        <v>BlockOrder#132</v>
      </c>
      <c r="C88" s="59"/>
      <c r="N88" s="26"/>
      <c r="O88" s="26"/>
    </row>
    <row r="89" spans="1:15" ht="11.25" customHeight="1" x14ac:dyDescent="0.2">
      <c r="B89" s="60" t="str">
        <f>"MatBlockCons"&amp;IF(ISBLANK(C26),"","#"&amp;C26)</f>
        <v>MatBlockCons#on</v>
      </c>
      <c r="C89" s="59"/>
      <c r="N89" s="26"/>
      <c r="O89" s="26"/>
    </row>
    <row r="90" spans="1:15" ht="11.25" customHeight="1" x14ac:dyDescent="0.2">
      <c r="B90" s="60" t="str">
        <f>"CCSM2MCurr"&amp;IF(ISBLANK(C30),"","#"&amp;C30)</f>
        <v>CCSM2MCurr#EUR</v>
      </c>
      <c r="C90" s="59"/>
      <c r="N90" s="26"/>
      <c r="O90" s="26"/>
    </row>
    <row r="91" spans="1:15" ht="11.25" customHeight="1" x14ac:dyDescent="0.2">
      <c r="A91" s="63"/>
      <c r="B91" s="64" t="str">
        <f>IF(ISBLANK(C27),"","CCDepoValDays")</f>
        <v>CCDepoValDays</v>
      </c>
      <c r="C91" s="143">
        <f>C27</f>
        <v>2</v>
      </c>
      <c r="N91" s="26"/>
      <c r="O91" s="26"/>
    </row>
    <row r="92" spans="1:15" ht="11.25" customHeight="1" x14ac:dyDescent="0.2">
      <c r="A92" s="63"/>
      <c r="B92" s="60" t="str">
        <f>IF(ISBLANK(C28),"","CCSDomNotional")</f>
        <v/>
      </c>
      <c r="C92" s="59">
        <f>C28</f>
        <v>0</v>
      </c>
      <c r="N92" s="26"/>
      <c r="O92" s="26"/>
    </row>
    <row r="93" spans="1:15" ht="11.25" customHeight="1" x14ac:dyDescent="0.2">
      <c r="A93" s="63"/>
      <c r="B93" s="60" t="str">
        <f>IF(ISBLANK(C29),"","CCSForNotional")</f>
        <v/>
      </c>
      <c r="C93" s="59">
        <f t="shared" ref="C93" si="30">C29</f>
        <v>0</v>
      </c>
      <c r="N93" s="26"/>
      <c r="O93" s="26"/>
    </row>
    <row r="94" spans="1:15" ht="11.25" customHeight="1" x14ac:dyDescent="0.2">
      <c r="B94" s="60" t="str">
        <f>IF(ISBLANK(C31),"","CCSMatType")</f>
        <v>CCSMatType</v>
      </c>
      <c r="C94" s="147">
        <f>IF(ISBLANK(C31),0,VLOOKUP(C31,dvCurveBootstrapperSwapMatType,2,FALSE))</f>
        <v>1</v>
      </c>
      <c r="N94" s="26"/>
      <c r="O94" s="26"/>
    </row>
    <row r="95" spans="1:15" ht="11.25" customHeight="1" x14ac:dyDescent="0.2">
      <c r="B95" s="60" t="str">
        <f>IF(ISBLANK(C32),"","CCSDomFreq")</f>
        <v/>
      </c>
      <c r="C95" s="147">
        <f>C32</f>
        <v>0</v>
      </c>
      <c r="N95" s="26"/>
      <c r="O95" s="26"/>
    </row>
    <row r="96" spans="1:15" ht="11.25" customHeight="1" x14ac:dyDescent="0.2">
      <c r="B96" s="60" t="str">
        <f>IF(ISBLANK(C33),"","CCSDomYrf")</f>
        <v/>
      </c>
      <c r="C96" s="147">
        <f>IF(ISBLANK(C33),0,VLOOKUP(C33,dvCurveBootstrapperDayCount,2,FALSE))</f>
        <v>0</v>
      </c>
      <c r="N96" s="26"/>
      <c r="O96" s="26"/>
    </row>
    <row r="97" spans="2:15" ht="11.25" customHeight="1" x14ac:dyDescent="0.2">
      <c r="B97" s="60" t="str">
        <f>IF(ISBLANK(C34),"","CCSDomMult")</f>
        <v/>
      </c>
      <c r="C97" s="147">
        <f>C34</f>
        <v>0</v>
      </c>
      <c r="N97" s="26"/>
      <c r="O97" s="26"/>
    </row>
    <row r="98" spans="2:15" ht="11.25" customHeight="1" x14ac:dyDescent="0.2">
      <c r="B98" s="60" t="str">
        <f>IF(ISBLANK(C35),"","CCSDom1stRate")</f>
        <v/>
      </c>
      <c r="C98" s="61">
        <f>C35</f>
        <v>0</v>
      </c>
    </row>
    <row r="99" spans="2:15" ht="11.25" customHeight="1" x14ac:dyDescent="0.2">
      <c r="B99" s="60" t="str">
        <f>IF(ISBLANK(C36),"","CCSForFreq")</f>
        <v/>
      </c>
      <c r="C99" s="147">
        <f>C36</f>
        <v>0</v>
      </c>
    </row>
    <row r="100" spans="2:15" ht="11.25" customHeight="1" x14ac:dyDescent="0.2">
      <c r="B100" s="60" t="str">
        <f>IF(ISBLANK(C37),"","CCSForYrf")</f>
        <v/>
      </c>
      <c r="C100" s="147">
        <f>IF(ISBLANK(C37),0,VLOOKUP(C37,dvCurveBootstrapperDayCount,2,FALSE))</f>
        <v>0</v>
      </c>
    </row>
    <row r="101" spans="2:15" ht="11.25" customHeight="1" x14ac:dyDescent="0.2">
      <c r="B101" s="60" t="str">
        <f>IF(ISBLANK(C38),"","CCSForMult")</f>
        <v/>
      </c>
      <c r="C101" s="147">
        <f>C38</f>
        <v>0</v>
      </c>
    </row>
    <row r="102" spans="2:15" ht="11.25" customHeight="1" x14ac:dyDescent="0.2">
      <c r="B102" s="60" t="str">
        <f>IF(ISBLANK(C39),"","CCSFor1stRate")</f>
        <v/>
      </c>
      <c r="C102" s="61">
        <f>C39</f>
        <v>0</v>
      </c>
    </row>
    <row r="103" spans="2:15" ht="11.25" customHeight="1" x14ac:dyDescent="0.2">
      <c r="B103" s="58" t="str">
        <f>IF(ISBLANK(C40),"","OutputType")</f>
        <v>OutputType</v>
      </c>
      <c r="C103" s="57">
        <f>IF(ISBLANK(C40),0,VLOOKUP(C40,dvCurveBootstrapperOutputType,2,FALSE))</f>
        <v>1</v>
      </c>
    </row>
  </sheetData>
  <sheetProtection formatCells="0" formatColumns="0" formatRows="0"/>
  <mergeCells count="2">
    <mergeCell ref="B2:C2"/>
    <mergeCell ref="B24:C24"/>
  </mergeCells>
  <conditionalFormatting sqref="E3:E20 E23 E26:E67">
    <cfRule type="cellIs" dxfId="8" priority="9" stopIfTrue="1" operator="equal">
      <formula>FALSE</formula>
    </cfRule>
  </conditionalFormatting>
  <conditionalFormatting sqref="I3:L20 I23:L23">
    <cfRule type="expression" dxfId="7" priority="4" stopIfTrue="1">
      <formula>NOT($E3)</formula>
    </cfRule>
  </conditionalFormatting>
  <conditionalFormatting sqref="I26:L67">
    <cfRule type="expression" dxfId="6" priority="1" stopIfTrue="1">
      <formula>NOT($E26)</formula>
    </cfRule>
  </conditionalFormatting>
  <conditionalFormatting sqref="L3:L20">
    <cfRule type="expression" dxfId="5" priority="5" stopIfTrue="1">
      <formula>ISNUMBER(J3)</formula>
    </cfRule>
    <cfRule type="expression" dxfId="4" priority="8" stopIfTrue="1">
      <formula>ISNUMBER(K3)</formula>
    </cfRule>
  </conditionalFormatting>
  <conditionalFormatting sqref="L23">
    <cfRule type="expression" dxfId="3" priority="3" stopIfTrue="1">
      <formula>ISNUMBER(J23)</formula>
    </cfRule>
    <cfRule type="expression" dxfId="2" priority="7" stopIfTrue="1">
      <formula>ISNUMBER(K23)</formula>
    </cfRule>
  </conditionalFormatting>
  <conditionalFormatting sqref="L26:L67">
    <cfRule type="expression" dxfId="1" priority="2" stopIfTrue="1">
      <formula>ISNUMBER(J26)</formula>
    </cfRule>
    <cfRule type="expression" dxfId="0" priority="6" stopIfTrue="1">
      <formula>ISNUMBER(K26)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1" r:id="rId4" name="btnRun">
          <controlPr defaultSize="0" autoLine="0" r:id="rId5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1</xdr:col>
                <xdr:colOff>914400</xdr:colOff>
                <xdr:row>19</xdr:row>
                <xdr:rowOff>9525</xdr:rowOff>
              </to>
            </anchor>
          </controlPr>
        </control>
      </mc:Choice>
      <mc:Fallback>
        <control shapeId="5121" r:id="rId4" name="btnRun"/>
      </mc:Fallback>
    </mc:AlternateContent>
    <mc:AlternateContent xmlns:mc="http://schemas.openxmlformats.org/markup-compatibility/2006">
      <mc:Choice Requires="x14">
        <control shapeId="5122" r:id="rId6" name="btnFreeze">
          <controlPr defaultSize="0" autoLine="0" r:id="rId7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1</xdr:col>
                <xdr:colOff>914400</xdr:colOff>
                <xdr:row>21</xdr:row>
                <xdr:rowOff>9525</xdr:rowOff>
              </to>
            </anchor>
          </controlPr>
        </control>
      </mc:Choice>
      <mc:Fallback>
        <control shapeId="5122" r:id="rId6" name="btnFreeze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"/>
  <dimension ref="B2:H30"/>
  <sheetViews>
    <sheetView workbookViewId="0"/>
  </sheetViews>
  <sheetFormatPr defaultRowHeight="11.25" x14ac:dyDescent="0.2"/>
  <cols>
    <col min="1" max="1" width="3.83203125" style="26" customWidth="1"/>
    <col min="2" max="2" width="12.83203125" style="26" customWidth="1"/>
    <col min="3" max="3" width="9.33203125" style="26"/>
    <col min="4" max="4" width="3.83203125" style="26" customWidth="1"/>
    <col min="5" max="5" width="15.83203125" style="26" customWidth="1"/>
    <col min="6" max="7" width="3.83203125" style="26" customWidth="1"/>
    <col min="8" max="8" width="9.33203125" style="26"/>
    <col min="9" max="9" width="3.83203125" style="26" customWidth="1"/>
    <col min="10" max="16384" width="9.33203125" style="26"/>
  </cols>
  <sheetData>
    <row r="2" spans="2:8" x14ac:dyDescent="0.2">
      <c r="B2" s="232" t="s">
        <v>62</v>
      </c>
      <c r="C2" s="233"/>
      <c r="E2" s="29" t="s">
        <v>61</v>
      </c>
      <c r="H2" s="29" t="s">
        <v>60</v>
      </c>
    </row>
    <row r="3" spans="2:8" x14ac:dyDescent="0.2">
      <c r="B3" s="28" t="s">
        <v>59</v>
      </c>
      <c r="C3" s="28">
        <v>0</v>
      </c>
      <c r="E3" s="28" t="s">
        <v>58</v>
      </c>
      <c r="H3" s="28" t="b">
        <v>1</v>
      </c>
    </row>
    <row r="4" spans="2:8" x14ac:dyDescent="0.2">
      <c r="B4" s="30" t="s">
        <v>57</v>
      </c>
      <c r="C4" s="30">
        <v>1</v>
      </c>
      <c r="E4" s="30" t="s">
        <v>56</v>
      </c>
      <c r="H4" s="27" t="b">
        <v>0</v>
      </c>
    </row>
    <row r="5" spans="2:8" x14ac:dyDescent="0.2">
      <c r="B5" s="30" t="s">
        <v>55</v>
      </c>
      <c r="C5" s="30">
        <v>2</v>
      </c>
      <c r="E5" s="30" t="s">
        <v>11</v>
      </c>
    </row>
    <row r="6" spans="2:8" x14ac:dyDescent="0.2">
      <c r="B6" s="32" t="s">
        <v>54</v>
      </c>
      <c r="C6" s="30">
        <v>3</v>
      </c>
      <c r="E6" s="30" t="s">
        <v>53</v>
      </c>
    </row>
    <row r="7" spans="2:8" x14ac:dyDescent="0.2">
      <c r="B7" s="30" t="s">
        <v>52</v>
      </c>
      <c r="C7" s="30">
        <v>4</v>
      </c>
      <c r="E7" s="27" t="s">
        <v>51</v>
      </c>
    </row>
    <row r="8" spans="2:8" x14ac:dyDescent="0.2">
      <c r="B8" s="30" t="s">
        <v>50</v>
      </c>
      <c r="C8" s="30">
        <v>5</v>
      </c>
    </row>
    <row r="9" spans="2:8" x14ac:dyDescent="0.2">
      <c r="B9" s="30" t="s">
        <v>49</v>
      </c>
      <c r="C9" s="30">
        <v>6</v>
      </c>
      <c r="E9" s="29" t="s">
        <v>48</v>
      </c>
    </row>
    <row r="10" spans="2:8" x14ac:dyDescent="0.2">
      <c r="B10" s="30" t="s">
        <v>47</v>
      </c>
      <c r="C10" s="30">
        <v>7</v>
      </c>
      <c r="E10" s="28" t="s">
        <v>46</v>
      </c>
    </row>
    <row r="11" spans="2:8" x14ac:dyDescent="0.2">
      <c r="B11" s="30" t="s">
        <v>45</v>
      </c>
      <c r="C11" s="30">
        <v>8</v>
      </c>
      <c r="E11" s="30" t="s">
        <v>12</v>
      </c>
    </row>
    <row r="12" spans="2:8" x14ac:dyDescent="0.2">
      <c r="B12" s="27" t="s">
        <v>44</v>
      </c>
      <c r="C12" s="27">
        <v>9</v>
      </c>
      <c r="E12" s="27" t="s">
        <v>43</v>
      </c>
    </row>
    <row r="13" spans="2:8" x14ac:dyDescent="0.2">
      <c r="E13" s="31"/>
    </row>
    <row r="14" spans="2:8" x14ac:dyDescent="0.2">
      <c r="B14" s="232" t="s">
        <v>42</v>
      </c>
      <c r="C14" s="233"/>
      <c r="E14" s="29" t="s">
        <v>41</v>
      </c>
    </row>
    <row r="15" spans="2:8" x14ac:dyDescent="0.2">
      <c r="B15" s="28" t="s">
        <v>40</v>
      </c>
      <c r="C15" s="28">
        <v>0</v>
      </c>
      <c r="E15" s="28" t="s">
        <v>13</v>
      </c>
    </row>
    <row r="16" spans="2:8" x14ac:dyDescent="0.2">
      <c r="B16" s="30" t="s">
        <v>39</v>
      </c>
      <c r="C16" s="30">
        <v>1</v>
      </c>
      <c r="E16" s="30" t="s">
        <v>38</v>
      </c>
    </row>
    <row r="17" spans="2:5" x14ac:dyDescent="0.2">
      <c r="B17" s="30" t="s">
        <v>37</v>
      </c>
      <c r="C17" s="30">
        <v>2</v>
      </c>
      <c r="E17" s="27" t="s">
        <v>36</v>
      </c>
    </row>
    <row r="18" spans="2:5" x14ac:dyDescent="0.2">
      <c r="B18" s="27" t="s">
        <v>35</v>
      </c>
      <c r="C18" s="27">
        <v>3</v>
      </c>
      <c r="E18" s="31"/>
    </row>
    <row r="19" spans="2:5" x14ac:dyDescent="0.2">
      <c r="E19" s="29" t="s">
        <v>34</v>
      </c>
    </row>
    <row r="20" spans="2:5" x14ac:dyDescent="0.2">
      <c r="B20" s="232" t="s">
        <v>33</v>
      </c>
      <c r="C20" s="233"/>
      <c r="E20" s="28" t="s">
        <v>32</v>
      </c>
    </row>
    <row r="21" spans="2:5" x14ac:dyDescent="0.2">
      <c r="B21" s="28" t="s">
        <v>31</v>
      </c>
      <c r="C21" s="28">
        <v>0</v>
      </c>
      <c r="E21" s="30" t="s">
        <v>30</v>
      </c>
    </row>
    <row r="22" spans="2:5" x14ac:dyDescent="0.2">
      <c r="B22" s="30" t="s">
        <v>29</v>
      </c>
      <c r="C22" s="30">
        <v>1</v>
      </c>
      <c r="E22" s="27" t="s">
        <v>28</v>
      </c>
    </row>
    <row r="23" spans="2:5" x14ac:dyDescent="0.2">
      <c r="B23" s="27" t="s">
        <v>27</v>
      </c>
      <c r="C23" s="27">
        <v>2</v>
      </c>
    </row>
    <row r="24" spans="2:5" x14ac:dyDescent="0.2">
      <c r="E24" s="29" t="s">
        <v>26</v>
      </c>
    </row>
    <row r="25" spans="2:5" x14ac:dyDescent="0.2">
      <c r="B25" s="232" t="s">
        <v>25</v>
      </c>
      <c r="C25" s="233"/>
      <c r="E25" s="28" t="s">
        <v>24</v>
      </c>
    </row>
    <row r="26" spans="2:5" x14ac:dyDescent="0.2">
      <c r="B26" s="28" t="s">
        <v>15</v>
      </c>
      <c r="C26" s="28">
        <v>0</v>
      </c>
      <c r="E26" s="27" t="s">
        <v>23</v>
      </c>
    </row>
    <row r="27" spans="2:5" x14ac:dyDescent="0.2">
      <c r="B27" s="27" t="s">
        <v>22</v>
      </c>
      <c r="C27" s="27">
        <v>1</v>
      </c>
    </row>
    <row r="28" spans="2:5" x14ac:dyDescent="0.2">
      <c r="E28" s="29" t="s">
        <v>21</v>
      </c>
    </row>
    <row r="29" spans="2:5" x14ac:dyDescent="0.2">
      <c r="E29" s="28" t="s">
        <v>20</v>
      </c>
    </row>
    <row r="30" spans="2:5" x14ac:dyDescent="0.2">
      <c r="E30" s="27" t="s">
        <v>19</v>
      </c>
    </row>
  </sheetData>
  <mergeCells count="4">
    <mergeCell ref="B20:C20"/>
    <mergeCell ref="B25:C25"/>
    <mergeCell ref="B2:C2"/>
    <mergeCell ref="B14:C14"/>
  </mergeCells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22</vt:i4>
      </vt:variant>
    </vt:vector>
  </HeadingPairs>
  <TitlesOfParts>
    <vt:vector size="28" baseType="lpstr">
      <vt:lpstr>Triggers</vt:lpstr>
      <vt:lpstr>EUR Curves</vt:lpstr>
      <vt:lpstr>AUD Curves</vt:lpstr>
      <vt:lpstr>AUD EUR BAS OIS</vt:lpstr>
      <vt:lpstr>AUD EUR BAS STD</vt:lpstr>
      <vt:lpstr>dvCurveBootstrapperOptions</vt:lpstr>
      <vt:lpstr>dvBool</vt:lpstr>
      <vt:lpstr>dvCurveBootstrapperCompounding</vt:lpstr>
      <vt:lpstr>dvCurveBootstrapperDayCount</vt:lpstr>
      <vt:lpstr>dvCurveBootstrapperFraFutAdjust</vt:lpstr>
      <vt:lpstr>dvCurveBootstrapperFutCons</vt:lpstr>
      <vt:lpstr>dvCurveBootstrapperFutEndDate</vt:lpstr>
      <vt:lpstr>dvCurveBootstrapperInterpOn</vt:lpstr>
      <vt:lpstr>dvCurveBootstrapperInterpType</vt:lpstr>
      <vt:lpstr>dvCurveBootstrapperMatCons</vt:lpstr>
      <vt:lpstr>dvCurveBootstrapperOutputType</vt:lpstr>
      <vt:lpstr>dvCurveBootstrapperSwapMatType</vt:lpstr>
      <vt:lpstr>EvaluationDate</vt:lpstr>
      <vt:lpstr>'AUD Curves'!InterestRatesTrigger</vt:lpstr>
      <vt:lpstr>'EUR Curves'!InterestRatesTrigger</vt:lpstr>
      <vt:lpstr>ManualTrigger</vt:lpstr>
      <vt:lpstr>ObjectsTrigger</vt:lpstr>
      <vt:lpstr>'AUD EUR BAS OIS'!Override</vt:lpstr>
      <vt:lpstr>'AUD EUR BAS STD'!Override</vt:lpstr>
      <vt:lpstr>'AUD EUR BAS OIS'!RealTime</vt:lpstr>
      <vt:lpstr>'AUD EUR BAS STD'!RealTime</vt:lpstr>
      <vt:lpstr>'AUD EUR BAS OIS'!Used</vt:lpstr>
      <vt:lpstr>'AUD EUR BAS STD'!Used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Federico Targetti</dc:creator>
  <cp:lastModifiedBy>BERTOCCHI NICHOLAS</cp:lastModifiedBy>
  <dcterms:created xsi:type="dcterms:W3CDTF">2014-02-17T09:52:39Z</dcterms:created>
  <dcterms:modified xsi:type="dcterms:W3CDTF">2017-03-20T11:00:59Z</dcterms:modified>
</cp:coreProperties>
</file>