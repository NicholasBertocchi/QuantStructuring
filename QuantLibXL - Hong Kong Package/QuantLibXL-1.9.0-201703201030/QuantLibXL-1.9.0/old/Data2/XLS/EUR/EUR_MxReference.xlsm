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1610"/>
  </bookViews>
  <sheets>
    <sheet name="GeneralSettings" sheetId="1" r:id="rId1"/>
    <sheet name="EURSTD" sheetId="20" r:id="rId2"/>
    <sheet name="EUR3M" sheetId="19" r:id="rId3"/>
    <sheet name="EUR6M" sheetId="18" r:id="rId4"/>
    <sheet name="EUR1Y" sheetId="17" r:id="rId5"/>
    <sheet name="EUR1M" sheetId="12" r:id="rId6"/>
    <sheet name="EURON" sheetId="14" r:id="rId7"/>
    <sheet name="Euribor" sheetId="16" r:id="rId8"/>
    <sheet name="PastedValue" sheetId="8" r:id="rId9"/>
  </sheets>
  <definedNames>
    <definedName name="Calendar">GeneralSettings!$D$5</definedName>
    <definedName name="Currency">GeneralSettings!$D$4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GeneralSettings!$D$9</definedName>
    <definedName name="Evaluationdate">GeneralSettings!$D$2</definedName>
    <definedName name="FamilyName" localSheetId="7">Euribor!$I$2</definedName>
    <definedName name="ObjectOverwrite">GeneralSettings!$D$7</definedName>
    <definedName name="Permanent">GeneralSettings!$D$6</definedName>
    <definedName name="Settlementdate">GeneralSettings!$D$3</definedName>
    <definedName name="Trigger">GeneralSettings!$D$8</definedName>
    <definedName name="YieldCurve_1M">GeneralSettings!$I$26</definedName>
    <definedName name="YieldCurve_1Y">GeneralSettings!$D$40</definedName>
    <definedName name="YieldCurve_3M">GeneralSettings!$I$12</definedName>
    <definedName name="YieldCurve_6M">GeneralSettings!$D$26</definedName>
    <definedName name="YieldCurve_ON">GeneralSettings!$I$40</definedName>
    <definedName name="YieldCurve_STD">GeneralSettings!$D$12</definedName>
  </definedNames>
  <calcPr calcId="145621"/>
</workbook>
</file>

<file path=xl/calcChain.xml><?xml version="1.0" encoding="utf-8"?>
<calcChain xmlns="http://schemas.openxmlformats.org/spreadsheetml/2006/main">
  <c r="C82" i="20" l="1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3" i="18"/>
  <c r="C18" i="20"/>
  <c r="C22" i="20"/>
  <c r="C21" i="20"/>
  <c r="C17" i="20"/>
  <c r="C20" i="20"/>
  <c r="C19" i="20"/>
  <c r="C26" i="19"/>
  <c r="C25" i="19"/>
  <c r="C24" i="19"/>
  <c r="C22" i="19"/>
  <c r="C23" i="19"/>
  <c r="C27" i="19"/>
  <c r="H82" i="19" l="1"/>
  <c r="H81" i="19"/>
  <c r="H80" i="19"/>
  <c r="H79" i="19"/>
  <c r="H78" i="19"/>
  <c r="H77" i="19"/>
  <c r="H76" i="19"/>
  <c r="H75" i="19"/>
  <c r="H74" i="19"/>
  <c r="H73" i="19"/>
  <c r="H72" i="19"/>
  <c r="H71" i="19"/>
  <c r="H70" i="19"/>
  <c r="H69" i="19"/>
  <c r="H68" i="19"/>
  <c r="H67" i="19"/>
  <c r="H66" i="19"/>
  <c r="H65" i="19"/>
  <c r="H64" i="19"/>
  <c r="H63" i="19"/>
  <c r="H62" i="19"/>
  <c r="H61" i="19"/>
  <c r="H60" i="19"/>
  <c r="H59" i="19"/>
  <c r="H58" i="19"/>
  <c r="H57" i="19"/>
  <c r="H56" i="19"/>
  <c r="H55" i="19"/>
  <c r="H54" i="19"/>
  <c r="H53" i="19"/>
  <c r="H52" i="19"/>
  <c r="H51" i="19"/>
  <c r="H50" i="19"/>
  <c r="H49" i="19"/>
  <c r="H48" i="19"/>
  <c r="H47" i="19"/>
  <c r="H46" i="19"/>
  <c r="H45" i="19"/>
  <c r="H44" i="19"/>
  <c r="H43" i="19"/>
  <c r="H42" i="19"/>
  <c r="H41" i="19"/>
  <c r="H40" i="19"/>
  <c r="H39" i="19"/>
  <c r="H38" i="19"/>
  <c r="H37" i="19"/>
  <c r="H36" i="19"/>
  <c r="H35" i="19"/>
  <c r="H34" i="19"/>
  <c r="H33" i="19"/>
  <c r="H32" i="19"/>
  <c r="H31" i="19"/>
  <c r="H30" i="19"/>
  <c r="H29" i="19"/>
  <c r="H28" i="19"/>
  <c r="H27" i="19"/>
  <c r="H26" i="19"/>
  <c r="H25" i="19"/>
  <c r="H24" i="19"/>
  <c r="H23" i="19"/>
  <c r="H22" i="19"/>
  <c r="H21" i="19"/>
  <c r="H20" i="19"/>
  <c r="H19" i="19"/>
  <c r="H18" i="19"/>
  <c r="H17" i="19"/>
  <c r="H16" i="19"/>
  <c r="H15" i="19"/>
  <c r="H14" i="19"/>
  <c r="H13" i="19"/>
  <c r="H12" i="19"/>
  <c r="H11" i="19"/>
  <c r="H10" i="19"/>
  <c r="H9" i="19"/>
  <c r="H8" i="19"/>
  <c r="H7" i="19"/>
  <c r="H6" i="19"/>
  <c r="H5" i="19"/>
  <c r="H4" i="19"/>
  <c r="H82" i="18"/>
  <c r="H81" i="18"/>
  <c r="H80" i="18"/>
  <c r="H79" i="18"/>
  <c r="H78" i="18"/>
  <c r="H77" i="18"/>
  <c r="H76" i="18"/>
  <c r="H75" i="18"/>
  <c r="H74" i="18"/>
  <c r="H73" i="18"/>
  <c r="H72" i="18"/>
  <c r="H71" i="18"/>
  <c r="H70" i="18"/>
  <c r="H69" i="18"/>
  <c r="H68" i="18"/>
  <c r="H67" i="18"/>
  <c r="H66" i="18"/>
  <c r="H65" i="18"/>
  <c r="H64" i="18"/>
  <c r="H63" i="18"/>
  <c r="H62" i="18"/>
  <c r="H61" i="18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H4" i="18"/>
  <c r="H82" i="17"/>
  <c r="H81" i="17"/>
  <c r="H80" i="17"/>
  <c r="H79" i="17"/>
  <c r="H78" i="17"/>
  <c r="H77" i="17"/>
  <c r="H76" i="17"/>
  <c r="H75" i="17"/>
  <c r="H74" i="17"/>
  <c r="H73" i="17"/>
  <c r="H72" i="17"/>
  <c r="H71" i="17"/>
  <c r="H70" i="17"/>
  <c r="H69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H4" i="17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82" i="20"/>
  <c r="H81" i="20"/>
  <c r="H80" i="20"/>
  <c r="H79" i="20"/>
  <c r="H78" i="20"/>
  <c r="H77" i="20"/>
  <c r="H76" i="20"/>
  <c r="H75" i="20"/>
  <c r="H74" i="20"/>
  <c r="H73" i="20"/>
  <c r="H72" i="20"/>
  <c r="H71" i="20"/>
  <c r="H70" i="20"/>
  <c r="H69" i="20"/>
  <c r="H68" i="20"/>
  <c r="H67" i="20"/>
  <c r="H66" i="20"/>
  <c r="H65" i="20"/>
  <c r="H64" i="20"/>
  <c r="H63" i="20"/>
  <c r="H62" i="20"/>
  <c r="H61" i="20"/>
  <c r="H60" i="20"/>
  <c r="H59" i="20"/>
  <c r="H58" i="20"/>
  <c r="H57" i="20"/>
  <c r="H56" i="20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30" i="20"/>
  <c r="H29" i="20"/>
  <c r="H28" i="20"/>
  <c r="H27" i="20"/>
  <c r="H26" i="20"/>
  <c r="H25" i="20"/>
  <c r="H24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H4" i="20"/>
  <c r="H3" i="19"/>
  <c r="H3" i="18"/>
  <c r="H3" i="17"/>
  <c r="H3" i="12"/>
  <c r="H3" i="20"/>
  <c r="F3" i="19"/>
  <c r="F3" i="17"/>
  <c r="F3" i="12"/>
  <c r="G79" i="20"/>
  <c r="G78" i="20"/>
  <c r="G77" i="20"/>
  <c r="G76" i="20"/>
  <c r="G75" i="20"/>
  <c r="G68" i="20"/>
  <c r="G63" i="20"/>
  <c r="G81" i="20"/>
  <c r="G73" i="20"/>
  <c r="G69" i="20"/>
  <c r="G67" i="20"/>
  <c r="G65" i="20"/>
  <c r="G82" i="20"/>
  <c r="G80" i="20"/>
  <c r="G74" i="20"/>
  <c r="G72" i="20"/>
  <c r="G71" i="20"/>
  <c r="G70" i="20"/>
  <c r="G66" i="20"/>
  <c r="G64" i="20"/>
  <c r="I3" i="20" a="1"/>
  <c r="B3" i="20" a="1"/>
  <c r="A3" i="20" a="1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8"/>
  <c r="F78" i="19"/>
  <c r="F77" i="19"/>
  <c r="F76" i="19"/>
  <c r="F75" i="19"/>
  <c r="F46" i="19"/>
  <c r="F82" i="19"/>
  <c r="F81" i="19"/>
  <c r="F80" i="19"/>
  <c r="F79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I3" i="19" a="1"/>
  <c r="B3" i="19" a="1"/>
  <c r="A3" i="19" a="1"/>
  <c r="I3" i="18" a="1"/>
  <c r="B3" i="18" a="1"/>
  <c r="A3" i="18" a="1"/>
  <c r="I3" i="12" a="1"/>
  <c r="B3" i="12" a="1"/>
  <c r="A3" i="12" a="1"/>
  <c r="A3" i="17" a="1"/>
  <c r="I10" i="20"/>
  <c r="I18" i="20"/>
  <c r="I26" i="20"/>
  <c r="I34" i="20"/>
  <c r="I42" i="20"/>
  <c r="I50" i="20"/>
  <c r="I58" i="20"/>
  <c r="I66" i="20"/>
  <c r="I74" i="20"/>
  <c r="I82" i="20"/>
  <c r="I67" i="20"/>
  <c r="I52" i="20"/>
  <c r="I76" i="20"/>
  <c r="I45" i="20"/>
  <c r="I77" i="20"/>
  <c r="I38" i="20"/>
  <c r="I78" i="20"/>
  <c r="I55" i="20"/>
  <c r="I8" i="20"/>
  <c r="I56" i="20"/>
  <c r="I33" i="20"/>
  <c r="I81" i="20"/>
  <c r="I3" i="20"/>
  <c r="I11" i="20"/>
  <c r="I19" i="20"/>
  <c r="I27" i="20"/>
  <c r="I35" i="20"/>
  <c r="I43" i="20"/>
  <c r="I51" i="20"/>
  <c r="I59" i="20"/>
  <c r="I75" i="20"/>
  <c r="I60" i="20"/>
  <c r="I29" i="20"/>
  <c r="I61" i="20"/>
  <c r="I46" i="20"/>
  <c r="I15" i="20"/>
  <c r="I63" i="20"/>
  <c r="I32" i="20"/>
  <c r="I17" i="20"/>
  <c r="I73" i="20"/>
  <c r="I4" i="20"/>
  <c r="I12" i="20"/>
  <c r="I20" i="20"/>
  <c r="I28" i="20"/>
  <c r="I36" i="20"/>
  <c r="I44" i="20"/>
  <c r="I68" i="20"/>
  <c r="I53" i="20"/>
  <c r="I30" i="20"/>
  <c r="I62" i="20"/>
  <c r="I39" i="20"/>
  <c r="I16" i="20"/>
  <c r="I72" i="20"/>
  <c r="I57" i="20"/>
  <c r="I5" i="20"/>
  <c r="I13" i="20"/>
  <c r="I21" i="20"/>
  <c r="I37" i="20"/>
  <c r="I69" i="20"/>
  <c r="I70" i="20"/>
  <c r="I31" i="20"/>
  <c r="I71" i="20"/>
  <c r="I40" i="20"/>
  <c r="I25" i="20"/>
  <c r="I6" i="20"/>
  <c r="I14" i="20"/>
  <c r="I22" i="20"/>
  <c r="I54" i="20"/>
  <c r="I23" i="20"/>
  <c r="I79" i="20"/>
  <c r="I64" i="20"/>
  <c r="I49" i="20"/>
  <c r="I7" i="20"/>
  <c r="I47" i="20"/>
  <c r="I24" i="20"/>
  <c r="I80" i="20"/>
  <c r="I65" i="20"/>
  <c r="I48" i="20"/>
  <c r="I9" i="20"/>
  <c r="I41" i="20"/>
  <c r="B10" i="20"/>
  <c r="B18" i="20"/>
  <c r="B26" i="20"/>
  <c r="B34" i="20"/>
  <c r="B42" i="20"/>
  <c r="B50" i="20"/>
  <c r="B58" i="20"/>
  <c r="B66" i="20"/>
  <c r="B74" i="20"/>
  <c r="B82" i="20"/>
  <c r="B51" i="20"/>
  <c r="B59" i="20"/>
  <c r="B67" i="20"/>
  <c r="B75" i="20"/>
  <c r="B52" i="20"/>
  <c r="B68" i="20"/>
  <c r="B21" i="20"/>
  <c r="B45" i="20"/>
  <c r="B77" i="20"/>
  <c r="B22" i="20"/>
  <c r="B54" i="20"/>
  <c r="B7" i="20"/>
  <c r="B55" i="20"/>
  <c r="B80" i="20"/>
  <c r="B81" i="20"/>
  <c r="B3" i="20"/>
  <c r="B11" i="20"/>
  <c r="B19" i="20"/>
  <c r="B27" i="20"/>
  <c r="B35" i="20"/>
  <c r="B43" i="20"/>
  <c r="B69" i="20"/>
  <c r="B14" i="20"/>
  <c r="B46" i="20"/>
  <c r="B78" i="20"/>
  <c r="B31" i="20"/>
  <c r="B71" i="20"/>
  <c r="B41" i="20"/>
  <c r="B4" i="20"/>
  <c r="B12" i="20"/>
  <c r="B20" i="20"/>
  <c r="B28" i="20"/>
  <c r="B36" i="20"/>
  <c r="B44" i="20"/>
  <c r="B60" i="20"/>
  <c r="B76" i="20"/>
  <c r="B37" i="20"/>
  <c r="B61" i="20"/>
  <c r="B6" i="20"/>
  <c r="B38" i="20"/>
  <c r="B70" i="20"/>
  <c r="B23" i="20"/>
  <c r="B63" i="20"/>
  <c r="B33" i="20"/>
  <c r="B5" i="20"/>
  <c r="B13" i="20"/>
  <c r="B29" i="20"/>
  <c r="B53" i="20"/>
  <c r="B30" i="20"/>
  <c r="B62" i="20"/>
  <c r="B39" i="20"/>
  <c r="B79" i="20"/>
  <c r="B65" i="20"/>
  <c r="B47" i="20"/>
  <c r="B73" i="20"/>
  <c r="B15" i="20"/>
  <c r="B25" i="20"/>
  <c r="B8" i="20"/>
  <c r="B16" i="20"/>
  <c r="B24" i="20"/>
  <c r="B32" i="20"/>
  <c r="B40" i="20"/>
  <c r="B48" i="20"/>
  <c r="B56" i="20"/>
  <c r="B64" i="20"/>
  <c r="B72" i="20"/>
  <c r="B57" i="20"/>
  <c r="B9" i="20"/>
  <c r="B17" i="20"/>
  <c r="B49" i="20"/>
  <c r="A10" i="20"/>
  <c r="A18" i="20"/>
  <c r="A26" i="20"/>
  <c r="A34" i="20"/>
  <c r="A42" i="20"/>
  <c r="A50" i="20"/>
  <c r="A58" i="20"/>
  <c r="A66" i="20"/>
  <c r="A74" i="20"/>
  <c r="A82" i="20"/>
  <c r="A27" i="20"/>
  <c r="A43" i="20"/>
  <c r="A59" i="20"/>
  <c r="A75" i="20"/>
  <c r="A36" i="20"/>
  <c r="A60" i="20"/>
  <c r="A13" i="20"/>
  <c r="A37" i="20"/>
  <c r="A61" i="20"/>
  <c r="A14" i="20"/>
  <c r="A38" i="20"/>
  <c r="A78" i="20"/>
  <c r="A31" i="20"/>
  <c r="A71" i="20"/>
  <c r="A32" i="20"/>
  <c r="A72" i="20"/>
  <c r="A17" i="20"/>
  <c r="A57" i="20"/>
  <c r="A3" i="20"/>
  <c r="A11" i="20"/>
  <c r="A19" i="20"/>
  <c r="A35" i="20"/>
  <c r="A51" i="20"/>
  <c r="A67" i="20"/>
  <c r="A20" i="20"/>
  <c r="A44" i="20"/>
  <c r="A68" i="20"/>
  <c r="A21" i="20"/>
  <c r="A53" i="20"/>
  <c r="A22" i="20"/>
  <c r="A46" i="20"/>
  <c r="A7" i="20"/>
  <c r="A47" i="20"/>
  <c r="A16" i="20"/>
  <c r="A48" i="20"/>
  <c r="A33" i="20"/>
  <c r="A81" i="20"/>
  <c r="A4" i="20"/>
  <c r="A12" i="20"/>
  <c r="A28" i="20"/>
  <c r="A52" i="20"/>
  <c r="A76" i="20"/>
  <c r="A29" i="20"/>
  <c r="A69" i="20"/>
  <c r="A30" i="20"/>
  <c r="A54" i="20"/>
  <c r="A15" i="20"/>
  <c r="A55" i="20"/>
  <c r="A8" i="20"/>
  <c r="A56" i="20"/>
  <c r="A25" i="20"/>
  <c r="A73" i="20"/>
  <c r="A5" i="20"/>
  <c r="A45" i="20"/>
  <c r="A77" i="20"/>
  <c r="A62" i="20"/>
  <c r="A23" i="20"/>
  <c r="A63" i="20"/>
  <c r="A40" i="20"/>
  <c r="A80" i="20"/>
  <c r="A49" i="20"/>
  <c r="A6" i="20"/>
  <c r="A70" i="20"/>
  <c r="A39" i="20"/>
  <c r="A24" i="20"/>
  <c r="A64" i="20"/>
  <c r="A41" i="20"/>
  <c r="A79" i="20"/>
  <c r="A9" i="20"/>
  <c r="A65" i="20"/>
  <c r="J66" i="20"/>
  <c r="J64" i="20"/>
  <c r="J63" i="20"/>
  <c r="J65" i="20"/>
  <c r="J67" i="20"/>
  <c r="I10" i="19"/>
  <c r="I18" i="19"/>
  <c r="I26" i="19"/>
  <c r="I34" i="19"/>
  <c r="I42" i="19"/>
  <c r="I50" i="19"/>
  <c r="I58" i="19"/>
  <c r="I66" i="19"/>
  <c r="I74" i="19"/>
  <c r="I82" i="19"/>
  <c r="I67" i="19"/>
  <c r="I44" i="19"/>
  <c r="I68" i="19"/>
  <c r="I37" i="19"/>
  <c r="I53" i="19"/>
  <c r="I77" i="19"/>
  <c r="I54" i="19"/>
  <c r="I23" i="19"/>
  <c r="I63" i="19"/>
  <c r="I24" i="19"/>
  <c r="I72" i="19"/>
  <c r="I57" i="19"/>
  <c r="I3" i="19"/>
  <c r="I11" i="19"/>
  <c r="I19" i="19"/>
  <c r="I27" i="19"/>
  <c r="I35" i="19"/>
  <c r="I43" i="19"/>
  <c r="I51" i="19"/>
  <c r="I59" i="19"/>
  <c r="I75" i="19"/>
  <c r="I60" i="19"/>
  <c r="I21" i="19"/>
  <c r="I61" i="19"/>
  <c r="I30" i="19"/>
  <c r="I70" i="19"/>
  <c r="I39" i="19"/>
  <c r="I71" i="19"/>
  <c r="I40" i="19"/>
  <c r="I25" i="19"/>
  <c r="I65" i="19"/>
  <c r="I4" i="19"/>
  <c r="I12" i="19"/>
  <c r="I20" i="19"/>
  <c r="I28" i="19"/>
  <c r="I36" i="19"/>
  <c r="I52" i="19"/>
  <c r="I76" i="19"/>
  <c r="I45" i="19"/>
  <c r="I22" i="19"/>
  <c r="I62" i="19"/>
  <c r="I31" i="19"/>
  <c r="I79" i="19"/>
  <c r="I48" i="19"/>
  <c r="I17" i="19"/>
  <c r="I73" i="19"/>
  <c r="I5" i="19"/>
  <c r="I13" i="19"/>
  <c r="I29" i="19"/>
  <c r="I69" i="19"/>
  <c r="I38" i="19"/>
  <c r="I78" i="19"/>
  <c r="I47" i="19"/>
  <c r="I8" i="19"/>
  <c r="I56" i="19"/>
  <c r="I33" i="19"/>
  <c r="I6" i="19"/>
  <c r="I14" i="19"/>
  <c r="I46" i="19"/>
  <c r="I15" i="19"/>
  <c r="I55" i="19"/>
  <c r="I32" i="19"/>
  <c r="I80" i="19"/>
  <c r="I81" i="19"/>
  <c r="I7" i="19"/>
  <c r="I16" i="19"/>
  <c r="I64" i="19"/>
  <c r="I49" i="19"/>
  <c r="I41" i="19"/>
  <c r="I9" i="19"/>
  <c r="B10" i="19"/>
  <c r="B18" i="19"/>
  <c r="B26" i="19"/>
  <c r="B34" i="19"/>
  <c r="B42" i="19"/>
  <c r="B50" i="19"/>
  <c r="B58" i="19"/>
  <c r="B66" i="19"/>
  <c r="B74" i="19"/>
  <c r="B82" i="19"/>
  <c r="B11" i="19"/>
  <c r="B27" i="19"/>
  <c r="B43" i="19"/>
  <c r="B59" i="19"/>
  <c r="B75" i="19"/>
  <c r="B20" i="19"/>
  <c r="B44" i="19"/>
  <c r="B68" i="19"/>
  <c r="B21" i="19"/>
  <c r="B45" i="19"/>
  <c r="B69" i="19"/>
  <c r="B6" i="19"/>
  <c r="B46" i="19"/>
  <c r="B78" i="19"/>
  <c r="B39" i="19"/>
  <c r="B79" i="19"/>
  <c r="B24" i="19"/>
  <c r="B72" i="19"/>
  <c r="B33" i="19"/>
  <c r="B81" i="19"/>
  <c r="B3" i="19"/>
  <c r="B19" i="19"/>
  <c r="B35" i="19"/>
  <c r="B51" i="19"/>
  <c r="B67" i="19"/>
  <c r="B12" i="19"/>
  <c r="B36" i="19"/>
  <c r="B60" i="19"/>
  <c r="B13" i="19"/>
  <c r="B37" i="19"/>
  <c r="B61" i="19"/>
  <c r="B14" i="19"/>
  <c r="B62" i="19"/>
  <c r="B7" i="19"/>
  <c r="B55" i="19"/>
  <c r="B16" i="19"/>
  <c r="B56" i="19"/>
  <c r="B25" i="19"/>
  <c r="B65" i="19"/>
  <c r="B4" i="19"/>
  <c r="B28" i="19"/>
  <c r="B52" i="19"/>
  <c r="B76" i="19"/>
  <c r="B29" i="19"/>
  <c r="B53" i="19"/>
  <c r="B22" i="19"/>
  <c r="B54" i="19"/>
  <c r="B15" i="19"/>
  <c r="B47" i="19"/>
  <c r="B8" i="19"/>
  <c r="B48" i="19"/>
  <c r="B17" i="19"/>
  <c r="B57" i="19"/>
  <c r="B5" i="19"/>
  <c r="B77" i="19"/>
  <c r="B38" i="19"/>
  <c r="B70" i="19"/>
  <c r="B31" i="19"/>
  <c r="B63" i="19"/>
  <c r="B32" i="19"/>
  <c r="B9" i="19"/>
  <c r="B41" i="19"/>
  <c r="B30" i="19"/>
  <c r="B23" i="19"/>
  <c r="B71" i="19"/>
  <c r="B40" i="19"/>
  <c r="B80" i="19"/>
  <c r="B49" i="19"/>
  <c r="B64" i="19"/>
  <c r="B73" i="19"/>
  <c r="A10" i="19"/>
  <c r="A18" i="19"/>
  <c r="A26" i="19"/>
  <c r="A34" i="19"/>
  <c r="A42" i="19"/>
  <c r="A50" i="19"/>
  <c r="A58" i="19"/>
  <c r="A66" i="19"/>
  <c r="A74" i="19"/>
  <c r="A82" i="19"/>
  <c r="A59" i="19"/>
  <c r="A75" i="19"/>
  <c r="A28" i="19"/>
  <c r="A52" i="19"/>
  <c r="A76" i="19"/>
  <c r="A29" i="19"/>
  <c r="A53" i="19"/>
  <c r="A77" i="19"/>
  <c r="A30" i="19"/>
  <c r="A54" i="19"/>
  <c r="A7" i="19"/>
  <c r="A39" i="19"/>
  <c r="A79" i="19"/>
  <c r="A40" i="19"/>
  <c r="A80" i="19"/>
  <c r="A3" i="19"/>
  <c r="A11" i="19"/>
  <c r="A19" i="19"/>
  <c r="A27" i="19"/>
  <c r="A35" i="19"/>
  <c r="A43" i="19"/>
  <c r="A51" i="19"/>
  <c r="A67" i="19"/>
  <c r="A36" i="19"/>
  <c r="A60" i="19"/>
  <c r="A5" i="19"/>
  <c r="A37" i="19"/>
  <c r="A61" i="19"/>
  <c r="A6" i="19"/>
  <c r="A38" i="19"/>
  <c r="A70" i="19"/>
  <c r="A23" i="19"/>
  <c r="A55" i="19"/>
  <c r="A16" i="19"/>
  <c r="A56" i="19"/>
  <c r="A49" i="19"/>
  <c r="A4" i="19"/>
  <c r="A12" i="19"/>
  <c r="A20" i="19"/>
  <c r="A44" i="19"/>
  <c r="A68" i="19"/>
  <c r="A21" i="19"/>
  <c r="A45" i="19"/>
  <c r="A69" i="19"/>
  <c r="A14" i="19"/>
  <c r="A46" i="19"/>
  <c r="A15" i="19"/>
  <c r="A47" i="19"/>
  <c r="A8" i="19"/>
  <c r="A48" i="19"/>
  <c r="A57" i="19"/>
  <c r="A13" i="19"/>
  <c r="A22" i="19"/>
  <c r="A62" i="19"/>
  <c r="A31" i="19"/>
  <c r="A63" i="19"/>
  <c r="A24" i="19"/>
  <c r="A64" i="19"/>
  <c r="A81" i="19"/>
  <c r="A78" i="19"/>
  <c r="A71" i="19"/>
  <c r="A32" i="19"/>
  <c r="A72" i="19"/>
  <c r="A65" i="19"/>
  <c r="A73" i="19"/>
  <c r="A9" i="19"/>
  <c r="A17" i="19"/>
  <c r="A25" i="19"/>
  <c r="A33" i="19"/>
  <c r="A41" i="19"/>
  <c r="I10" i="18"/>
  <c r="I18" i="18"/>
  <c r="I26" i="18"/>
  <c r="I34" i="18"/>
  <c r="I42" i="18"/>
  <c r="I50" i="18"/>
  <c r="I58" i="18"/>
  <c r="I66" i="18"/>
  <c r="I74" i="18"/>
  <c r="I82" i="18"/>
  <c r="I67" i="18"/>
  <c r="I44" i="18"/>
  <c r="I52" i="18"/>
  <c r="I76" i="18"/>
  <c r="I45" i="18"/>
  <c r="I77" i="18"/>
  <c r="I54" i="18"/>
  <c r="I15" i="18"/>
  <c r="I47" i="18"/>
  <c r="I8" i="18"/>
  <c r="I48" i="18"/>
  <c r="I25" i="18"/>
  <c r="I73" i="18"/>
  <c r="I3" i="18"/>
  <c r="I11" i="18"/>
  <c r="I19" i="18"/>
  <c r="I27" i="18"/>
  <c r="I35" i="18"/>
  <c r="I43" i="18"/>
  <c r="I51" i="18"/>
  <c r="I59" i="18"/>
  <c r="I75" i="18"/>
  <c r="I68" i="18"/>
  <c r="I37" i="18"/>
  <c r="I69" i="18"/>
  <c r="I22" i="18"/>
  <c r="I78" i="18"/>
  <c r="I31" i="18"/>
  <c r="I79" i="18"/>
  <c r="I32" i="18"/>
  <c r="I72" i="18"/>
  <c r="I41" i="18"/>
  <c r="I4" i="18"/>
  <c r="I12" i="18"/>
  <c r="I20" i="18"/>
  <c r="I28" i="18"/>
  <c r="I36" i="18"/>
  <c r="I60" i="18"/>
  <c r="I29" i="18"/>
  <c r="I61" i="18"/>
  <c r="I30" i="18"/>
  <c r="I70" i="18"/>
  <c r="I39" i="18"/>
  <c r="I71" i="18"/>
  <c r="I24" i="18"/>
  <c r="I56" i="18"/>
  <c r="I33" i="18"/>
  <c r="I81" i="18"/>
  <c r="I5" i="18"/>
  <c r="I13" i="18"/>
  <c r="I21" i="18"/>
  <c r="I53" i="18"/>
  <c r="I38" i="18"/>
  <c r="I62" i="18"/>
  <c r="I23" i="18"/>
  <c r="I63" i="18"/>
  <c r="I40" i="18"/>
  <c r="I80" i="18"/>
  <c r="I49" i="18"/>
  <c r="I6" i="18"/>
  <c r="I14" i="18"/>
  <c r="I46" i="18"/>
  <c r="I7" i="18"/>
  <c r="I55" i="18"/>
  <c r="I16" i="18"/>
  <c r="I64" i="18"/>
  <c r="I57" i="18"/>
  <c r="I9" i="18"/>
  <c r="I17" i="18"/>
  <c r="I65" i="18"/>
  <c r="B10" i="18"/>
  <c r="B18" i="18"/>
  <c r="B26" i="18"/>
  <c r="B34" i="18"/>
  <c r="B42" i="18"/>
  <c r="B50" i="18"/>
  <c r="B58" i="18"/>
  <c r="B66" i="18"/>
  <c r="B74" i="18"/>
  <c r="B82" i="18"/>
  <c r="B59" i="18"/>
  <c r="B75" i="18"/>
  <c r="B44" i="18"/>
  <c r="B68" i="18"/>
  <c r="B29" i="18"/>
  <c r="B61" i="18"/>
  <c r="B14" i="18"/>
  <c r="B46" i="18"/>
  <c r="B7" i="18"/>
  <c r="B47" i="18"/>
  <c r="B16" i="18"/>
  <c r="B56" i="18"/>
  <c r="B25" i="18"/>
  <c r="B73" i="18"/>
  <c r="B3" i="18"/>
  <c r="B11" i="18"/>
  <c r="B19" i="18"/>
  <c r="B27" i="18"/>
  <c r="B35" i="18"/>
  <c r="B43" i="18"/>
  <c r="B51" i="18"/>
  <c r="B67" i="18"/>
  <c r="B28" i="18"/>
  <c r="B52" i="18"/>
  <c r="B13" i="18"/>
  <c r="B45" i="18"/>
  <c r="B77" i="18"/>
  <c r="B38" i="18"/>
  <c r="B78" i="18"/>
  <c r="B31" i="18"/>
  <c r="B55" i="18"/>
  <c r="B24" i="18"/>
  <c r="B72" i="18"/>
  <c r="B41" i="18"/>
  <c r="B4" i="18"/>
  <c r="B12" i="18"/>
  <c r="B20" i="18"/>
  <c r="B36" i="18"/>
  <c r="B60" i="18"/>
  <c r="B76" i="18"/>
  <c r="B37" i="18"/>
  <c r="B69" i="18"/>
  <c r="B30" i="18"/>
  <c r="B70" i="18"/>
  <c r="B23" i="18"/>
  <c r="B63" i="18"/>
  <c r="B32" i="18"/>
  <c r="B64" i="18"/>
  <c r="B33" i="18"/>
  <c r="B81" i="18"/>
  <c r="B5" i="18"/>
  <c r="B21" i="18"/>
  <c r="B53" i="18"/>
  <c r="B22" i="18"/>
  <c r="B62" i="18"/>
  <c r="B15" i="18"/>
  <c r="B71" i="18"/>
  <c r="B40" i="18"/>
  <c r="B80" i="18"/>
  <c r="B49" i="18"/>
  <c r="B6" i="18"/>
  <c r="B54" i="18"/>
  <c r="B39" i="18"/>
  <c r="B79" i="18"/>
  <c r="B48" i="18"/>
  <c r="B9" i="18"/>
  <c r="B57" i="18"/>
  <c r="B8" i="18"/>
  <c r="B17" i="18"/>
  <c r="B65" i="18"/>
  <c r="A10" i="18"/>
  <c r="A18" i="18"/>
  <c r="A26" i="18"/>
  <c r="A34" i="18"/>
  <c r="A42" i="18"/>
  <c r="A50" i="18"/>
  <c r="A58" i="18"/>
  <c r="A66" i="18"/>
  <c r="A74" i="18"/>
  <c r="A82" i="18"/>
  <c r="A59" i="18"/>
  <c r="A75" i="18"/>
  <c r="A76" i="18"/>
  <c r="A53" i="18"/>
  <c r="A77" i="18"/>
  <c r="A46" i="18"/>
  <c r="A7" i="18"/>
  <c r="A47" i="18"/>
  <c r="A8" i="18"/>
  <c r="A32" i="18"/>
  <c r="A72" i="18"/>
  <c r="A41" i="18"/>
  <c r="A3" i="18"/>
  <c r="A11" i="18"/>
  <c r="A19" i="18"/>
  <c r="A27" i="18"/>
  <c r="A35" i="18"/>
  <c r="A43" i="18"/>
  <c r="A51" i="18"/>
  <c r="A67" i="18"/>
  <c r="A29" i="18"/>
  <c r="A61" i="18"/>
  <c r="A30" i="18"/>
  <c r="A78" i="18"/>
  <c r="A39" i="18"/>
  <c r="A16" i="18"/>
  <c r="A56" i="18"/>
  <c r="A9" i="18"/>
  <c r="A57" i="18"/>
  <c r="A4" i="18"/>
  <c r="A12" i="18"/>
  <c r="A20" i="18"/>
  <c r="A28" i="18"/>
  <c r="A36" i="18"/>
  <c r="A44" i="18"/>
  <c r="A52" i="18"/>
  <c r="A60" i="18"/>
  <c r="A68" i="18"/>
  <c r="A37" i="18"/>
  <c r="A69" i="18"/>
  <c r="A38" i="18"/>
  <c r="A70" i="18"/>
  <c r="A31" i="18"/>
  <c r="A79" i="18"/>
  <c r="A24" i="18"/>
  <c r="A80" i="18"/>
  <c r="A49" i="18"/>
  <c r="A5" i="18"/>
  <c r="A13" i="18"/>
  <c r="A21" i="18"/>
  <c r="A45" i="18"/>
  <c r="A14" i="18"/>
  <c r="A54" i="18"/>
  <c r="A15" i="18"/>
  <c r="A63" i="18"/>
  <c r="A48" i="18"/>
  <c r="A17" i="18"/>
  <c r="A65" i="18"/>
  <c r="A6" i="18"/>
  <c r="A22" i="18"/>
  <c r="A62" i="18"/>
  <c r="A23" i="18"/>
  <c r="A71" i="18"/>
  <c r="A40" i="18"/>
  <c r="A25" i="18"/>
  <c r="A73" i="18"/>
  <c r="A55" i="18"/>
  <c r="A64" i="18"/>
  <c r="A33" i="18"/>
  <c r="A81" i="18"/>
  <c r="I10" i="12"/>
  <c r="I18" i="12"/>
  <c r="I26" i="12"/>
  <c r="I34" i="12"/>
  <c r="I42" i="12"/>
  <c r="I50" i="12"/>
  <c r="I58" i="12"/>
  <c r="I66" i="12"/>
  <c r="I74" i="12"/>
  <c r="I82" i="12"/>
  <c r="I67" i="12"/>
  <c r="I75" i="12"/>
  <c r="I52" i="12"/>
  <c r="I76" i="12"/>
  <c r="I45" i="12"/>
  <c r="I77" i="12"/>
  <c r="I46" i="12"/>
  <c r="I7" i="12"/>
  <c r="I55" i="12"/>
  <c r="I24" i="12"/>
  <c r="I72" i="12"/>
  <c r="I41" i="12"/>
  <c r="I3" i="12"/>
  <c r="I11" i="12"/>
  <c r="I19" i="12"/>
  <c r="I27" i="12"/>
  <c r="I35" i="12"/>
  <c r="I43" i="12"/>
  <c r="I51" i="12"/>
  <c r="I59" i="12"/>
  <c r="I44" i="12"/>
  <c r="I68" i="12"/>
  <c r="I29" i="12"/>
  <c r="I61" i="12"/>
  <c r="I30" i="12"/>
  <c r="I70" i="12"/>
  <c r="I39" i="12"/>
  <c r="I79" i="12"/>
  <c r="I40" i="12"/>
  <c r="I9" i="12"/>
  <c r="I73" i="12"/>
  <c r="I4" i="12"/>
  <c r="I12" i="12"/>
  <c r="I20" i="12"/>
  <c r="I28" i="12"/>
  <c r="I36" i="12"/>
  <c r="I60" i="12"/>
  <c r="I21" i="12"/>
  <c r="I53" i="12"/>
  <c r="I22" i="12"/>
  <c r="I62" i="12"/>
  <c r="I31" i="12"/>
  <c r="I71" i="12"/>
  <c r="I32" i="12"/>
  <c r="I80" i="12"/>
  <c r="I57" i="12"/>
  <c r="I5" i="12"/>
  <c r="I13" i="12"/>
  <c r="I37" i="12"/>
  <c r="I69" i="12"/>
  <c r="I38" i="12"/>
  <c r="I78" i="12"/>
  <c r="I47" i="12"/>
  <c r="I8" i="12"/>
  <c r="I56" i="12"/>
  <c r="I25" i="12"/>
  <c r="I6" i="12"/>
  <c r="I14" i="12"/>
  <c r="I54" i="12"/>
  <c r="I23" i="12"/>
  <c r="I63" i="12"/>
  <c r="I48" i="12"/>
  <c r="I17" i="12"/>
  <c r="I81" i="12"/>
  <c r="I15" i="12"/>
  <c r="I16" i="12"/>
  <c r="I64" i="12"/>
  <c r="I49" i="12"/>
  <c r="I65" i="12"/>
  <c r="I33" i="12"/>
  <c r="B10" i="12"/>
  <c r="B18" i="12"/>
  <c r="B26" i="12"/>
  <c r="B34" i="12"/>
  <c r="B42" i="12"/>
  <c r="B50" i="12"/>
  <c r="B58" i="12"/>
  <c r="B66" i="12"/>
  <c r="B74" i="12"/>
  <c r="B82" i="12"/>
  <c r="B59" i="12"/>
  <c r="B75" i="12"/>
  <c r="B44" i="12"/>
  <c r="B68" i="12"/>
  <c r="B29" i="12"/>
  <c r="B61" i="12"/>
  <c r="B14" i="12"/>
  <c r="B46" i="12"/>
  <c r="B7" i="12"/>
  <c r="B47" i="12"/>
  <c r="B8" i="12"/>
  <c r="B56" i="12"/>
  <c r="B9" i="12"/>
  <c r="B49" i="12"/>
  <c r="B3" i="12"/>
  <c r="B11" i="12"/>
  <c r="B19" i="12"/>
  <c r="B27" i="12"/>
  <c r="B35" i="12"/>
  <c r="B43" i="12"/>
  <c r="B51" i="12"/>
  <c r="B67" i="12"/>
  <c r="B36" i="12"/>
  <c r="B60" i="12"/>
  <c r="B13" i="12"/>
  <c r="B45" i="12"/>
  <c r="B77" i="12"/>
  <c r="B38" i="12"/>
  <c r="B62" i="12"/>
  <c r="B23" i="12"/>
  <c r="B63" i="12"/>
  <c r="B32" i="12"/>
  <c r="B72" i="12"/>
  <c r="B41" i="12"/>
  <c r="B4" i="12"/>
  <c r="B12" i="12"/>
  <c r="B20" i="12"/>
  <c r="B28" i="12"/>
  <c r="B52" i="12"/>
  <c r="B76" i="12"/>
  <c r="B37" i="12"/>
  <c r="B69" i="12"/>
  <c r="B22" i="12"/>
  <c r="B54" i="12"/>
  <c r="B15" i="12"/>
  <c r="B55" i="12"/>
  <c r="B16" i="12"/>
  <c r="B64" i="12"/>
  <c r="B25" i="12"/>
  <c r="B73" i="12"/>
  <c r="B5" i="12"/>
  <c r="B21" i="12"/>
  <c r="B53" i="12"/>
  <c r="B30" i="12"/>
  <c r="B78" i="12"/>
  <c r="B31" i="12"/>
  <c r="B71" i="12"/>
  <c r="B40" i="12"/>
  <c r="B80" i="12"/>
  <c r="B65" i="12"/>
  <c r="B6" i="12"/>
  <c r="B70" i="12"/>
  <c r="B39" i="12"/>
  <c r="B79" i="12"/>
  <c r="B48" i="12"/>
  <c r="B17" i="12"/>
  <c r="B57" i="12"/>
  <c r="B24" i="12"/>
  <c r="B33" i="12"/>
  <c r="B81" i="12"/>
  <c r="A10" i="12"/>
  <c r="A18" i="12"/>
  <c r="A26" i="12"/>
  <c r="A34" i="12"/>
  <c r="A42" i="12"/>
  <c r="A50" i="12"/>
  <c r="A58" i="12"/>
  <c r="A66" i="12"/>
  <c r="A74" i="12"/>
  <c r="A82" i="12"/>
  <c r="A59" i="12"/>
  <c r="A75" i="12"/>
  <c r="A44" i="12"/>
  <c r="A76" i="12"/>
  <c r="A29" i="12"/>
  <c r="A53" i="12"/>
  <c r="A14" i="12"/>
  <c r="A46" i="12"/>
  <c r="A7" i="12"/>
  <c r="A47" i="12"/>
  <c r="A8" i="12"/>
  <c r="A56" i="12"/>
  <c r="A17" i="12"/>
  <c r="A65" i="12"/>
  <c r="A3" i="12"/>
  <c r="A11" i="12"/>
  <c r="A19" i="12"/>
  <c r="A27" i="12"/>
  <c r="A35" i="12"/>
  <c r="A43" i="12"/>
  <c r="A51" i="12"/>
  <c r="A67" i="12"/>
  <c r="A36" i="12"/>
  <c r="A60" i="12"/>
  <c r="A13" i="12"/>
  <c r="A45" i="12"/>
  <c r="A77" i="12"/>
  <c r="A38" i="12"/>
  <c r="A62" i="12"/>
  <c r="A23" i="12"/>
  <c r="A63" i="12"/>
  <c r="A32" i="12"/>
  <c r="A72" i="12"/>
  <c r="A41" i="12"/>
  <c r="A4" i="12"/>
  <c r="A12" i="12"/>
  <c r="A20" i="12"/>
  <c r="A28" i="12"/>
  <c r="A52" i="12"/>
  <c r="A68" i="12"/>
  <c r="A37" i="12"/>
  <c r="A69" i="12"/>
  <c r="A22" i="12"/>
  <c r="A54" i="12"/>
  <c r="A15" i="12"/>
  <c r="A55" i="12"/>
  <c r="A16" i="12"/>
  <c r="A64" i="12"/>
  <c r="A25" i="12"/>
  <c r="A73" i="12"/>
  <c r="A5" i="12"/>
  <c r="A21" i="12"/>
  <c r="A61" i="12"/>
  <c r="A30" i="12"/>
  <c r="A78" i="12"/>
  <c r="A31" i="12"/>
  <c r="A71" i="12"/>
  <c r="A40" i="12"/>
  <c r="A80" i="12"/>
  <c r="A57" i="12"/>
  <c r="A6" i="12"/>
  <c r="A70" i="12"/>
  <c r="A39" i="12"/>
  <c r="A79" i="12"/>
  <c r="A48" i="12"/>
  <c r="A9" i="12"/>
  <c r="A49" i="12"/>
  <c r="A24" i="12"/>
  <c r="A33" i="12"/>
  <c r="A81" i="12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82" i="17"/>
  <c r="G49" i="20" l="1"/>
  <c r="G9" i="20"/>
  <c r="G57" i="20"/>
  <c r="G56" i="20"/>
  <c r="G48" i="20"/>
  <c r="G40" i="20"/>
  <c r="G32" i="20"/>
  <c r="G24" i="20"/>
  <c r="G8" i="20"/>
  <c r="G25" i="20"/>
  <c r="G15" i="20"/>
  <c r="G47" i="20"/>
  <c r="G39" i="20"/>
  <c r="G62" i="20"/>
  <c r="G30" i="20"/>
  <c r="G53" i="20"/>
  <c r="G29" i="20"/>
  <c r="G13" i="20"/>
  <c r="G5" i="20"/>
  <c r="G33" i="20"/>
  <c r="G23" i="20"/>
  <c r="G38" i="20"/>
  <c r="G6" i="20"/>
  <c r="G61" i="20"/>
  <c r="G37" i="20"/>
  <c r="G60" i="20"/>
  <c r="G44" i="20"/>
  <c r="G36" i="20"/>
  <c r="G28" i="20"/>
  <c r="G12" i="20"/>
  <c r="G4" i="20"/>
  <c r="G41" i="20"/>
  <c r="G31" i="20"/>
  <c r="G46" i="20"/>
  <c r="G14" i="20"/>
  <c r="G43" i="20"/>
  <c r="G35" i="20"/>
  <c r="G27" i="20"/>
  <c r="G11" i="20"/>
  <c r="G3" i="20"/>
  <c r="G55" i="20"/>
  <c r="G7" i="20"/>
  <c r="G54" i="20"/>
  <c r="G45" i="20"/>
  <c r="G52" i="20"/>
  <c r="G59" i="20"/>
  <c r="G51" i="20"/>
  <c r="G58" i="20"/>
  <c r="G50" i="20"/>
  <c r="G42" i="20"/>
  <c r="G34" i="20"/>
  <c r="G26" i="20"/>
  <c r="G10" i="20"/>
  <c r="G21" i="20"/>
  <c r="G19" i="20"/>
  <c r="G20" i="20"/>
  <c r="G22" i="20"/>
  <c r="G17" i="20"/>
  <c r="G18" i="20"/>
  <c r="J79" i="20"/>
  <c r="J70" i="20"/>
  <c r="J80" i="20"/>
  <c r="K80" i="20" s="1"/>
  <c r="J77" i="20"/>
  <c r="J73" i="20"/>
  <c r="K73" i="20" s="1"/>
  <c r="J69" i="20"/>
  <c r="J76" i="20"/>
  <c r="J81" i="20"/>
  <c r="K81" i="20" s="1"/>
  <c r="J68" i="20"/>
  <c r="J72" i="20"/>
  <c r="K72" i="20" s="1"/>
  <c r="J71" i="20"/>
  <c r="J78" i="20"/>
  <c r="J75" i="20"/>
  <c r="J82" i="20"/>
  <c r="J74" i="20"/>
  <c r="K74" i="20" s="1"/>
  <c r="F27" i="19"/>
  <c r="F22" i="19"/>
  <c r="F23" i="19"/>
  <c r="F24" i="19"/>
  <c r="F25" i="19"/>
  <c r="F26" i="19"/>
  <c r="E66" i="20"/>
  <c r="E49" i="20"/>
  <c r="E3" i="20"/>
  <c r="E24" i="20"/>
  <c r="E42" i="20"/>
  <c r="E65" i="20"/>
  <c r="E32" i="20"/>
  <c r="E50" i="20"/>
  <c r="E73" i="20"/>
  <c r="E74" i="20"/>
  <c r="E48" i="20"/>
  <c r="E9" i="20"/>
  <c r="E11" i="20"/>
  <c r="E16" i="20"/>
  <c r="E34" i="20"/>
  <c r="E57" i="20"/>
  <c r="E80" i="20"/>
  <c r="E8" i="20"/>
  <c r="E72" i="20"/>
  <c r="E10" i="20"/>
  <c r="E56" i="20"/>
  <c r="E40" i="20"/>
  <c r="E58" i="20"/>
  <c r="E81" i="20"/>
  <c r="E25" i="20"/>
  <c r="E26" i="20"/>
  <c r="E33" i="20"/>
  <c r="E17" i="20"/>
  <c r="E43" i="19"/>
  <c r="E50" i="19"/>
  <c r="E74" i="19"/>
  <c r="J74" i="19"/>
  <c r="K74" i="19" s="1"/>
  <c r="E64" i="19"/>
  <c r="E26" i="19"/>
  <c r="E10" i="19"/>
  <c r="E63" i="19"/>
  <c r="J75" i="19"/>
  <c r="K75" i="19" s="1"/>
  <c r="E75" i="19"/>
  <c r="E40" i="19"/>
  <c r="E35" i="19"/>
  <c r="E39" i="19"/>
  <c r="E51" i="19"/>
  <c r="E49" i="19"/>
  <c r="E11" i="19"/>
  <c r="E15" i="19"/>
  <c r="E65" i="19"/>
  <c r="E24" i="19"/>
  <c r="E25" i="19"/>
  <c r="E79" i="19"/>
  <c r="J79" i="19"/>
  <c r="K79" i="19" s="1"/>
  <c r="E41" i="18"/>
  <c r="E56" i="18"/>
  <c r="E24" i="18"/>
  <c r="E45" i="18"/>
  <c r="E46" i="18"/>
  <c r="E23" i="18"/>
  <c r="E10" i="18"/>
  <c r="E5" i="18"/>
  <c r="E77" i="18"/>
  <c r="J77" i="18"/>
  <c r="K77" i="18" s="1"/>
  <c r="E25" i="18"/>
  <c r="E31" i="18"/>
  <c r="E47" i="18"/>
  <c r="E53" i="18"/>
  <c r="E74" i="18"/>
  <c r="J74" i="18"/>
  <c r="K74" i="18" s="1"/>
  <c r="E42" i="18"/>
  <c r="E63" i="18"/>
  <c r="E64" i="18"/>
  <c r="E32" i="18"/>
  <c r="E33" i="18"/>
  <c r="E34" i="18"/>
  <c r="E69" i="18"/>
  <c r="E9" i="18"/>
  <c r="E57" i="18"/>
  <c r="J78" i="18"/>
  <c r="K78" i="18" s="1"/>
  <c r="E78" i="18"/>
  <c r="E13" i="18"/>
  <c r="E79" i="18"/>
  <c r="J79" i="18"/>
  <c r="K79" i="18" s="1"/>
  <c r="E14" i="18"/>
  <c r="E65" i="18"/>
  <c r="E15" i="18"/>
  <c r="E66" i="18"/>
  <c r="E21" i="18"/>
  <c r="E54" i="18"/>
  <c r="I3" i="17" a="1"/>
  <c r="B3" i="17" a="1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I10" i="17"/>
  <c r="I18" i="17"/>
  <c r="I26" i="17"/>
  <c r="I34" i="17"/>
  <c r="I42" i="17"/>
  <c r="I50" i="17"/>
  <c r="I58" i="17"/>
  <c r="I66" i="17"/>
  <c r="I74" i="17"/>
  <c r="I82" i="17"/>
  <c r="I67" i="17"/>
  <c r="I75" i="17"/>
  <c r="I52" i="17"/>
  <c r="I76" i="17"/>
  <c r="I45" i="17"/>
  <c r="I69" i="17"/>
  <c r="I6" i="17"/>
  <c r="I38" i="17"/>
  <c r="I62" i="17"/>
  <c r="I15" i="17"/>
  <c r="I47" i="17"/>
  <c r="I8" i="17"/>
  <c r="I48" i="17"/>
  <c r="I33" i="17"/>
  <c r="I81" i="17"/>
  <c r="I3" i="17"/>
  <c r="I11" i="17"/>
  <c r="I19" i="17"/>
  <c r="I27" i="17"/>
  <c r="I35" i="17"/>
  <c r="I43" i="17"/>
  <c r="I51" i="17"/>
  <c r="I59" i="17"/>
  <c r="I44" i="17"/>
  <c r="I68" i="17"/>
  <c r="I16" i="17"/>
  <c r="I56" i="17"/>
  <c r="I41" i="17"/>
  <c r="I4" i="17"/>
  <c r="I12" i="17"/>
  <c r="I20" i="17"/>
  <c r="I28" i="17"/>
  <c r="I36" i="17"/>
  <c r="I60" i="17"/>
  <c r="I29" i="17"/>
  <c r="I53" i="17"/>
  <c r="I77" i="17"/>
  <c r="I22" i="17"/>
  <c r="I54" i="17"/>
  <c r="I78" i="17"/>
  <c r="I31" i="17"/>
  <c r="I55" i="17"/>
  <c r="I24" i="17"/>
  <c r="I64" i="17"/>
  <c r="I49" i="17"/>
  <c r="I5" i="17"/>
  <c r="I13" i="17"/>
  <c r="I21" i="17"/>
  <c r="I37" i="17"/>
  <c r="I61" i="17"/>
  <c r="I14" i="17"/>
  <c r="I46" i="17"/>
  <c r="I70" i="17"/>
  <c r="I23" i="17"/>
  <c r="I63" i="17"/>
  <c r="I32" i="17"/>
  <c r="I72" i="17"/>
  <c r="I73" i="17"/>
  <c r="I30" i="17"/>
  <c r="I7" i="17"/>
  <c r="I39" i="17"/>
  <c r="I71" i="17"/>
  <c r="I40" i="17"/>
  <c r="I25" i="17"/>
  <c r="I79" i="17"/>
  <c r="I80" i="17"/>
  <c r="I65" i="17"/>
  <c r="I9" i="17"/>
  <c r="I17" i="17"/>
  <c r="I57" i="17"/>
  <c r="B10" i="17"/>
  <c r="B18" i="17"/>
  <c r="B26" i="17"/>
  <c r="B34" i="17"/>
  <c r="B42" i="17"/>
  <c r="B50" i="17"/>
  <c r="B58" i="17"/>
  <c r="B66" i="17"/>
  <c r="B74" i="17"/>
  <c r="B82" i="17"/>
  <c r="B19" i="17"/>
  <c r="B35" i="17"/>
  <c r="B51" i="17"/>
  <c r="B67" i="17"/>
  <c r="B36" i="17"/>
  <c r="B60" i="17"/>
  <c r="B5" i="17"/>
  <c r="B29" i="17"/>
  <c r="B53" i="17"/>
  <c r="B77" i="17"/>
  <c r="B22" i="17"/>
  <c r="B54" i="17"/>
  <c r="B78" i="17"/>
  <c r="B23" i="17"/>
  <c r="B55" i="17"/>
  <c r="B16" i="17"/>
  <c r="B48" i="17"/>
  <c r="B9" i="17"/>
  <c r="B41" i="17"/>
  <c r="B81" i="17"/>
  <c r="B3" i="17"/>
  <c r="B11" i="17"/>
  <c r="B27" i="17"/>
  <c r="B43" i="17"/>
  <c r="B59" i="17"/>
  <c r="B75" i="17"/>
  <c r="B52" i="17"/>
  <c r="B76" i="17"/>
  <c r="B21" i="17"/>
  <c r="B45" i="17"/>
  <c r="B69" i="17"/>
  <c r="B14" i="17"/>
  <c r="B46" i="17"/>
  <c r="B70" i="17"/>
  <c r="B15" i="17"/>
  <c r="B47" i="17"/>
  <c r="B79" i="17"/>
  <c r="B40" i="17"/>
  <c r="B80" i="17"/>
  <c r="B33" i="17"/>
  <c r="B4" i="17"/>
  <c r="B12" i="17"/>
  <c r="B20" i="17"/>
  <c r="B28" i="17"/>
  <c r="B44" i="17"/>
  <c r="B68" i="17"/>
  <c r="B13" i="17"/>
  <c r="B37" i="17"/>
  <c r="B61" i="17"/>
  <c r="B6" i="17"/>
  <c r="B38" i="17"/>
  <c r="B62" i="17"/>
  <c r="B7" i="17"/>
  <c r="B39" i="17"/>
  <c r="B71" i="17"/>
  <c r="B32" i="17"/>
  <c r="B64" i="17"/>
  <c r="B17" i="17"/>
  <c r="B65" i="17"/>
  <c r="B30" i="17"/>
  <c r="B31" i="17"/>
  <c r="B63" i="17"/>
  <c r="B24" i="17"/>
  <c r="B56" i="17"/>
  <c r="B25" i="17"/>
  <c r="B73" i="17"/>
  <c r="B8" i="17"/>
  <c r="B72" i="17"/>
  <c r="B49" i="17"/>
  <c r="B57" i="17"/>
  <c r="J17" i="20"/>
  <c r="J23" i="18"/>
  <c r="E41" i="20" l="1"/>
  <c r="E29" i="20"/>
  <c r="E4" i="20"/>
  <c r="E64" i="20"/>
  <c r="E23" i="20"/>
  <c r="E35" i="20"/>
  <c r="E52" i="20"/>
  <c r="E21" i="20"/>
  <c r="E51" i="20"/>
  <c r="E62" i="20"/>
  <c r="E6" i="20"/>
  <c r="E19" i="20"/>
  <c r="E47" i="20"/>
  <c r="E12" i="20"/>
  <c r="E76" i="20"/>
  <c r="K76" i="20"/>
  <c r="E45" i="20"/>
  <c r="E22" i="20"/>
  <c r="K70" i="20"/>
  <c r="E70" i="20"/>
  <c r="E14" i="20"/>
  <c r="E43" i="20"/>
  <c r="E55" i="20"/>
  <c r="E20" i="20"/>
  <c r="E27" i="20"/>
  <c r="E53" i="20"/>
  <c r="E30" i="20"/>
  <c r="K75" i="20"/>
  <c r="E75" i="20"/>
  <c r="F25" i="20"/>
  <c r="D25" i="20"/>
  <c r="E39" i="20"/>
  <c r="K78" i="20"/>
  <c r="E78" i="20"/>
  <c r="E59" i="20"/>
  <c r="E63" i="20"/>
  <c r="E28" i="20"/>
  <c r="E67" i="20"/>
  <c r="E61" i="20"/>
  <c r="E38" i="20"/>
  <c r="E31" i="20"/>
  <c r="E68" i="20"/>
  <c r="K68" i="20"/>
  <c r="E7" i="20"/>
  <c r="E71" i="20"/>
  <c r="K71" i="20"/>
  <c r="E36" i="20"/>
  <c r="E5" i="20"/>
  <c r="K69" i="20"/>
  <c r="E69" i="20"/>
  <c r="E46" i="20"/>
  <c r="E60" i="20"/>
  <c r="E18" i="20"/>
  <c r="E37" i="20"/>
  <c r="E82" i="20"/>
  <c r="K82" i="20"/>
  <c r="E15" i="20"/>
  <c r="E79" i="20"/>
  <c r="K79" i="20"/>
  <c r="E44" i="20"/>
  <c r="E13" i="20"/>
  <c r="K77" i="20"/>
  <c r="E77" i="20"/>
  <c r="E54" i="20"/>
  <c r="D24" i="20"/>
  <c r="F24" i="20"/>
  <c r="F33" i="20"/>
  <c r="D33" i="20"/>
  <c r="F73" i="20"/>
  <c r="D73" i="20"/>
  <c r="D56" i="20"/>
  <c r="F56" i="20"/>
  <c r="D72" i="20"/>
  <c r="F72" i="20"/>
  <c r="D80" i="20"/>
  <c r="F80" i="20"/>
  <c r="D48" i="20"/>
  <c r="F48" i="20"/>
  <c r="D32" i="20"/>
  <c r="F32" i="20"/>
  <c r="F49" i="20"/>
  <c r="D49" i="20"/>
  <c r="F17" i="20"/>
  <c r="D17" i="20"/>
  <c r="F81" i="20"/>
  <c r="D81" i="20"/>
  <c r="F8" i="20"/>
  <c r="D8" i="20"/>
  <c r="F57" i="20"/>
  <c r="D57" i="20"/>
  <c r="F65" i="20"/>
  <c r="D65" i="20"/>
  <c r="D74" i="20"/>
  <c r="F74" i="20"/>
  <c r="D40" i="20"/>
  <c r="F40" i="20"/>
  <c r="D9" i="20"/>
  <c r="F9" i="20"/>
  <c r="E21" i="19"/>
  <c r="E59" i="19"/>
  <c r="E8" i="19"/>
  <c r="E57" i="19"/>
  <c r="E42" i="19"/>
  <c r="E27" i="19"/>
  <c r="E13" i="19"/>
  <c r="E68" i="19"/>
  <c r="E22" i="19"/>
  <c r="E29" i="19"/>
  <c r="E34" i="19"/>
  <c r="E18" i="19"/>
  <c r="E17" i="19"/>
  <c r="E12" i="19"/>
  <c r="E45" i="19"/>
  <c r="E37" i="19"/>
  <c r="E38" i="19"/>
  <c r="E23" i="19"/>
  <c r="J72" i="19"/>
  <c r="K72" i="19" s="1"/>
  <c r="E72" i="19"/>
  <c r="E7" i="19"/>
  <c r="E3" i="19"/>
  <c r="E28" i="19"/>
  <c r="J77" i="19"/>
  <c r="K77" i="19" s="1"/>
  <c r="E77" i="19"/>
  <c r="E53" i="19"/>
  <c r="E46" i="19"/>
  <c r="E32" i="19"/>
  <c r="E16" i="19"/>
  <c r="J80" i="19"/>
  <c r="K80" i="19" s="1"/>
  <c r="E80" i="19"/>
  <c r="E44" i="19"/>
  <c r="E4" i="19"/>
  <c r="E61" i="19"/>
  <c r="E54" i="19"/>
  <c r="E47" i="19"/>
  <c r="E81" i="19"/>
  <c r="J81" i="19"/>
  <c r="K81" i="19" s="1"/>
  <c r="E66" i="19"/>
  <c r="E60" i="19"/>
  <c r="E20" i="19"/>
  <c r="E69" i="19"/>
  <c r="E62" i="19"/>
  <c r="E48" i="19"/>
  <c r="E30" i="19"/>
  <c r="E58" i="19"/>
  <c r="E33" i="19"/>
  <c r="E82" i="19"/>
  <c r="J82" i="19"/>
  <c r="K82" i="19" s="1"/>
  <c r="E67" i="19"/>
  <c r="E55" i="19"/>
  <c r="E76" i="19"/>
  <c r="J76" i="19"/>
  <c r="K76" i="19" s="1"/>
  <c r="E36" i="19"/>
  <c r="E6" i="19"/>
  <c r="E70" i="19"/>
  <c r="E31" i="19"/>
  <c r="E9" i="19"/>
  <c r="E73" i="19"/>
  <c r="J73" i="19"/>
  <c r="K73" i="19" s="1"/>
  <c r="E19" i="19"/>
  <c r="E71" i="19"/>
  <c r="E56" i="19"/>
  <c r="E41" i="19"/>
  <c r="E5" i="19"/>
  <c r="E52" i="19"/>
  <c r="E14" i="19"/>
  <c r="J78" i="19"/>
  <c r="K78" i="19" s="1"/>
  <c r="E78" i="19"/>
  <c r="D71" i="19"/>
  <c r="G71" i="19"/>
  <c r="D39" i="19"/>
  <c r="G39" i="19"/>
  <c r="D14" i="19"/>
  <c r="G14" i="19"/>
  <c r="D34" i="19"/>
  <c r="G34" i="19"/>
  <c r="D82" i="19"/>
  <c r="G82" i="19"/>
  <c r="G62" i="19"/>
  <c r="D62" i="19"/>
  <c r="G32" i="19"/>
  <c r="D32" i="19"/>
  <c r="G10" i="19"/>
  <c r="D10" i="19"/>
  <c r="G8" i="19"/>
  <c r="D8" i="19"/>
  <c r="D63" i="19"/>
  <c r="G63" i="19"/>
  <c r="D9" i="19"/>
  <c r="G9" i="19"/>
  <c r="G57" i="19"/>
  <c r="D57" i="19"/>
  <c r="G38" i="19"/>
  <c r="D38" i="19"/>
  <c r="D74" i="19"/>
  <c r="G74" i="19"/>
  <c r="D50" i="19"/>
  <c r="G50" i="19"/>
  <c r="G73" i="19"/>
  <c r="D73" i="19"/>
  <c r="D48" i="19"/>
  <c r="G48" i="19"/>
  <c r="G22" i="19"/>
  <c r="D22" i="19"/>
  <c r="D58" i="19"/>
  <c r="G58" i="19"/>
  <c r="G46" i="19"/>
  <c r="D46" i="19"/>
  <c r="D47" i="19"/>
  <c r="G47" i="19"/>
  <c r="G7" i="19"/>
  <c r="D7" i="19"/>
  <c r="G33" i="19"/>
  <c r="D33" i="19"/>
  <c r="G64" i="19"/>
  <c r="D64" i="19"/>
  <c r="G78" i="19"/>
  <c r="D78" i="19"/>
  <c r="G24" i="19"/>
  <c r="D24" i="19"/>
  <c r="G25" i="19"/>
  <c r="D25" i="19"/>
  <c r="G72" i="19"/>
  <c r="D72" i="19"/>
  <c r="G49" i="19"/>
  <c r="D49" i="19"/>
  <c r="G23" i="19"/>
  <c r="D23" i="19"/>
  <c r="D18" i="19"/>
  <c r="G18" i="19"/>
  <c r="E7" i="18"/>
  <c r="E17" i="18"/>
  <c r="E60" i="18"/>
  <c r="E30" i="18"/>
  <c r="E3" i="18"/>
  <c r="E16" i="18"/>
  <c r="E40" i="18"/>
  <c r="E8" i="18"/>
  <c r="E11" i="18"/>
  <c r="E26" i="18"/>
  <c r="E4" i="18"/>
  <c r="E38" i="18"/>
  <c r="E12" i="18"/>
  <c r="J73" i="18"/>
  <c r="K73" i="18" s="1"/>
  <c r="E73" i="18"/>
  <c r="E50" i="18"/>
  <c r="E58" i="18"/>
  <c r="K23" i="18"/>
  <c r="E67" i="18"/>
  <c r="E18" i="18"/>
  <c r="E19" i="18"/>
  <c r="E27" i="18"/>
  <c r="E49" i="18"/>
  <c r="E55" i="18"/>
  <c r="E62" i="18"/>
  <c r="E28" i="18"/>
  <c r="E37" i="18"/>
  <c r="E71" i="18"/>
  <c r="E51" i="18"/>
  <c r="E6" i="18"/>
  <c r="E52" i="18"/>
  <c r="J75" i="18"/>
  <c r="K75" i="18" s="1"/>
  <c r="E75" i="18"/>
  <c r="E29" i="18"/>
  <c r="E68" i="18"/>
  <c r="E39" i="18"/>
  <c r="E76" i="18"/>
  <c r="J76" i="18"/>
  <c r="K76" i="18" s="1"/>
  <c r="E48" i="18"/>
  <c r="E35" i="18"/>
  <c r="E20" i="18"/>
  <c r="E61" i="18"/>
  <c r="E43" i="18"/>
  <c r="E70" i="18"/>
  <c r="J72" i="18"/>
  <c r="K72" i="18" s="1"/>
  <c r="E72" i="18"/>
  <c r="E36" i="18"/>
  <c r="E22" i="18"/>
  <c r="J80" i="18"/>
  <c r="K80" i="18" s="1"/>
  <c r="E80" i="18"/>
  <c r="E81" i="18"/>
  <c r="J81" i="18"/>
  <c r="K81" i="18" s="1"/>
  <c r="E82" i="18"/>
  <c r="J82" i="18"/>
  <c r="K82" i="18" s="1"/>
  <c r="E59" i="18"/>
  <c r="E44" i="18"/>
  <c r="G22" i="18"/>
  <c r="D22" i="18"/>
  <c r="D31" i="18"/>
  <c r="G31" i="18"/>
  <c r="D77" i="18"/>
  <c r="G77" i="18"/>
  <c r="D79" i="18"/>
  <c r="G79" i="18"/>
  <c r="D38" i="18"/>
  <c r="G38" i="18"/>
  <c r="D37" i="18"/>
  <c r="G37" i="18"/>
  <c r="D48" i="18"/>
  <c r="G48" i="18"/>
  <c r="D29" i="18"/>
  <c r="G29" i="18"/>
  <c r="G33" i="18"/>
  <c r="D33" i="18"/>
  <c r="G46" i="18"/>
  <c r="D46" i="18"/>
  <c r="G12" i="18"/>
  <c r="D12" i="18"/>
  <c r="D4" i="18"/>
  <c r="G4" i="18"/>
  <c r="G40" i="18"/>
  <c r="D40" i="18"/>
  <c r="D61" i="18"/>
  <c r="G61" i="18"/>
  <c r="D78" i="18"/>
  <c r="G78" i="18"/>
  <c r="D13" i="18"/>
  <c r="G13" i="18"/>
  <c r="D21" i="18"/>
  <c r="G21" i="18"/>
  <c r="G39" i="18"/>
  <c r="D39" i="18"/>
  <c r="G62" i="18"/>
  <c r="D62" i="18"/>
  <c r="G30" i="18"/>
  <c r="D30" i="18"/>
  <c r="G65" i="18"/>
  <c r="D65" i="18"/>
  <c r="G49" i="18"/>
  <c r="D49" i="18"/>
  <c r="G54" i="18"/>
  <c r="D54" i="18"/>
  <c r="D63" i="18"/>
  <c r="G63" i="18"/>
  <c r="G72" i="18"/>
  <c r="D72" i="18"/>
  <c r="G56" i="18"/>
  <c r="D56" i="18"/>
  <c r="G81" i="18"/>
  <c r="D81" i="18"/>
  <c r="D69" i="18"/>
  <c r="G69" i="18"/>
  <c r="D45" i="18"/>
  <c r="G45" i="18"/>
  <c r="D8" i="18"/>
  <c r="G8" i="18"/>
  <c r="G73" i="18"/>
  <c r="D73" i="18"/>
  <c r="D6" i="18"/>
  <c r="G6" i="18"/>
  <c r="D47" i="18"/>
  <c r="G47" i="18"/>
  <c r="G60" i="18"/>
  <c r="D60" i="18"/>
  <c r="G44" i="18"/>
  <c r="D44" i="18"/>
  <c r="D53" i="18"/>
  <c r="G53" i="18"/>
  <c r="G52" i="18"/>
  <c r="D52" i="18"/>
  <c r="G23" i="18"/>
  <c r="D23" i="18"/>
  <c r="G55" i="18"/>
  <c r="D55" i="18"/>
  <c r="G36" i="18"/>
  <c r="D36" i="18"/>
  <c r="D75" i="18"/>
  <c r="G75" i="18"/>
  <c r="D80" i="18"/>
  <c r="G80" i="18"/>
  <c r="D16" i="18"/>
  <c r="G16" i="18"/>
  <c r="G25" i="18"/>
  <c r="D25" i="18"/>
  <c r="G57" i="18"/>
  <c r="D57" i="18"/>
  <c r="D9" i="18"/>
  <c r="G9" i="18"/>
  <c r="G68" i="18"/>
  <c r="D68" i="18"/>
  <c r="G76" i="18"/>
  <c r="D76" i="18"/>
  <c r="G24" i="18"/>
  <c r="D24" i="18"/>
  <c r="G64" i="18"/>
  <c r="D64" i="18"/>
  <c r="D14" i="18"/>
  <c r="G14" i="18"/>
  <c r="D32" i="18"/>
  <c r="G32" i="18"/>
  <c r="G41" i="18"/>
  <c r="D41" i="18"/>
  <c r="G20" i="18"/>
  <c r="D20" i="18"/>
  <c r="G5" i="18"/>
  <c r="D5" i="18"/>
  <c r="G17" i="18"/>
  <c r="D17" i="18"/>
  <c r="D71" i="18"/>
  <c r="G71" i="18"/>
  <c r="D70" i="18"/>
  <c r="G70" i="18"/>
  <c r="G15" i="18"/>
  <c r="D15" i="18"/>
  <c r="G28" i="18"/>
  <c r="D28" i="18"/>
  <c r="G7" i="18"/>
  <c r="D7" i="18"/>
  <c r="E3" i="17"/>
  <c r="J71" i="19"/>
  <c r="H3" i="14" a="1"/>
  <c r="B3" i="14" a="1"/>
  <c r="A3" i="14" a="1"/>
  <c r="J19" i="20"/>
  <c r="J22" i="20"/>
  <c r="J39" i="19"/>
  <c r="J38" i="19"/>
  <c r="J33" i="19"/>
  <c r="J71" i="18"/>
  <c r="J32" i="18"/>
  <c r="J41" i="18"/>
  <c r="J24" i="18"/>
  <c r="J63" i="18"/>
  <c r="J49" i="18"/>
  <c r="J6" i="18"/>
  <c r="J56" i="20"/>
  <c r="J25" i="20"/>
  <c r="J32" i="19"/>
  <c r="J7" i="19"/>
  <c r="J64" i="19"/>
  <c r="J39" i="18"/>
  <c r="J19" i="18"/>
  <c r="J44" i="18"/>
  <c r="J8" i="18"/>
  <c r="J70" i="18"/>
  <c r="J61" i="18"/>
  <c r="J5" i="18"/>
  <c r="J40" i="18"/>
  <c r="J29" i="18"/>
  <c r="J25" i="18"/>
  <c r="J28" i="18"/>
  <c r="J16" i="19"/>
  <c r="J52" i="18"/>
  <c r="J57" i="19"/>
  <c r="J60" i="18"/>
  <c r="J7" i="18"/>
  <c r="J30" i="18"/>
  <c r="J34" i="19"/>
  <c r="J54" i="18"/>
  <c r="J65" i="18"/>
  <c r="J20" i="18"/>
  <c r="J64" i="18"/>
  <c r="J46" i="18"/>
  <c r="J13" i="18"/>
  <c r="J13" i="19"/>
  <c r="J48" i="20"/>
  <c r="J9" i="20"/>
  <c r="J10" i="19"/>
  <c r="J19" i="19"/>
  <c r="J14" i="18"/>
  <c r="J47" i="18"/>
  <c r="J56" i="18"/>
  <c r="J68" i="18"/>
  <c r="J4" i="18"/>
  <c r="J15" i="18"/>
  <c r="J46" i="19"/>
  <c r="J16" i="18"/>
  <c r="J49" i="20"/>
  <c r="J20" i="20"/>
  <c r="J24" i="19"/>
  <c r="J23" i="19"/>
  <c r="J48" i="19"/>
  <c r="J14" i="19"/>
  <c r="J55" i="18"/>
  <c r="J21" i="18"/>
  <c r="J48" i="18"/>
  <c r="J26" i="18"/>
  <c r="J53" i="18"/>
  <c r="J33" i="18"/>
  <c r="J62" i="18"/>
  <c r="J57" i="20"/>
  <c r="J32" i="20"/>
  <c r="J47" i="19"/>
  <c r="J63" i="19"/>
  <c r="J22" i="19"/>
  <c r="J18" i="19"/>
  <c r="J45" i="18"/>
  <c r="J57" i="18"/>
  <c r="J24" i="20"/>
  <c r="J40" i="20"/>
  <c r="J58" i="19"/>
  <c r="J49" i="19"/>
  <c r="J50" i="19"/>
  <c r="J9" i="19"/>
  <c r="J9" i="18"/>
  <c r="J37" i="18"/>
  <c r="J22" i="18"/>
  <c r="J18" i="20"/>
  <c r="J21" i="20"/>
  <c r="J8" i="19"/>
  <c r="J12" i="18"/>
  <c r="J8" i="20"/>
  <c r="J33" i="20"/>
  <c r="J25" i="19"/>
  <c r="J62" i="19"/>
  <c r="J20" i="19"/>
  <c r="J27" i="19"/>
  <c r="J36" i="18"/>
  <c r="J69" i="18"/>
  <c r="J38" i="18"/>
  <c r="J27" i="18"/>
  <c r="J31" i="18"/>
  <c r="J17" i="18"/>
  <c r="K25" i="20" l="1"/>
  <c r="K24" i="20"/>
  <c r="K22" i="20"/>
  <c r="K40" i="20"/>
  <c r="D27" i="20"/>
  <c r="F27" i="20"/>
  <c r="F23" i="20"/>
  <c r="D23" i="20"/>
  <c r="K57" i="20"/>
  <c r="D22" i="20"/>
  <c r="F22" i="20"/>
  <c r="K19" i="20"/>
  <c r="K18" i="20"/>
  <c r="K32" i="20"/>
  <c r="K8" i="20"/>
  <c r="D26" i="20"/>
  <c r="F26" i="20"/>
  <c r="K9" i="20"/>
  <c r="K33" i="20"/>
  <c r="K48" i="20"/>
  <c r="K17" i="20"/>
  <c r="K49" i="20"/>
  <c r="K56" i="20"/>
  <c r="K65" i="20"/>
  <c r="D42" i="20"/>
  <c r="F42" i="20"/>
  <c r="D45" i="20"/>
  <c r="F45" i="20"/>
  <c r="F13" i="20"/>
  <c r="D13" i="20"/>
  <c r="D38" i="20"/>
  <c r="F38" i="20"/>
  <c r="F67" i="20"/>
  <c r="D67" i="20"/>
  <c r="F78" i="20"/>
  <c r="D78" i="20"/>
  <c r="F30" i="20"/>
  <c r="D30" i="20"/>
  <c r="F47" i="20"/>
  <c r="D47" i="20"/>
  <c r="F52" i="20"/>
  <c r="D52" i="20"/>
  <c r="D58" i="20"/>
  <c r="F58" i="20"/>
  <c r="D29" i="20"/>
  <c r="F29" i="20"/>
  <c r="F7" i="20"/>
  <c r="D7" i="20"/>
  <c r="D54" i="20"/>
  <c r="F54" i="20"/>
  <c r="F60" i="20"/>
  <c r="D60" i="20"/>
  <c r="D66" i="20"/>
  <c r="F66" i="20"/>
  <c r="F63" i="20"/>
  <c r="D63" i="20"/>
  <c r="F55" i="20"/>
  <c r="D55" i="20"/>
  <c r="D51" i="20"/>
  <c r="F51" i="20"/>
  <c r="F79" i="20"/>
  <c r="D79" i="20"/>
  <c r="D37" i="20"/>
  <c r="F37" i="20"/>
  <c r="F31" i="20"/>
  <c r="D31" i="20"/>
  <c r="D14" i="20"/>
  <c r="F14" i="20"/>
  <c r="F76" i="20"/>
  <c r="D76" i="20"/>
  <c r="F4" i="20"/>
  <c r="D4" i="20"/>
  <c r="F41" i="20"/>
  <c r="D41" i="20"/>
  <c r="D82" i="20"/>
  <c r="F82" i="20"/>
  <c r="F46" i="20"/>
  <c r="D46" i="20"/>
  <c r="D34" i="20"/>
  <c r="F34" i="20"/>
  <c r="F20" i="20"/>
  <c r="D20" i="20"/>
  <c r="F70" i="20"/>
  <c r="D70" i="20"/>
  <c r="D6" i="20"/>
  <c r="F6" i="20"/>
  <c r="F36" i="20"/>
  <c r="D36" i="20"/>
  <c r="D21" i="20"/>
  <c r="F21" i="20"/>
  <c r="F5" i="20"/>
  <c r="D5" i="20"/>
  <c r="D11" i="20"/>
  <c r="F11" i="20"/>
  <c r="F28" i="20"/>
  <c r="D28" i="20"/>
  <c r="F59" i="20"/>
  <c r="D59" i="20"/>
  <c r="F39" i="20"/>
  <c r="D39" i="20"/>
  <c r="F75" i="20"/>
  <c r="D75" i="20"/>
  <c r="F43" i="20"/>
  <c r="D43" i="20"/>
  <c r="F62" i="20"/>
  <c r="D62" i="20"/>
  <c r="F44" i="20"/>
  <c r="D44" i="20"/>
  <c r="F15" i="20"/>
  <c r="D15" i="20"/>
  <c r="D3" i="20"/>
  <c r="F3" i="20"/>
  <c r="D18" i="20"/>
  <c r="F18" i="20"/>
  <c r="F71" i="20"/>
  <c r="D71" i="20"/>
  <c r="D12" i="20"/>
  <c r="F12" i="20"/>
  <c r="D19" i="20"/>
  <c r="F19" i="20"/>
  <c r="D35" i="20"/>
  <c r="F35" i="20"/>
  <c r="F10" i="20"/>
  <c r="D10" i="20"/>
  <c r="D77" i="20"/>
  <c r="F77" i="20"/>
  <c r="F68" i="20"/>
  <c r="D68" i="20"/>
  <c r="D64" i="20"/>
  <c r="F64" i="20"/>
  <c r="D69" i="20"/>
  <c r="F69" i="20"/>
  <c r="D50" i="20"/>
  <c r="F50" i="20"/>
  <c r="D61" i="20"/>
  <c r="F61" i="20"/>
  <c r="D53" i="20"/>
  <c r="F53" i="20"/>
  <c r="K27" i="19"/>
  <c r="K13" i="19"/>
  <c r="K9" i="19"/>
  <c r="K18" i="19"/>
  <c r="K14" i="19"/>
  <c r="K34" i="19"/>
  <c r="K64" i="19"/>
  <c r="K33" i="19"/>
  <c r="K20" i="19"/>
  <c r="K16" i="19"/>
  <c r="K50" i="19"/>
  <c r="K22" i="19"/>
  <c r="K48" i="19"/>
  <c r="K19" i="19"/>
  <c r="K7" i="19"/>
  <c r="K38" i="19"/>
  <c r="K62" i="19"/>
  <c r="K46" i="19"/>
  <c r="K49" i="19"/>
  <c r="K63" i="19"/>
  <c r="K23" i="19"/>
  <c r="K10" i="19"/>
  <c r="K32" i="19"/>
  <c r="K39" i="19"/>
  <c r="K25" i="19"/>
  <c r="K8" i="19"/>
  <c r="K58" i="19"/>
  <c r="K47" i="19"/>
  <c r="K24" i="19"/>
  <c r="K71" i="19"/>
  <c r="K57" i="19"/>
  <c r="D45" i="19"/>
  <c r="G45" i="19"/>
  <c r="D37" i="19"/>
  <c r="G37" i="19"/>
  <c r="D3" i="19"/>
  <c r="G3" i="19"/>
  <c r="G17" i="19"/>
  <c r="D17" i="19"/>
  <c r="G20" i="19"/>
  <c r="D20" i="19"/>
  <c r="G67" i="19"/>
  <c r="D67" i="19"/>
  <c r="G76" i="19"/>
  <c r="D76" i="19"/>
  <c r="D35" i="19"/>
  <c r="G35" i="19"/>
  <c r="D19" i="19"/>
  <c r="G19" i="19"/>
  <c r="G70" i="19"/>
  <c r="D70" i="19"/>
  <c r="D79" i="19"/>
  <c r="G79" i="19"/>
  <c r="G81" i="19"/>
  <c r="D81" i="19"/>
  <c r="G4" i="19"/>
  <c r="D4" i="19"/>
  <c r="G11" i="19"/>
  <c r="D11" i="19"/>
  <c r="D21" i="19"/>
  <c r="G21" i="19"/>
  <c r="G59" i="19"/>
  <c r="D59" i="19"/>
  <c r="G54" i="19"/>
  <c r="D54" i="19"/>
  <c r="D31" i="19"/>
  <c r="G31" i="19"/>
  <c r="G15" i="19"/>
  <c r="D15" i="19"/>
  <c r="G28" i="19"/>
  <c r="D28" i="19"/>
  <c r="D40" i="19"/>
  <c r="G40" i="19"/>
  <c r="G30" i="19"/>
  <c r="D30" i="19"/>
  <c r="G16" i="19"/>
  <c r="D16" i="19"/>
  <c r="D53" i="19"/>
  <c r="G53" i="19"/>
  <c r="D42" i="19"/>
  <c r="G42" i="19"/>
  <c r="G60" i="19"/>
  <c r="D60" i="19"/>
  <c r="G56" i="19"/>
  <c r="D56" i="19"/>
  <c r="D27" i="19"/>
  <c r="G27" i="19"/>
  <c r="D6" i="19"/>
  <c r="G6" i="19"/>
  <c r="G36" i="19"/>
  <c r="D36" i="19"/>
  <c r="D69" i="19"/>
  <c r="G69" i="19"/>
  <c r="G68" i="19"/>
  <c r="D68" i="19"/>
  <c r="G52" i="19"/>
  <c r="D52" i="19"/>
  <c r="G75" i="19"/>
  <c r="D75" i="19"/>
  <c r="D66" i="19"/>
  <c r="G66" i="19"/>
  <c r="D29" i="19"/>
  <c r="G29" i="19"/>
  <c r="G80" i="19"/>
  <c r="D80" i="19"/>
  <c r="D26" i="19"/>
  <c r="G26" i="19"/>
  <c r="D77" i="19"/>
  <c r="G77" i="19"/>
  <c r="G5" i="19"/>
  <c r="D5" i="19"/>
  <c r="G51" i="19"/>
  <c r="D51" i="19"/>
  <c r="D55" i="19"/>
  <c r="G55" i="19"/>
  <c r="G41" i="19"/>
  <c r="D41" i="19"/>
  <c r="G65" i="19"/>
  <c r="D65" i="19"/>
  <c r="G44" i="19"/>
  <c r="D44" i="19"/>
  <c r="D61" i="19"/>
  <c r="G61" i="19"/>
  <c r="G13" i="19"/>
  <c r="D13" i="19"/>
  <c r="G12" i="19"/>
  <c r="D12" i="19"/>
  <c r="D43" i="19"/>
  <c r="G43" i="19"/>
  <c r="K71" i="18"/>
  <c r="K13" i="18"/>
  <c r="K4" i="18"/>
  <c r="K26" i="18"/>
  <c r="K5" i="18"/>
  <c r="K8" i="18"/>
  <c r="K6" i="18"/>
  <c r="K17" i="18"/>
  <c r="K16" i="18"/>
  <c r="K33" i="18"/>
  <c r="K25" i="18"/>
  <c r="K20" i="18"/>
  <c r="K65" i="18"/>
  <c r="K44" i="18"/>
  <c r="K49" i="18"/>
  <c r="K31" i="18"/>
  <c r="K52" i="18"/>
  <c r="K15" i="18"/>
  <c r="K53" i="18"/>
  <c r="K40" i="18"/>
  <c r="K47" i="18"/>
  <c r="K30" i="18"/>
  <c r="K63" i="18"/>
  <c r="K27" i="18"/>
  <c r="K22" i="18"/>
  <c r="K28" i="18"/>
  <c r="K45" i="18"/>
  <c r="K56" i="18"/>
  <c r="K61" i="18"/>
  <c r="K19" i="18"/>
  <c r="K24" i="18"/>
  <c r="K38" i="18"/>
  <c r="K57" i="18"/>
  <c r="K37" i="18"/>
  <c r="K64" i="18"/>
  <c r="K48" i="18"/>
  <c r="K54" i="18"/>
  <c r="K7" i="18"/>
  <c r="K41" i="18"/>
  <c r="K69" i="18"/>
  <c r="K12" i="18"/>
  <c r="K46" i="18"/>
  <c r="K29" i="18"/>
  <c r="K21" i="18"/>
  <c r="K70" i="18"/>
  <c r="K39" i="18"/>
  <c r="K32" i="18"/>
  <c r="K36" i="18"/>
  <c r="K62" i="18"/>
  <c r="K9" i="18"/>
  <c r="K68" i="18"/>
  <c r="K55" i="18"/>
  <c r="K14" i="18"/>
  <c r="K60" i="18"/>
  <c r="D50" i="18"/>
  <c r="G50" i="18"/>
  <c r="D66" i="18"/>
  <c r="G66" i="18"/>
  <c r="D34" i="18"/>
  <c r="G34" i="18"/>
  <c r="G43" i="18"/>
  <c r="D43" i="18"/>
  <c r="D18" i="18"/>
  <c r="G18" i="18"/>
  <c r="D11" i="18"/>
  <c r="G11" i="18"/>
  <c r="D3" i="18"/>
  <c r="G3" i="18"/>
  <c r="D74" i="18"/>
  <c r="G74" i="18"/>
  <c r="D35" i="18"/>
  <c r="G35" i="18"/>
  <c r="G10" i="18"/>
  <c r="D10" i="18"/>
  <c r="D59" i="18"/>
  <c r="G59" i="18"/>
  <c r="G19" i="18"/>
  <c r="D19" i="18"/>
  <c r="D58" i="18"/>
  <c r="G58" i="18"/>
  <c r="D26" i="18"/>
  <c r="G26" i="18"/>
  <c r="G51" i="18"/>
  <c r="D51" i="18"/>
  <c r="D67" i="18"/>
  <c r="G67" i="18"/>
  <c r="D42" i="18"/>
  <c r="G42" i="18"/>
  <c r="D27" i="18"/>
  <c r="G27" i="18"/>
  <c r="D82" i="18"/>
  <c r="G82" i="18"/>
  <c r="E67" i="17"/>
  <c r="E52" i="17"/>
  <c r="E37" i="17"/>
  <c r="E22" i="17"/>
  <c r="E7" i="17"/>
  <c r="J71" i="17"/>
  <c r="K71" i="17" s="1"/>
  <c r="E71" i="17"/>
  <c r="E41" i="17"/>
  <c r="E26" i="17"/>
  <c r="E60" i="17"/>
  <c r="E45" i="17"/>
  <c r="E30" i="17"/>
  <c r="E15" i="17"/>
  <c r="E79" i="17"/>
  <c r="J79" i="17"/>
  <c r="K79" i="17" s="1"/>
  <c r="E49" i="17"/>
  <c r="E34" i="17"/>
  <c r="E4" i="17"/>
  <c r="E68" i="17"/>
  <c r="E53" i="17"/>
  <c r="E23" i="17"/>
  <c r="E42" i="17"/>
  <c r="E27" i="17"/>
  <c r="E12" i="17"/>
  <c r="J76" i="17"/>
  <c r="K76" i="17" s="1"/>
  <c r="E76" i="17"/>
  <c r="E61" i="17"/>
  <c r="E46" i="17"/>
  <c r="E31" i="17"/>
  <c r="E65" i="17"/>
  <c r="E50" i="17"/>
  <c r="E5" i="17"/>
  <c r="E69" i="17"/>
  <c r="E54" i="17"/>
  <c r="E39" i="17"/>
  <c r="E9" i="17"/>
  <c r="J73" i="17"/>
  <c r="K73" i="17" s="1"/>
  <c r="E73" i="17"/>
  <c r="E58" i="17"/>
  <c r="E19" i="17"/>
  <c r="E28" i="17"/>
  <c r="E13" i="17"/>
  <c r="E77" i="17"/>
  <c r="J77" i="17"/>
  <c r="K77" i="17" s="1"/>
  <c r="E62" i="17"/>
  <c r="E17" i="17"/>
  <c r="J81" i="17"/>
  <c r="K81" i="17" s="1"/>
  <c r="E81" i="17"/>
  <c r="E43" i="17"/>
  <c r="E36" i="17"/>
  <c r="E6" i="17"/>
  <c r="E70" i="17"/>
  <c r="E55" i="17"/>
  <c r="E25" i="17"/>
  <c r="E10" i="17"/>
  <c r="J74" i="17"/>
  <c r="K74" i="17" s="1"/>
  <c r="E74" i="17"/>
  <c r="E35" i="17"/>
  <c r="E51" i="17"/>
  <c r="E21" i="17"/>
  <c r="E59" i="17"/>
  <c r="E44" i="17"/>
  <c r="E14" i="17"/>
  <c r="J78" i="17"/>
  <c r="K78" i="17" s="1"/>
  <c r="E78" i="17"/>
  <c r="E63" i="17"/>
  <c r="E33" i="17"/>
  <c r="E18" i="17"/>
  <c r="E82" i="17"/>
  <c r="J82" i="17"/>
  <c r="K82" i="17" s="1"/>
  <c r="D8" i="17"/>
  <c r="D73" i="17"/>
  <c r="D32" i="17"/>
  <c r="D81" i="17"/>
  <c r="D28" i="17"/>
  <c r="G18" i="17"/>
  <c r="D37" i="17"/>
  <c r="D64" i="17"/>
  <c r="G29" i="17"/>
  <c r="G61" i="17"/>
  <c r="G72" i="17"/>
  <c r="G42" i="17"/>
  <c r="D53" i="17"/>
  <c r="D51" i="17"/>
  <c r="G77" i="17"/>
  <c r="G9" i="17"/>
  <c r="G52" i="17"/>
  <c r="D17" i="17"/>
  <c r="D19" i="17"/>
  <c r="D27" i="17"/>
  <c r="G43" i="17"/>
  <c r="G59" i="17"/>
  <c r="D6" i="17"/>
  <c r="G74" i="17"/>
  <c r="G33" i="17"/>
  <c r="G82" i="17"/>
  <c r="E75" i="17"/>
  <c r="J75" i="17"/>
  <c r="K75" i="17" s="1"/>
  <c r="E56" i="17"/>
  <c r="J72" i="17"/>
  <c r="K72" i="17" s="1"/>
  <c r="E72" i="17"/>
  <c r="E8" i="17"/>
  <c r="E80" i="17"/>
  <c r="J80" i="17"/>
  <c r="K80" i="17" s="1"/>
  <c r="E24" i="17"/>
  <c r="E20" i="17"/>
  <c r="E11" i="17"/>
  <c r="E66" i="17"/>
  <c r="E32" i="17"/>
  <c r="E57" i="17"/>
  <c r="E38" i="17"/>
  <c r="E64" i="17"/>
  <c r="E16" i="17"/>
  <c r="E47" i="17"/>
  <c r="E40" i="17"/>
  <c r="E29" i="17"/>
  <c r="E48" i="17"/>
  <c r="D33" i="17"/>
  <c r="D22" i="17"/>
  <c r="G22" i="17"/>
  <c r="D77" i="17"/>
  <c r="D82" i="17"/>
  <c r="G62" i="17"/>
  <c r="D61" i="17"/>
  <c r="D29" i="17"/>
  <c r="D43" i="17"/>
  <c r="D41" i="17"/>
  <c r="G41" i="17"/>
  <c r="D11" i="17"/>
  <c r="G11" i="17"/>
  <c r="G28" i="17"/>
  <c r="D70" i="17"/>
  <c r="G6" i="17"/>
  <c r="G10" i="17"/>
  <c r="D10" i="17"/>
  <c r="G73" i="17"/>
  <c r="G10" i="12"/>
  <c r="D10" i="12"/>
  <c r="G74" i="12"/>
  <c r="D74" i="12"/>
  <c r="G80" i="12"/>
  <c r="D80" i="12"/>
  <c r="D6" i="12"/>
  <c r="G6" i="12"/>
  <c r="D70" i="12"/>
  <c r="G70" i="12"/>
  <c r="G8" i="12"/>
  <c r="D8" i="12"/>
  <c r="G77" i="12"/>
  <c r="D77" i="12"/>
  <c r="D30" i="12"/>
  <c r="G30" i="12"/>
  <c r="G26" i="12"/>
  <c r="D26" i="12"/>
  <c r="G45" i="12"/>
  <c r="D45" i="12"/>
  <c r="D51" i="12"/>
  <c r="G51" i="12"/>
  <c r="G20" i="12"/>
  <c r="D20" i="12"/>
  <c r="G71" i="12"/>
  <c r="D71" i="12"/>
  <c r="G18" i="12"/>
  <c r="D18" i="12"/>
  <c r="G82" i="12"/>
  <c r="D82" i="12"/>
  <c r="G81" i="12"/>
  <c r="D81" i="12"/>
  <c r="G67" i="12"/>
  <c r="D67" i="12"/>
  <c r="G44" i="12"/>
  <c r="D44" i="12"/>
  <c r="D31" i="12"/>
  <c r="G31" i="12"/>
  <c r="G64" i="12"/>
  <c r="D64" i="12"/>
  <c r="G16" i="12"/>
  <c r="D16" i="12"/>
  <c r="G59" i="12"/>
  <c r="D59" i="12"/>
  <c r="D22" i="12"/>
  <c r="G22" i="12"/>
  <c r="G3" i="12"/>
  <c r="D3" i="12"/>
  <c r="G12" i="12"/>
  <c r="D12" i="12"/>
  <c r="G62" i="12"/>
  <c r="D62" i="12"/>
  <c r="D68" i="12"/>
  <c r="G68" i="12"/>
  <c r="G63" i="12"/>
  <c r="D63" i="12"/>
  <c r="G41" i="12"/>
  <c r="D41" i="12"/>
  <c r="G24" i="12"/>
  <c r="D24" i="12"/>
  <c r="G34" i="12"/>
  <c r="D34" i="12"/>
  <c r="G75" i="12"/>
  <c r="D75" i="12"/>
  <c r="D46" i="12"/>
  <c r="G46" i="12"/>
  <c r="D11" i="12"/>
  <c r="G11" i="12"/>
  <c r="G36" i="12"/>
  <c r="D36" i="12"/>
  <c r="G15" i="12"/>
  <c r="D15" i="12"/>
  <c r="G13" i="12"/>
  <c r="D13" i="12"/>
  <c r="G40" i="12"/>
  <c r="D40" i="12"/>
  <c r="G39" i="12"/>
  <c r="D39" i="12"/>
  <c r="G56" i="12"/>
  <c r="D56" i="12"/>
  <c r="G42" i="12"/>
  <c r="D42" i="12"/>
  <c r="G28" i="12"/>
  <c r="D28" i="12"/>
  <c r="D78" i="12"/>
  <c r="G78" i="12"/>
  <c r="D19" i="12"/>
  <c r="G19" i="12"/>
  <c r="G60" i="12"/>
  <c r="D60" i="12"/>
  <c r="D55" i="12"/>
  <c r="G55" i="12"/>
  <c r="G37" i="12"/>
  <c r="D37" i="12"/>
  <c r="G33" i="12"/>
  <c r="D33" i="12"/>
  <c r="G72" i="12"/>
  <c r="D72" i="12"/>
  <c r="G49" i="12"/>
  <c r="D49" i="12"/>
  <c r="G50" i="12"/>
  <c r="D50" i="12"/>
  <c r="G52" i="12"/>
  <c r="D52" i="12"/>
  <c r="G23" i="12"/>
  <c r="D23" i="12"/>
  <c r="G27" i="12"/>
  <c r="D27" i="12"/>
  <c r="G5" i="12"/>
  <c r="D5" i="12"/>
  <c r="G48" i="12"/>
  <c r="D48" i="12"/>
  <c r="G69" i="12"/>
  <c r="D69" i="12"/>
  <c r="G53" i="12"/>
  <c r="D53" i="12"/>
  <c r="G73" i="12"/>
  <c r="D73" i="12"/>
  <c r="G9" i="12"/>
  <c r="D9" i="12"/>
  <c r="G58" i="12"/>
  <c r="D58" i="12"/>
  <c r="G76" i="12"/>
  <c r="D76" i="12"/>
  <c r="D47" i="12"/>
  <c r="G47" i="12"/>
  <c r="G35" i="12"/>
  <c r="D35" i="12"/>
  <c r="G29" i="12"/>
  <c r="D29" i="12"/>
  <c r="G25" i="12"/>
  <c r="D25" i="12"/>
  <c r="D14" i="12"/>
  <c r="G14" i="12"/>
  <c r="D54" i="12"/>
  <c r="G54" i="12"/>
  <c r="D79" i="12"/>
  <c r="G79" i="12"/>
  <c r="G17" i="12"/>
  <c r="D17" i="12"/>
  <c r="G66" i="12"/>
  <c r="D66" i="12"/>
  <c r="G21" i="12"/>
  <c r="D21" i="12"/>
  <c r="G32" i="12"/>
  <c r="D32" i="12"/>
  <c r="G43" i="12"/>
  <c r="D43" i="12"/>
  <c r="G61" i="12"/>
  <c r="D61" i="12"/>
  <c r="G4" i="12"/>
  <c r="D4" i="12"/>
  <c r="G38" i="12"/>
  <c r="D38" i="12"/>
  <c r="D7" i="12"/>
  <c r="G7" i="12"/>
  <c r="G65" i="12"/>
  <c r="D65" i="12"/>
  <c r="G57" i="12"/>
  <c r="D57" i="12"/>
  <c r="D3" i="16"/>
  <c r="D5" i="16"/>
  <c r="D6" i="16"/>
  <c r="D7" i="16"/>
  <c r="D8" i="16"/>
  <c r="D4" i="16"/>
  <c r="J70" i="19"/>
  <c r="J68" i="19"/>
  <c r="J69" i="19"/>
  <c r="A3" i="14"/>
  <c r="H68" i="14"/>
  <c r="H37" i="14"/>
  <c r="H19" i="14"/>
  <c r="H22" i="14"/>
  <c r="H63" i="14"/>
  <c r="H44" i="14"/>
  <c r="H12" i="14"/>
  <c r="H29" i="14"/>
  <c r="B15" i="14"/>
  <c r="B51" i="14"/>
  <c r="B59" i="14"/>
  <c r="B55" i="14"/>
  <c r="B47" i="14"/>
  <c r="B48" i="14"/>
  <c r="B37" i="14"/>
  <c r="B41" i="14"/>
  <c r="B68" i="14"/>
  <c r="A19" i="14"/>
  <c r="A27" i="14"/>
  <c r="A41" i="14"/>
  <c r="A40" i="14"/>
  <c r="A62" i="14"/>
  <c r="A55" i="14"/>
  <c r="A22" i="14"/>
  <c r="A39" i="14"/>
  <c r="A15" i="14"/>
  <c r="A17" i="14"/>
  <c r="A24" i="14"/>
  <c r="A42" i="14"/>
  <c r="A44" i="14"/>
  <c r="B56" i="14"/>
  <c r="A6" i="14"/>
  <c r="A64" i="14"/>
  <c r="A38" i="14"/>
  <c r="A59" i="14"/>
  <c r="A11" i="14"/>
  <c r="A69" i="14"/>
  <c r="A52" i="14"/>
  <c r="A53" i="14"/>
  <c r="B46" i="14"/>
  <c r="B57" i="14"/>
  <c r="A46" i="14"/>
  <c r="A35" i="14"/>
  <c r="B3" i="14"/>
  <c r="H48" i="14"/>
  <c r="H23" i="14"/>
  <c r="H36" i="14"/>
  <c r="H17" i="14"/>
  <c r="H50" i="14"/>
  <c r="H43" i="14"/>
  <c r="H11" i="14"/>
  <c r="H25" i="14"/>
  <c r="B30" i="14"/>
  <c r="B62" i="14"/>
  <c r="B65" i="14"/>
  <c r="B50" i="14"/>
  <c r="B43" i="14"/>
  <c r="B64" i="14"/>
  <c r="B22" i="14"/>
  <c r="B52" i="14"/>
  <c r="B63" i="14"/>
  <c r="A26" i="14"/>
  <c r="A36" i="14"/>
  <c r="A31" i="14"/>
  <c r="A9" i="14"/>
  <c r="A32" i="14"/>
  <c r="A23" i="14"/>
  <c r="A4" i="14"/>
  <c r="A18" i="14"/>
  <c r="B26" i="14"/>
  <c r="A57" i="14"/>
  <c r="A16" i="14"/>
  <c r="B66" i="14"/>
  <c r="A13" i="14"/>
  <c r="B38" i="14"/>
  <c r="A5" i="14"/>
  <c r="A12" i="14"/>
  <c r="B60" i="14"/>
  <c r="A10" i="14"/>
  <c r="B9" i="14"/>
  <c r="A37" i="14"/>
  <c r="H66" i="14"/>
  <c r="H21" i="14"/>
  <c r="H49" i="14"/>
  <c r="H6" i="14"/>
  <c r="H47" i="14"/>
  <c r="H67" i="14"/>
  <c r="H46" i="14"/>
  <c r="H14" i="14"/>
  <c r="H13" i="14"/>
  <c r="B67" i="14"/>
  <c r="B28" i="14"/>
  <c r="B12" i="14"/>
  <c r="B39" i="14"/>
  <c r="B17" i="14"/>
  <c r="B16" i="14"/>
  <c r="B71" i="14"/>
  <c r="B36" i="14"/>
  <c r="A43" i="14"/>
  <c r="A51" i="14"/>
  <c r="A29" i="14"/>
  <c r="A49" i="14"/>
  <c r="A63" i="14"/>
  <c r="A7" i="14"/>
  <c r="A14" i="14"/>
  <c r="B11" i="14"/>
  <c r="A21" i="14"/>
  <c r="B7" i="14"/>
  <c r="A70" i="14"/>
  <c r="A25" i="14"/>
  <c r="B25" i="14"/>
  <c r="A67" i="14"/>
  <c r="A65" i="14"/>
  <c r="A48" i="14"/>
  <c r="H53" i="14"/>
  <c r="H7" i="14"/>
  <c r="H33" i="14"/>
  <c r="H55" i="14"/>
  <c r="H34" i="14"/>
  <c r="H64" i="14"/>
  <c r="H42" i="14"/>
  <c r="H10" i="14"/>
  <c r="H9" i="14"/>
  <c r="B31" i="14"/>
  <c r="B8" i="14"/>
  <c r="B44" i="14"/>
  <c r="B49" i="14"/>
  <c r="B70" i="14"/>
  <c r="B20" i="14"/>
  <c r="A20" i="14"/>
  <c r="B27" i="14"/>
  <c r="A58" i="14"/>
  <c r="A71" i="14"/>
  <c r="B45" i="14"/>
  <c r="A30" i="14"/>
  <c r="B35" i="14"/>
  <c r="A54" i="14"/>
  <c r="B33" i="14"/>
  <c r="A45" i="14"/>
  <c r="H5" i="14"/>
  <c r="H56" i="14"/>
  <c r="H20" i="14"/>
  <c r="H31" i="14"/>
  <c r="H51" i="14"/>
  <c r="H54" i="14"/>
  <c r="H28" i="14"/>
  <c r="H61" i="14"/>
  <c r="H60" i="14"/>
  <c r="B29" i="14"/>
  <c r="B61" i="14"/>
  <c r="B19" i="14"/>
  <c r="B23" i="14"/>
  <c r="B69" i="14"/>
  <c r="A28" i="14"/>
  <c r="A34" i="14"/>
  <c r="B34" i="14"/>
  <c r="A50" i="14"/>
  <c r="B21" i="14"/>
  <c r="A60" i="14"/>
  <c r="B42" i="14"/>
  <c r="A61" i="14"/>
  <c r="H65" i="14"/>
  <c r="H3" i="14"/>
  <c r="H71" i="14"/>
  <c r="H18" i="14"/>
  <c r="H69" i="14"/>
  <c r="H24" i="14"/>
  <c r="H27" i="14"/>
  <c r="H57" i="14"/>
  <c r="H59" i="14"/>
  <c r="B24" i="14"/>
  <c r="B13" i="14"/>
  <c r="B58" i="14"/>
  <c r="B32" i="14"/>
  <c r="A33" i="14"/>
  <c r="B18" i="14"/>
  <c r="B5" i="14"/>
  <c r="A8" i="14"/>
  <c r="A47" i="14"/>
  <c r="H40" i="14"/>
  <c r="H70" i="14"/>
  <c r="H39" i="14"/>
  <c r="H35" i="14"/>
  <c r="H38" i="14"/>
  <c r="H16" i="14"/>
  <c r="H62" i="14"/>
  <c r="H30" i="14"/>
  <c r="H45" i="14"/>
  <c r="B54" i="14"/>
  <c r="A68" i="14"/>
  <c r="B10" i="14"/>
  <c r="A56" i="14"/>
  <c r="H32" i="14"/>
  <c r="H4" i="14"/>
  <c r="H15" i="14"/>
  <c r="H52" i="14"/>
  <c r="H8" i="14"/>
  <c r="H58" i="14"/>
  <c r="H26" i="14"/>
  <c r="H41" i="14"/>
  <c r="B40" i="14"/>
  <c r="B14" i="14"/>
  <c r="B4" i="14"/>
  <c r="B6" i="14"/>
  <c r="B53" i="14"/>
  <c r="A66" i="14"/>
  <c r="J59" i="20"/>
  <c r="J7" i="20"/>
  <c r="J27" i="20"/>
  <c r="J34" i="20"/>
  <c r="J36" i="20"/>
  <c r="J12" i="19"/>
  <c r="J15" i="19"/>
  <c r="J26" i="19"/>
  <c r="J3" i="19"/>
  <c r="J51" i="18"/>
  <c r="J70" i="17"/>
  <c r="J29" i="17"/>
  <c r="J20" i="17"/>
  <c r="J30" i="20"/>
  <c r="J28" i="20"/>
  <c r="J38" i="20"/>
  <c r="J59" i="19"/>
  <c r="J51" i="19"/>
  <c r="J67" i="18"/>
  <c r="J19" i="17"/>
  <c r="J60" i="20"/>
  <c r="J52" i="20"/>
  <c r="J45" i="20"/>
  <c r="J43" i="19"/>
  <c r="J50" i="18"/>
  <c r="J61" i="20"/>
  <c r="J46" i="20"/>
  <c r="J53" i="19"/>
  <c r="J60" i="19"/>
  <c r="J11" i="18"/>
  <c r="J23" i="20"/>
  <c r="J65" i="19"/>
  <c r="J4" i="19"/>
  <c r="J4" i="20"/>
  <c r="J51" i="20"/>
  <c r="J14" i="20"/>
  <c r="J3" i="20"/>
  <c r="J13" i="20"/>
  <c r="J45" i="19"/>
  <c r="J21" i="19"/>
  <c r="J6" i="19"/>
  <c r="J37" i="19"/>
  <c r="J18" i="18"/>
  <c r="J43" i="17"/>
  <c r="J15" i="20"/>
  <c r="J39" i="20"/>
  <c r="J5" i="19"/>
  <c r="J54" i="19"/>
  <c r="J27" i="17"/>
  <c r="J44" i="20"/>
  <c r="J42" i="20"/>
  <c r="J40" i="19"/>
  <c r="J43" i="18"/>
  <c r="J41" i="17"/>
  <c r="J37" i="20"/>
  <c r="J62" i="20"/>
  <c r="J17" i="19"/>
  <c r="J44" i="19"/>
  <c r="J6" i="17"/>
  <c r="J5" i="20"/>
  <c r="J35" i="19"/>
  <c r="J3" i="18"/>
  <c r="J47" i="20"/>
  <c r="J29" i="19"/>
  <c r="J34" i="18"/>
  <c r="J6" i="20"/>
  <c r="J56" i="19"/>
  <c r="J43" i="20"/>
  <c r="J66" i="18"/>
  <c r="J54" i="20"/>
  <c r="J42" i="19"/>
  <c r="J22" i="17"/>
  <c r="J30" i="19"/>
  <c r="J42" i="18"/>
  <c r="J26" i="20"/>
  <c r="J67" i="19"/>
  <c r="J10" i="18"/>
  <c r="J41" i="20"/>
  <c r="J41" i="19"/>
  <c r="J35" i="18"/>
  <c r="J11" i="20"/>
  <c r="J52" i="19"/>
  <c r="J11" i="17"/>
  <c r="J36" i="19"/>
  <c r="J31" i="19"/>
  <c r="J53" i="20"/>
  <c r="J29" i="20"/>
  <c r="J61" i="19"/>
  <c r="J31" i="20"/>
  <c r="J12" i="20"/>
  <c r="J10" i="17"/>
  <c r="J50" i="20"/>
  <c r="J28" i="17"/>
  <c r="J55" i="20"/>
  <c r="J59" i="18"/>
  <c r="J35" i="20"/>
  <c r="J10" i="20"/>
  <c r="J11" i="19"/>
  <c r="J58" i="20"/>
  <c r="J58" i="18"/>
  <c r="J66" i="19"/>
  <c r="J28" i="19"/>
  <c r="J55" i="19"/>
  <c r="K13" i="20" l="1"/>
  <c r="K12" i="20"/>
  <c r="K14" i="20"/>
  <c r="K27" i="20"/>
  <c r="K23" i="20"/>
  <c r="K15" i="20"/>
  <c r="K26" i="20"/>
  <c r="K35" i="20"/>
  <c r="K7" i="20"/>
  <c r="K4" i="20"/>
  <c r="K47" i="20"/>
  <c r="K45" i="20"/>
  <c r="K64" i="20"/>
  <c r="K50" i="20"/>
  <c r="K44" i="20"/>
  <c r="K43" i="20"/>
  <c r="K39" i="20"/>
  <c r="K34" i="20"/>
  <c r="K37" i="20"/>
  <c r="K55" i="20"/>
  <c r="K60" i="20"/>
  <c r="K63" i="20"/>
  <c r="K29" i="20"/>
  <c r="K5" i="20"/>
  <c r="K31" i="20"/>
  <c r="K54" i="20"/>
  <c r="K61" i="20"/>
  <c r="K62" i="20"/>
  <c r="K28" i="20"/>
  <c r="K51" i="20"/>
  <c r="K6" i="20"/>
  <c r="K3" i="20"/>
  <c r="K46" i="20"/>
  <c r="K42" i="20"/>
  <c r="K20" i="20"/>
  <c r="K67" i="20"/>
  <c r="K21" i="20"/>
  <c r="K10" i="20"/>
  <c r="K30" i="20"/>
  <c r="K58" i="20"/>
  <c r="K41" i="20"/>
  <c r="K66" i="20"/>
  <c r="K52" i="20"/>
  <c r="K38" i="20"/>
  <c r="K11" i="20"/>
  <c r="K53" i="20"/>
  <c r="K59" i="20"/>
  <c r="K36" i="20"/>
  <c r="K29" i="19"/>
  <c r="K31" i="19"/>
  <c r="K30" i="19"/>
  <c r="K69" i="19"/>
  <c r="K3" i="19"/>
  <c r="K61" i="19"/>
  <c r="K41" i="19"/>
  <c r="K4" i="19"/>
  <c r="K44" i="19"/>
  <c r="K42" i="19"/>
  <c r="K54" i="19"/>
  <c r="K37" i="19"/>
  <c r="K68" i="19"/>
  <c r="K56" i="19"/>
  <c r="K11" i="19"/>
  <c r="K67" i="19"/>
  <c r="K60" i="19"/>
  <c r="K43" i="19"/>
  <c r="K51" i="19"/>
  <c r="K6" i="19"/>
  <c r="K26" i="19"/>
  <c r="K52" i="19"/>
  <c r="K70" i="19"/>
  <c r="K35" i="19"/>
  <c r="K17" i="19"/>
  <c r="K36" i="19"/>
  <c r="K5" i="19"/>
  <c r="K21" i="19"/>
  <c r="K15" i="19"/>
  <c r="K55" i="19"/>
  <c r="K66" i="19"/>
  <c r="K65" i="19"/>
  <c r="K53" i="19"/>
  <c r="K40" i="19"/>
  <c r="K59" i="19"/>
  <c r="K45" i="19"/>
  <c r="K12" i="19"/>
  <c r="K28" i="19"/>
  <c r="K59" i="18"/>
  <c r="K35" i="18"/>
  <c r="K10" i="18"/>
  <c r="K11" i="18"/>
  <c r="K50" i="18"/>
  <c r="K67" i="18"/>
  <c r="K18" i="18"/>
  <c r="K51" i="18"/>
  <c r="K58" i="18"/>
  <c r="K34" i="18"/>
  <c r="K3" i="18"/>
  <c r="K42" i="18"/>
  <c r="K43" i="18"/>
  <c r="K66" i="18"/>
  <c r="G69" i="17"/>
  <c r="D59" i="17"/>
  <c r="G8" i="17"/>
  <c r="G60" i="17"/>
  <c r="D69" i="17"/>
  <c r="G70" i="17"/>
  <c r="G51" i="17"/>
  <c r="D18" i="17"/>
  <c r="K70" i="17"/>
  <c r="G20" i="17"/>
  <c r="G38" i="17"/>
  <c r="D48" i="17"/>
  <c r="G50" i="17"/>
  <c r="D20" i="17"/>
  <c r="D72" i="17"/>
  <c r="G17" i="17"/>
  <c r="D52" i="17"/>
  <c r="G64" i="17"/>
  <c r="G37" i="17"/>
  <c r="G32" i="17"/>
  <c r="D38" i="17"/>
  <c r="D80" i="17"/>
  <c r="G53" i="17"/>
  <c r="G27" i="17"/>
  <c r="G80" i="17"/>
  <c r="G48" i="17"/>
  <c r="D74" i="17"/>
  <c r="G81" i="17"/>
  <c r="D42" i="17"/>
  <c r="D60" i="17"/>
  <c r="D50" i="17"/>
  <c r="G19" i="17"/>
  <c r="D9" i="17"/>
  <c r="D62" i="17"/>
  <c r="K22" i="17"/>
  <c r="K19" i="17"/>
  <c r="K43" i="17"/>
  <c r="K29" i="17"/>
  <c r="K11" i="17"/>
  <c r="K28" i="17"/>
  <c r="K10" i="17"/>
  <c r="K6" i="17"/>
  <c r="K41" i="17"/>
  <c r="K27" i="17"/>
  <c r="K20" i="17"/>
  <c r="D66" i="17"/>
  <c r="G66" i="17"/>
  <c r="D78" i="17"/>
  <c r="G78" i="17"/>
  <c r="D58" i="17"/>
  <c r="G58" i="17"/>
  <c r="D47" i="17"/>
  <c r="G47" i="17"/>
  <c r="D63" i="17"/>
  <c r="G63" i="17"/>
  <c r="G35" i="17"/>
  <c r="D35" i="17"/>
  <c r="G5" i="17"/>
  <c r="D5" i="17"/>
  <c r="G75" i="17"/>
  <c r="D75" i="17"/>
  <c r="G65" i="17"/>
  <c r="D65" i="17"/>
  <c r="G36" i="17"/>
  <c r="D36" i="17"/>
  <c r="G13" i="17"/>
  <c r="D13" i="17"/>
  <c r="G14" i="17"/>
  <c r="D14" i="17"/>
  <c r="D31" i="17"/>
  <c r="G31" i="17"/>
  <c r="G15" i="17"/>
  <c r="D15" i="17"/>
  <c r="D71" i="17"/>
  <c r="G71" i="17"/>
  <c r="D21" i="17"/>
  <c r="G21" i="17"/>
  <c r="G7" i="17"/>
  <c r="D7" i="17"/>
  <c r="G24" i="17"/>
  <c r="D24" i="17"/>
  <c r="G25" i="17"/>
  <c r="D25" i="17"/>
  <c r="D57" i="17"/>
  <c r="G57" i="17"/>
  <c r="D67" i="17"/>
  <c r="G67" i="17"/>
  <c r="G44" i="17"/>
  <c r="D44" i="17"/>
  <c r="G23" i="17"/>
  <c r="D23" i="17"/>
  <c r="G16" i="17"/>
  <c r="D16" i="17"/>
  <c r="G4" i="17"/>
  <c r="D4" i="17"/>
  <c r="G49" i="17"/>
  <c r="D49" i="17"/>
  <c r="G30" i="17"/>
  <c r="D30" i="17"/>
  <c r="G54" i="17"/>
  <c r="D54" i="17"/>
  <c r="G79" i="17"/>
  <c r="D79" i="17"/>
  <c r="G76" i="17"/>
  <c r="D76" i="17"/>
  <c r="G34" i="17"/>
  <c r="D34" i="17"/>
  <c r="G3" i="17"/>
  <c r="D3" i="17"/>
  <c r="G40" i="17"/>
  <c r="D40" i="17"/>
  <c r="G68" i="17"/>
  <c r="D68" i="17"/>
  <c r="G55" i="17"/>
  <c r="D55" i="17"/>
  <c r="D46" i="17"/>
  <c r="G46" i="17"/>
  <c r="G39" i="17"/>
  <c r="D39" i="17"/>
  <c r="D56" i="17"/>
  <c r="G56" i="17"/>
  <c r="G12" i="17"/>
  <c r="D12" i="17"/>
  <c r="D26" i="17"/>
  <c r="G26" i="17"/>
  <c r="D45" i="17"/>
  <c r="G45" i="17"/>
  <c r="C3" i="14"/>
  <c r="E49" i="12"/>
  <c r="E32" i="12"/>
  <c r="E69" i="12"/>
  <c r="E44" i="12"/>
  <c r="E79" i="12"/>
  <c r="E12" i="12"/>
  <c r="E47" i="12"/>
  <c r="E60" i="12"/>
  <c r="E35" i="12"/>
  <c r="E68" i="12"/>
  <c r="E21" i="12"/>
  <c r="E78" i="12"/>
  <c r="E19" i="12"/>
  <c r="E4" i="12"/>
  <c r="E36" i="12"/>
  <c r="E66" i="12"/>
  <c r="E22" i="12"/>
  <c r="E25" i="12"/>
  <c r="E8" i="12"/>
  <c r="E38" i="12"/>
  <c r="E27" i="12"/>
  <c r="E72" i="12"/>
  <c r="E7" i="12"/>
  <c r="E9" i="12"/>
  <c r="E10" i="12"/>
  <c r="E58" i="12"/>
  <c r="E65" i="12"/>
  <c r="E41" i="12"/>
  <c r="E61" i="12"/>
  <c r="E71" i="12"/>
  <c r="E24" i="12"/>
  <c r="E13" i="12"/>
  <c r="E53" i="12"/>
  <c r="E63" i="12"/>
  <c r="E16" i="12"/>
  <c r="E51" i="12"/>
  <c r="E15" i="12"/>
  <c r="E67" i="12"/>
  <c r="E74" i="12"/>
  <c r="E26" i="12"/>
  <c r="E55" i="12"/>
  <c r="E5" i="12"/>
  <c r="E29" i="12"/>
  <c r="E77" i="12"/>
  <c r="E76" i="12"/>
  <c r="E48" i="12"/>
  <c r="E80" i="12"/>
  <c r="E17" i="12"/>
  <c r="E33" i="12"/>
  <c r="E11" i="12"/>
  <c r="E20" i="12"/>
  <c r="E50" i="12"/>
  <c r="E43" i="12"/>
  <c r="E31" i="12"/>
  <c r="E81" i="12"/>
  <c r="E6" i="12"/>
  <c r="E57" i="12"/>
  <c r="E39" i="12"/>
  <c r="E70" i="12"/>
  <c r="E23" i="12"/>
  <c r="E46" i="12"/>
  <c r="E82" i="12"/>
  <c r="E42" i="12"/>
  <c r="E3" i="12"/>
  <c r="E45" i="12"/>
  <c r="E14" i="12"/>
  <c r="E59" i="12"/>
  <c r="E54" i="12"/>
  <c r="E64" i="12"/>
  <c r="E73" i="12"/>
  <c r="E75" i="12"/>
  <c r="E37" i="12"/>
  <c r="E40" i="12"/>
  <c r="E56" i="12"/>
  <c r="E34" i="12"/>
  <c r="E30" i="12"/>
  <c r="E52" i="12"/>
  <c r="E28" i="12"/>
  <c r="E62" i="12"/>
  <c r="E18" i="12"/>
  <c r="C63" i="14"/>
  <c r="C68" i="14"/>
  <c r="C10" i="14"/>
  <c r="C5" i="14"/>
  <c r="C45" i="14"/>
  <c r="C11" i="14"/>
  <c r="C20" i="14"/>
  <c r="C36" i="14"/>
  <c r="C52" i="14"/>
  <c r="C41" i="14"/>
  <c r="C33" i="14"/>
  <c r="C57" i="14"/>
  <c r="C34" i="14"/>
  <c r="C66" i="14"/>
  <c r="C26" i="14"/>
  <c r="C71" i="14"/>
  <c r="C22" i="14"/>
  <c r="C37" i="14"/>
  <c r="C53" i="14"/>
  <c r="C54" i="14"/>
  <c r="C32" i="14"/>
  <c r="C27" i="14"/>
  <c r="C56" i="14"/>
  <c r="C16" i="14"/>
  <c r="C64" i="14"/>
  <c r="C48" i="14"/>
  <c r="C42" i="14"/>
  <c r="C60" i="14"/>
  <c r="C38" i="14"/>
  <c r="C69" i="14"/>
  <c r="C70" i="14"/>
  <c r="C17" i="14"/>
  <c r="C43" i="14"/>
  <c r="C47" i="14"/>
  <c r="C9" i="14"/>
  <c r="C25" i="14"/>
  <c r="C7" i="14"/>
  <c r="C23" i="14"/>
  <c r="C49" i="14"/>
  <c r="C39" i="14"/>
  <c r="C50" i="14"/>
  <c r="C55" i="14"/>
  <c r="C6" i="14"/>
  <c r="C21" i="14"/>
  <c r="C58" i="14"/>
  <c r="C19" i="14"/>
  <c r="C44" i="14"/>
  <c r="C12" i="14"/>
  <c r="C65" i="14"/>
  <c r="C59" i="14"/>
  <c r="C4" i="14"/>
  <c r="C35" i="14"/>
  <c r="C13" i="14"/>
  <c r="C61" i="14"/>
  <c r="C8" i="14"/>
  <c r="C28" i="14"/>
  <c r="C62" i="14"/>
  <c r="C51" i="14"/>
  <c r="C14" i="14"/>
  <c r="C46" i="14"/>
  <c r="C24" i="14"/>
  <c r="C29" i="14"/>
  <c r="C31" i="14"/>
  <c r="C67" i="14"/>
  <c r="C30" i="14"/>
  <c r="C15" i="14"/>
  <c r="C40" i="14"/>
  <c r="C18" i="14"/>
  <c r="E3" i="14"/>
  <c r="D3" i="14"/>
  <c r="O6" i="16"/>
  <c r="O7" i="16"/>
  <c r="O8" i="16"/>
  <c r="O5" i="16"/>
  <c r="Q8" i="16"/>
  <c r="Q7" i="16"/>
  <c r="Q6" i="16"/>
  <c r="Q5" i="16"/>
  <c r="Q4" i="16"/>
  <c r="P4" i="16"/>
  <c r="P6" i="16"/>
  <c r="P7" i="16"/>
  <c r="P8" i="16"/>
  <c r="P5" i="16"/>
  <c r="J32" i="12"/>
  <c r="J39" i="12"/>
  <c r="J8" i="12"/>
  <c r="J20" i="12"/>
  <c r="J23" i="12"/>
  <c r="J27" i="12"/>
  <c r="J62" i="12"/>
  <c r="J15" i="12"/>
  <c r="J59" i="17"/>
  <c r="J37" i="17"/>
  <c r="J66" i="17"/>
  <c r="J25" i="17"/>
  <c r="J55" i="17"/>
  <c r="J40" i="17"/>
  <c r="J45" i="17"/>
  <c r="R5" i="16"/>
  <c r="J65" i="12"/>
  <c r="J44" i="12"/>
  <c r="J53" i="12"/>
  <c r="J9" i="12"/>
  <c r="J68" i="17"/>
  <c r="J17" i="17"/>
  <c r="J44" i="17"/>
  <c r="J63" i="17"/>
  <c r="J58" i="17"/>
  <c r="R8" i="16"/>
  <c r="J25" i="12"/>
  <c r="J60" i="12"/>
  <c r="J37" i="12"/>
  <c r="J51" i="12"/>
  <c r="J51" i="17"/>
  <c r="J60" i="17"/>
  <c r="J36" i="17"/>
  <c r="J34" i="17"/>
  <c r="J58" i="12"/>
  <c r="J38" i="12"/>
  <c r="J18" i="12"/>
  <c r="J52" i="12"/>
  <c r="J52" i="17"/>
  <c r="J26" i="17"/>
  <c r="J49" i="17"/>
  <c r="J63" i="12"/>
  <c r="J42" i="12"/>
  <c r="J41" i="12"/>
  <c r="J6" i="12"/>
  <c r="J46" i="12"/>
  <c r="J61" i="12"/>
  <c r="J18" i="17"/>
  <c r="J57" i="17"/>
  <c r="J21" i="17"/>
  <c r="J48" i="12"/>
  <c r="J49" i="12"/>
  <c r="J57" i="12"/>
  <c r="J53" i="17"/>
  <c r="J31" i="17"/>
  <c r="J47" i="12"/>
  <c r="J16" i="12"/>
  <c r="J40" i="12"/>
  <c r="J3" i="17"/>
  <c r="J13" i="17"/>
  <c r="J50" i="12"/>
  <c r="J62" i="17"/>
  <c r="J14" i="17"/>
  <c r="J12" i="12"/>
  <c r="J14" i="12"/>
  <c r="J54" i="12"/>
  <c r="J43" i="12"/>
  <c r="J38" i="17"/>
  <c r="J5" i="17"/>
  <c r="J56" i="12"/>
  <c r="J55" i="12"/>
  <c r="J45" i="12"/>
  <c r="J39" i="17"/>
  <c r="R6" i="16"/>
  <c r="J28" i="12"/>
  <c r="J33" i="12"/>
  <c r="J42" i="17"/>
  <c r="J35" i="17"/>
  <c r="J46" i="17"/>
  <c r="J34" i="12"/>
  <c r="J30" i="12"/>
  <c r="J30" i="17"/>
  <c r="J26" i="12"/>
  <c r="J32" i="17"/>
  <c r="J36" i="12"/>
  <c r="J8" i="17"/>
  <c r="J7" i="17"/>
  <c r="J24" i="12"/>
  <c r="J48" i="17"/>
  <c r="J24" i="17"/>
  <c r="J29" i="12"/>
  <c r="J17" i="12"/>
  <c r="J69" i="17"/>
  <c r="J4" i="17"/>
  <c r="R7" i="16"/>
  <c r="J4" i="12"/>
  <c r="J3" i="12"/>
  <c r="J9" i="17"/>
  <c r="J16" i="17"/>
  <c r="R4" i="16"/>
  <c r="J5" i="12"/>
  <c r="J64" i="12"/>
  <c r="J67" i="17"/>
  <c r="J12" i="17"/>
  <c r="J21" i="12"/>
  <c r="J33" i="17"/>
  <c r="J23" i="17"/>
  <c r="J7" i="12"/>
  <c r="J10" i="12"/>
  <c r="J15" i="17"/>
  <c r="D2" i="1"/>
  <c r="J50" i="17"/>
  <c r="J13" i="12"/>
  <c r="J64" i="17"/>
  <c r="J65" i="17"/>
  <c r="J11" i="12"/>
  <c r="J35" i="12"/>
  <c r="J19" i="12"/>
  <c r="J47" i="17"/>
  <c r="J56" i="17"/>
  <c r="J31" i="12"/>
  <c r="J22" i="12"/>
  <c r="J61" i="17"/>
  <c r="J54" i="17"/>
  <c r="J59" i="12"/>
  <c r="K18" i="17" l="1"/>
  <c r="K69" i="17"/>
  <c r="K51" i="17"/>
  <c r="K68" i="17"/>
  <c r="K59" i="17"/>
  <c r="K8" i="17"/>
  <c r="K32" i="17"/>
  <c r="K53" i="17"/>
  <c r="K9" i="17"/>
  <c r="K52" i="17"/>
  <c r="K48" i="17"/>
  <c r="K17" i="17"/>
  <c r="K37" i="17"/>
  <c r="K61" i="17"/>
  <c r="K33" i="17"/>
  <c r="K64" i="17"/>
  <c r="K67" i="17"/>
  <c r="K50" i="17"/>
  <c r="K42" i="17"/>
  <c r="K60" i="17"/>
  <c r="K38" i="17"/>
  <c r="K66" i="17"/>
  <c r="K62" i="17"/>
  <c r="K13" i="17"/>
  <c r="K12" i="17"/>
  <c r="K21" i="17"/>
  <c r="K49" i="17"/>
  <c r="K24" i="17"/>
  <c r="K5" i="17"/>
  <c r="K45" i="17"/>
  <c r="K14" i="17"/>
  <c r="K56" i="17"/>
  <c r="K65" i="17"/>
  <c r="K16" i="17"/>
  <c r="K35" i="17"/>
  <c r="K34" i="17"/>
  <c r="K58" i="17"/>
  <c r="K40" i="17"/>
  <c r="K54" i="17"/>
  <c r="K23" i="17"/>
  <c r="K31" i="17"/>
  <c r="K46" i="17"/>
  <c r="K4" i="17"/>
  <c r="K36" i="17"/>
  <c r="K63" i="17"/>
  <c r="K55" i="17"/>
  <c r="K7" i="17"/>
  <c r="K3" i="17"/>
  <c r="K30" i="17"/>
  <c r="K57" i="17"/>
  <c r="K26" i="17"/>
  <c r="K39" i="17"/>
  <c r="K44" i="17"/>
  <c r="K25" i="17"/>
  <c r="K15" i="17"/>
  <c r="K47" i="17"/>
  <c r="D13" i="14"/>
  <c r="D7" i="14"/>
  <c r="D32" i="14"/>
  <c r="D45" i="14"/>
  <c r="D18" i="14"/>
  <c r="D35" i="14"/>
  <c r="D25" i="14"/>
  <c r="D54" i="14"/>
  <c r="D40" i="14"/>
  <c r="D9" i="14"/>
  <c r="D53" i="14"/>
  <c r="D10" i="14"/>
  <c r="D15" i="14"/>
  <c r="D59" i="14"/>
  <c r="D47" i="14"/>
  <c r="D37" i="14"/>
  <c r="D68" i="14"/>
  <c r="D30" i="14"/>
  <c r="D65" i="14"/>
  <c r="D43" i="14"/>
  <c r="D22" i="14"/>
  <c r="D63" i="14"/>
  <c r="D67" i="14"/>
  <c r="D12" i="14"/>
  <c r="D17" i="14"/>
  <c r="D71" i="14"/>
  <c r="D31" i="14"/>
  <c r="D44" i="14"/>
  <c r="D70" i="14"/>
  <c r="D26" i="14"/>
  <c r="D29" i="14"/>
  <c r="D19" i="14"/>
  <c r="D69" i="14"/>
  <c r="D66" i="14"/>
  <c r="D24" i="14"/>
  <c r="D58" i="14"/>
  <c r="D38" i="14"/>
  <c r="D34" i="14"/>
  <c r="D46" i="14"/>
  <c r="D57" i="14"/>
  <c r="D6" i="14"/>
  <c r="D64" i="14"/>
  <c r="D28" i="14"/>
  <c r="D39" i="14"/>
  <c r="D16" i="14"/>
  <c r="D36" i="14"/>
  <c r="D21" i="14"/>
  <c r="D42" i="14"/>
  <c r="D51" i="14"/>
  <c r="D48" i="14"/>
  <c r="D62" i="14"/>
  <c r="D52" i="14"/>
  <c r="D8" i="14"/>
  <c r="D49" i="14"/>
  <c r="D56" i="14"/>
  <c r="D20" i="14"/>
  <c r="D60" i="14"/>
  <c r="D14" i="14"/>
  <c r="D33" i="14"/>
  <c r="D55" i="14"/>
  <c r="D41" i="14"/>
  <c r="D50" i="14"/>
  <c r="D61" i="14"/>
  <c r="D23" i="14"/>
  <c r="D27" i="14"/>
  <c r="D11" i="14"/>
  <c r="D5" i="14"/>
  <c r="D4" i="14"/>
  <c r="D15" i="16"/>
  <c r="C22" i="1"/>
  <c r="H36" i="1"/>
  <c r="H22" i="1"/>
  <c r="C36" i="1"/>
  <c r="C50" i="1"/>
  <c r="H50" i="1"/>
  <c r="H8" i="16"/>
  <c r="H7" i="16"/>
  <c r="H6" i="16"/>
  <c r="H5" i="16"/>
  <c r="I68" i="14"/>
  <c r="I69" i="14"/>
  <c r="I71" i="14"/>
  <c r="I66" i="14"/>
  <c r="I65" i="14"/>
  <c r="I70" i="14"/>
  <c r="I67" i="14"/>
  <c r="D3" i="1"/>
  <c r="C16" i="20" s="1"/>
  <c r="I53" i="14"/>
  <c r="I16" i="14"/>
  <c r="I50" i="14"/>
  <c r="I11" i="14"/>
  <c r="I44" i="14"/>
  <c r="I9" i="14"/>
  <c r="I31" i="14"/>
  <c r="E3" i="16"/>
  <c r="I38" i="14"/>
  <c r="I56" i="14"/>
  <c r="I54" i="14"/>
  <c r="I15" i="14"/>
  <c r="I43" i="14"/>
  <c r="I35" i="14"/>
  <c r="I22" i="14"/>
  <c r="I21" i="14"/>
  <c r="I52" i="14"/>
  <c r="I61" i="14"/>
  <c r="I32" i="14"/>
  <c r="I25" i="14"/>
  <c r="I39" i="14"/>
  <c r="I64" i="14"/>
  <c r="I49" i="14"/>
  <c r="I26" i="14"/>
  <c r="I47" i="14"/>
  <c r="I62" i="14"/>
  <c r="I51" i="14"/>
  <c r="I41" i="14"/>
  <c r="I33" i="14"/>
  <c r="E5" i="16"/>
  <c r="I28" i="14"/>
  <c r="I36" i="14"/>
  <c r="I63" i="14"/>
  <c r="I23" i="14"/>
  <c r="I40" i="14"/>
  <c r="I27" i="14"/>
  <c r="I19" i="14"/>
  <c r="E4" i="16"/>
  <c r="I30" i="14"/>
  <c r="I24" i="14"/>
  <c r="I55" i="14"/>
  <c r="I60" i="14"/>
  <c r="E6" i="16"/>
  <c r="I34" i="14"/>
  <c r="I20" i="14"/>
  <c r="I48" i="14"/>
  <c r="I29" i="14"/>
  <c r="I8" i="14"/>
  <c r="I37" i="14"/>
  <c r="I57" i="14"/>
  <c r="E7" i="16"/>
  <c r="I6" i="14"/>
  <c r="I13" i="14"/>
  <c r="I12" i="14"/>
  <c r="E8" i="16"/>
  <c r="I42" i="14"/>
  <c r="I14" i="14"/>
  <c r="I18" i="14"/>
  <c r="I10" i="14"/>
  <c r="I7" i="14"/>
  <c r="I58" i="14"/>
  <c r="I17" i="14"/>
  <c r="I45" i="14"/>
  <c r="I59" i="14"/>
  <c r="I46" i="14"/>
  <c r="G16" i="20" l="1"/>
  <c r="D16" i="20"/>
  <c r="F16" i="20"/>
  <c r="D16" i="16"/>
  <c r="D14" i="16" s="1"/>
  <c r="I7" i="16"/>
  <c r="F3" i="16"/>
  <c r="F8" i="16"/>
  <c r="F7" i="16"/>
  <c r="I8" i="16"/>
  <c r="I6" i="16"/>
  <c r="J16" i="20"/>
  <c r="F6" i="16"/>
  <c r="F4" i="16"/>
  <c r="I5" i="16"/>
  <c r="F5" i="16"/>
  <c r="I4" i="16"/>
  <c r="G13" i="16"/>
  <c r="K16" i="20" l="1"/>
  <c r="T4" i="16"/>
  <c r="T8" i="16"/>
  <c r="T6" i="16"/>
  <c r="T7" i="16"/>
  <c r="T5" i="16"/>
  <c r="S4" i="16"/>
  <c r="K5" i="16"/>
  <c r="U5" i="16"/>
  <c r="K8" i="16"/>
  <c r="K7" i="16"/>
  <c r="U7" i="16"/>
  <c r="K4" i="16"/>
  <c r="J7" i="16"/>
  <c r="S6" i="16"/>
  <c r="J8" i="16"/>
  <c r="S8" i="16"/>
  <c r="J5" i="16"/>
  <c r="L5" i="16" s="1"/>
  <c r="U8" i="16"/>
  <c r="J4" i="16"/>
  <c r="U6" i="16"/>
  <c r="L4" i="16"/>
  <c r="S7" i="16"/>
  <c r="K6" i="16"/>
  <c r="J6" i="16"/>
  <c r="U4" i="16"/>
  <c r="F24" i="14" l="1"/>
  <c r="F63" i="14"/>
  <c r="F23" i="14"/>
  <c r="F57" i="14"/>
  <c r="F31" i="14"/>
  <c r="F19" i="14"/>
  <c r="F26" i="14"/>
  <c r="F29" i="14"/>
  <c r="F49" i="14"/>
  <c r="F46" i="14"/>
  <c r="F68" i="14"/>
  <c r="F18" i="14"/>
  <c r="F40" i="14"/>
  <c r="F38" i="14"/>
  <c r="F61" i="14"/>
  <c r="F32" i="14"/>
  <c r="F60" i="14"/>
  <c r="F67" i="14"/>
  <c r="F21" i="14"/>
  <c r="F53" i="14"/>
  <c r="F44" i="14"/>
  <c r="F51" i="14"/>
  <c r="F58" i="14"/>
  <c r="F69" i="14"/>
  <c r="F22" i="14"/>
  <c r="F50" i="14"/>
  <c r="F47" i="14"/>
  <c r="F59" i="14"/>
  <c r="F55" i="14"/>
  <c r="F62" i="14"/>
  <c r="F41" i="14"/>
  <c r="F36" i="14"/>
  <c r="F25" i="14"/>
  <c r="F48" i="14"/>
  <c r="F56" i="14"/>
  <c r="F30" i="14"/>
  <c r="F28" i="14"/>
  <c r="F35" i="14"/>
  <c r="F42" i="14"/>
  <c r="F64" i="14"/>
  <c r="F52" i="14"/>
  <c r="F66" i="14"/>
  <c r="F33" i="14"/>
  <c r="F39" i="14"/>
  <c r="F70" i="14"/>
  <c r="F43" i="14"/>
  <c r="F65" i="14"/>
  <c r="F54" i="14"/>
  <c r="F37" i="14"/>
  <c r="F71" i="14"/>
  <c r="F45" i="14"/>
  <c r="F20" i="14"/>
  <c r="F27" i="14"/>
  <c r="F34" i="14"/>
  <c r="E38" i="14"/>
  <c r="E21" i="14"/>
  <c r="E42" i="14"/>
  <c r="E32" i="14"/>
  <c r="E47" i="14"/>
  <c r="E52" i="14"/>
  <c r="E33" i="14"/>
  <c r="E51" i="14"/>
  <c r="E41" i="14"/>
  <c r="E50" i="14"/>
  <c r="E25" i="14"/>
  <c r="E56" i="14"/>
  <c r="E28" i="14"/>
  <c r="E54" i="14"/>
  <c r="E37" i="14"/>
  <c r="E71" i="14"/>
  <c r="E45" i="14"/>
  <c r="E20" i="14"/>
  <c r="E27" i="14"/>
  <c r="E34" i="14"/>
  <c r="E61" i="14"/>
  <c r="E67" i="14"/>
  <c r="E64" i="14"/>
  <c r="E69" i="14"/>
  <c r="E66" i="14"/>
  <c r="E55" i="14"/>
  <c r="E58" i="14"/>
  <c r="E39" i="14"/>
  <c r="E22" i="14"/>
  <c r="E36" i="14"/>
  <c r="E48" i="14"/>
  <c r="E35" i="14"/>
  <c r="E63" i="14"/>
  <c r="E23" i="14"/>
  <c r="E57" i="14"/>
  <c r="E31" i="14"/>
  <c r="E19" i="14"/>
  <c r="E26" i="14"/>
  <c r="E60" i="14"/>
  <c r="E24" i="14"/>
  <c r="E59" i="14"/>
  <c r="E53" i="14"/>
  <c r="E44" i="14"/>
  <c r="E62" i="14"/>
  <c r="E70" i="14"/>
  <c r="E43" i="14"/>
  <c r="E65" i="14"/>
  <c r="E30" i="14"/>
  <c r="E40" i="14"/>
  <c r="E29" i="14"/>
  <c r="E49" i="14"/>
  <c r="E46" i="14"/>
  <c r="E68" i="14"/>
  <c r="E18" i="14"/>
  <c r="J69" i="14"/>
  <c r="V4" i="16"/>
  <c r="L6" i="16"/>
  <c r="L8" i="16"/>
  <c r="V6" i="16"/>
  <c r="L7" i="16"/>
  <c r="V7" i="16"/>
  <c r="V8" i="16"/>
  <c r="X7" i="16"/>
  <c r="X6" i="16"/>
  <c r="X8" i="16"/>
  <c r="S5" i="16"/>
  <c r="W8" i="16" l="1"/>
  <c r="Y8" i="16" s="1"/>
  <c r="W7" i="16"/>
  <c r="Y7" i="16" s="1"/>
  <c r="W6" i="16"/>
  <c r="Y6" i="16" s="1"/>
  <c r="J67" i="14"/>
  <c r="K77" i="12"/>
  <c r="K82" i="12"/>
  <c r="K81" i="12"/>
  <c r="K79" i="12"/>
  <c r="K80" i="12"/>
  <c r="K78" i="12"/>
  <c r="J65" i="14"/>
  <c r="J71" i="14"/>
  <c r="J70" i="14"/>
  <c r="J68" i="14"/>
  <c r="J66" i="14"/>
  <c r="W4" i="16"/>
  <c r="Y4" i="16" s="1"/>
  <c r="K74" i="12"/>
  <c r="K65" i="12"/>
  <c r="K69" i="12"/>
  <c r="K64" i="12"/>
  <c r="K70" i="12"/>
  <c r="K67" i="12"/>
  <c r="K71" i="12"/>
  <c r="K75" i="12"/>
  <c r="K73" i="12"/>
  <c r="K68" i="12"/>
  <c r="K72" i="12"/>
  <c r="K76" i="12"/>
  <c r="K66" i="12"/>
  <c r="J57" i="14"/>
  <c r="J59" i="14"/>
  <c r="J46" i="14"/>
  <c r="J37" i="14"/>
  <c r="J55" i="14"/>
  <c r="J51" i="14"/>
  <c r="J40" i="14"/>
  <c r="J30" i="14"/>
  <c r="J52" i="14"/>
  <c r="J26" i="14"/>
  <c r="J47" i="14"/>
  <c r="J42" i="14"/>
  <c r="J62" i="14"/>
  <c r="J32" i="14"/>
  <c r="J45" i="14"/>
  <c r="J22" i="14"/>
  <c r="J18" i="14"/>
  <c r="J20" i="14"/>
  <c r="J41" i="14"/>
  <c r="J24" i="14"/>
  <c r="J50" i="14"/>
  <c r="J61" i="14"/>
  <c r="J48" i="14"/>
  <c r="J56" i="14"/>
  <c r="J38" i="14"/>
  <c r="J49" i="14"/>
  <c r="J23" i="14"/>
  <c r="J34" i="14"/>
  <c r="J25" i="14"/>
  <c r="J60" i="14"/>
  <c r="J19" i="14"/>
  <c r="J33" i="14"/>
  <c r="J54" i="14"/>
  <c r="J44" i="14"/>
  <c r="J63" i="14"/>
  <c r="J35" i="14"/>
  <c r="J64" i="14"/>
  <c r="J29" i="14"/>
  <c r="J31" i="14"/>
  <c r="J27" i="14"/>
  <c r="J36" i="14"/>
  <c r="J43" i="14"/>
  <c r="J39" i="14"/>
  <c r="J58" i="14"/>
  <c r="J28" i="14"/>
  <c r="J53" i="14"/>
  <c r="J21" i="14"/>
  <c r="V5" i="16"/>
  <c r="X4" i="16"/>
  <c r="X5" i="16"/>
  <c r="W5" i="16" l="1"/>
  <c r="Y5" i="16" s="1"/>
  <c r="F11" i="14"/>
  <c r="F13" i="14"/>
  <c r="F12" i="14"/>
  <c r="F15" i="14"/>
  <c r="F5" i="14"/>
  <c r="F17" i="14"/>
  <c r="F14" i="14"/>
  <c r="F8" i="14"/>
  <c r="F16" i="14"/>
  <c r="F4" i="14"/>
  <c r="F7" i="14"/>
  <c r="F6" i="14"/>
  <c r="F9" i="14"/>
  <c r="F10" i="14"/>
  <c r="W2" i="16"/>
  <c r="F3" i="14"/>
  <c r="E8" i="14"/>
  <c r="E16" i="14"/>
  <c r="E14" i="14"/>
  <c r="E7" i="14"/>
  <c r="E13" i="14"/>
  <c r="E15" i="14"/>
  <c r="E5" i="14"/>
  <c r="E17" i="14"/>
  <c r="E4" i="14"/>
  <c r="E6" i="14"/>
  <c r="E9" i="14"/>
  <c r="E10" i="14"/>
  <c r="E12" i="14"/>
  <c r="E11" i="14"/>
  <c r="K48" i="12"/>
  <c r="K43" i="12"/>
  <c r="K62" i="12"/>
  <c r="K49" i="12"/>
  <c r="K45" i="12"/>
  <c r="K44" i="12"/>
  <c r="K31" i="12"/>
  <c r="K38" i="12"/>
  <c r="K55" i="12"/>
  <c r="K50" i="12"/>
  <c r="K63" i="12"/>
  <c r="K57" i="12"/>
  <c r="K52" i="12"/>
  <c r="K24" i="12"/>
  <c r="K58" i="12"/>
  <c r="K21" i="12"/>
  <c r="K32" i="12"/>
  <c r="K28" i="12"/>
  <c r="K36" i="12"/>
  <c r="K19" i="12"/>
  <c r="K37" i="12"/>
  <c r="K47" i="12"/>
  <c r="K60" i="12"/>
  <c r="K40" i="12"/>
  <c r="K46" i="12"/>
  <c r="K27" i="12"/>
  <c r="K39" i="12"/>
  <c r="K23" i="12"/>
  <c r="K26" i="12"/>
  <c r="K41" i="12"/>
  <c r="K30" i="12"/>
  <c r="K53" i="12"/>
  <c r="K33" i="12"/>
  <c r="K34" i="12"/>
  <c r="K51" i="12"/>
  <c r="K20" i="12"/>
  <c r="K22" i="12"/>
  <c r="K42" i="12"/>
  <c r="K59" i="12"/>
  <c r="K61" i="12"/>
  <c r="K29" i="12"/>
  <c r="K25" i="12"/>
  <c r="K54" i="12"/>
  <c r="K56" i="12"/>
  <c r="K35" i="12"/>
  <c r="I3" i="14"/>
  <c r="I4" i="14"/>
  <c r="I5" i="14"/>
  <c r="J3" i="14" l="1"/>
  <c r="J15" i="14"/>
  <c r="J16" i="14"/>
  <c r="J17" i="14"/>
  <c r="J10" i="14"/>
  <c r="J5" i="14"/>
  <c r="J13" i="14"/>
  <c r="J8" i="14"/>
  <c r="J11" i="14"/>
  <c r="J9" i="14"/>
  <c r="J4" i="14"/>
  <c r="J6" i="14"/>
  <c r="J14" i="14"/>
  <c r="J12" i="14"/>
  <c r="J7" i="14"/>
  <c r="K7" i="12"/>
  <c r="K9" i="12"/>
  <c r="K8" i="12"/>
  <c r="K14" i="12"/>
  <c r="K11" i="12"/>
  <c r="K6" i="12"/>
  <c r="K13" i="12"/>
  <c r="K16" i="12"/>
  <c r="K3" i="12"/>
  <c r="K10" i="12"/>
  <c r="K15" i="12"/>
  <c r="K12" i="12"/>
  <c r="K18" i="12"/>
  <c r="K4" i="12"/>
  <c r="K17" i="12"/>
  <c r="K5" i="12"/>
  <c r="M3" i="14" a="1"/>
  <c r="L3" i="14" a="1"/>
  <c r="N3" i="14" a="1"/>
  <c r="M5" i="14" l="1"/>
  <c r="M14" i="14"/>
  <c r="M66" i="14"/>
  <c r="M9" i="14"/>
  <c r="M25" i="14"/>
  <c r="M17" i="14"/>
  <c r="M39" i="14"/>
  <c r="M24" i="14"/>
  <c r="M18" i="14"/>
  <c r="M42" i="14"/>
  <c r="M6" i="14"/>
  <c r="M16" i="14"/>
  <c r="M32" i="14"/>
  <c r="M48" i="14"/>
  <c r="M64" i="14"/>
  <c r="M23" i="14"/>
  <c r="M40" i="14"/>
  <c r="M37" i="14"/>
  <c r="M26" i="14"/>
  <c r="M54" i="14"/>
  <c r="M12" i="14"/>
  <c r="M20" i="14"/>
  <c r="M22" i="14"/>
  <c r="M56" i="14"/>
  <c r="M47" i="14"/>
  <c r="M34" i="14"/>
  <c r="M46" i="14"/>
  <c r="M38" i="14"/>
  <c r="M71" i="14"/>
  <c r="M4" i="14"/>
  <c r="M68" i="14"/>
  <c r="M41" i="14"/>
  <c r="M53" i="14"/>
  <c r="M59" i="14"/>
  <c r="M44" i="14"/>
  <c r="M57" i="14"/>
  <c r="M69" i="14"/>
  <c r="M58" i="14"/>
  <c r="M7" i="14"/>
  <c r="M19" i="14"/>
  <c r="M67" i="14"/>
  <c r="M49" i="14"/>
  <c r="M62" i="14"/>
  <c r="M28" i="14"/>
  <c r="M30" i="14"/>
  <c r="M27" i="14"/>
  <c r="M35" i="14"/>
  <c r="M60" i="14"/>
  <c r="M50" i="14"/>
  <c r="M31" i="14"/>
  <c r="M45" i="14"/>
  <c r="M52" i="14"/>
  <c r="M61" i="14"/>
  <c r="M55" i="14"/>
  <c r="M29" i="14"/>
  <c r="M11" i="14"/>
  <c r="M36" i="14"/>
  <c r="M65" i="14"/>
  <c r="M70" i="14"/>
  <c r="M51" i="14"/>
  <c r="M21" i="14"/>
  <c r="M8" i="14"/>
  <c r="M10" i="14"/>
  <c r="M63" i="14"/>
  <c r="M15" i="14"/>
  <c r="M43" i="14"/>
  <c r="M3" i="14"/>
  <c r="M33" i="14"/>
  <c r="M13" i="14"/>
  <c r="N33" i="14"/>
  <c r="N57" i="14"/>
  <c r="N53" i="14"/>
  <c r="N46" i="14"/>
  <c r="N71" i="14"/>
  <c r="N24" i="14"/>
  <c r="N37" i="14"/>
  <c r="N8" i="14"/>
  <c r="N56" i="14"/>
  <c r="N69" i="14"/>
  <c r="N55" i="14"/>
  <c r="N40" i="14"/>
  <c r="N38" i="14"/>
  <c r="N68" i="14"/>
  <c r="N61" i="14"/>
  <c r="N50" i="14"/>
  <c r="N60" i="14"/>
  <c r="N62" i="14"/>
  <c r="N15" i="14"/>
  <c r="N31" i="14"/>
  <c r="N47" i="14"/>
  <c r="N63" i="14"/>
  <c r="N16" i="14"/>
  <c r="N32" i="14"/>
  <c r="N9" i="14"/>
  <c r="N13" i="14"/>
  <c r="N14" i="14"/>
  <c r="N26" i="14"/>
  <c r="N58" i="14"/>
  <c r="N19" i="14"/>
  <c r="N36" i="14"/>
  <c r="N23" i="14"/>
  <c r="N52" i="14"/>
  <c r="N25" i="14"/>
  <c r="N43" i="14"/>
  <c r="N51" i="14"/>
  <c r="N20" i="14"/>
  <c r="N7" i="14"/>
  <c r="N41" i="14"/>
  <c r="N6" i="14"/>
  <c r="N3" i="14"/>
  <c r="N70" i="14"/>
  <c r="N66" i="14"/>
  <c r="N17" i="14"/>
  <c r="N18" i="14"/>
  <c r="N30" i="14"/>
  <c r="N48" i="14"/>
  <c r="N28" i="14"/>
  <c r="N34" i="14"/>
  <c r="N29" i="14"/>
  <c r="N42" i="14"/>
  <c r="N45" i="14"/>
  <c r="N22" i="14"/>
  <c r="N27" i="14"/>
  <c r="N12" i="14"/>
  <c r="N4" i="14"/>
  <c r="N49" i="14"/>
  <c r="N35" i="14"/>
  <c r="N11" i="14"/>
  <c r="N44" i="14"/>
  <c r="N10" i="14"/>
  <c r="N64" i="14"/>
  <c r="N67" i="14"/>
  <c r="N5" i="14"/>
  <c r="N39" i="14"/>
  <c r="N59" i="14"/>
  <c r="N65" i="14"/>
  <c r="N54" i="14"/>
  <c r="N21" i="14"/>
  <c r="L26" i="14"/>
  <c r="L18" i="14"/>
  <c r="L15" i="14"/>
  <c r="L23" i="14"/>
  <c r="L47" i="14"/>
  <c r="L30" i="14"/>
  <c r="L51" i="14"/>
  <c r="L70" i="14"/>
  <c r="L54" i="14"/>
  <c r="L61" i="14"/>
  <c r="L14" i="14"/>
  <c r="L27" i="14"/>
  <c r="L60" i="14"/>
  <c r="L45" i="14"/>
  <c r="L40" i="14"/>
  <c r="L57" i="14"/>
  <c r="L5" i="14"/>
  <c r="L35" i="14"/>
  <c r="L39" i="14"/>
  <c r="L44" i="14"/>
  <c r="L6" i="14"/>
  <c r="L41" i="14"/>
  <c r="L12" i="14"/>
  <c r="L7" i="14"/>
  <c r="L48" i="14"/>
  <c r="L69" i="14"/>
  <c r="L46" i="14"/>
  <c r="L28" i="14"/>
  <c r="L59" i="14"/>
  <c r="L53" i="14"/>
  <c r="L37" i="14"/>
  <c r="L32" i="14"/>
  <c r="L21" i="14"/>
  <c r="L36" i="14"/>
  <c r="L19" i="14"/>
  <c r="L31" i="14"/>
  <c r="L8" i="14"/>
  <c r="L24" i="14"/>
  <c r="L63" i="14"/>
  <c r="L4" i="14"/>
  <c r="L64" i="14"/>
  <c r="L38" i="14"/>
  <c r="L42" i="14"/>
  <c r="L71" i="14"/>
  <c r="L29" i="14"/>
  <c r="L55" i="14"/>
  <c r="L67" i="14"/>
  <c r="L49" i="14"/>
  <c r="L58" i="14"/>
  <c r="L25" i="14"/>
  <c r="L62" i="14"/>
  <c r="L34" i="14"/>
  <c r="L65" i="14"/>
  <c r="L66" i="14"/>
  <c r="L33" i="14"/>
  <c r="L3" i="14"/>
  <c r="L22" i="14"/>
  <c r="L10" i="14"/>
  <c r="L52" i="14"/>
  <c r="L20" i="14"/>
  <c r="L43" i="14"/>
  <c r="L11" i="14"/>
  <c r="L56" i="14"/>
  <c r="L17" i="14"/>
  <c r="L50" i="14"/>
  <c r="L13" i="14"/>
  <c r="L9" i="14"/>
  <c r="L68" i="14"/>
  <c r="L16" i="14"/>
  <c r="O46" i="14"/>
  <c r="O26" i="14"/>
  <c r="Q17" i="14"/>
  <c r="O54" i="14"/>
  <c r="P47" i="14"/>
  <c r="P20" i="14"/>
  <c r="P10" i="14"/>
  <c r="Q68" i="14"/>
  <c r="P19" i="14"/>
  <c r="Q27" i="14"/>
  <c r="O61" i="14"/>
  <c r="O36" i="14"/>
  <c r="O12" i="14"/>
  <c r="O50" i="14"/>
  <c r="O23" i="14"/>
  <c r="O4" i="14"/>
  <c r="Q56" i="14"/>
  <c r="P9" i="14"/>
  <c r="P34" i="14"/>
  <c r="Q57" i="14"/>
  <c r="P62" i="14"/>
  <c r="O70" i="14"/>
  <c r="Q59" i="14"/>
  <c r="P55" i="14"/>
  <c r="O43" i="14"/>
  <c r="Q11" i="14"/>
  <c r="P46" i="14"/>
  <c r="P26" i="14"/>
  <c r="P45" i="14"/>
  <c r="P54" i="14"/>
  <c r="Q47" i="14"/>
  <c r="P18" i="14"/>
  <c r="Q10" i="14"/>
  <c r="O68" i="14"/>
  <c r="Q7" i="14"/>
  <c r="O27" i="14"/>
  <c r="P61" i="14"/>
  <c r="O41" i="14"/>
  <c r="P12" i="14"/>
  <c r="P50" i="14"/>
  <c r="Q6" i="14"/>
  <c r="P4" i="14"/>
  <c r="O56" i="14"/>
  <c r="O52" i="14"/>
  <c r="O34" i="14"/>
  <c r="O57" i="14"/>
  <c r="Q13" i="14"/>
  <c r="P70" i="14"/>
  <c r="O59" i="14"/>
  <c r="Q15" i="14"/>
  <c r="P43" i="14"/>
  <c r="O11" i="14"/>
  <c r="O40" i="14"/>
  <c r="Q26" i="14"/>
  <c r="Q45" i="14"/>
  <c r="Q71" i="14"/>
  <c r="O47" i="14"/>
  <c r="O18" i="14"/>
  <c r="O21" i="14"/>
  <c r="P68" i="14"/>
  <c r="O7" i="14"/>
  <c r="Q64" i="14"/>
  <c r="Q61" i="14"/>
  <c r="P41" i="14"/>
  <c r="Q67" i="14"/>
  <c r="Q50" i="14"/>
  <c r="O6" i="14"/>
  <c r="P5" i="14"/>
  <c r="P56" i="14"/>
  <c r="P52" i="14"/>
  <c r="Q49" i="14"/>
  <c r="P57" i="14"/>
  <c r="O13" i="14"/>
  <c r="Q29" i="14"/>
  <c r="P59" i="14"/>
  <c r="O15" i="14"/>
  <c r="Q66" i="14"/>
  <c r="P11" i="14"/>
  <c r="Q40" i="14"/>
  <c r="Q51" i="14"/>
  <c r="O71" i="14"/>
  <c r="P58" i="14"/>
  <c r="Q18" i="14"/>
  <c r="P21" i="14"/>
  <c r="Q63" i="14"/>
  <c r="P7" i="14"/>
  <c r="O64" i="14"/>
  <c r="Q16" i="14"/>
  <c r="O67" i="14"/>
  <c r="O32" i="14"/>
  <c r="Q5" i="14"/>
  <c r="Q52" i="14"/>
  <c r="Q69" i="14"/>
  <c r="O29" i="14"/>
  <c r="P15" i="14"/>
  <c r="Q65" i="14"/>
  <c r="O51" i="14"/>
  <c r="Q58" i="14"/>
  <c r="Q21" i="14"/>
  <c r="O63" i="14"/>
  <c r="P64" i="14"/>
  <c r="P48" i="14"/>
  <c r="P32" i="14"/>
  <c r="O5" i="14"/>
  <c r="Q3" i="14"/>
  <c r="O69" i="14"/>
  <c r="P29" i="14"/>
  <c r="P53" i="14"/>
  <c r="P66" i="14"/>
  <c r="Q31" i="14"/>
  <c r="P51" i="14"/>
  <c r="O38" i="14"/>
  <c r="O22" i="14"/>
  <c r="P63" i="14"/>
  <c r="Q37" i="14"/>
  <c r="O48" i="14"/>
  <c r="Q32" i="14"/>
  <c r="P33" i="14"/>
  <c r="O3" i="14"/>
  <c r="P69" i="14"/>
  <c r="O35" i="14"/>
  <c r="P14" i="14"/>
  <c r="P65" i="14"/>
  <c r="O17" i="14"/>
  <c r="Q20" i="14"/>
  <c r="O24" i="14"/>
  <c r="Q30" i="14"/>
  <c r="O45" i="14"/>
  <c r="Q41" i="14"/>
  <c r="P6" i="14"/>
  <c r="Q60" i="14"/>
  <c r="O49" i="14"/>
  <c r="P13" i="14"/>
  <c r="Q53" i="14"/>
  <c r="O66" i="14"/>
  <c r="P40" i="14"/>
  <c r="Q44" i="14"/>
  <c r="P71" i="14"/>
  <c r="Q22" i="14"/>
  <c r="O30" i="14"/>
  <c r="O16" i="14"/>
  <c r="P67" i="14"/>
  <c r="Q28" i="14"/>
  <c r="O60" i="14"/>
  <c r="P49" i="14"/>
  <c r="Q25" i="14"/>
  <c r="O14" i="14"/>
  <c r="O65" i="14"/>
  <c r="P44" i="14"/>
  <c r="O58" i="14"/>
  <c r="Q24" i="14"/>
  <c r="P30" i="14"/>
  <c r="P16" i="14"/>
  <c r="Q8" i="14"/>
  <c r="P28" i="14"/>
  <c r="P60" i="14"/>
  <c r="Q39" i="14"/>
  <c r="O25" i="14"/>
  <c r="O53" i="14"/>
  <c r="O42" i="14"/>
  <c r="O31" i="14"/>
  <c r="O44" i="14"/>
  <c r="P38" i="14"/>
  <c r="P22" i="14"/>
  <c r="Q19" i="14"/>
  <c r="O37" i="14"/>
  <c r="Q46" i="14"/>
  <c r="O19" i="14"/>
  <c r="P8" i="14"/>
  <c r="O9" i="14"/>
  <c r="Q70" i="14"/>
  <c r="Q42" i="14"/>
  <c r="P31" i="14"/>
  <c r="P27" i="14"/>
  <c r="Q23" i="14"/>
  <c r="P3" i="14"/>
  <c r="P35" i="14"/>
  <c r="P17" i="14"/>
  <c r="P37" i="14"/>
  <c r="P23" i="14"/>
  <c r="Q34" i="14"/>
  <c r="Q35" i="14"/>
  <c r="Q54" i="14"/>
  <c r="P36" i="14"/>
  <c r="O28" i="14"/>
  <c r="P39" i="14"/>
  <c r="Q55" i="14"/>
  <c r="Q38" i="14"/>
  <c r="Q36" i="14"/>
  <c r="Q4" i="14"/>
  <c r="O39" i="14"/>
  <c r="O55" i="14"/>
  <c r="O20" i="14"/>
  <c r="Q48" i="14"/>
  <c r="Q33" i="14"/>
  <c r="Q14" i="14"/>
  <c r="O10" i="14"/>
  <c r="Q12" i="14"/>
  <c r="O62" i="14"/>
  <c r="P24" i="14"/>
  <c r="Q9" i="14"/>
  <c r="P42" i="14"/>
  <c r="Q62" i="14"/>
  <c r="O33" i="14"/>
  <c r="Q43" i="14"/>
  <c r="O8" i="14"/>
  <c r="P25" i="14"/>
  <c r="I40" i="1" l="1"/>
  <c r="M3" i="12" a="1"/>
  <c r="M3" i="17" a="1"/>
  <c r="I41" i="1"/>
  <c r="H48" i="1"/>
  <c r="I50" i="1"/>
  <c r="H49" i="1"/>
  <c r="O3" i="17" a="1"/>
  <c r="I48" i="1"/>
  <c r="I49" i="1"/>
  <c r="O3" i="18" a="1"/>
  <c r="R2" i="14" a="1"/>
  <c r="O3" i="12" a="1"/>
  <c r="M3" i="19" a="1"/>
  <c r="M3" i="20" a="1"/>
  <c r="N3" i="19" a="1"/>
  <c r="N3" i="18" a="1"/>
  <c r="M3" i="18" a="1"/>
  <c r="N3" i="12" a="1"/>
  <c r="N3" i="20" a="1"/>
  <c r="N3" i="17" a="1"/>
  <c r="O3" i="19" a="1"/>
  <c r="O3" i="20" a="1"/>
  <c r="O20" i="20" l="1"/>
  <c r="O36" i="20"/>
  <c r="O52" i="20"/>
  <c r="O50" i="20"/>
  <c r="O82" i="20"/>
  <c r="O8" i="20"/>
  <c r="O41" i="20"/>
  <c r="O74" i="20"/>
  <c r="O32" i="20"/>
  <c r="O46" i="20"/>
  <c r="O19" i="20"/>
  <c r="O12" i="20"/>
  <c r="O29" i="20"/>
  <c r="O34" i="20"/>
  <c r="O7" i="20"/>
  <c r="O24" i="20"/>
  <c r="O25" i="20"/>
  <c r="O47" i="20"/>
  <c r="O48" i="20"/>
  <c r="O67" i="20"/>
  <c r="O76" i="20"/>
  <c r="O37" i="20"/>
  <c r="O73" i="20"/>
  <c r="O70" i="20"/>
  <c r="O61" i="20"/>
  <c r="O33" i="20"/>
  <c r="O81" i="20"/>
  <c r="O72" i="20"/>
  <c r="O15" i="20"/>
  <c r="O16" i="20"/>
  <c r="O30" i="20"/>
  <c r="O60" i="20"/>
  <c r="O42" i="20"/>
  <c r="O6" i="20"/>
  <c r="O27" i="20"/>
  <c r="O66" i="20"/>
  <c r="O71" i="20"/>
  <c r="O51" i="20"/>
  <c r="O21" i="20"/>
  <c r="O23" i="20"/>
  <c r="O65" i="20"/>
  <c r="O26" i="20"/>
  <c r="O43" i="20"/>
  <c r="O68" i="20"/>
  <c r="O80" i="20"/>
  <c r="O4" i="20"/>
  <c r="O17" i="20"/>
  <c r="O59" i="20"/>
  <c r="O78" i="20"/>
  <c r="O63" i="20"/>
  <c r="O35" i="20"/>
  <c r="O13" i="20"/>
  <c r="O10" i="20"/>
  <c r="O64" i="20"/>
  <c r="O56" i="20"/>
  <c r="O62" i="20"/>
  <c r="O44" i="20"/>
  <c r="O69" i="20"/>
  <c r="O57" i="20"/>
  <c r="O14" i="20"/>
  <c r="O49" i="20"/>
  <c r="O75" i="20"/>
  <c r="O53" i="20"/>
  <c r="O31" i="20"/>
  <c r="O38" i="20"/>
  <c r="O55" i="20"/>
  <c r="O58" i="20"/>
  <c r="O5" i="20"/>
  <c r="O9" i="20"/>
  <c r="O45" i="20"/>
  <c r="O18" i="20"/>
  <c r="O54" i="20"/>
  <c r="O77" i="20"/>
  <c r="O39" i="20"/>
  <c r="O3" i="20"/>
  <c r="O22" i="20"/>
  <c r="O40" i="20"/>
  <c r="O11" i="20"/>
  <c r="O28" i="20"/>
  <c r="O79" i="20"/>
  <c r="O75" i="19"/>
  <c r="O10" i="19"/>
  <c r="O3" i="19"/>
  <c r="O44" i="19"/>
  <c r="O24" i="19"/>
  <c r="O11" i="19"/>
  <c r="O33" i="19"/>
  <c r="O20" i="19"/>
  <c r="O27" i="19"/>
  <c r="O40" i="19"/>
  <c r="O14" i="19"/>
  <c r="O38" i="19"/>
  <c r="O19" i="19"/>
  <c r="O12" i="19"/>
  <c r="O36" i="19"/>
  <c r="O49" i="19"/>
  <c r="O81" i="19"/>
  <c r="O80" i="19"/>
  <c r="O28" i="19"/>
  <c r="O45" i="19"/>
  <c r="O23" i="19"/>
  <c r="O42" i="19"/>
  <c r="O34" i="19"/>
  <c r="O66" i="19"/>
  <c r="O48" i="19"/>
  <c r="O82" i="19"/>
  <c r="O56" i="19"/>
  <c r="O43" i="19"/>
  <c r="O55" i="19"/>
  <c r="O8" i="19"/>
  <c r="O50" i="19"/>
  <c r="O53" i="19"/>
  <c r="O62" i="19"/>
  <c r="O31" i="19"/>
  <c r="O51" i="19"/>
  <c r="O7" i="19"/>
  <c r="O60" i="19"/>
  <c r="O5" i="19"/>
  <c r="O76" i="19"/>
  <c r="O18" i="19"/>
  <c r="O77" i="19"/>
  <c r="O22" i="19"/>
  <c r="O70" i="19"/>
  <c r="O74" i="19"/>
  <c r="O47" i="19"/>
  <c r="O73" i="19"/>
  <c r="O37" i="19"/>
  <c r="O67" i="19"/>
  <c r="O64" i="19"/>
  <c r="O58" i="19"/>
  <c r="O68" i="19"/>
  <c r="O13" i="19"/>
  <c r="O78" i="19"/>
  <c r="O57" i="19"/>
  <c r="O79" i="19"/>
  <c r="O25" i="19"/>
  <c r="O32" i="19"/>
  <c r="O21" i="19"/>
  <c r="O61" i="19"/>
  <c r="O39" i="19"/>
  <c r="O26" i="19"/>
  <c r="O54" i="19"/>
  <c r="O17" i="19"/>
  <c r="O35" i="19"/>
  <c r="O71" i="19"/>
  <c r="O29" i="19"/>
  <c r="O30" i="19"/>
  <c r="O72" i="19"/>
  <c r="O69" i="19"/>
  <c r="O9" i="19"/>
  <c r="O15" i="19"/>
  <c r="O41" i="19"/>
  <c r="O63" i="19"/>
  <c r="O65" i="19"/>
  <c r="O4" i="19"/>
  <c r="O16" i="19"/>
  <c r="O46" i="19"/>
  <c r="O52" i="19"/>
  <c r="O59" i="19"/>
  <c r="O6" i="19"/>
  <c r="N6" i="17"/>
  <c r="N22" i="17"/>
  <c r="N47" i="17"/>
  <c r="N14" i="17"/>
  <c r="N23" i="17"/>
  <c r="N57" i="17"/>
  <c r="N59" i="17"/>
  <c r="N27" i="17"/>
  <c r="N29" i="17"/>
  <c r="N30" i="17"/>
  <c r="N34" i="17"/>
  <c r="N26" i="17"/>
  <c r="N12" i="17"/>
  <c r="N76" i="17"/>
  <c r="N48" i="17"/>
  <c r="N82" i="17"/>
  <c r="N19" i="17"/>
  <c r="N39" i="17"/>
  <c r="N40" i="17"/>
  <c r="N41" i="17"/>
  <c r="N43" i="17"/>
  <c r="N35" i="17"/>
  <c r="N20" i="17"/>
  <c r="N73" i="17"/>
  <c r="N58" i="17"/>
  <c r="N74" i="17"/>
  <c r="N51" i="17"/>
  <c r="N78" i="17"/>
  <c r="N8" i="17"/>
  <c r="N28" i="17"/>
  <c r="N56" i="17"/>
  <c r="N37" i="17"/>
  <c r="N75" i="17"/>
  <c r="N18" i="17"/>
  <c r="N71" i="17"/>
  <c r="N4" i="17"/>
  <c r="N79" i="17"/>
  <c r="N42" i="17"/>
  <c r="N61" i="17"/>
  <c r="N55" i="17"/>
  <c r="N80" i="17"/>
  <c r="N36" i="17"/>
  <c r="N21" i="17"/>
  <c r="N70" i="17"/>
  <c r="N3" i="17"/>
  <c r="N16" i="17"/>
  <c r="N72" i="17"/>
  <c r="N46" i="17"/>
  <c r="N11" i="17"/>
  <c r="N15" i="17"/>
  <c r="N25" i="17"/>
  <c r="N81" i="17"/>
  <c r="N69" i="17"/>
  <c r="N67" i="17"/>
  <c r="N65" i="17"/>
  <c r="N53" i="17"/>
  <c r="N44" i="17"/>
  <c r="N31" i="17"/>
  <c r="N50" i="17"/>
  <c r="N17" i="17"/>
  <c r="N10" i="17"/>
  <c r="N63" i="17"/>
  <c r="N9" i="17"/>
  <c r="N64" i="17"/>
  <c r="N45" i="17"/>
  <c r="N24" i="17"/>
  <c r="N32" i="17"/>
  <c r="N77" i="17"/>
  <c r="N54" i="17"/>
  <c r="N62" i="17"/>
  <c r="N13" i="17"/>
  <c r="N49" i="17"/>
  <c r="N68" i="17"/>
  <c r="N66" i="17"/>
  <c r="N33" i="17"/>
  <c r="N52" i="17"/>
  <c r="N60" i="17"/>
  <c r="N5" i="17"/>
  <c r="N38" i="17"/>
  <c r="N7" i="17"/>
  <c r="N67" i="20"/>
  <c r="N82" i="20"/>
  <c r="N42" i="20"/>
  <c r="N16" i="20"/>
  <c r="N65" i="20"/>
  <c r="N55" i="20"/>
  <c r="N36" i="20"/>
  <c r="N21" i="20"/>
  <c r="N6" i="20"/>
  <c r="N70" i="20"/>
  <c r="N19" i="20"/>
  <c r="N50" i="20"/>
  <c r="N26" i="20"/>
  <c r="N32" i="20"/>
  <c r="N7" i="20"/>
  <c r="N79" i="20"/>
  <c r="N68" i="20"/>
  <c r="N61" i="20"/>
  <c r="N54" i="20"/>
  <c r="N56" i="20"/>
  <c r="N57" i="20"/>
  <c r="N59" i="20"/>
  <c r="N81" i="20"/>
  <c r="N4" i="20"/>
  <c r="N5" i="20"/>
  <c r="N14" i="20"/>
  <c r="N73" i="20"/>
  <c r="N75" i="20"/>
  <c r="N15" i="20"/>
  <c r="N12" i="20"/>
  <c r="N13" i="20"/>
  <c r="N51" i="20"/>
  <c r="N10" i="20"/>
  <c r="N23" i="20"/>
  <c r="N29" i="20"/>
  <c r="N40" i="20"/>
  <c r="N22" i="20"/>
  <c r="N18" i="20"/>
  <c r="N48" i="20"/>
  <c r="N20" i="20"/>
  <c r="N30" i="20"/>
  <c r="N8" i="20"/>
  <c r="N25" i="20"/>
  <c r="N80" i="20"/>
  <c r="N71" i="20"/>
  <c r="N53" i="20"/>
  <c r="N72" i="20"/>
  <c r="N41" i="20"/>
  <c r="N17" i="20"/>
  <c r="N28" i="20"/>
  <c r="N69" i="20"/>
  <c r="N24" i="20"/>
  <c r="N58" i="20"/>
  <c r="N44" i="20"/>
  <c r="N74" i="20"/>
  <c r="N38" i="20"/>
  <c r="N31" i="20"/>
  <c r="N39" i="20"/>
  <c r="N43" i="20"/>
  <c r="N78" i="20"/>
  <c r="N77" i="20"/>
  <c r="N3" i="20"/>
  <c r="N52" i="20"/>
  <c r="N11" i="20"/>
  <c r="N46" i="20"/>
  <c r="N27" i="20"/>
  <c r="N62" i="20"/>
  <c r="N66" i="20"/>
  <c r="N37" i="20"/>
  <c r="N33" i="20"/>
  <c r="N49" i="20"/>
  <c r="N35" i="20"/>
  <c r="N60" i="20"/>
  <c r="N34" i="20"/>
  <c r="N76" i="20"/>
  <c r="N47" i="20"/>
  <c r="N9" i="20"/>
  <c r="N64" i="20"/>
  <c r="N63" i="20"/>
  <c r="N45" i="20"/>
  <c r="N77" i="12"/>
  <c r="N10" i="12"/>
  <c r="N40" i="12"/>
  <c r="N78" i="12"/>
  <c r="N8" i="12"/>
  <c r="N33" i="12"/>
  <c r="N22" i="12"/>
  <c r="N64" i="12"/>
  <c r="N12" i="12"/>
  <c r="N72" i="12"/>
  <c r="N28" i="12"/>
  <c r="N36" i="12"/>
  <c r="N60" i="12"/>
  <c r="N76" i="12"/>
  <c r="N4" i="12"/>
  <c r="N29" i="12"/>
  <c r="N37" i="12"/>
  <c r="N63" i="12"/>
  <c r="N26" i="12"/>
  <c r="N35" i="12"/>
  <c r="N13" i="12"/>
  <c r="N21" i="12"/>
  <c r="N61" i="12"/>
  <c r="N14" i="12"/>
  <c r="N24" i="12"/>
  <c r="N31" i="12"/>
  <c r="N39" i="12"/>
  <c r="N65" i="12"/>
  <c r="N20" i="12"/>
  <c r="N66" i="12"/>
  <c r="N74" i="12"/>
  <c r="N58" i="12"/>
  <c r="N82" i="12"/>
  <c r="N48" i="12"/>
  <c r="N52" i="12"/>
  <c r="N43" i="12"/>
  <c r="N51" i="12"/>
  <c r="N67" i="12"/>
  <c r="N75" i="12"/>
  <c r="N71" i="12"/>
  <c r="N62" i="12"/>
  <c r="N79" i="12"/>
  <c r="N34" i="12"/>
  <c r="N5" i="12"/>
  <c r="N30" i="12"/>
  <c r="N46" i="12"/>
  <c r="N73" i="12"/>
  <c r="N47" i="12"/>
  <c r="N80" i="12"/>
  <c r="N27" i="12"/>
  <c r="N23" i="12"/>
  <c r="N49" i="12"/>
  <c r="N42" i="12"/>
  <c r="N6" i="12"/>
  <c r="N54" i="12"/>
  <c r="N70" i="12"/>
  <c r="N55" i="12"/>
  <c r="N50" i="12"/>
  <c r="N68" i="12"/>
  <c r="N41" i="12"/>
  <c r="N25" i="12"/>
  <c r="N59" i="12"/>
  <c r="N69" i="12"/>
  <c r="N32" i="12"/>
  <c r="N7" i="12"/>
  <c r="N44" i="12"/>
  <c r="N18" i="12"/>
  <c r="N17" i="12"/>
  <c r="N9" i="12"/>
  <c r="N45" i="12"/>
  <c r="N57" i="12"/>
  <c r="N56" i="12"/>
  <c r="N81" i="12"/>
  <c r="N3" i="12"/>
  <c r="N19" i="12"/>
  <c r="N38" i="12"/>
  <c r="N11" i="12"/>
  <c r="N15" i="12"/>
  <c r="N53" i="12"/>
  <c r="N16" i="12"/>
  <c r="M13" i="18"/>
  <c r="M35" i="18"/>
  <c r="M67" i="18"/>
  <c r="M5" i="18"/>
  <c r="M59" i="18"/>
  <c r="M74" i="18"/>
  <c r="M12" i="18"/>
  <c r="M16" i="18"/>
  <c r="M80" i="18"/>
  <c r="M7" i="18"/>
  <c r="M79" i="18"/>
  <c r="M37" i="18"/>
  <c r="M19" i="18"/>
  <c r="M39" i="18"/>
  <c r="M11" i="18"/>
  <c r="M34" i="18"/>
  <c r="M40" i="18"/>
  <c r="M33" i="18"/>
  <c r="M60" i="18"/>
  <c r="M47" i="18"/>
  <c r="M18" i="18"/>
  <c r="M6" i="18"/>
  <c r="M62" i="18"/>
  <c r="M44" i="18"/>
  <c r="M56" i="18"/>
  <c r="M57" i="18"/>
  <c r="M78" i="18"/>
  <c r="M3" i="18"/>
  <c r="M51" i="18"/>
  <c r="M26" i="18"/>
  <c r="M21" i="18"/>
  <c r="M54" i="18"/>
  <c r="M64" i="18"/>
  <c r="M65" i="18"/>
  <c r="M82" i="18"/>
  <c r="M4" i="18"/>
  <c r="M20" i="18"/>
  <c r="M75" i="18"/>
  <c r="M72" i="18"/>
  <c r="M50" i="18"/>
  <c r="M55" i="18"/>
  <c r="M30" i="18"/>
  <c r="M22" i="18"/>
  <c r="M9" i="18"/>
  <c r="M27" i="18"/>
  <c r="M36" i="18"/>
  <c r="M23" i="18"/>
  <c r="M42" i="18"/>
  <c r="M66" i="18"/>
  <c r="M17" i="18"/>
  <c r="M28" i="18"/>
  <c r="M68" i="18"/>
  <c r="M43" i="18"/>
  <c r="M25" i="18"/>
  <c r="M14" i="18"/>
  <c r="M71" i="18"/>
  <c r="M76" i="18"/>
  <c r="M73" i="18"/>
  <c r="M46" i="18"/>
  <c r="M38" i="18"/>
  <c r="M53" i="18"/>
  <c r="M41" i="18"/>
  <c r="M61" i="18"/>
  <c r="M58" i="18"/>
  <c r="M63" i="18"/>
  <c r="M49" i="18"/>
  <c r="M15" i="18"/>
  <c r="M48" i="18"/>
  <c r="M10" i="18"/>
  <c r="M31" i="18"/>
  <c r="M77" i="18"/>
  <c r="M81" i="18"/>
  <c r="M52" i="18"/>
  <c r="M45" i="18"/>
  <c r="M69" i="18"/>
  <c r="M8" i="18"/>
  <c r="M70" i="18"/>
  <c r="M24" i="18"/>
  <c r="M29" i="18"/>
  <c r="M32" i="18"/>
  <c r="N12" i="18"/>
  <c r="N70" i="18"/>
  <c r="N41" i="18"/>
  <c r="N6" i="18"/>
  <c r="N29" i="18"/>
  <c r="N45" i="18"/>
  <c r="N46" i="18"/>
  <c r="N49" i="18"/>
  <c r="N39" i="18"/>
  <c r="N24" i="18"/>
  <c r="N18" i="18"/>
  <c r="N53" i="18"/>
  <c r="N61" i="18"/>
  <c r="N11" i="18"/>
  <c r="N57" i="18"/>
  <c r="N68" i="18"/>
  <c r="N81" i="18"/>
  <c r="N71" i="18"/>
  <c r="N64" i="18"/>
  <c r="N33" i="18"/>
  <c r="N34" i="18"/>
  <c r="N44" i="18"/>
  <c r="N67" i="18"/>
  <c r="N78" i="18"/>
  <c r="N7" i="18"/>
  <c r="N79" i="18"/>
  <c r="N72" i="18"/>
  <c r="N73" i="18"/>
  <c r="N20" i="18"/>
  <c r="N54" i="18"/>
  <c r="N3" i="18"/>
  <c r="N36" i="18"/>
  <c r="N15" i="18"/>
  <c r="N32" i="18"/>
  <c r="N30" i="18"/>
  <c r="N38" i="18"/>
  <c r="N22" i="18"/>
  <c r="N13" i="18"/>
  <c r="N58" i="18"/>
  <c r="N23" i="18"/>
  <c r="N40" i="18"/>
  <c r="N50" i="18"/>
  <c r="N21" i="18"/>
  <c r="N10" i="18"/>
  <c r="N25" i="18"/>
  <c r="N5" i="18"/>
  <c r="N31" i="18"/>
  <c r="N48" i="18"/>
  <c r="N19" i="18"/>
  <c r="N43" i="18"/>
  <c r="N26" i="18"/>
  <c r="N63" i="18"/>
  <c r="N9" i="18"/>
  <c r="N82" i="18"/>
  <c r="N37" i="18"/>
  <c r="N52" i="18"/>
  <c r="N76" i="18"/>
  <c r="N17" i="18"/>
  <c r="N8" i="18"/>
  <c r="N62" i="18"/>
  <c r="N16" i="18"/>
  <c r="N74" i="18"/>
  <c r="N27" i="18"/>
  <c r="N28" i="18"/>
  <c r="N55" i="18"/>
  <c r="N77" i="18"/>
  <c r="N51" i="18"/>
  <c r="N35" i="18"/>
  <c r="N56" i="18"/>
  <c r="N65" i="18"/>
  <c r="N80" i="18"/>
  <c r="N4" i="18"/>
  <c r="N66" i="18"/>
  <c r="N42" i="18"/>
  <c r="N14" i="18"/>
  <c r="N59" i="18"/>
  <c r="N60" i="18"/>
  <c r="N69" i="18"/>
  <c r="N75" i="18"/>
  <c r="N47" i="18"/>
  <c r="N72" i="19"/>
  <c r="N16" i="19"/>
  <c r="N26" i="19"/>
  <c r="N10" i="19"/>
  <c r="N68" i="19"/>
  <c r="N44" i="19"/>
  <c r="N13" i="19"/>
  <c r="N14" i="19"/>
  <c r="N78" i="19"/>
  <c r="N63" i="19"/>
  <c r="N4" i="19"/>
  <c r="N64" i="19"/>
  <c r="N9" i="19"/>
  <c r="N17" i="19"/>
  <c r="N24" i="19"/>
  <c r="N3" i="19"/>
  <c r="N22" i="19"/>
  <c r="N15" i="19"/>
  <c r="N52" i="19"/>
  <c r="N82" i="19"/>
  <c r="N32" i="19"/>
  <c r="N34" i="19"/>
  <c r="N25" i="19"/>
  <c r="N30" i="19"/>
  <c r="N23" i="19"/>
  <c r="N42" i="19"/>
  <c r="N8" i="19"/>
  <c r="N48" i="19"/>
  <c r="N12" i="19"/>
  <c r="N45" i="19"/>
  <c r="N62" i="19"/>
  <c r="N79" i="19"/>
  <c r="N37" i="19"/>
  <c r="N41" i="19"/>
  <c r="N61" i="19"/>
  <c r="N56" i="19"/>
  <c r="N57" i="19"/>
  <c r="N70" i="19"/>
  <c r="N73" i="19"/>
  <c r="N74" i="19"/>
  <c r="N43" i="19"/>
  <c r="N35" i="19"/>
  <c r="N31" i="19"/>
  <c r="N60" i="19"/>
  <c r="N75" i="19"/>
  <c r="N47" i="19"/>
  <c r="N5" i="19"/>
  <c r="N27" i="19"/>
  <c r="N65" i="19"/>
  <c r="N67" i="19"/>
  <c r="N39" i="19"/>
  <c r="N40" i="19"/>
  <c r="N77" i="19"/>
  <c r="N69" i="19"/>
  <c r="N28" i="19"/>
  <c r="N53" i="19"/>
  <c r="N81" i="19"/>
  <c r="N50" i="19"/>
  <c r="N49" i="19"/>
  <c r="N54" i="19"/>
  <c r="N76" i="19"/>
  <c r="N36" i="19"/>
  <c r="N55" i="19"/>
  <c r="N19" i="19"/>
  <c r="N6" i="19"/>
  <c r="N29" i="19"/>
  <c r="N38" i="19"/>
  <c r="N21" i="19"/>
  <c r="N20" i="19"/>
  <c r="N58" i="19"/>
  <c r="N7" i="19"/>
  <c r="N59" i="19"/>
  <c r="N46" i="19"/>
  <c r="N66" i="19"/>
  <c r="N18" i="19"/>
  <c r="N11" i="19"/>
  <c r="N51" i="19"/>
  <c r="N80" i="19"/>
  <c r="N33" i="19"/>
  <c r="N71" i="19"/>
  <c r="M52" i="20"/>
  <c r="M10" i="20"/>
  <c r="M59" i="20"/>
  <c r="M33" i="20"/>
  <c r="M82" i="20"/>
  <c r="M64" i="20"/>
  <c r="M45" i="20"/>
  <c r="M30" i="20"/>
  <c r="M15" i="20"/>
  <c r="M79" i="20"/>
  <c r="M25" i="20"/>
  <c r="M19" i="20"/>
  <c r="M11" i="20"/>
  <c r="M76" i="20"/>
  <c r="M66" i="20"/>
  <c r="M72" i="20"/>
  <c r="M61" i="20"/>
  <c r="M54" i="20"/>
  <c r="M47" i="20"/>
  <c r="M41" i="20"/>
  <c r="M26" i="20"/>
  <c r="M28" i="20"/>
  <c r="M34" i="20"/>
  <c r="M56" i="20"/>
  <c r="M69" i="20"/>
  <c r="M70" i="20"/>
  <c r="M71" i="20"/>
  <c r="M20" i="20"/>
  <c r="M44" i="20"/>
  <c r="M50" i="20"/>
  <c r="M80" i="20"/>
  <c r="M77" i="20"/>
  <c r="M78" i="20"/>
  <c r="M9" i="20"/>
  <c r="M60" i="20"/>
  <c r="M6" i="20"/>
  <c r="M42" i="20"/>
  <c r="M58" i="20"/>
  <c r="M8" i="20"/>
  <c r="M7" i="20"/>
  <c r="M5" i="20"/>
  <c r="M51" i="20"/>
  <c r="M49" i="20"/>
  <c r="M48" i="20"/>
  <c r="M38" i="20"/>
  <c r="M4" i="20"/>
  <c r="M67" i="20"/>
  <c r="M65" i="20"/>
  <c r="M13" i="20"/>
  <c r="M74" i="20"/>
  <c r="M21" i="20"/>
  <c r="M36" i="20"/>
  <c r="M29" i="20"/>
  <c r="M43" i="20"/>
  <c r="M31" i="20"/>
  <c r="M75" i="20"/>
  <c r="M39" i="20"/>
  <c r="M32" i="20"/>
  <c r="M55" i="20"/>
  <c r="M46" i="20"/>
  <c r="M81" i="20"/>
  <c r="M18" i="20"/>
  <c r="M73" i="20"/>
  <c r="M37" i="20"/>
  <c r="M57" i="20"/>
  <c r="M53" i="20"/>
  <c r="M12" i="20"/>
  <c r="M68" i="20"/>
  <c r="M62" i="20"/>
  <c r="M27" i="20"/>
  <c r="M23" i="20"/>
  <c r="M16" i="20"/>
  <c r="M24" i="20"/>
  <c r="M3" i="20"/>
  <c r="M14" i="20"/>
  <c r="M35" i="20"/>
  <c r="M17" i="20"/>
  <c r="M40" i="20"/>
  <c r="M22" i="20"/>
  <c r="M63" i="20"/>
  <c r="M66" i="19"/>
  <c r="M36" i="19"/>
  <c r="M54" i="19"/>
  <c r="M43" i="19"/>
  <c r="M14" i="19"/>
  <c r="M82" i="19"/>
  <c r="M18" i="19"/>
  <c r="M52" i="19"/>
  <c r="M63" i="19"/>
  <c r="M56" i="19"/>
  <c r="M17" i="19"/>
  <c r="M77" i="19"/>
  <c r="M8" i="19"/>
  <c r="M45" i="19"/>
  <c r="M10" i="19"/>
  <c r="M70" i="19"/>
  <c r="M23" i="19"/>
  <c r="M24" i="19"/>
  <c r="M35" i="19"/>
  <c r="M21" i="19"/>
  <c r="M12" i="19"/>
  <c r="M78" i="19"/>
  <c r="M61" i="19"/>
  <c r="M62" i="19"/>
  <c r="M16" i="19"/>
  <c r="M4" i="19"/>
  <c r="M68" i="19"/>
  <c r="M7" i="19"/>
  <c r="M26" i="19"/>
  <c r="M9" i="19"/>
  <c r="M73" i="19"/>
  <c r="M74" i="19"/>
  <c r="M32" i="19"/>
  <c r="M81" i="19"/>
  <c r="M53" i="19"/>
  <c r="M59" i="19"/>
  <c r="M29" i="19"/>
  <c r="M42" i="19"/>
  <c r="M48" i="19"/>
  <c r="M37" i="19"/>
  <c r="M51" i="19"/>
  <c r="M72" i="19"/>
  <c r="M5" i="19"/>
  <c r="M22" i="19"/>
  <c r="M76" i="19"/>
  <c r="M41" i="19"/>
  <c r="M31" i="19"/>
  <c r="M64" i="19"/>
  <c r="M67" i="19"/>
  <c r="M33" i="19"/>
  <c r="M39" i="19"/>
  <c r="M15" i="19"/>
  <c r="M57" i="19"/>
  <c r="M50" i="19"/>
  <c r="M55" i="19"/>
  <c r="M34" i="19"/>
  <c r="M69" i="19"/>
  <c r="M19" i="19"/>
  <c r="M49" i="19"/>
  <c r="M79" i="19"/>
  <c r="M58" i="19"/>
  <c r="M11" i="19"/>
  <c r="M20" i="19"/>
  <c r="M65" i="19"/>
  <c r="M71" i="19"/>
  <c r="M38" i="19"/>
  <c r="M6" i="19"/>
  <c r="M3" i="19"/>
  <c r="M75" i="19"/>
  <c r="M80" i="19"/>
  <c r="M46" i="19"/>
  <c r="M27" i="19"/>
  <c r="M25" i="19"/>
  <c r="M40" i="19"/>
  <c r="M44" i="19"/>
  <c r="M13" i="19"/>
  <c r="M30" i="19"/>
  <c r="M60" i="19"/>
  <c r="M28" i="19"/>
  <c r="M47" i="19"/>
  <c r="O77" i="12"/>
  <c r="O81" i="12"/>
  <c r="O10" i="12"/>
  <c r="O6" i="12"/>
  <c r="O30" i="12"/>
  <c r="O39" i="12"/>
  <c r="O64" i="12"/>
  <c r="O60" i="12"/>
  <c r="O15" i="12"/>
  <c r="O47" i="12"/>
  <c r="O74" i="12"/>
  <c r="O11" i="12"/>
  <c r="O56" i="12"/>
  <c r="O27" i="12"/>
  <c r="O72" i="12"/>
  <c r="O78" i="12"/>
  <c r="O61" i="12"/>
  <c r="O43" i="12"/>
  <c r="O32" i="12"/>
  <c r="O12" i="12"/>
  <c r="O57" i="12"/>
  <c r="O44" i="12"/>
  <c r="O14" i="12"/>
  <c r="O79" i="12"/>
  <c r="O5" i="12"/>
  <c r="O24" i="12"/>
  <c r="O4" i="12"/>
  <c r="O51" i="12"/>
  <c r="O48" i="12"/>
  <c r="O82" i="12"/>
  <c r="O16" i="12"/>
  <c r="O23" i="12"/>
  <c r="O36" i="12"/>
  <c r="O49" i="12"/>
  <c r="O42" i="12"/>
  <c r="O50" i="12"/>
  <c r="O8" i="12"/>
  <c r="O33" i="12"/>
  <c r="O59" i="12"/>
  <c r="O58" i="12"/>
  <c r="O28" i="12"/>
  <c r="O40" i="12"/>
  <c r="O37" i="12"/>
  <c r="O67" i="12"/>
  <c r="O13" i="12"/>
  <c r="O25" i="12"/>
  <c r="O38" i="12"/>
  <c r="O34" i="12"/>
  <c r="O73" i="12"/>
  <c r="O17" i="12"/>
  <c r="O29" i="12"/>
  <c r="O19" i="12"/>
  <c r="O45" i="12"/>
  <c r="O35" i="12"/>
  <c r="O69" i="12"/>
  <c r="O68" i="12"/>
  <c r="O31" i="12"/>
  <c r="O20" i="12"/>
  <c r="O46" i="12"/>
  <c r="O52" i="12"/>
  <c r="O76" i="12"/>
  <c r="O71" i="12"/>
  <c r="O63" i="12"/>
  <c r="O53" i="12"/>
  <c r="O80" i="12"/>
  <c r="O9" i="12"/>
  <c r="O66" i="12"/>
  <c r="O65" i="12"/>
  <c r="O54" i="12"/>
  <c r="O3" i="12"/>
  <c r="O7" i="12"/>
  <c r="O18" i="12"/>
  <c r="O26" i="12"/>
  <c r="O75" i="12"/>
  <c r="O41" i="12"/>
  <c r="O55" i="12"/>
  <c r="O21" i="12"/>
  <c r="O70" i="12"/>
  <c r="O22" i="12"/>
  <c r="O62" i="12"/>
  <c r="R16" i="14"/>
  <c r="R37" i="14"/>
  <c r="R39" i="14"/>
  <c r="R22" i="14"/>
  <c r="R2" i="14"/>
  <c r="R17" i="14"/>
  <c r="R35" i="14"/>
  <c r="R50" i="14"/>
  <c r="R41" i="14"/>
  <c r="R70" i="14"/>
  <c r="R64" i="14"/>
  <c r="R58" i="14"/>
  <c r="R43" i="14"/>
  <c r="R32" i="14"/>
  <c r="R9" i="14"/>
  <c r="R14" i="14"/>
  <c r="R19" i="14"/>
  <c r="R36" i="14"/>
  <c r="R62" i="14"/>
  <c r="R28" i="14"/>
  <c r="R65" i="14"/>
  <c r="R18" i="14"/>
  <c r="R47" i="14"/>
  <c r="R30" i="14"/>
  <c r="R49" i="14"/>
  <c r="R48" i="14"/>
  <c r="R54" i="14"/>
  <c r="R51" i="14"/>
  <c r="R3" i="14"/>
  <c r="R59" i="14"/>
  <c r="R20" i="14"/>
  <c r="R34" i="14"/>
  <c r="R67" i="14"/>
  <c r="R6" i="14"/>
  <c r="R57" i="14"/>
  <c r="R46" i="14"/>
  <c r="R24" i="14"/>
  <c r="R5" i="14"/>
  <c r="R12" i="14"/>
  <c r="R68" i="14"/>
  <c r="R26" i="14"/>
  <c r="R33" i="14"/>
  <c r="R27" i="14"/>
  <c r="R25" i="14"/>
  <c r="R21" i="14"/>
  <c r="R63" i="14"/>
  <c r="R60" i="14"/>
  <c r="R53" i="14"/>
  <c r="R4" i="14"/>
  <c r="R8" i="14"/>
  <c r="R66" i="14"/>
  <c r="R31" i="14"/>
  <c r="R11" i="14"/>
  <c r="R15" i="14"/>
  <c r="R7" i="14"/>
  <c r="R10" i="14"/>
  <c r="R38" i="14"/>
  <c r="R55" i="14"/>
  <c r="R61" i="14"/>
  <c r="R71" i="14"/>
  <c r="R56" i="14"/>
  <c r="R13" i="14"/>
  <c r="R40" i="14"/>
  <c r="R69" i="14"/>
  <c r="R52" i="14"/>
  <c r="R44" i="14"/>
  <c r="R42" i="14"/>
  <c r="R23" i="14"/>
  <c r="R29" i="14"/>
  <c r="R45" i="14"/>
  <c r="O38" i="18"/>
  <c r="O25" i="18"/>
  <c r="O27" i="18"/>
  <c r="O35" i="18"/>
  <c r="O54" i="18"/>
  <c r="O80" i="18"/>
  <c r="O81" i="18"/>
  <c r="O77" i="18"/>
  <c r="O59" i="18"/>
  <c r="O76" i="18"/>
  <c r="O3" i="18"/>
  <c r="O62" i="18"/>
  <c r="O64" i="18"/>
  <c r="O29" i="18"/>
  <c r="O55" i="18"/>
  <c r="O58" i="18"/>
  <c r="O41" i="18"/>
  <c r="O60" i="18"/>
  <c r="O72" i="18"/>
  <c r="O56" i="18"/>
  <c r="O61" i="18"/>
  <c r="O39" i="18"/>
  <c r="O47" i="18"/>
  <c r="O33" i="18"/>
  <c r="O40" i="18"/>
  <c r="O67" i="18"/>
  <c r="O69" i="18"/>
  <c r="O36" i="18"/>
  <c r="O37" i="18"/>
  <c r="O53" i="18"/>
  <c r="O9" i="18"/>
  <c r="O43" i="18"/>
  <c r="O70" i="18"/>
  <c r="O14" i="18"/>
  <c r="O15" i="18"/>
  <c r="O57" i="18"/>
  <c r="O63" i="18"/>
  <c r="O5" i="18"/>
  <c r="O48" i="18"/>
  <c r="O13" i="18"/>
  <c r="O18" i="18"/>
  <c r="O23" i="18"/>
  <c r="O44" i="18"/>
  <c r="O68" i="18"/>
  <c r="O46" i="18"/>
  <c r="O12" i="18"/>
  <c r="O79" i="18"/>
  <c r="O6" i="18"/>
  <c r="O52" i="18"/>
  <c r="O74" i="18"/>
  <c r="O4" i="18"/>
  <c r="O11" i="18"/>
  <c r="O34" i="18"/>
  <c r="O66" i="18"/>
  <c r="O45" i="18"/>
  <c r="O19" i="18"/>
  <c r="O75" i="18"/>
  <c r="O26" i="18"/>
  <c r="O22" i="18"/>
  <c r="O16" i="18"/>
  <c r="O50" i="18"/>
  <c r="O82" i="18"/>
  <c r="O17" i="18"/>
  <c r="O73" i="18"/>
  <c r="O8" i="18"/>
  <c r="O65" i="18"/>
  <c r="O10" i="18"/>
  <c r="O71" i="18"/>
  <c r="O78" i="18"/>
  <c r="O24" i="18"/>
  <c r="O28" i="18"/>
  <c r="O7" i="18"/>
  <c r="O30" i="18"/>
  <c r="O20" i="18"/>
  <c r="O31" i="18"/>
  <c r="O51" i="18"/>
  <c r="O32" i="18"/>
  <c r="O21" i="18"/>
  <c r="O42" i="18"/>
  <c r="O49" i="18"/>
  <c r="O61" i="17"/>
  <c r="O14" i="17"/>
  <c r="O52" i="17"/>
  <c r="O12" i="17"/>
  <c r="O69" i="17"/>
  <c r="O67" i="17"/>
  <c r="O71" i="17"/>
  <c r="O49" i="17"/>
  <c r="O38" i="17"/>
  <c r="O23" i="17"/>
  <c r="O4" i="17"/>
  <c r="O76" i="17"/>
  <c r="O30" i="17"/>
  <c r="O31" i="17"/>
  <c r="O32" i="17"/>
  <c r="O16" i="17"/>
  <c r="O33" i="17"/>
  <c r="O8" i="17"/>
  <c r="O28" i="17"/>
  <c r="O3" i="17"/>
  <c r="O43" i="17"/>
  <c r="O40" i="17"/>
  <c r="O78" i="17"/>
  <c r="O55" i="17"/>
  <c r="O59" i="17"/>
  <c r="O48" i="17"/>
  <c r="O60" i="17"/>
  <c r="O41" i="17"/>
  <c r="O20" i="17"/>
  <c r="O10" i="17"/>
  <c r="O47" i="17"/>
  <c r="O80" i="17"/>
  <c r="O26" i="17"/>
  <c r="O54" i="17"/>
  <c r="O9" i="17"/>
  <c r="O65" i="17"/>
  <c r="O50" i="17"/>
  <c r="O34" i="17"/>
  <c r="O7" i="17"/>
  <c r="O45" i="17"/>
  <c r="O73" i="17"/>
  <c r="O19" i="17"/>
  <c r="O75" i="17"/>
  <c r="O74" i="17"/>
  <c r="O6" i="17"/>
  <c r="O42" i="17"/>
  <c r="O51" i="17"/>
  <c r="O56" i="17"/>
  <c r="O58" i="17"/>
  <c r="O18" i="17"/>
  <c r="O46" i="17"/>
  <c r="O82" i="17"/>
  <c r="O27" i="17"/>
  <c r="O72" i="17"/>
  <c r="O77" i="17"/>
  <c r="O57" i="17"/>
  <c r="O39" i="17"/>
  <c r="O66" i="17"/>
  <c r="O22" i="17"/>
  <c r="O15" i="17"/>
  <c r="O68" i="17"/>
  <c r="O24" i="17"/>
  <c r="O62" i="17"/>
  <c r="O5" i="17"/>
  <c r="O44" i="17"/>
  <c r="O17" i="17"/>
  <c r="O81" i="17"/>
  <c r="O11" i="17"/>
  <c r="O63" i="17"/>
  <c r="O25" i="17"/>
  <c r="O29" i="17"/>
  <c r="O64" i="17"/>
  <c r="O36" i="17"/>
  <c r="O35" i="17"/>
  <c r="O79" i="17"/>
  <c r="O21" i="17"/>
  <c r="O13" i="17"/>
  <c r="O53" i="17"/>
  <c r="O70" i="17"/>
  <c r="O37" i="17"/>
  <c r="M81" i="17"/>
  <c r="M67" i="17"/>
  <c r="M8" i="17"/>
  <c r="M76" i="17"/>
  <c r="M11" i="17"/>
  <c r="M19" i="17"/>
  <c r="M23" i="17"/>
  <c r="M25" i="17"/>
  <c r="M13" i="17"/>
  <c r="M77" i="17"/>
  <c r="M57" i="17"/>
  <c r="M66" i="17"/>
  <c r="M48" i="17"/>
  <c r="M35" i="17"/>
  <c r="M73" i="17"/>
  <c r="M30" i="17"/>
  <c r="M44" i="17"/>
  <c r="M52" i="17"/>
  <c r="M45" i="17"/>
  <c r="M78" i="17"/>
  <c r="M4" i="17"/>
  <c r="M68" i="17"/>
  <c r="M56" i="17"/>
  <c r="M22" i="17"/>
  <c r="M40" i="17"/>
  <c r="M55" i="17"/>
  <c r="M62" i="17"/>
  <c r="M53" i="17"/>
  <c r="M15" i="17"/>
  <c r="M26" i="17"/>
  <c r="M49" i="17"/>
  <c r="M51" i="17"/>
  <c r="M50" i="17"/>
  <c r="M7" i="17"/>
  <c r="M29" i="17"/>
  <c r="M39" i="17"/>
  <c r="M6" i="17"/>
  <c r="M20" i="17"/>
  <c r="M74" i="17"/>
  <c r="M75" i="17"/>
  <c r="M37" i="17"/>
  <c r="M27" i="17"/>
  <c r="M31" i="17"/>
  <c r="M9" i="17"/>
  <c r="M61" i="17"/>
  <c r="M59" i="17"/>
  <c r="M16" i="17"/>
  <c r="M3" i="17"/>
  <c r="M70" i="17"/>
  <c r="M54" i="17"/>
  <c r="M34" i="17"/>
  <c r="M24" i="17"/>
  <c r="M38" i="17"/>
  <c r="M64" i="17"/>
  <c r="M43" i="17"/>
  <c r="M46" i="17"/>
  <c r="M14" i="17"/>
  <c r="M60" i="17"/>
  <c r="M71" i="17"/>
  <c r="M28" i="17"/>
  <c r="M12" i="17"/>
  <c r="M10" i="17"/>
  <c r="M33" i="17"/>
  <c r="M36" i="17"/>
  <c r="M18" i="17"/>
  <c r="M63" i="17"/>
  <c r="M80" i="17"/>
  <c r="M41" i="17"/>
  <c r="M65" i="17"/>
  <c r="M79" i="17"/>
  <c r="M72" i="17"/>
  <c r="M5" i="17"/>
  <c r="M17" i="17"/>
  <c r="M32" i="17"/>
  <c r="M42" i="17"/>
  <c r="M82" i="17"/>
  <c r="M47" i="17"/>
  <c r="M21" i="17"/>
  <c r="M58" i="17"/>
  <c r="M69" i="17"/>
  <c r="M21" i="12"/>
  <c r="M63" i="12"/>
  <c r="M24" i="12"/>
  <c r="M49" i="12"/>
  <c r="M66" i="12"/>
  <c r="M73" i="12"/>
  <c r="M62" i="12"/>
  <c r="M74" i="12"/>
  <c r="M43" i="12"/>
  <c r="M15" i="12"/>
  <c r="M76" i="12"/>
  <c r="M36" i="12"/>
  <c r="M44" i="12"/>
  <c r="M23" i="12"/>
  <c r="M11" i="12"/>
  <c r="M39" i="12"/>
  <c r="M53" i="12"/>
  <c r="M9" i="12"/>
  <c r="M17" i="12"/>
  <c r="M6" i="12"/>
  <c r="M29" i="12"/>
  <c r="M41" i="12"/>
  <c r="M12" i="12"/>
  <c r="M56" i="12"/>
  <c r="M71" i="12"/>
  <c r="M70" i="12"/>
  <c r="M14" i="12"/>
  <c r="M5" i="12"/>
  <c r="M31" i="12"/>
  <c r="M57" i="12"/>
  <c r="M65" i="12"/>
  <c r="M7" i="12"/>
  <c r="M47" i="12"/>
  <c r="M72" i="12"/>
  <c r="M61" i="12"/>
  <c r="M55" i="12"/>
  <c r="M78" i="12"/>
  <c r="M22" i="12"/>
  <c r="M32" i="12"/>
  <c r="M35" i="12"/>
  <c r="M8" i="12"/>
  <c r="M80" i="12"/>
  <c r="M77" i="12"/>
  <c r="M10" i="12"/>
  <c r="M48" i="12"/>
  <c r="M50" i="12"/>
  <c r="M19" i="12"/>
  <c r="M79" i="12"/>
  <c r="M82" i="12"/>
  <c r="M33" i="12"/>
  <c r="M20" i="12"/>
  <c r="M81" i="12"/>
  <c r="M69" i="12"/>
  <c r="M40" i="12"/>
  <c r="M46" i="12"/>
  <c r="M26" i="12"/>
  <c r="M25" i="12"/>
  <c r="M64" i="12"/>
  <c r="M16" i="12"/>
  <c r="M34" i="12"/>
  <c r="M58" i="12"/>
  <c r="M52" i="12"/>
  <c r="M59" i="12"/>
  <c r="M54" i="12"/>
  <c r="M30" i="12"/>
  <c r="M27" i="12"/>
  <c r="M68" i="12"/>
  <c r="M18" i="12"/>
  <c r="M13" i="12"/>
  <c r="M67" i="12"/>
  <c r="M51" i="12"/>
  <c r="M37" i="12"/>
  <c r="M75" i="12"/>
  <c r="M45" i="12"/>
  <c r="M28" i="12"/>
  <c r="M60" i="12"/>
  <c r="M3" i="12"/>
  <c r="M38" i="12"/>
  <c r="M4" i="12"/>
  <c r="M42" i="12"/>
  <c r="R20" i="20"/>
  <c r="P20" i="20"/>
  <c r="Q20" i="20"/>
  <c r="Q32" i="20"/>
  <c r="P32" i="20"/>
  <c r="R32" i="20"/>
  <c r="R25" i="20"/>
  <c r="P25" i="20"/>
  <c r="Q25" i="20"/>
  <c r="Q61" i="20"/>
  <c r="R61" i="20"/>
  <c r="P61" i="20"/>
  <c r="Q42" i="20"/>
  <c r="P42" i="20"/>
  <c r="R42" i="20"/>
  <c r="R65" i="20"/>
  <c r="P65" i="20"/>
  <c r="Q65" i="20"/>
  <c r="P78" i="20"/>
  <c r="Q78" i="20"/>
  <c r="R78" i="20"/>
  <c r="Q44" i="20"/>
  <c r="P44" i="20"/>
  <c r="R44" i="20"/>
  <c r="Q38" i="20"/>
  <c r="P38" i="20"/>
  <c r="R38" i="20"/>
  <c r="P77" i="20"/>
  <c r="R77" i="20"/>
  <c r="Q77" i="20"/>
  <c r="R75" i="19"/>
  <c r="P75" i="19"/>
  <c r="Q75" i="19"/>
  <c r="P27" i="19"/>
  <c r="Q27" i="19"/>
  <c r="R27" i="19"/>
  <c r="R81" i="19"/>
  <c r="Q81" i="19"/>
  <c r="P81" i="19"/>
  <c r="P48" i="19"/>
  <c r="R48" i="19"/>
  <c r="Q48" i="19"/>
  <c r="Q62" i="19"/>
  <c r="P62" i="19"/>
  <c r="R62" i="19"/>
  <c r="Q77" i="19"/>
  <c r="R77" i="19"/>
  <c r="P77" i="19"/>
  <c r="Q64" i="19"/>
  <c r="R64" i="19"/>
  <c r="P64" i="19"/>
  <c r="Q32" i="19"/>
  <c r="P32" i="19"/>
  <c r="R32" i="19"/>
  <c r="Q71" i="19"/>
  <c r="P71" i="19"/>
  <c r="R71" i="19"/>
  <c r="P63" i="19"/>
  <c r="Q63" i="19"/>
  <c r="R63" i="19"/>
  <c r="P77" i="12"/>
  <c r="Q77" i="12"/>
  <c r="R77" i="12"/>
  <c r="Q15" i="12"/>
  <c r="R15" i="12"/>
  <c r="P15" i="12"/>
  <c r="P61" i="12"/>
  <c r="R61" i="12"/>
  <c r="Q61" i="12"/>
  <c r="Q5" i="12"/>
  <c r="P5" i="12"/>
  <c r="R5" i="12"/>
  <c r="R36" i="12"/>
  <c r="Q36" i="12"/>
  <c r="P36" i="12"/>
  <c r="Q28" i="12"/>
  <c r="R28" i="12"/>
  <c r="P28" i="12"/>
  <c r="P73" i="12"/>
  <c r="Q73" i="12"/>
  <c r="R73" i="12"/>
  <c r="Q31" i="12"/>
  <c r="R31" i="12"/>
  <c r="P31" i="12"/>
  <c r="Q80" i="12"/>
  <c r="R80" i="12"/>
  <c r="P80" i="12"/>
  <c r="Q26" i="12"/>
  <c r="P26" i="12"/>
  <c r="R26" i="12"/>
  <c r="Q27" i="18"/>
  <c r="P27" i="18"/>
  <c r="R27" i="18"/>
  <c r="Q3" i="18"/>
  <c r="R3" i="18"/>
  <c r="P3" i="18"/>
  <c r="R72" i="18"/>
  <c r="Q72" i="18"/>
  <c r="P72" i="18"/>
  <c r="P69" i="18"/>
  <c r="R69" i="18"/>
  <c r="Q69" i="18"/>
  <c r="Q15" i="18"/>
  <c r="P15" i="18"/>
  <c r="R15" i="18"/>
  <c r="Q44" i="18"/>
  <c r="R44" i="18"/>
  <c r="P44" i="18"/>
  <c r="Q4" i="18"/>
  <c r="P4" i="18"/>
  <c r="R4" i="18"/>
  <c r="R22" i="18"/>
  <c r="Q22" i="18"/>
  <c r="P22" i="18"/>
  <c r="P10" i="18"/>
  <c r="R10" i="18"/>
  <c r="Q10" i="18"/>
  <c r="Q31" i="18"/>
  <c r="R31" i="18"/>
  <c r="P31" i="18"/>
  <c r="P52" i="17"/>
  <c r="R52" i="17"/>
  <c r="Q52" i="17"/>
  <c r="R4" i="17"/>
  <c r="Q4" i="17"/>
  <c r="P4" i="17"/>
  <c r="P28" i="17"/>
  <c r="R28" i="17"/>
  <c r="Q28" i="17"/>
  <c r="R60" i="17"/>
  <c r="Q60" i="17"/>
  <c r="P60" i="17"/>
  <c r="R9" i="17"/>
  <c r="Q9" i="17"/>
  <c r="P9" i="17"/>
  <c r="P75" i="17"/>
  <c r="Q75" i="17"/>
  <c r="R75" i="17"/>
  <c r="R46" i="17"/>
  <c r="Q46" i="17"/>
  <c r="P46" i="17"/>
  <c r="Q22" i="17"/>
  <c r="P22" i="17"/>
  <c r="R22" i="17"/>
  <c r="P81" i="17"/>
  <c r="Q81" i="17"/>
  <c r="R81" i="17"/>
  <c r="P79" i="17"/>
  <c r="Q79" i="17"/>
  <c r="R79" i="17"/>
  <c r="R36" i="20"/>
  <c r="P36" i="20"/>
  <c r="Q36" i="20"/>
  <c r="R46" i="20"/>
  <c r="P46" i="20"/>
  <c r="Q46" i="20"/>
  <c r="R47" i="20"/>
  <c r="P47" i="20"/>
  <c r="Q47" i="20"/>
  <c r="P33" i="20"/>
  <c r="R33" i="20"/>
  <c r="Q33" i="20"/>
  <c r="Q6" i="20"/>
  <c r="R6" i="20"/>
  <c r="P6" i="20"/>
  <c r="P26" i="20"/>
  <c r="Q26" i="20"/>
  <c r="R26" i="20"/>
  <c r="P63" i="20"/>
  <c r="Q63" i="20"/>
  <c r="R63" i="20"/>
  <c r="Q69" i="20"/>
  <c r="P69" i="20"/>
  <c r="R69" i="20"/>
  <c r="P55" i="20"/>
  <c r="R55" i="20"/>
  <c r="Q55" i="20"/>
  <c r="P39" i="20"/>
  <c r="R39" i="20"/>
  <c r="Q39" i="20"/>
  <c r="P10" i="19"/>
  <c r="R10" i="19"/>
  <c r="Q10" i="19"/>
  <c r="P40" i="19"/>
  <c r="Q40" i="19"/>
  <c r="R40" i="19"/>
  <c r="Q80" i="19"/>
  <c r="P80" i="19"/>
  <c r="R80" i="19"/>
  <c r="R82" i="19"/>
  <c r="Q82" i="19"/>
  <c r="P82" i="19"/>
  <c r="R31" i="19"/>
  <c r="Q31" i="19"/>
  <c r="P31" i="19"/>
  <c r="Q22" i="19"/>
  <c r="P22" i="19"/>
  <c r="R22" i="19"/>
  <c r="R58" i="19"/>
  <c r="Q58" i="19"/>
  <c r="P58" i="19"/>
  <c r="Q21" i="19"/>
  <c r="R21" i="19"/>
  <c r="P21" i="19"/>
  <c r="R29" i="19"/>
  <c r="Q29" i="19"/>
  <c r="P29" i="19"/>
  <c r="R65" i="19"/>
  <c r="Q65" i="19"/>
  <c r="P65" i="19"/>
  <c r="P81" i="12"/>
  <c r="Q81" i="12"/>
  <c r="R81" i="12"/>
  <c r="P47" i="12"/>
  <c r="R47" i="12"/>
  <c r="Q47" i="12"/>
  <c r="Q43" i="12"/>
  <c r="P43" i="12"/>
  <c r="R43" i="12"/>
  <c r="Q24" i="12"/>
  <c r="P24" i="12"/>
  <c r="R24" i="12"/>
  <c r="Q49" i="12"/>
  <c r="P49" i="12"/>
  <c r="R49" i="12"/>
  <c r="R40" i="12"/>
  <c r="P40" i="12"/>
  <c r="Q40" i="12"/>
  <c r="P17" i="12"/>
  <c r="Q17" i="12"/>
  <c r="R17" i="12"/>
  <c r="P20" i="12"/>
  <c r="R20" i="12"/>
  <c r="Q20" i="12"/>
  <c r="Q9" i="12"/>
  <c r="P9" i="12"/>
  <c r="R9" i="12"/>
  <c r="Q75" i="12"/>
  <c r="P75" i="12"/>
  <c r="R75" i="12"/>
  <c r="Q35" i="18"/>
  <c r="P35" i="18"/>
  <c r="R35" i="18"/>
  <c r="R62" i="18"/>
  <c r="P62" i="18"/>
  <c r="Q62" i="18"/>
  <c r="R56" i="18"/>
  <c r="Q56" i="18"/>
  <c r="P56" i="18"/>
  <c r="P36" i="18"/>
  <c r="R36" i="18"/>
  <c r="Q36" i="18"/>
  <c r="R57" i="18"/>
  <c r="Q57" i="18"/>
  <c r="P57" i="18"/>
  <c r="Q68" i="18"/>
  <c r="P68" i="18"/>
  <c r="R68" i="18"/>
  <c r="P11" i="18"/>
  <c r="R11" i="18"/>
  <c r="Q11" i="18"/>
  <c r="R16" i="18"/>
  <c r="P16" i="18"/>
  <c r="Q16" i="18"/>
  <c r="R71" i="18"/>
  <c r="Q71" i="18"/>
  <c r="P71" i="18"/>
  <c r="Q51" i="18"/>
  <c r="R51" i="18"/>
  <c r="P51" i="18"/>
  <c r="Q12" i="17"/>
  <c r="P12" i="17"/>
  <c r="R12" i="17"/>
  <c r="Q76" i="17"/>
  <c r="R76" i="17"/>
  <c r="P76" i="17"/>
  <c r="P3" i="17"/>
  <c r="Q3" i="17"/>
  <c r="R3" i="17"/>
  <c r="R41" i="17"/>
  <c r="Q41" i="17"/>
  <c r="P41" i="17"/>
  <c r="P65" i="17"/>
  <c r="R65" i="17"/>
  <c r="Q65" i="17"/>
  <c r="R74" i="17"/>
  <c r="Q74" i="17"/>
  <c r="P74" i="17"/>
  <c r="Q82" i="17"/>
  <c r="R82" i="17"/>
  <c r="P82" i="17"/>
  <c r="R15" i="17"/>
  <c r="Q15" i="17"/>
  <c r="P15" i="17"/>
  <c r="P11" i="17"/>
  <c r="Q11" i="17"/>
  <c r="R11" i="17"/>
  <c r="P21" i="17"/>
  <c r="R21" i="17"/>
  <c r="Q21" i="17"/>
  <c r="Q52" i="20"/>
  <c r="R52" i="20"/>
  <c r="P52" i="20"/>
  <c r="R19" i="20"/>
  <c r="Q19" i="20"/>
  <c r="P19" i="20"/>
  <c r="Q48" i="20"/>
  <c r="R48" i="20"/>
  <c r="P48" i="20"/>
  <c r="R81" i="20"/>
  <c r="Q81" i="20"/>
  <c r="P81" i="20"/>
  <c r="R27" i="20"/>
  <c r="Q27" i="20"/>
  <c r="P27" i="20"/>
  <c r="R43" i="20"/>
  <c r="Q43" i="20"/>
  <c r="P43" i="20"/>
  <c r="P35" i="20"/>
  <c r="Q35" i="20"/>
  <c r="R35" i="20"/>
  <c r="P57" i="20"/>
  <c r="R57" i="20"/>
  <c r="Q57" i="20"/>
  <c r="Q58" i="20"/>
  <c r="P58" i="20"/>
  <c r="R58" i="20"/>
  <c r="R3" i="20"/>
  <c r="Q3" i="20"/>
  <c r="P3" i="20"/>
  <c r="Q3" i="19"/>
  <c r="P3" i="19"/>
  <c r="R3" i="19"/>
  <c r="P14" i="19"/>
  <c r="Q14" i="19"/>
  <c r="R14" i="19"/>
  <c r="R28" i="19"/>
  <c r="Q28" i="19"/>
  <c r="P28" i="19"/>
  <c r="Q56" i="19"/>
  <c r="R56" i="19"/>
  <c r="P56" i="19"/>
  <c r="P51" i="19"/>
  <c r="Q51" i="19"/>
  <c r="R51" i="19"/>
  <c r="Q70" i="19"/>
  <c r="P70" i="19"/>
  <c r="R70" i="19"/>
  <c r="R68" i="19"/>
  <c r="Q68" i="19"/>
  <c r="P68" i="19"/>
  <c r="P61" i="19"/>
  <c r="Q61" i="19"/>
  <c r="R61" i="19"/>
  <c r="P30" i="19"/>
  <c r="R30" i="19"/>
  <c r="Q30" i="19"/>
  <c r="P4" i="19"/>
  <c r="R4" i="19"/>
  <c r="Q4" i="19"/>
  <c r="R10" i="12"/>
  <c r="P10" i="12"/>
  <c r="Q10" i="12"/>
  <c r="P74" i="12"/>
  <c r="Q74" i="12"/>
  <c r="R74" i="12"/>
  <c r="R32" i="12"/>
  <c r="Q32" i="12"/>
  <c r="P32" i="12"/>
  <c r="Q4" i="12"/>
  <c r="P4" i="12"/>
  <c r="R4" i="12"/>
  <c r="R42" i="12"/>
  <c r="P42" i="12"/>
  <c r="Q42" i="12"/>
  <c r="P37" i="12"/>
  <c r="R37" i="12"/>
  <c r="Q37" i="12"/>
  <c r="Q29" i="12"/>
  <c r="P29" i="12"/>
  <c r="R29" i="12"/>
  <c r="R46" i="12"/>
  <c r="P46" i="12"/>
  <c r="Q46" i="12"/>
  <c r="Q66" i="12"/>
  <c r="R66" i="12"/>
  <c r="P66" i="12"/>
  <c r="P41" i="12"/>
  <c r="Q41" i="12"/>
  <c r="R41" i="12"/>
  <c r="Q54" i="18"/>
  <c r="P54" i="18"/>
  <c r="R54" i="18"/>
  <c r="P64" i="18"/>
  <c r="Q64" i="18"/>
  <c r="R64" i="18"/>
  <c r="P61" i="18"/>
  <c r="R61" i="18"/>
  <c r="Q61" i="18"/>
  <c r="P37" i="18"/>
  <c r="R37" i="18"/>
  <c r="Q37" i="18"/>
  <c r="P63" i="18"/>
  <c r="Q63" i="18"/>
  <c r="R63" i="18"/>
  <c r="P46" i="18"/>
  <c r="R46" i="18"/>
  <c r="Q46" i="18"/>
  <c r="Q34" i="18"/>
  <c r="P34" i="18"/>
  <c r="R34" i="18"/>
  <c r="P50" i="18"/>
  <c r="Q50" i="18"/>
  <c r="R50" i="18"/>
  <c r="P78" i="18"/>
  <c r="R78" i="18"/>
  <c r="Q78" i="18"/>
  <c r="Q32" i="18"/>
  <c r="R32" i="18"/>
  <c r="P32" i="18"/>
  <c r="Q69" i="17"/>
  <c r="R69" i="17"/>
  <c r="P69" i="17"/>
  <c r="R30" i="17"/>
  <c r="Q30" i="17"/>
  <c r="P30" i="17"/>
  <c r="Q43" i="17"/>
  <c r="R43" i="17"/>
  <c r="P43" i="17"/>
  <c r="R20" i="17"/>
  <c r="P20" i="17"/>
  <c r="Q20" i="17"/>
  <c r="R50" i="17"/>
  <c r="Q50" i="17"/>
  <c r="P50" i="17"/>
  <c r="Q6" i="17"/>
  <c r="P6" i="17"/>
  <c r="R6" i="17"/>
  <c r="Q27" i="17"/>
  <c r="P27" i="17"/>
  <c r="R27" i="17"/>
  <c r="P68" i="17"/>
  <c r="R68" i="17"/>
  <c r="Q68" i="17"/>
  <c r="Q63" i="17"/>
  <c r="P63" i="17"/>
  <c r="R63" i="17"/>
  <c r="P13" i="17"/>
  <c r="R13" i="17"/>
  <c r="Q13" i="17"/>
  <c r="R50" i="20"/>
  <c r="Q50" i="20"/>
  <c r="P50" i="20"/>
  <c r="Q12" i="20"/>
  <c r="P12" i="20"/>
  <c r="R12" i="20"/>
  <c r="R67" i="20"/>
  <c r="Q67" i="20"/>
  <c r="P67" i="20"/>
  <c r="R72" i="20"/>
  <c r="P72" i="20"/>
  <c r="Q72" i="20"/>
  <c r="R66" i="20"/>
  <c r="Q66" i="20"/>
  <c r="P66" i="20"/>
  <c r="R68" i="20"/>
  <c r="Q68" i="20"/>
  <c r="P68" i="20"/>
  <c r="Q13" i="20"/>
  <c r="R13" i="20"/>
  <c r="P13" i="20"/>
  <c r="R14" i="20"/>
  <c r="P14" i="20"/>
  <c r="Q14" i="20"/>
  <c r="Q5" i="20"/>
  <c r="R5" i="20"/>
  <c r="P5" i="20"/>
  <c r="Q22" i="20"/>
  <c r="P22" i="20"/>
  <c r="R22" i="20"/>
  <c r="P44" i="19"/>
  <c r="Q44" i="19"/>
  <c r="R44" i="19"/>
  <c r="Q38" i="19"/>
  <c r="P38" i="19"/>
  <c r="R38" i="19"/>
  <c r="P45" i="19"/>
  <c r="R45" i="19"/>
  <c r="Q45" i="19"/>
  <c r="Q43" i="19"/>
  <c r="P43" i="19"/>
  <c r="R43" i="19"/>
  <c r="P7" i="19"/>
  <c r="R7" i="19"/>
  <c r="Q7" i="19"/>
  <c r="R74" i="19"/>
  <c r="Q74" i="19"/>
  <c r="P74" i="19"/>
  <c r="P13" i="19"/>
  <c r="Q13" i="19"/>
  <c r="R13" i="19"/>
  <c r="R39" i="19"/>
  <c r="Q39" i="19"/>
  <c r="P39" i="19"/>
  <c r="R72" i="19"/>
  <c r="Q72" i="19"/>
  <c r="P72" i="19"/>
  <c r="P16" i="19"/>
  <c r="Q16" i="19"/>
  <c r="R16" i="19"/>
  <c r="R6" i="12"/>
  <c r="Q6" i="12"/>
  <c r="P6" i="12"/>
  <c r="Q11" i="12"/>
  <c r="R11" i="12"/>
  <c r="P11" i="12"/>
  <c r="P12" i="12"/>
  <c r="Q12" i="12"/>
  <c r="R12" i="12"/>
  <c r="Q51" i="12"/>
  <c r="P51" i="12"/>
  <c r="R51" i="12"/>
  <c r="R50" i="12"/>
  <c r="Q50" i="12"/>
  <c r="P50" i="12"/>
  <c r="R67" i="12"/>
  <c r="P67" i="12"/>
  <c r="Q67" i="12"/>
  <c r="Q19" i="12"/>
  <c r="R19" i="12"/>
  <c r="P19" i="12"/>
  <c r="P52" i="12"/>
  <c r="Q52" i="12"/>
  <c r="R52" i="12"/>
  <c r="Q65" i="12"/>
  <c r="R65" i="12"/>
  <c r="P65" i="12"/>
  <c r="Q55" i="12"/>
  <c r="P55" i="12"/>
  <c r="R55" i="12"/>
  <c r="Q80" i="18"/>
  <c r="R80" i="18"/>
  <c r="P80" i="18"/>
  <c r="Q29" i="18"/>
  <c r="P29" i="18"/>
  <c r="R29" i="18"/>
  <c r="P39" i="18"/>
  <c r="R39" i="18"/>
  <c r="Q39" i="18"/>
  <c r="Q53" i="18"/>
  <c r="P53" i="18"/>
  <c r="R53" i="18"/>
  <c r="R5" i="18"/>
  <c r="P5" i="18"/>
  <c r="Q5" i="18"/>
  <c r="P12" i="18"/>
  <c r="R12" i="18"/>
  <c r="Q12" i="18"/>
  <c r="P66" i="18"/>
  <c r="R66" i="18"/>
  <c r="Q66" i="18"/>
  <c r="P82" i="18"/>
  <c r="Q82" i="18"/>
  <c r="R82" i="18"/>
  <c r="R24" i="18"/>
  <c r="Q24" i="18"/>
  <c r="P24" i="18"/>
  <c r="P21" i="18"/>
  <c r="R21" i="18"/>
  <c r="Q21" i="18"/>
  <c r="Q67" i="17"/>
  <c r="R67" i="17"/>
  <c r="P67" i="17"/>
  <c r="P31" i="17"/>
  <c r="Q31" i="17"/>
  <c r="R31" i="17"/>
  <c r="P40" i="17"/>
  <c r="R40" i="17"/>
  <c r="Q40" i="17"/>
  <c r="R10" i="17"/>
  <c r="Q10" i="17"/>
  <c r="P10" i="17"/>
  <c r="P34" i="17"/>
  <c r="R34" i="17"/>
  <c r="Q34" i="17"/>
  <c r="R42" i="17"/>
  <c r="P42" i="17"/>
  <c r="Q42" i="17"/>
  <c r="P72" i="17"/>
  <c r="R72" i="17"/>
  <c r="Q72" i="17"/>
  <c r="R24" i="17"/>
  <c r="Q24" i="17"/>
  <c r="P24" i="17"/>
  <c r="P25" i="17"/>
  <c r="R25" i="17"/>
  <c r="Q25" i="17"/>
  <c r="Q53" i="17"/>
  <c r="P53" i="17"/>
  <c r="R53" i="17"/>
  <c r="R82" i="20"/>
  <c r="Q82" i="20"/>
  <c r="P82" i="20"/>
  <c r="Q29" i="20"/>
  <c r="P29" i="20"/>
  <c r="R29" i="20"/>
  <c r="R76" i="20"/>
  <c r="P76" i="20"/>
  <c r="Q76" i="20"/>
  <c r="P15" i="20"/>
  <c r="R15" i="20"/>
  <c r="Q15" i="20"/>
  <c r="R71" i="20"/>
  <c r="P71" i="20"/>
  <c r="Q71" i="20"/>
  <c r="R80" i="20"/>
  <c r="Q80" i="20"/>
  <c r="P80" i="20"/>
  <c r="Q10" i="20"/>
  <c r="R10" i="20"/>
  <c r="P10" i="20"/>
  <c r="Q49" i="20"/>
  <c r="R49" i="20"/>
  <c r="P49" i="20"/>
  <c r="P9" i="20"/>
  <c r="Q9" i="20"/>
  <c r="R9" i="20"/>
  <c r="P40" i="20"/>
  <c r="R40" i="20"/>
  <c r="Q40" i="20"/>
  <c r="R24" i="19"/>
  <c r="P24" i="19"/>
  <c r="Q24" i="19"/>
  <c r="Q19" i="19"/>
  <c r="R19" i="19"/>
  <c r="P19" i="19"/>
  <c r="Q23" i="19"/>
  <c r="P23" i="19"/>
  <c r="R23" i="19"/>
  <c r="R55" i="19"/>
  <c r="Q55" i="19"/>
  <c r="P55" i="19"/>
  <c r="R60" i="19"/>
  <c r="Q60" i="19"/>
  <c r="P60" i="19"/>
  <c r="Q47" i="19"/>
  <c r="P47" i="19"/>
  <c r="R47" i="19"/>
  <c r="R78" i="19"/>
  <c r="Q78" i="19"/>
  <c r="P78" i="19"/>
  <c r="Q26" i="19"/>
  <c r="R26" i="19"/>
  <c r="P26" i="19"/>
  <c r="R69" i="19"/>
  <c r="P69" i="19"/>
  <c r="Q69" i="19"/>
  <c r="Q46" i="19"/>
  <c r="P46" i="19"/>
  <c r="R46" i="19"/>
  <c r="R30" i="12"/>
  <c r="P30" i="12"/>
  <c r="Q30" i="12"/>
  <c r="R56" i="12"/>
  <c r="P56" i="12"/>
  <c r="Q56" i="12"/>
  <c r="P57" i="12"/>
  <c r="R57" i="12"/>
  <c r="Q57" i="12"/>
  <c r="R48" i="12"/>
  <c r="Q48" i="12"/>
  <c r="P48" i="12"/>
  <c r="Q8" i="12"/>
  <c r="R8" i="12"/>
  <c r="P8" i="12"/>
  <c r="R13" i="12"/>
  <c r="Q13" i="12"/>
  <c r="P13" i="12"/>
  <c r="R45" i="12"/>
  <c r="Q45" i="12"/>
  <c r="P45" i="12"/>
  <c r="P76" i="12"/>
  <c r="Q76" i="12"/>
  <c r="R76" i="12"/>
  <c r="Q54" i="12"/>
  <c r="P54" i="12"/>
  <c r="R54" i="12"/>
  <c r="P21" i="12"/>
  <c r="Q21" i="12"/>
  <c r="R21" i="12"/>
  <c r="R81" i="18"/>
  <c r="Q81" i="18"/>
  <c r="P81" i="18"/>
  <c r="P55" i="18"/>
  <c r="Q55" i="18"/>
  <c r="R55" i="18"/>
  <c r="P47" i="18"/>
  <c r="Q47" i="18"/>
  <c r="R47" i="18"/>
  <c r="Q9" i="18"/>
  <c r="P9" i="18"/>
  <c r="R9" i="18"/>
  <c r="Q48" i="18"/>
  <c r="R48" i="18"/>
  <c r="P48" i="18"/>
  <c r="R79" i="18"/>
  <c r="P79" i="18"/>
  <c r="Q79" i="18"/>
  <c r="R45" i="18"/>
  <c r="P45" i="18"/>
  <c r="Q45" i="18"/>
  <c r="R17" i="18"/>
  <c r="P17" i="18"/>
  <c r="Q17" i="18"/>
  <c r="Q28" i="18"/>
  <c r="P28" i="18"/>
  <c r="R28" i="18"/>
  <c r="Q42" i="18"/>
  <c r="P42" i="18"/>
  <c r="R42" i="18"/>
  <c r="Q71" i="17"/>
  <c r="P71" i="17"/>
  <c r="R71" i="17"/>
  <c r="R32" i="17"/>
  <c r="Q32" i="17"/>
  <c r="P32" i="17"/>
  <c r="P78" i="17"/>
  <c r="R78" i="17"/>
  <c r="Q78" i="17"/>
  <c r="P47" i="17"/>
  <c r="R47" i="17"/>
  <c r="Q47" i="17"/>
  <c r="P7" i="17"/>
  <c r="R7" i="17"/>
  <c r="Q7" i="17"/>
  <c r="R51" i="17"/>
  <c r="P51" i="17"/>
  <c r="Q51" i="17"/>
  <c r="R77" i="17"/>
  <c r="Q77" i="17"/>
  <c r="P77" i="17"/>
  <c r="Q62" i="17"/>
  <c r="P62" i="17"/>
  <c r="R62" i="17"/>
  <c r="Q29" i="17"/>
  <c r="R29" i="17"/>
  <c r="P29" i="17"/>
  <c r="Q70" i="17"/>
  <c r="P70" i="17"/>
  <c r="R70" i="17"/>
  <c r="R8" i="20"/>
  <c r="P8" i="20"/>
  <c r="Q8" i="20"/>
  <c r="R34" i="20"/>
  <c r="Q34" i="20"/>
  <c r="P34" i="20"/>
  <c r="Q37" i="20"/>
  <c r="P37" i="20"/>
  <c r="R37" i="20"/>
  <c r="Q16" i="20"/>
  <c r="R16" i="20"/>
  <c r="P16" i="20"/>
  <c r="Q51" i="20"/>
  <c r="P51" i="20"/>
  <c r="R51" i="20"/>
  <c r="Q4" i="20"/>
  <c r="P4" i="20"/>
  <c r="R4" i="20"/>
  <c r="Q64" i="20"/>
  <c r="P64" i="20"/>
  <c r="R64" i="20"/>
  <c r="Q75" i="20"/>
  <c r="R75" i="20"/>
  <c r="P75" i="20"/>
  <c r="Q45" i="20"/>
  <c r="P45" i="20"/>
  <c r="R45" i="20"/>
  <c r="Q11" i="20"/>
  <c r="P11" i="20"/>
  <c r="R11" i="20"/>
  <c r="P11" i="19"/>
  <c r="R11" i="19"/>
  <c r="Q11" i="19"/>
  <c r="Q12" i="19"/>
  <c r="R12" i="19"/>
  <c r="P12" i="19"/>
  <c r="R42" i="19"/>
  <c r="P42" i="19"/>
  <c r="Q42" i="19"/>
  <c r="R8" i="19"/>
  <c r="P8" i="19"/>
  <c r="Q8" i="19"/>
  <c r="Q5" i="19"/>
  <c r="P5" i="19"/>
  <c r="R5" i="19"/>
  <c r="R73" i="19"/>
  <c r="P73" i="19"/>
  <c r="Q73" i="19"/>
  <c r="R57" i="19"/>
  <c r="Q57" i="19"/>
  <c r="P57" i="19"/>
  <c r="R54" i="19"/>
  <c r="Q54" i="19"/>
  <c r="P54" i="19"/>
  <c r="R9" i="19"/>
  <c r="P9" i="19"/>
  <c r="Q9" i="19"/>
  <c r="Q52" i="19"/>
  <c r="P52" i="19"/>
  <c r="R52" i="19"/>
  <c r="P39" i="12"/>
  <c r="R39" i="12"/>
  <c r="Q39" i="12"/>
  <c r="P27" i="12"/>
  <c r="R27" i="12"/>
  <c r="Q27" i="12"/>
  <c r="P44" i="12"/>
  <c r="R44" i="12"/>
  <c r="Q44" i="12"/>
  <c r="R82" i="12"/>
  <c r="P82" i="12"/>
  <c r="Q82" i="12"/>
  <c r="P33" i="12"/>
  <c r="R33" i="12"/>
  <c r="Q33" i="12"/>
  <c r="Q25" i="12"/>
  <c r="P25" i="12"/>
  <c r="R25" i="12"/>
  <c r="P35" i="12"/>
  <c r="R35" i="12"/>
  <c r="Q35" i="12"/>
  <c r="Q71" i="12"/>
  <c r="R71" i="12"/>
  <c r="P71" i="12"/>
  <c r="I26" i="1"/>
  <c r="Q3" i="12"/>
  <c r="P3" i="12"/>
  <c r="R3" i="12"/>
  <c r="P70" i="12"/>
  <c r="Q70" i="12"/>
  <c r="R70" i="12"/>
  <c r="P77" i="18"/>
  <c r="R77" i="18"/>
  <c r="Q77" i="18"/>
  <c r="Q58" i="18"/>
  <c r="P58" i="18"/>
  <c r="R58" i="18"/>
  <c r="P33" i="18"/>
  <c r="Q33" i="18"/>
  <c r="R33" i="18"/>
  <c r="P43" i="18"/>
  <c r="R43" i="18"/>
  <c r="Q43" i="18"/>
  <c r="P13" i="18"/>
  <c r="R13" i="18"/>
  <c r="Q13" i="18"/>
  <c r="Q6" i="18"/>
  <c r="R6" i="18"/>
  <c r="P6" i="18"/>
  <c r="P19" i="18"/>
  <c r="R19" i="18"/>
  <c r="Q19" i="18"/>
  <c r="R73" i="18"/>
  <c r="P73" i="18"/>
  <c r="Q73" i="18"/>
  <c r="P7" i="18"/>
  <c r="Q7" i="18"/>
  <c r="R7" i="18"/>
  <c r="Q49" i="18"/>
  <c r="P49" i="18"/>
  <c r="R49" i="18"/>
  <c r="R49" i="17"/>
  <c r="Q49" i="17"/>
  <c r="P49" i="17"/>
  <c r="R16" i="17"/>
  <c r="P16" i="17"/>
  <c r="Q16" i="17"/>
  <c r="Q55" i="17"/>
  <c r="R55" i="17"/>
  <c r="P55" i="17"/>
  <c r="P80" i="17"/>
  <c r="R80" i="17"/>
  <c r="Q80" i="17"/>
  <c r="R45" i="17"/>
  <c r="P45" i="17"/>
  <c r="Q45" i="17"/>
  <c r="P56" i="17"/>
  <c r="R56" i="17"/>
  <c r="Q56" i="17"/>
  <c r="R57" i="17"/>
  <c r="Q57" i="17"/>
  <c r="P57" i="17"/>
  <c r="R5" i="17"/>
  <c r="P5" i="17"/>
  <c r="Q5" i="17"/>
  <c r="R64" i="17"/>
  <c r="P64" i="17"/>
  <c r="Q64" i="17"/>
  <c r="P37" i="17"/>
  <c r="Q37" i="17"/>
  <c r="R37" i="17"/>
  <c r="R41" i="20"/>
  <c r="Q41" i="20"/>
  <c r="P41" i="20"/>
  <c r="P7" i="20"/>
  <c r="Q7" i="20"/>
  <c r="R7" i="20"/>
  <c r="R73" i="20"/>
  <c r="Q73" i="20"/>
  <c r="P73" i="20"/>
  <c r="P30" i="20"/>
  <c r="R30" i="20"/>
  <c r="Q30" i="20"/>
  <c r="P21" i="20"/>
  <c r="Q21" i="20"/>
  <c r="R21" i="20"/>
  <c r="P17" i="20"/>
  <c r="Q17" i="20"/>
  <c r="R17" i="20"/>
  <c r="R56" i="20"/>
  <c r="P56" i="20"/>
  <c r="Q56" i="20"/>
  <c r="P53" i="20"/>
  <c r="Q53" i="20"/>
  <c r="R53" i="20"/>
  <c r="Q18" i="20"/>
  <c r="R18" i="20"/>
  <c r="P18" i="20"/>
  <c r="R28" i="20"/>
  <c r="P28" i="20"/>
  <c r="Q28" i="20"/>
  <c r="Q33" i="19"/>
  <c r="P33" i="19"/>
  <c r="R33" i="19"/>
  <c r="P36" i="19"/>
  <c r="Q36" i="19"/>
  <c r="R36" i="19"/>
  <c r="R34" i="19"/>
  <c r="P34" i="19"/>
  <c r="Q34" i="19"/>
  <c r="P50" i="19"/>
  <c r="R50" i="19"/>
  <c r="Q50" i="19"/>
  <c r="R76" i="19"/>
  <c r="Q76" i="19"/>
  <c r="P76" i="19"/>
  <c r="R37" i="19"/>
  <c r="P37" i="19"/>
  <c r="Q37" i="19"/>
  <c r="R79" i="19"/>
  <c r="Q79" i="19"/>
  <c r="P79" i="19"/>
  <c r="Q17" i="19"/>
  <c r="P17" i="19"/>
  <c r="R17" i="19"/>
  <c r="P15" i="19"/>
  <c r="Q15" i="19"/>
  <c r="R15" i="19"/>
  <c r="R59" i="19"/>
  <c r="P59" i="19"/>
  <c r="Q59" i="19"/>
  <c r="Q64" i="12"/>
  <c r="P64" i="12"/>
  <c r="R64" i="12"/>
  <c r="P72" i="12"/>
  <c r="R72" i="12"/>
  <c r="Q72" i="12"/>
  <c r="Q14" i="12"/>
  <c r="P14" i="12"/>
  <c r="R14" i="12"/>
  <c r="R16" i="12"/>
  <c r="Q16" i="12"/>
  <c r="P16" i="12"/>
  <c r="P59" i="12"/>
  <c r="Q59" i="12"/>
  <c r="R59" i="12"/>
  <c r="Q38" i="12"/>
  <c r="R38" i="12"/>
  <c r="P38" i="12"/>
  <c r="R69" i="12"/>
  <c r="Q69" i="12"/>
  <c r="P69" i="12"/>
  <c r="P63" i="12"/>
  <c r="R63" i="12"/>
  <c r="Q63" i="12"/>
  <c r="R7" i="12"/>
  <c r="Q7" i="12"/>
  <c r="P7" i="12"/>
  <c r="R22" i="12"/>
  <c r="Q22" i="12"/>
  <c r="P22" i="12"/>
  <c r="R38" i="18"/>
  <c r="P38" i="18"/>
  <c r="Q38" i="18"/>
  <c r="Q59" i="18"/>
  <c r="R59" i="18"/>
  <c r="P59" i="18"/>
  <c r="Q41" i="18"/>
  <c r="R41" i="18"/>
  <c r="P41" i="18"/>
  <c r="R40" i="18"/>
  <c r="Q40" i="18"/>
  <c r="P40" i="18"/>
  <c r="Q70" i="18"/>
  <c r="P70" i="18"/>
  <c r="R70" i="18"/>
  <c r="P18" i="18"/>
  <c r="Q18" i="18"/>
  <c r="R18" i="18"/>
  <c r="P52" i="18"/>
  <c r="Q52" i="18"/>
  <c r="R52" i="18"/>
  <c r="Q75" i="18"/>
  <c r="R75" i="18"/>
  <c r="P75" i="18"/>
  <c r="P8" i="18"/>
  <c r="R8" i="18"/>
  <c r="Q8" i="18"/>
  <c r="R30" i="18"/>
  <c r="P30" i="18"/>
  <c r="Q30" i="18"/>
  <c r="Q61" i="17"/>
  <c r="R61" i="17"/>
  <c r="P61" i="17"/>
  <c r="P38" i="17"/>
  <c r="R38" i="17"/>
  <c r="Q38" i="17"/>
  <c r="R33" i="17"/>
  <c r="Q33" i="17"/>
  <c r="P33" i="17"/>
  <c r="R59" i="17"/>
  <c r="P59" i="17"/>
  <c r="Q59" i="17"/>
  <c r="R26" i="17"/>
  <c r="P26" i="17"/>
  <c r="Q26" i="17"/>
  <c r="R73" i="17"/>
  <c r="Q73" i="17"/>
  <c r="P73" i="17"/>
  <c r="R58" i="17"/>
  <c r="Q58" i="17"/>
  <c r="P58" i="17"/>
  <c r="Q39" i="17"/>
  <c r="R39" i="17"/>
  <c r="P39" i="17"/>
  <c r="R44" i="17"/>
  <c r="Q44" i="17"/>
  <c r="P44" i="17"/>
  <c r="P36" i="17"/>
  <c r="Q36" i="17"/>
  <c r="R36" i="17"/>
  <c r="Q74" i="20"/>
  <c r="P74" i="20"/>
  <c r="R74" i="20"/>
  <c r="P24" i="20"/>
  <c r="Q24" i="20"/>
  <c r="R24" i="20"/>
  <c r="Q70" i="20"/>
  <c r="R70" i="20"/>
  <c r="P70" i="20"/>
  <c r="R60" i="20"/>
  <c r="Q60" i="20"/>
  <c r="P60" i="20"/>
  <c r="R23" i="20"/>
  <c r="Q23" i="20"/>
  <c r="P23" i="20"/>
  <c r="Q59" i="20"/>
  <c r="R59" i="20"/>
  <c r="P59" i="20"/>
  <c r="P62" i="20"/>
  <c r="Q62" i="20"/>
  <c r="R62" i="20"/>
  <c r="Q31" i="20"/>
  <c r="P31" i="20"/>
  <c r="R31" i="20"/>
  <c r="P54" i="20"/>
  <c r="Q54" i="20"/>
  <c r="R54" i="20"/>
  <c r="P79" i="20"/>
  <c r="R79" i="20"/>
  <c r="Q79" i="20"/>
  <c r="P20" i="19"/>
  <c r="Q20" i="19"/>
  <c r="R20" i="19"/>
  <c r="R49" i="19"/>
  <c r="P49" i="19"/>
  <c r="Q49" i="19"/>
  <c r="P66" i="19"/>
  <c r="R66" i="19"/>
  <c r="Q66" i="19"/>
  <c r="R53" i="19"/>
  <c r="P53" i="19"/>
  <c r="Q53" i="19"/>
  <c r="R18" i="19"/>
  <c r="Q18" i="19"/>
  <c r="P18" i="19"/>
  <c r="R67" i="19"/>
  <c r="Q67" i="19"/>
  <c r="P67" i="19"/>
  <c r="R25" i="19"/>
  <c r="P25" i="19"/>
  <c r="Q25" i="19"/>
  <c r="Q35" i="19"/>
  <c r="R35" i="19"/>
  <c r="P35" i="19"/>
  <c r="R41" i="19"/>
  <c r="P41" i="19"/>
  <c r="Q41" i="19"/>
  <c r="R6" i="19"/>
  <c r="Q6" i="19"/>
  <c r="P6" i="19"/>
  <c r="R60" i="12"/>
  <c r="Q60" i="12"/>
  <c r="P60" i="12"/>
  <c r="P78" i="12"/>
  <c r="Q78" i="12"/>
  <c r="R78" i="12"/>
  <c r="R79" i="12"/>
  <c r="P79" i="12"/>
  <c r="Q79" i="12"/>
  <c r="R23" i="12"/>
  <c r="Q23" i="12"/>
  <c r="P23" i="12"/>
  <c r="Q58" i="12"/>
  <c r="P58" i="12"/>
  <c r="R58" i="12"/>
  <c r="P34" i="12"/>
  <c r="Q34" i="12"/>
  <c r="R34" i="12"/>
  <c r="R68" i="12"/>
  <c r="P68" i="12"/>
  <c r="Q68" i="12"/>
  <c r="Q53" i="12"/>
  <c r="P53" i="12"/>
  <c r="R53" i="12"/>
  <c r="P18" i="12"/>
  <c r="Q18" i="12"/>
  <c r="R18" i="12"/>
  <c r="R62" i="12"/>
  <c r="Q62" i="12"/>
  <c r="P62" i="12"/>
  <c r="Q25" i="18"/>
  <c r="P25" i="18"/>
  <c r="R25" i="18"/>
  <c r="R76" i="18"/>
  <c r="Q76" i="18"/>
  <c r="P76" i="18"/>
  <c r="Q60" i="18"/>
  <c r="P60" i="18"/>
  <c r="R60" i="18"/>
  <c r="Q67" i="18"/>
  <c r="R67" i="18"/>
  <c r="P67" i="18"/>
  <c r="P14" i="18"/>
  <c r="R14" i="18"/>
  <c r="Q14" i="18"/>
  <c r="R23" i="18"/>
  <c r="P23" i="18"/>
  <c r="Q23" i="18"/>
  <c r="P74" i="18"/>
  <c r="Q74" i="18"/>
  <c r="R74" i="18"/>
  <c r="Q26" i="18"/>
  <c r="R26" i="18"/>
  <c r="P26" i="18"/>
  <c r="P65" i="18"/>
  <c r="R65" i="18"/>
  <c r="Q65" i="18"/>
  <c r="Q20" i="18"/>
  <c r="P20" i="18"/>
  <c r="R20" i="18"/>
  <c r="P14" i="17"/>
  <c r="Q14" i="17"/>
  <c r="R14" i="17"/>
  <c r="R23" i="17"/>
  <c r="Q23" i="17"/>
  <c r="P23" i="17"/>
  <c r="Q8" i="17"/>
  <c r="R8" i="17"/>
  <c r="P8" i="17"/>
  <c r="R48" i="17"/>
  <c r="Q48" i="17"/>
  <c r="P48" i="17"/>
  <c r="P54" i="17"/>
  <c r="R54" i="17"/>
  <c r="Q54" i="17"/>
  <c r="R19" i="17"/>
  <c r="Q19" i="17"/>
  <c r="P19" i="17"/>
  <c r="R18" i="17"/>
  <c r="Q18" i="17"/>
  <c r="P18" i="17"/>
  <c r="R66" i="17"/>
  <c r="Q66" i="17"/>
  <c r="P66" i="17"/>
  <c r="P17" i="17"/>
  <c r="R17" i="17"/>
  <c r="Q17" i="17"/>
  <c r="R35" i="17"/>
  <c r="Q35" i="17"/>
  <c r="P35" i="17"/>
  <c r="S2" i="12" a="1"/>
  <c r="H34" i="1"/>
  <c r="I34" i="1" s="1"/>
  <c r="I27" i="1"/>
  <c r="I36" i="1"/>
  <c r="S51" i="12" l="1"/>
  <c r="S57" i="12"/>
  <c r="S56" i="12"/>
  <c r="S40" i="12"/>
  <c r="S14" i="12"/>
  <c r="S68" i="12"/>
  <c r="S59" i="12"/>
  <c r="S39" i="12"/>
  <c r="S17" i="12"/>
  <c r="S27" i="12"/>
  <c r="S70" i="12"/>
  <c r="S29" i="12"/>
  <c r="S18" i="12"/>
  <c r="S23" i="12"/>
  <c r="S75" i="12"/>
  <c r="S41" i="12"/>
  <c r="S66" i="12"/>
  <c r="S35" i="12"/>
  <c r="S76" i="12"/>
  <c r="S53" i="12"/>
  <c r="S3" i="12"/>
  <c r="S38" i="12"/>
  <c r="S22" i="12"/>
  <c r="S74" i="12"/>
  <c r="S79" i="12"/>
  <c r="S2" i="12"/>
  <c r="S58" i="12"/>
  <c r="S12" i="12"/>
  <c r="S55" i="12"/>
  <c r="S45" i="12"/>
  <c r="S21" i="12"/>
  <c r="S7" i="12"/>
  <c r="S33" i="12"/>
  <c r="S81" i="12"/>
  <c r="S9" i="12"/>
  <c r="S37" i="12"/>
  <c r="S19" i="12"/>
  <c r="S4" i="12"/>
  <c r="S6" i="12"/>
  <c r="S43" i="12"/>
  <c r="S80" i="12"/>
  <c r="S72" i="12"/>
  <c r="S63" i="12"/>
  <c r="S82" i="12"/>
  <c r="S78" i="12"/>
  <c r="S5" i="12"/>
  <c r="S62" i="12"/>
  <c r="S77" i="12"/>
  <c r="S20" i="12"/>
  <c r="S71" i="12"/>
  <c r="S32" i="12"/>
  <c r="S10" i="12"/>
  <c r="S28" i="12"/>
  <c r="S60" i="12"/>
  <c r="S46" i="12"/>
  <c r="S47" i="12"/>
  <c r="S65" i="12"/>
  <c r="S34" i="12"/>
  <c r="S61" i="12"/>
  <c r="S26" i="12"/>
  <c r="S15" i="12"/>
  <c r="S25" i="12"/>
  <c r="S50" i="12"/>
  <c r="S48" i="12"/>
  <c r="S54" i="12"/>
  <c r="S52" i="12"/>
  <c r="S30" i="12"/>
  <c r="S69" i="12"/>
  <c r="S49" i="12"/>
  <c r="S31" i="12"/>
  <c r="S13" i="12"/>
  <c r="S16" i="12"/>
  <c r="S24" i="12"/>
  <c r="S64" i="12"/>
  <c r="S36" i="12"/>
  <c r="S11" i="12"/>
  <c r="S8" i="12"/>
  <c r="S44" i="12"/>
  <c r="S73" i="12"/>
  <c r="S67" i="12"/>
  <c r="S42" i="12"/>
  <c r="C35" i="1" l="1"/>
  <c r="D40" i="1"/>
  <c r="C49" i="1"/>
  <c r="D49" i="1"/>
  <c r="C48" i="1"/>
  <c r="D48" i="1"/>
  <c r="S2" i="17" a="1"/>
  <c r="S2" i="17"/>
  <c r="S75" i="17"/>
  <c r="S63" i="17"/>
  <c r="S3" i="17"/>
  <c r="S72" i="17"/>
  <c r="S8" i="17"/>
  <c r="S58" i="17"/>
  <c r="S78" i="17"/>
  <c r="S81" i="17"/>
  <c r="S14" i="17"/>
  <c r="S26" i="17"/>
  <c r="S33" i="17"/>
  <c r="S49" i="17"/>
  <c r="S79" i="17"/>
  <c r="S15" i="17"/>
  <c r="S11" i="17"/>
  <c r="S70" i="17"/>
  <c r="S29" i="17"/>
  <c r="S10" i="17"/>
  <c r="S16" i="17"/>
  <c r="S74" i="17"/>
  <c r="S31" i="17"/>
  <c r="S32" i="17"/>
  <c r="S30" i="17"/>
  <c r="S12" i="17"/>
  <c r="S18" i="17"/>
  <c r="S71" i="17"/>
  <c r="S40" i="17"/>
  <c r="S43" i="17"/>
  <c r="S53" i="17"/>
  <c r="S7" i="17"/>
  <c r="S61" i="17"/>
  <c r="S28" i="17"/>
  <c r="S38" i="17"/>
  <c r="S46" i="17"/>
  <c r="S55" i="17"/>
  <c r="S66" i="17"/>
  <c r="S65" i="17"/>
  <c r="S52" i="17"/>
  <c r="S76" i="17"/>
  <c r="S41" i="17"/>
  <c r="S47" i="17"/>
  <c r="S25" i="17"/>
  <c r="S19" i="17"/>
  <c r="S57" i="17"/>
  <c r="S39" i="17"/>
  <c r="S9" i="17"/>
  <c r="S36" i="17"/>
  <c r="S54" i="17"/>
  <c r="S42" i="17"/>
  <c r="S56" i="17"/>
  <c r="S69" i="17"/>
  <c r="S48" i="17"/>
  <c r="S22" i="17"/>
  <c r="S6" i="17"/>
  <c r="S77" i="17"/>
  <c r="S5" i="17"/>
  <c r="S68" i="17"/>
  <c r="S45" i="17"/>
  <c r="S35" i="17"/>
  <c r="S27" i="17"/>
  <c r="S59" i="17"/>
  <c r="S51" i="17"/>
  <c r="S13" i="17"/>
  <c r="S20" i="17"/>
  <c r="S4" i="17"/>
  <c r="S60" i="17"/>
  <c r="S37" i="17"/>
  <c r="S17" i="17"/>
  <c r="S73" i="17"/>
  <c r="S82" i="17"/>
  <c r="S21" i="17"/>
  <c r="S62" i="17"/>
  <c r="S24" i="17"/>
  <c r="S23" i="17"/>
  <c r="S64" i="17"/>
  <c r="S34" i="17"/>
  <c r="S67" i="17"/>
  <c r="S80" i="17"/>
  <c r="S50" i="17"/>
  <c r="S44" i="17"/>
  <c r="D50" i="1"/>
  <c r="D26" i="1"/>
  <c r="D36" i="1"/>
  <c r="D27" i="1"/>
  <c r="D41" i="1"/>
  <c r="C34" i="1"/>
  <c r="D34" i="1"/>
  <c r="H35" i="1"/>
  <c r="H21" i="1"/>
  <c r="C21" i="1"/>
  <c r="D12" i="1"/>
  <c r="D13" i="1"/>
  <c r="S2" i="20" a="1"/>
  <c r="S4" i="20"/>
  <c r="S57" i="20"/>
  <c r="S43" i="20"/>
  <c r="S40" i="20"/>
  <c r="S80" i="20"/>
  <c r="S19" i="20"/>
  <c r="S2" i="20"/>
  <c r="S58" i="20"/>
  <c r="S42" i="20"/>
  <c r="S55" i="20"/>
  <c r="S12" i="20"/>
  <c r="S3" i="20"/>
  <c r="S60" i="20"/>
  <c r="S49" i="20"/>
  <c r="S75" i="20"/>
  <c r="S63" i="20"/>
  <c r="S18" i="20"/>
  <c r="S76" i="20"/>
  <c r="S65" i="20"/>
  <c r="S51" i="20"/>
  <c r="S50" i="20"/>
  <c r="S74" i="20"/>
  <c r="S69" i="20"/>
  <c r="S33" i="20"/>
  <c r="S20" i="20"/>
  <c r="S11" i="20"/>
  <c r="S32" i="20"/>
  <c r="S52" i="20"/>
  <c r="S67" i="20"/>
  <c r="S25" i="20"/>
  <c r="S73" i="20"/>
  <c r="S9" i="20"/>
  <c r="S44" i="20"/>
  <c r="S35" i="20"/>
  <c r="S68" i="20"/>
  <c r="S34" i="20"/>
  <c r="S82" i="20"/>
  <c r="S47" i="20"/>
  <c r="S70" i="20"/>
  <c r="S17" i="20"/>
  <c r="S16" i="20"/>
  <c r="S64" i="20"/>
  <c r="S7" i="20"/>
  <c r="S78" i="20"/>
  <c r="S77" i="20"/>
  <c r="S22" i="20"/>
  <c r="S13" i="20"/>
  <c r="S72" i="20"/>
  <c r="S39" i="20"/>
  <c r="S31" i="20"/>
  <c r="S8" i="20"/>
  <c r="S30" i="20"/>
  <c r="S14" i="20"/>
  <c r="S6" i="20"/>
  <c r="S54" i="20"/>
  <c r="S46" i="20"/>
  <c r="S38" i="20"/>
  <c r="S45" i="20"/>
  <c r="S37" i="20"/>
  <c r="S29" i="20"/>
  <c r="S36" i="20"/>
  <c r="S28" i="20"/>
  <c r="S5" i="20"/>
  <c r="S61" i="20"/>
  <c r="S23" i="20"/>
  <c r="S79" i="20"/>
  <c r="S71" i="20"/>
  <c r="S48" i="20"/>
  <c r="S41" i="20"/>
  <c r="S10" i="20"/>
  <c r="S66" i="20"/>
  <c r="S24" i="20"/>
  <c r="S81" i="20"/>
  <c r="S27" i="20"/>
  <c r="S53" i="20"/>
  <c r="S15" i="20"/>
  <c r="S56" i="20"/>
  <c r="S26" i="20"/>
  <c r="S59" i="20"/>
  <c r="S21" i="20"/>
  <c r="S62" i="20"/>
  <c r="C20" i="1"/>
  <c r="D35" i="1"/>
  <c r="S2" i="18" a="1"/>
  <c r="S24" i="18"/>
  <c r="S53" i="18"/>
  <c r="S78" i="18"/>
  <c r="S11" i="18"/>
  <c r="S33" i="18"/>
  <c r="S47" i="18"/>
  <c r="S62" i="18"/>
  <c r="S51" i="18"/>
  <c r="S14" i="18"/>
  <c r="S5" i="18"/>
  <c r="S10" i="18"/>
  <c r="S20" i="18"/>
  <c r="S79" i="18"/>
  <c r="S61" i="18"/>
  <c r="S68" i="18"/>
  <c r="S44" i="18"/>
  <c r="S7" i="18"/>
  <c r="S16" i="18"/>
  <c r="S43" i="18"/>
  <c r="S35" i="18"/>
  <c r="S46" i="18"/>
  <c r="S54" i="18"/>
  <c r="S71" i="18"/>
  <c r="S59" i="18"/>
  <c r="S22" i="18"/>
  <c r="S25" i="18"/>
  <c r="S8" i="18"/>
  <c r="S37" i="18"/>
  <c r="S30" i="18"/>
  <c r="S23" i="18"/>
  <c r="S52" i="18"/>
  <c r="S45" i="18"/>
  <c r="S9" i="18"/>
  <c r="S76" i="18"/>
  <c r="S38" i="18"/>
  <c r="S63" i="18"/>
  <c r="S60" i="18"/>
  <c r="S70" i="18"/>
  <c r="S4" i="18"/>
  <c r="S50" i="18"/>
  <c r="S55" i="18"/>
  <c r="S58" i="18"/>
  <c r="S3" i="18"/>
  <c r="S18" i="18"/>
  <c r="S34" i="18"/>
  <c r="S27" i="18"/>
  <c r="S77" i="18"/>
  <c r="S6" i="18"/>
  <c r="S81" i="18"/>
  <c r="S19" i="18"/>
  <c r="S49" i="18"/>
  <c r="S41" i="18"/>
  <c r="S57" i="18"/>
  <c r="S13" i="18"/>
  <c r="S74" i="18"/>
  <c r="S17" i="18"/>
  <c r="S56" i="18"/>
  <c r="S48" i="18"/>
  <c r="S64" i="18"/>
  <c r="S21" i="18"/>
  <c r="S73" i="18"/>
  <c r="S28" i="18"/>
  <c r="S39" i="18"/>
  <c r="S80" i="18"/>
  <c r="S65" i="18"/>
  <c r="S26" i="18"/>
  <c r="S82" i="18"/>
  <c r="S75" i="18"/>
  <c r="S31" i="18"/>
  <c r="S36" i="18"/>
  <c r="S66" i="18"/>
  <c r="S69" i="18"/>
  <c r="S72" i="18"/>
  <c r="S42" i="18"/>
  <c r="S67" i="18"/>
  <c r="S29" i="18"/>
  <c r="S15" i="18"/>
  <c r="S40" i="18"/>
  <c r="S12" i="18"/>
  <c r="S32" i="18"/>
  <c r="S2" i="18"/>
  <c r="I12" i="1"/>
  <c r="I13" i="1"/>
  <c r="H20" i="1"/>
  <c r="I20" i="1"/>
  <c r="I22" i="1"/>
  <c r="S2" i="19" a="1"/>
  <c r="S54" i="19"/>
  <c r="S77" i="19"/>
  <c r="S71" i="19"/>
  <c r="S64" i="19"/>
  <c r="S78" i="19"/>
  <c r="S10" i="19"/>
  <c r="S41" i="19"/>
  <c r="S79" i="19"/>
  <c r="S22" i="19"/>
  <c r="S35" i="19"/>
  <c r="S15" i="19"/>
  <c r="S80" i="19"/>
  <c r="S17" i="19"/>
  <c r="S31" i="19"/>
  <c r="S20" i="19"/>
  <c r="S60" i="19"/>
  <c r="S74" i="19"/>
  <c r="S14" i="19"/>
  <c r="S7" i="19"/>
  <c r="S33" i="19"/>
  <c r="S8" i="19"/>
  <c r="S37" i="19"/>
  <c r="S4" i="19"/>
  <c r="S52" i="19"/>
  <c r="S40" i="19"/>
  <c r="S32" i="19"/>
  <c r="S76" i="19"/>
  <c r="S13" i="19"/>
  <c r="S43" i="19"/>
  <c r="S45" i="19"/>
  <c r="S19" i="19"/>
  <c r="S61" i="19"/>
  <c r="S48" i="19"/>
  <c r="S65" i="19"/>
  <c r="S63" i="19"/>
  <c r="S51" i="19"/>
  <c r="S24" i="19"/>
  <c r="S47" i="19"/>
  <c r="S12" i="19"/>
  <c r="S27" i="19"/>
  <c r="S38" i="19"/>
  <c r="S50" i="19"/>
  <c r="S29" i="19"/>
  <c r="S55" i="19"/>
  <c r="S69" i="19"/>
  <c r="S75" i="19"/>
  <c r="S66" i="19"/>
  <c r="S67" i="19"/>
  <c r="S44" i="19"/>
  <c r="S21" i="19"/>
  <c r="S53" i="19"/>
  <c r="S5" i="19"/>
  <c r="S34" i="19"/>
  <c r="S2" i="19"/>
  <c r="S3" i="19"/>
  <c r="S18" i="19"/>
  <c r="S36" i="19"/>
  <c r="S68" i="19"/>
  <c r="S58" i="19"/>
  <c r="S57" i="19"/>
  <c r="S25" i="19"/>
  <c r="S73" i="19"/>
  <c r="S59" i="19"/>
  <c r="S6" i="19"/>
  <c r="S23" i="19"/>
  <c r="S39" i="19"/>
  <c r="S30" i="19"/>
  <c r="S62" i="19"/>
  <c r="S16" i="19"/>
  <c r="S9" i="19"/>
  <c r="S49" i="19"/>
  <c r="S82" i="19"/>
  <c r="S70" i="19"/>
  <c r="S72" i="19"/>
  <c r="S42" i="19"/>
  <c r="S81" i="19"/>
  <c r="S11" i="19"/>
  <c r="S28" i="19"/>
  <c r="S46" i="19"/>
  <c r="S56" i="19"/>
  <c r="S26" i="19"/>
  <c r="I21" i="1"/>
  <c r="D22" i="1"/>
  <c r="D21" i="1"/>
  <c r="D20" i="1"/>
  <c r="I35" i="1"/>
</calcChain>
</file>

<file path=xl/comments1.xml><?xml version="1.0" encoding="utf-8"?>
<comments xmlns="http://schemas.openxmlformats.org/spreadsheetml/2006/main">
  <authors>
    <author>Ferdinando Ametrano</author>
  </authors>
  <commentList>
    <comment ref="D6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4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5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5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28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2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2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2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43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43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4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4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4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4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sharedStrings.xml><?xml version="1.0" encoding="utf-8"?>
<sst xmlns="http://schemas.openxmlformats.org/spreadsheetml/2006/main" count="1463" uniqueCount="230">
  <si>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</si>
  <si>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</si>
  <si>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</si>
  <si>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</si>
  <si>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</si>
  <si>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</si>
  <si>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</si>
  <si>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</si>
  <si>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Business Day Convention</t>
  </si>
  <si>
    <t>Type</t>
  </si>
  <si>
    <t>PiecewiseYieldCurve</t>
  </si>
  <si>
    <t>Error</t>
  </si>
  <si>
    <t>ObjectID</t>
  </si>
  <si>
    <t>NDays</t>
  </si>
  <si>
    <t>Calendar</t>
  </si>
  <si>
    <t>Accuracy</t>
  </si>
  <si>
    <t>TraitsID</t>
  </si>
  <si>
    <t>ZeroYield</t>
  </si>
  <si>
    <t>InterpolatorID</t>
  </si>
  <si>
    <t>Trigger</t>
  </si>
  <si>
    <t>Permanent</t>
  </si>
  <si>
    <t>ObjectOverwrite</t>
  </si>
  <si>
    <t>Discounting</t>
  </si>
  <si>
    <t>Currency</t>
  </si>
  <si>
    <t>EUR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</si>
  <si>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</si>
  <si>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</si>
  <si>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</si>
  <si>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</si>
  <si>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</si>
  <si>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</si>
  <si>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</si>
  <si>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</si>
  <si>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</si>
  <si>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</si>
  <si>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</si>
  <si>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</si>
  <si>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</si>
  <si>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</si>
  <si>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</si>
  <si>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</si>
  <si>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</si>
  <si>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</si>
  <si>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</si>
  <si>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</si>
  <si>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</si>
  <si>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</si>
  <si>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</si>
  <si>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</si>
  <si>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</si>
  <si>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</si>
  <si>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</si>
  <si>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</si>
  <si>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</si>
  <si>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</si>
  <si>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</si>
  <si>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</si>
  <si>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</si>
  <si>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</si>
  <si>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</si>
  <si>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</si>
  <si>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</si>
  <si>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</si>
  <si>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</si>
  <si>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</si>
  <si>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</si>
  <si>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Last Quote Close</t>
  </si>
  <si>
    <t>Field</t>
  </si>
  <si>
    <t>Instruments</t>
  </si>
  <si>
    <t>Date</t>
  </si>
  <si>
    <t>Last</t>
  </si>
  <si>
    <t>SettlementDate</t>
  </si>
  <si>
    <t>EUR 3M</t>
  </si>
  <si>
    <t>O/N</t>
  </si>
  <si>
    <t>T/N</t>
  </si>
  <si>
    <t>S/N</t>
  </si>
  <si>
    <t>1W</t>
  </si>
  <si>
    <t>2W</t>
  </si>
  <si>
    <t>3W</t>
  </si>
  <si>
    <t>2M</t>
  </si>
  <si>
    <t>4M</t>
  </si>
  <si>
    <t>5M</t>
  </si>
  <si>
    <t>7M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</si>
  <si>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</si>
  <si>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</si>
  <si>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</si>
  <si>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</si>
  <si>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</si>
  <si>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</si>
  <si>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</si>
  <si>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</si>
  <si>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</si>
  <si>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</si>
  <si>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</si>
  <si>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</si>
  <si>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</si>
  <si>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</si>
  <si>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</si>
  <si>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</si>
  <si>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</si>
  <si>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</si>
  <si>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</si>
  <si>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</si>
  <si>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</si>
  <si>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</si>
  <si>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</si>
  <si>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</si>
  <si>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</si>
  <si>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</si>
  <si>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</si>
  <si>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</si>
  <si>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</si>
  <si>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</si>
  <si>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</si>
  <si>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</si>
  <si>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</si>
  <si>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</si>
  <si>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</si>
  <si>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</si>
  <si>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6M</t>
  </si>
  <si>
    <t>EUR 1Y</t>
  </si>
  <si>
    <t>EUR-OIS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</si>
  <si>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</si>
  <si>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</si>
  <si>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</si>
  <si>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</si>
  <si>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</si>
  <si>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</si>
  <si>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</si>
  <si>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</si>
  <si>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</si>
  <si>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</si>
  <si>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</si>
  <si>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</si>
  <si>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</si>
  <si>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</si>
  <si>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</si>
  <si>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</si>
  <si>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</si>
  <si>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12M</t>
  </si>
  <si>
    <t>2Y3M</t>
  </si>
  <si>
    <t>2Y6M</t>
  </si>
  <si>
    <t>2Y9M</t>
  </si>
  <si>
    <t>EURON</t>
  </si>
  <si>
    <t>EUR1M</t>
  </si>
  <si>
    <t>EUR1Y</t>
  </si>
  <si>
    <t>EUR6M</t>
  </si>
  <si>
    <t>EUR3M</t>
  </si>
  <si>
    <t>EURSTD</t>
  </si>
  <si>
    <t>35Y</t>
  </si>
  <si>
    <t>36Y</t>
  </si>
  <si>
    <t>37Y</t>
  </si>
  <si>
    <t>38Y</t>
  </si>
  <si>
    <t>39Y</t>
  </si>
  <si>
    <t>40Y</t>
  </si>
  <si>
    <t>50Y</t>
  </si>
  <si>
    <t>60Y</t>
  </si>
  <si>
    <t>Error Index</t>
  </si>
  <si>
    <t xml:space="preserve">Error Last Fixing </t>
  </si>
  <si>
    <t>Timestamp</t>
  </si>
  <si>
    <t>Dg</t>
  </si>
  <si>
    <t>DEP_EUR3M_FOL_C</t>
  </si>
  <si>
    <t>DEP_EUR3M_C</t>
  </si>
  <si>
    <t>Fr</t>
  </si>
  <si>
    <t>FRA_EUR3M_C</t>
  </si>
  <si>
    <t>1M-4M</t>
  </si>
  <si>
    <t>2M-5M</t>
  </si>
  <si>
    <t>3M-6M</t>
  </si>
  <si>
    <t>4M-7M</t>
  </si>
  <si>
    <t>5M-8M</t>
  </si>
  <si>
    <t>6M-9M</t>
  </si>
  <si>
    <t>7M-10M</t>
  </si>
  <si>
    <t>8M-11M</t>
  </si>
  <si>
    <t>9M-12M</t>
  </si>
  <si>
    <t>10M-13M</t>
  </si>
  <si>
    <t>11M-14M</t>
  </si>
  <si>
    <t>12M-15M</t>
  </si>
  <si>
    <t>FUT_EUR3M_CL_C</t>
  </si>
  <si>
    <t>SWP_EUR3M_C</t>
  </si>
  <si>
    <t>#20161221</t>
  </si>
  <si>
    <t>SWP_EUR6M_C</t>
  </si>
  <si>
    <t>DEP_EUR6M_FOL_C</t>
  </si>
  <si>
    <t>DEP_EUR6M_C</t>
  </si>
  <si>
    <t>FRA_EUR6M_C</t>
  </si>
  <si>
    <t>1M-7M</t>
  </si>
  <si>
    <t>2M-8M</t>
  </si>
  <si>
    <t>3M-9M</t>
  </si>
  <si>
    <t>4M-10M</t>
  </si>
  <si>
    <t>5M-11M</t>
  </si>
  <si>
    <t>6M-12M</t>
  </si>
  <si>
    <t>7M-13M</t>
  </si>
  <si>
    <t>8M-14M</t>
  </si>
  <si>
    <t>9M-15M</t>
  </si>
  <si>
    <t>10M-16M</t>
  </si>
  <si>
    <t>11M-17M</t>
  </si>
  <si>
    <t>12M-18M</t>
  </si>
  <si>
    <t>13M-19M</t>
  </si>
  <si>
    <t>14M-20M</t>
  </si>
  <si>
    <t>15M-21M</t>
  </si>
  <si>
    <t>16M-22M</t>
  </si>
  <si>
    <t>17M-23M</t>
  </si>
  <si>
    <t>18M-24M</t>
  </si>
  <si>
    <t>24M-30M</t>
  </si>
  <si>
    <t>DEP_EUR1Y_FOL_C</t>
  </si>
  <si>
    <t>DEP_EUR1Y_C</t>
  </si>
  <si>
    <t>FRA_EUR1Y_C</t>
  </si>
  <si>
    <t>1M-13M</t>
  </si>
  <si>
    <t>2M-14M</t>
  </si>
  <si>
    <t>3M-15M</t>
  </si>
  <si>
    <t>4M-16M</t>
  </si>
  <si>
    <t>5M-17M</t>
  </si>
  <si>
    <t>6M-18M</t>
  </si>
  <si>
    <t>7M-19M</t>
  </si>
  <si>
    <t>8M-20M</t>
  </si>
  <si>
    <t>9M-21M</t>
  </si>
  <si>
    <t>10M-22M</t>
  </si>
  <si>
    <t>11M-23M</t>
  </si>
  <si>
    <t>12M-24M</t>
  </si>
  <si>
    <t>SWP_EUR1Y_C</t>
  </si>
  <si>
    <t>DEP_EURON_C_BIS</t>
  </si>
  <si>
    <t>SWP_EURON_C</t>
  </si>
  <si>
    <t>DEP_EUR1M_FOL_C</t>
  </si>
  <si>
    <t>DEP_EUR1M_C</t>
  </si>
  <si>
    <t>SWP_EUR1M_C</t>
  </si>
  <si>
    <t>SWP_EUR1M_2_C</t>
  </si>
  <si>
    <t>Pillar Date</t>
  </si>
  <si>
    <t>LAST_QUOTE</t>
  </si>
  <si>
    <t>Frequency</t>
  </si>
  <si>
    <t>KrugerCubic</t>
  </si>
  <si>
    <t>Zero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</si>
</sst>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&quot;£&quot;#,##0;[Red]\-&quot;£&quot;#,##0"/>
    <numFmt numFmtId="165" formatCode="_-* #,##0.00_-;\-* #,##0.00_-;_-* &quot;-&quot;??_-;_-@_-"/>
    <numFmt numFmtId="166" formatCode="mm/dd/yy;@"/>
    <numFmt numFmtId="167" formatCode="0.0000%"/>
    <numFmt numFmtId="168" formatCode="0.00000%"/>
    <numFmt numFmtId="169" formatCode="ddd\,\ dd\-mmm\-yyyy"/>
    <numFmt numFmtId="170" formatCode="ddd\,\ dd\-mmm\-yyyy\,\ hh:mm:ss"/>
    <numFmt numFmtId="171" formatCode="ddd\,\ d\-mmm\-yy"/>
    <numFmt numFmtId="172" formatCode="ddd\,\ d\-mmm\-yyyy"/>
    <numFmt numFmtId="173" formatCode="0.000000000"/>
    <numFmt numFmtId="174" formatCode="ddd\,\ d\-mmm\-yyyy\,\ hh:mm:ss"/>
    <numFmt numFmtId="175" formatCode="0.000000"/>
    <numFmt numFmtId="176" formatCode="ddd\,\ dd\-mmm\-yy"/>
    <numFmt numFmtId="177" formatCode="0.0000"/>
    <numFmt numFmtId="178" formatCode="_([$€-2]* #,##0.00_);_([$€-2]* \(#,##0.00\);_([$€-2]* &quot;-&quot;??_)"/>
    <numFmt numFmtId="179" formatCode="General_)"/>
    <numFmt numFmtId="180" formatCode="#,##0.0;#,##0.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b/>
      <sz val="8"/>
      <color indexed="12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8" fontId="1" fillId="0" borderId="0" applyFont="0" applyFill="0" applyBorder="0" applyAlignment="0" applyProtection="0"/>
    <xf numFmtId="38" fontId="7" fillId="0" borderId="0" applyFont="0" applyFill="0" applyBorder="0" applyAlignment="0" applyProtection="0"/>
    <xf numFmtId="40" fontId="7" fillId="0" borderId="0" applyFont="0" applyFill="0" applyBorder="0" applyAlignment="0" applyProtection="0"/>
    <xf numFmtId="179" fontId="8" fillId="0" borderId="0"/>
    <xf numFmtId="180" fontId="9" fillId="7" borderId="0">
      <alignment horizontal="center" vertical="center"/>
    </xf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</cellStyleXfs>
  <cellXfs count="186">
    <xf numFmtId="0" fontId="0" fillId="0" borderId="0" xfId="0"/>
    <xf numFmtId="0" fontId="3" fillId="2" borderId="0" xfId="1" applyFont="1" applyFill="1" applyBorder="1"/>
    <xf numFmtId="0" fontId="3" fillId="2" borderId="1" xfId="1" applyFont="1" applyFill="1" applyBorder="1" applyAlignment="1">
      <alignment horizontal="center"/>
    </xf>
    <xf numFmtId="166" fontId="3" fillId="2" borderId="1" xfId="1" applyNumberFormat="1" applyFont="1" applyFill="1" applyBorder="1" applyAlignment="1"/>
    <xf numFmtId="0" fontId="3" fillId="2" borderId="1" xfId="1" applyNumberFormat="1" applyFont="1" applyFill="1" applyBorder="1" applyAlignment="1"/>
    <xf numFmtId="168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3" fillId="2" borderId="0" xfId="3" applyFont="1" applyFill="1" applyBorder="1"/>
    <xf numFmtId="166" fontId="3" fillId="2" borderId="1" xfId="2" applyNumberFormat="1" applyFont="1" applyFill="1" applyBorder="1" applyAlignment="1">
      <alignment horizontal="center"/>
    </xf>
    <xf numFmtId="0" fontId="5" fillId="0" borderId="6" xfId="0" applyFont="1" applyBorder="1"/>
    <xf numFmtId="169" fontId="5" fillId="0" borderId="6" xfId="0" applyNumberFormat="1" applyFont="1" applyBorder="1"/>
    <xf numFmtId="0" fontId="5" fillId="0" borderId="1" xfId="0" applyFont="1" applyBorder="1"/>
    <xf numFmtId="0" fontId="5" fillId="0" borderId="16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right"/>
    </xf>
    <xf numFmtId="166" fontId="3" fillId="2" borderId="1" xfId="1" applyNumberFormat="1" applyFont="1" applyFill="1" applyBorder="1" applyAlignment="1">
      <alignment horizontal="right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5" fillId="0" borderId="14" xfId="0" applyFont="1" applyBorder="1"/>
    <xf numFmtId="0" fontId="5" fillId="0" borderId="17" xfId="0" applyFont="1" applyBorder="1"/>
    <xf numFmtId="169" fontId="5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wrapText="1"/>
    </xf>
    <xf numFmtId="0" fontId="3" fillId="9" borderId="8" xfId="1" applyFont="1" applyFill="1" applyBorder="1"/>
    <xf numFmtId="169" fontId="3" fillId="2" borderId="9" xfId="1" applyNumberFormat="1" applyFont="1" applyFill="1" applyBorder="1" applyAlignment="1">
      <alignment horizontal="center"/>
    </xf>
    <xf numFmtId="0" fontId="3" fillId="9" borderId="6" xfId="1" applyFont="1" applyFill="1" applyBorder="1"/>
    <xf numFmtId="169" fontId="3" fillId="2" borderId="10" xfId="1" applyNumberFormat="1" applyFont="1" applyFill="1" applyBorder="1" applyAlignment="1">
      <alignment horizontal="center"/>
    </xf>
    <xf numFmtId="0" fontId="3" fillId="2" borderId="10" xfId="1" applyFont="1" applyFill="1" applyBorder="1" applyAlignment="1">
      <alignment horizontal="center"/>
    </xf>
    <xf numFmtId="174" fontId="3" fillId="2" borderId="10" xfId="1" applyNumberFormat="1" applyFont="1" applyFill="1" applyBorder="1" applyAlignment="1">
      <alignment horizontal="center"/>
    </xf>
    <xf numFmtId="0" fontId="3" fillId="9" borderId="1" xfId="1" applyFont="1" applyFill="1" applyBorder="1"/>
    <xf numFmtId="174" fontId="3" fillId="2" borderId="3" xfId="1" applyNumberFormat="1" applyFont="1" applyFill="1" applyBorder="1" applyAlignment="1">
      <alignment horizontal="center"/>
    </xf>
    <xf numFmtId="0" fontId="3" fillId="9" borderId="2" xfId="1" applyFont="1" applyFill="1" applyBorder="1"/>
    <xf numFmtId="174" fontId="3" fillId="8" borderId="25" xfId="1" applyNumberFormat="1" applyFont="1" applyFill="1" applyBorder="1" applyAlignment="1">
      <alignment horizontal="center"/>
    </xf>
    <xf numFmtId="0" fontId="10" fillId="9" borderId="8" xfId="1" applyFont="1" applyFill="1" applyBorder="1" applyAlignment="1">
      <alignment horizontal="right"/>
    </xf>
    <xf numFmtId="0" fontId="3" fillId="2" borderId="7" xfId="3" applyFont="1" applyFill="1" applyBorder="1"/>
    <xf numFmtId="0" fontId="10" fillId="9" borderId="1" xfId="1" applyFont="1" applyFill="1" applyBorder="1" applyAlignment="1">
      <alignment horizontal="right"/>
    </xf>
    <xf numFmtId="171" fontId="3" fillId="4" borderId="9" xfId="1" applyNumberFormat="1" applyFont="1" applyFill="1" applyBorder="1" applyAlignment="1">
      <alignment horizontal="center"/>
    </xf>
    <xf numFmtId="0" fontId="10" fillId="9" borderId="6" xfId="1" applyFont="1" applyFill="1" applyBorder="1" applyAlignment="1">
      <alignment horizontal="right"/>
    </xf>
    <xf numFmtId="3" fontId="3" fillId="4" borderId="10" xfId="1" applyNumberFormat="1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70" fontId="3" fillId="2" borderId="0" xfId="3" applyNumberFormat="1" applyFont="1" applyFill="1" applyBorder="1" applyAlignment="1">
      <alignment horizontal="center"/>
    </xf>
    <xf numFmtId="172" fontId="3" fillId="2" borderId="8" xfId="1" applyNumberFormat="1" applyFont="1" applyFill="1" applyBorder="1" applyAlignment="1">
      <alignment horizontal="right"/>
    </xf>
    <xf numFmtId="173" fontId="3" fillId="2" borderId="8" xfId="1" applyNumberFormat="1" applyFont="1" applyFill="1" applyBorder="1" applyAlignment="1">
      <alignment horizontal="center"/>
    </xf>
    <xf numFmtId="172" fontId="3" fillId="2" borderId="6" xfId="1" applyNumberFormat="1" applyFont="1" applyFill="1" applyBorder="1" applyAlignment="1">
      <alignment horizontal="right"/>
    </xf>
    <xf numFmtId="173" fontId="3" fillId="2" borderId="6" xfId="1" applyNumberFormat="1" applyFont="1" applyFill="1" applyBorder="1" applyAlignment="1">
      <alignment horizontal="center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3" fillId="2" borderId="1" xfId="3" applyFont="1" applyFill="1" applyBorder="1"/>
    <xf numFmtId="0" fontId="5" fillId="0" borderId="11" xfId="0" applyFont="1" applyBorder="1"/>
    <xf numFmtId="0" fontId="5" fillId="0" borderId="12" xfId="0" applyFont="1" applyBorder="1"/>
    <xf numFmtId="0" fontId="5" fillId="0" borderId="9" xfId="0" applyFont="1" applyBorder="1"/>
    <xf numFmtId="0" fontId="5" fillId="0" borderId="7" xfId="0" applyFont="1" applyBorder="1"/>
    <xf numFmtId="0" fontId="5" fillId="0" borderId="9" xfId="0" applyFont="1" applyBorder="1" applyAlignment="1">
      <alignment horizontal="center" vertical="center"/>
    </xf>
    <xf numFmtId="0" fontId="5" fillId="0" borderId="10" xfId="0" applyFont="1" applyBorder="1"/>
    <xf numFmtId="0" fontId="5" fillId="0" borderId="10" xfId="0" applyFont="1" applyBorder="1" applyAlignment="1">
      <alignment horizontal="center" vertical="center"/>
    </xf>
    <xf numFmtId="0" fontId="5" fillId="0" borderId="5" xfId="0" applyFont="1" applyBorder="1"/>
    <xf numFmtId="0" fontId="5" fillId="0" borderId="4" xfId="0" applyFont="1" applyBorder="1"/>
    <xf numFmtId="0" fontId="5" fillId="0" borderId="3" xfId="0" applyFont="1" applyBorder="1"/>
    <xf numFmtId="0" fontId="5" fillId="0" borderId="18" xfId="0" applyFont="1" applyBorder="1"/>
    <xf numFmtId="0" fontId="5" fillId="10" borderId="0" xfId="0" applyFont="1" applyFill="1"/>
    <xf numFmtId="0" fontId="3" fillId="10" borderId="0" xfId="3" applyFont="1" applyFill="1" applyBorder="1"/>
    <xf numFmtId="170" fontId="3" fillId="10" borderId="0" xfId="3" applyNumberFormat="1" applyFont="1" applyFill="1" applyBorder="1" applyAlignment="1">
      <alignment horizontal="center"/>
    </xf>
    <xf numFmtId="0" fontId="5" fillId="10" borderId="0" xfId="0" applyFont="1" applyFill="1" applyBorder="1"/>
    <xf numFmtId="0" fontId="5" fillId="10" borderId="10" xfId="0" applyFont="1" applyFill="1" applyBorder="1"/>
    <xf numFmtId="0" fontId="3" fillId="10" borderId="10" xfId="3" applyFont="1" applyFill="1" applyBorder="1"/>
    <xf numFmtId="0" fontId="3" fillId="10" borderId="0" xfId="1" applyFont="1" applyFill="1" applyBorder="1"/>
    <xf numFmtId="0" fontId="3" fillId="10" borderId="0" xfId="1" applyFont="1" applyFill="1" applyBorder="1" applyAlignment="1">
      <alignment horizontal="right" vertical="center"/>
    </xf>
    <xf numFmtId="0" fontId="3" fillId="10" borderId="0" xfId="1" applyFont="1" applyFill="1" applyBorder="1" applyAlignment="1">
      <alignment horizontal="center" vertical="center"/>
    </xf>
    <xf numFmtId="0" fontId="3" fillId="10" borderId="0" xfId="1" applyFont="1" applyFill="1" applyBorder="1" applyAlignment="1">
      <alignment horizontal="right"/>
    </xf>
    <xf numFmtId="166" fontId="3" fillId="10" borderId="4" xfId="1" applyNumberFormat="1" applyFont="1" applyFill="1" applyBorder="1" applyAlignment="1"/>
    <xf numFmtId="0" fontId="5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right" vertical="center"/>
    </xf>
    <xf numFmtId="0" fontId="5" fillId="10" borderId="0" xfId="0" applyFont="1" applyFill="1" applyAlignment="1">
      <alignment horizontal="right"/>
    </xf>
    <xf numFmtId="0" fontId="3" fillId="10" borderId="0" xfId="1" applyNumberFormat="1" applyFont="1" applyFill="1" applyBorder="1" applyAlignment="1">
      <alignment horizontal="center"/>
    </xf>
    <xf numFmtId="166" fontId="3" fillId="2" borderId="8" xfId="1" applyNumberFormat="1" applyFont="1" applyFill="1" applyBorder="1" applyAlignment="1"/>
    <xf numFmtId="166" fontId="3" fillId="2" borderId="8" xfId="1" applyNumberFormat="1" applyFont="1" applyFill="1" applyBorder="1" applyAlignment="1">
      <alignment horizontal="right" vertical="center"/>
    </xf>
    <xf numFmtId="0" fontId="3" fillId="2" borderId="8" xfId="1" applyNumberFormat="1" applyFont="1" applyFill="1" applyBorder="1" applyAlignment="1">
      <alignment horizontal="center" vertical="center"/>
    </xf>
    <xf numFmtId="166" fontId="3" fillId="2" borderId="8" xfId="1" applyNumberFormat="1" applyFont="1" applyFill="1" applyBorder="1" applyAlignment="1">
      <alignment horizontal="right"/>
    </xf>
    <xf numFmtId="166" fontId="3" fillId="2" borderId="8" xfId="1" applyNumberFormat="1" applyFont="1" applyFill="1" applyBorder="1" applyAlignment="1">
      <alignment horizontal="center" vertical="center"/>
    </xf>
    <xf numFmtId="0" fontId="3" fillId="2" borderId="8" xfId="1" applyNumberFormat="1" applyFont="1" applyFill="1" applyBorder="1" applyAlignment="1"/>
    <xf numFmtId="168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6" fontId="3" fillId="2" borderId="6" xfId="1" applyNumberFormat="1" applyFont="1" applyFill="1" applyBorder="1" applyAlignment="1"/>
    <xf numFmtId="166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6" fontId="3" fillId="2" borderId="6" xfId="1" applyNumberFormat="1" applyFont="1" applyFill="1" applyBorder="1" applyAlignment="1">
      <alignment horizontal="right"/>
    </xf>
    <xf numFmtId="166" fontId="3" fillId="2" borderId="6" xfId="1" applyNumberFormat="1" applyFont="1" applyFill="1" applyBorder="1" applyAlignment="1">
      <alignment horizontal="center" vertical="center"/>
    </xf>
    <xf numFmtId="0" fontId="3" fillId="2" borderId="6" xfId="1" applyNumberFormat="1" applyFont="1" applyFill="1" applyBorder="1" applyAlignment="1"/>
    <xf numFmtId="168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0" fontId="10" fillId="9" borderId="2" xfId="1" applyFont="1" applyFill="1" applyBorder="1" applyAlignment="1">
      <alignment horizontal="center" vertical="center" wrapText="1"/>
    </xf>
    <xf numFmtId="0" fontId="3" fillId="9" borderId="12" xfId="0" applyFont="1" applyFill="1" applyBorder="1" applyAlignment="1">
      <alignment horizontal="centerContinuous" vertical="center"/>
    </xf>
    <xf numFmtId="175" fontId="3" fillId="9" borderId="12" xfId="0" applyNumberFormat="1" applyFont="1" applyFill="1" applyBorder="1" applyAlignment="1">
      <alignment horizontal="centerContinuous" vertical="center"/>
    </xf>
    <xf numFmtId="167" fontId="5" fillId="0" borderId="8" xfId="0" applyNumberFormat="1" applyFont="1" applyBorder="1"/>
    <xf numFmtId="167" fontId="5" fillId="0" borderId="6" xfId="0" applyNumberFormat="1" applyFont="1" applyBorder="1"/>
    <xf numFmtId="0" fontId="3" fillId="2" borderId="6" xfId="1" applyFont="1" applyFill="1" applyBorder="1" applyAlignment="1">
      <alignment horizontal="center"/>
    </xf>
    <xf numFmtId="166" fontId="3" fillId="2" borderId="6" xfId="2" applyNumberFormat="1" applyFont="1" applyFill="1" applyBorder="1" applyAlignment="1">
      <alignment horizontal="center"/>
    </xf>
    <xf numFmtId="0" fontId="3" fillId="2" borderId="8" xfId="1" applyNumberFormat="1" applyFont="1" applyFill="1" applyBorder="1" applyAlignment="1">
      <alignment horizontal="center"/>
    </xf>
    <xf numFmtId="0" fontId="3" fillId="2" borderId="6" xfId="1" applyNumberFormat="1" applyFont="1" applyFill="1" applyBorder="1" applyAlignment="1">
      <alignment horizontal="center"/>
    </xf>
    <xf numFmtId="0" fontId="3" fillId="0" borderId="6" xfId="2" applyNumberFormat="1" applyFont="1" applyFill="1" applyBorder="1" applyAlignment="1">
      <alignment horizontal="center"/>
    </xf>
    <xf numFmtId="167" fontId="3" fillId="2" borderId="6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center"/>
    </xf>
    <xf numFmtId="0" fontId="3" fillId="0" borderId="1" xfId="2" applyNumberFormat="1" applyFont="1" applyFill="1" applyBorder="1" applyAlignment="1">
      <alignment horizontal="center"/>
    </xf>
    <xf numFmtId="167" fontId="3" fillId="2" borderId="1" xfId="1" applyNumberFormat="1" applyFont="1" applyFill="1" applyBorder="1" applyAlignment="1">
      <alignment horizontal="right"/>
    </xf>
    <xf numFmtId="0" fontId="3" fillId="9" borderId="2" xfId="0" applyFont="1" applyFill="1" applyBorder="1" applyAlignment="1">
      <alignment horizontal="center" vertical="center"/>
    </xf>
    <xf numFmtId="175" fontId="3" fillId="9" borderId="2" xfId="0" applyNumberFormat="1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Continuous" vertical="center"/>
    </xf>
    <xf numFmtId="0" fontId="3" fillId="9" borderId="2" xfId="0" applyFont="1" applyFill="1" applyBorder="1" applyAlignment="1">
      <alignment horizontal="center" vertical="center" wrapText="1"/>
    </xf>
    <xf numFmtId="0" fontId="3" fillId="9" borderId="11" xfId="0" applyFont="1" applyFill="1" applyBorder="1" applyAlignment="1">
      <alignment horizontal="centerContinuous" vertical="center"/>
    </xf>
    <xf numFmtId="0" fontId="3" fillId="6" borderId="0" xfId="3" applyFont="1" applyFill="1"/>
    <xf numFmtId="177" fontId="3" fillId="3" borderId="2" xfId="5" applyNumberFormat="1" applyFont="1" applyFill="1" applyBorder="1" applyAlignment="1"/>
    <xf numFmtId="177" fontId="3" fillId="3" borderId="24" xfId="5" applyNumberFormat="1" applyFont="1" applyFill="1" applyBorder="1" applyAlignment="1"/>
    <xf numFmtId="167" fontId="3" fillId="3" borderId="8" xfId="5" applyNumberFormat="1" applyFont="1" applyFill="1" applyBorder="1" applyAlignment="1">
      <alignment horizontal="center"/>
    </xf>
    <xf numFmtId="169" fontId="3" fillId="3" borderId="8" xfId="5" applyNumberFormat="1" applyFont="1" applyFill="1" applyBorder="1" applyAlignment="1">
      <alignment horizontal="center"/>
    </xf>
    <xf numFmtId="177" fontId="3" fillId="3" borderId="8" xfId="5" applyNumberFormat="1" applyFont="1" applyFill="1" applyBorder="1" applyAlignment="1">
      <alignment horizontal="center"/>
    </xf>
    <xf numFmtId="167" fontId="3" fillId="3" borderId="6" xfId="5" applyNumberFormat="1" applyFont="1" applyFill="1" applyBorder="1" applyAlignment="1">
      <alignment horizontal="center"/>
    </xf>
    <xf numFmtId="169" fontId="3" fillId="3" borderId="6" xfId="5" applyNumberFormat="1" applyFont="1" applyFill="1" applyBorder="1" applyAlignment="1">
      <alignment horizontal="center"/>
    </xf>
    <xf numFmtId="177" fontId="3" fillId="3" borderId="6" xfId="5" applyNumberFormat="1" applyFont="1" applyFill="1" applyBorder="1" applyAlignment="1">
      <alignment horizontal="center"/>
    </xf>
    <xf numFmtId="167" fontId="3" fillId="3" borderId="1" xfId="5" applyNumberFormat="1" applyFont="1" applyFill="1" applyBorder="1" applyAlignment="1">
      <alignment horizontal="center"/>
    </xf>
    <xf numFmtId="169" fontId="3" fillId="3" borderId="1" xfId="5" applyNumberFormat="1" applyFont="1" applyFill="1" applyBorder="1" applyAlignment="1">
      <alignment horizontal="center"/>
    </xf>
    <xf numFmtId="177" fontId="3" fillId="3" borderId="1" xfId="5" applyNumberFormat="1" applyFont="1" applyFill="1" applyBorder="1" applyAlignment="1">
      <alignment horizontal="center"/>
    </xf>
    <xf numFmtId="0" fontId="3" fillId="3" borderId="0" xfId="4" applyFont="1" applyFill="1" applyBorder="1"/>
    <xf numFmtId="176" fontId="3" fillId="3" borderId="2" xfId="5" applyNumberFormat="1" applyFont="1" applyFill="1" applyBorder="1" applyAlignment="1"/>
    <xf numFmtId="0" fontId="3" fillId="6" borderId="0" xfId="1" applyFont="1" applyFill="1"/>
    <xf numFmtId="0" fontId="3" fillId="9" borderId="2" xfId="1" applyNumberFormat="1" applyFont="1" applyFill="1" applyBorder="1" applyAlignment="1">
      <alignment horizontal="center" vertical="center"/>
    </xf>
    <xf numFmtId="0" fontId="3" fillId="9" borderId="2" xfId="1" applyNumberFormat="1" applyFont="1" applyFill="1" applyBorder="1" applyAlignment="1">
      <alignment horizontal="center" vertical="center" wrapText="1"/>
    </xf>
    <xf numFmtId="0" fontId="3" fillId="3" borderId="11" xfId="4" applyFont="1" applyFill="1" applyBorder="1"/>
    <xf numFmtId="0" fontId="3" fillId="3" borderId="12" xfId="4" applyFont="1" applyFill="1" applyBorder="1"/>
    <xf numFmtId="0" fontId="11" fillId="3" borderId="12" xfId="4" applyFont="1" applyFill="1" applyBorder="1" applyAlignment="1">
      <alignment horizontal="center"/>
    </xf>
    <xf numFmtId="0" fontId="11" fillId="3" borderId="12" xfId="4" applyFont="1" applyFill="1" applyBorder="1"/>
    <xf numFmtId="0" fontId="3" fillId="3" borderId="9" xfId="4" applyFont="1" applyFill="1" applyBorder="1"/>
    <xf numFmtId="0" fontId="3" fillId="3" borderId="7" xfId="4" applyFont="1" applyFill="1" applyBorder="1"/>
    <xf numFmtId="0" fontId="3" fillId="3" borderId="10" xfId="4" applyFont="1" applyFill="1" applyBorder="1"/>
    <xf numFmtId="0" fontId="3" fillId="3" borderId="5" xfId="4" applyFont="1" applyFill="1" applyBorder="1"/>
    <xf numFmtId="0" fontId="3" fillId="3" borderId="4" xfId="4" applyFont="1" applyFill="1" applyBorder="1"/>
    <xf numFmtId="0" fontId="3" fillId="3" borderId="3" xfId="4" applyFont="1" applyFill="1" applyBorder="1"/>
    <xf numFmtId="0" fontId="3" fillId="2" borderId="11" xfId="3" applyFont="1" applyFill="1" applyBorder="1"/>
    <xf numFmtId="0" fontId="3" fillId="2" borderId="12" xfId="3" applyFont="1" applyFill="1" applyBorder="1"/>
    <xf numFmtId="167" fontId="3" fillId="3" borderId="12" xfId="4" applyNumberFormat="1" applyFont="1" applyFill="1" applyBorder="1"/>
    <xf numFmtId="0" fontId="3" fillId="2" borderId="5" xfId="1" applyFont="1" applyFill="1" applyBorder="1"/>
    <xf numFmtId="0" fontId="3" fillId="2" borderId="4" xfId="1" applyFont="1" applyFill="1" applyBorder="1"/>
    <xf numFmtId="0" fontId="3" fillId="9" borderId="8" xfId="1" applyNumberFormat="1" applyFont="1" applyFill="1" applyBorder="1" applyAlignment="1">
      <alignment horizontal="center" vertical="center"/>
    </xf>
    <xf numFmtId="177" fontId="3" fillId="3" borderId="11" xfId="5" applyNumberFormat="1" applyFont="1" applyFill="1" applyBorder="1" applyAlignment="1"/>
    <xf numFmtId="177" fontId="3" fillId="3" borderId="8" xfId="5" applyNumberFormat="1" applyFont="1" applyFill="1" applyBorder="1" applyAlignment="1"/>
    <xf numFmtId="0" fontId="3" fillId="9" borderId="6" xfId="1" applyNumberFormat="1" applyFont="1" applyFill="1" applyBorder="1" applyAlignment="1">
      <alignment horizontal="center" vertical="center"/>
    </xf>
    <xf numFmtId="177" fontId="3" fillId="3" borderId="7" xfId="5" applyNumberFormat="1" applyFont="1" applyFill="1" applyBorder="1" applyAlignment="1"/>
    <xf numFmtId="177" fontId="3" fillId="3" borderId="6" xfId="5" applyNumberFormat="1" applyFont="1" applyFill="1" applyBorder="1" applyAlignment="1"/>
    <xf numFmtId="0" fontId="3" fillId="9" borderId="1" xfId="1" applyNumberFormat="1" applyFont="1" applyFill="1" applyBorder="1" applyAlignment="1">
      <alignment horizontal="center" vertical="center"/>
    </xf>
    <xf numFmtId="177" fontId="3" fillId="3" borderId="5" xfId="5" applyNumberFormat="1" applyFont="1" applyFill="1" applyBorder="1" applyAlignment="1"/>
    <xf numFmtId="177" fontId="3" fillId="3" borderId="1" xfId="5" applyNumberFormat="1" applyFont="1" applyFill="1" applyBorder="1" applyAlignment="1"/>
    <xf numFmtId="177" fontId="3" fillId="11" borderId="11" xfId="5" applyNumberFormat="1" applyFont="1" applyFill="1" applyBorder="1" applyAlignment="1"/>
    <xf numFmtId="177" fontId="3" fillId="11" borderId="8" xfId="5" applyNumberFormat="1" applyFont="1" applyFill="1" applyBorder="1" applyAlignment="1"/>
    <xf numFmtId="177" fontId="3" fillId="11" borderId="7" xfId="5" applyNumberFormat="1" applyFont="1" applyFill="1" applyBorder="1" applyAlignment="1"/>
    <xf numFmtId="177" fontId="3" fillId="11" borderId="6" xfId="5" applyNumberFormat="1" applyFont="1" applyFill="1" applyBorder="1" applyAlignment="1"/>
    <xf numFmtId="177" fontId="3" fillId="11" borderId="5" xfId="5" applyNumberFormat="1" applyFont="1" applyFill="1" applyBorder="1" applyAlignment="1"/>
    <xf numFmtId="177" fontId="3" fillId="11" borderId="1" xfId="5" applyNumberFormat="1" applyFont="1" applyFill="1" applyBorder="1" applyAlignment="1"/>
    <xf numFmtId="0" fontId="3" fillId="3" borderId="2" xfId="1" applyNumberFormat="1" applyFont="1" applyFill="1" applyBorder="1" applyAlignment="1">
      <alignment horizontal="center" vertical="center" wrapText="1"/>
    </xf>
    <xf numFmtId="177" fontId="3" fillId="3" borderId="2" xfId="5" applyNumberFormat="1" applyFont="1" applyFill="1" applyBorder="1" applyAlignment="1">
      <alignment wrapText="1"/>
    </xf>
    <xf numFmtId="0" fontId="5" fillId="0" borderId="13" xfId="0" applyFont="1" applyBorder="1"/>
    <xf numFmtId="0" fontId="5" fillId="5" borderId="6" xfId="0" applyFont="1" applyFill="1" applyBorder="1"/>
    <xf numFmtId="0" fontId="3" fillId="9" borderId="19" xfId="0" applyFont="1" applyFill="1" applyBorder="1"/>
    <xf numFmtId="0" fontId="3" fillId="9" borderId="21" xfId="0" applyFont="1" applyFill="1" applyBorder="1" applyAlignment="1">
      <alignment horizontal="centerContinuous" vertical="center"/>
    </xf>
    <xf numFmtId="0" fontId="3" fillId="9" borderId="22" xfId="0" applyFont="1" applyFill="1" applyBorder="1" applyAlignment="1">
      <alignment horizontal="centerContinuous" vertical="center"/>
    </xf>
    <xf numFmtId="0" fontId="3" fillId="9" borderId="23" xfId="0" applyFont="1" applyFill="1" applyBorder="1" applyAlignment="1">
      <alignment horizontal="centerContinuous" vertical="center"/>
    </xf>
    <xf numFmtId="0" fontId="5" fillId="10" borderId="6" xfId="0" applyFont="1" applyFill="1" applyBorder="1"/>
    <xf numFmtId="0" fontId="5" fillId="0" borderId="15" xfId="0" applyFont="1" applyBorder="1"/>
    <xf numFmtId="0" fontId="5" fillId="5" borderId="16" xfId="0" applyFont="1" applyFill="1" applyBorder="1"/>
    <xf numFmtId="15" fontId="3" fillId="9" borderId="20" xfId="0" applyNumberFormat="1" applyFont="1" applyFill="1" applyBorder="1" applyAlignment="1">
      <alignment horizontal="centerContinuous" vertical="center"/>
    </xf>
    <xf numFmtId="15" fontId="5" fillId="0" borderId="6" xfId="0" applyNumberFormat="1" applyFont="1" applyBorder="1"/>
    <xf numFmtId="15" fontId="5" fillId="0" borderId="16" xfId="0" applyNumberFormat="1" applyFont="1" applyBorder="1"/>
    <xf numFmtId="15" fontId="5" fillId="10" borderId="0" xfId="0" applyNumberFormat="1" applyFont="1" applyFill="1"/>
    <xf numFmtId="15" fontId="3" fillId="9" borderId="22" xfId="0" applyNumberFormat="1" applyFont="1" applyFill="1" applyBorder="1" applyAlignment="1">
      <alignment horizontal="centerContinuous" vertical="center"/>
    </xf>
    <xf numFmtId="167" fontId="5" fillId="0" borderId="1" xfId="0" applyNumberFormat="1" applyFont="1" applyBorder="1"/>
    <xf numFmtId="173" fontId="5" fillId="10" borderId="0" xfId="0" applyNumberFormat="1" applyFont="1" applyFill="1"/>
    <xf numFmtId="0" fontId="3" fillId="10" borderId="0" xfId="1" applyFont="1" applyFill="1" applyBorder="1" applyAlignment="1">
      <alignment horizontal="left"/>
    </xf>
    <xf numFmtId="0" fontId="10" fillId="9" borderId="2" xfId="1" applyFont="1" applyFill="1" applyBorder="1" applyAlignment="1">
      <alignment horizontal="left" vertical="center" wrapText="1"/>
    </xf>
    <xf numFmtId="166" fontId="3" fillId="2" borderId="8" xfId="1" applyNumberFormat="1" applyFont="1" applyFill="1" applyBorder="1" applyAlignment="1">
      <alignment horizontal="left"/>
    </xf>
    <xf numFmtId="166" fontId="3" fillId="2" borderId="6" xfId="1" applyNumberFormat="1" applyFont="1" applyFill="1" applyBorder="1" applyAlignment="1">
      <alignment horizontal="left"/>
    </xf>
    <xf numFmtId="0" fontId="5" fillId="10" borderId="0" xfId="0" applyFont="1" applyFill="1" applyAlignment="1">
      <alignment horizontal="left"/>
    </xf>
    <xf numFmtId="167" fontId="3" fillId="3" borderId="8" xfId="1" applyNumberFormat="1" applyFont="1" applyFill="1" applyBorder="1" applyAlignment="1">
      <alignment horizontal="right"/>
    </xf>
    <xf numFmtId="167" fontId="3" fillId="3" borderId="6" xfId="1" applyNumberFormat="1" applyFont="1" applyFill="1" applyBorder="1" applyAlignment="1">
      <alignment horizontal="right"/>
    </xf>
    <xf numFmtId="166" fontId="3" fillId="2" borderId="8" xfId="1" applyNumberFormat="1" applyFont="1" applyFill="1" applyBorder="1" applyAlignment="1">
      <alignment horizontal="left" vertical="center"/>
    </xf>
    <xf numFmtId="166" fontId="3" fillId="2" borderId="6" xfId="1" applyNumberFormat="1" applyFont="1" applyFill="1" applyBorder="1" applyAlignment="1">
      <alignment horizontal="left" vertical="center"/>
    </xf>
    <xf numFmtId="165" fontId="3" fillId="2" borderId="6" xfId="1" applyNumberFormat="1" applyFont="1" applyFill="1" applyBorder="1" applyAlignment="1">
      <alignment horizontal="right"/>
    </xf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Paused at 15:51:57</v>
        <stp/>
        <stp>{0A2749F4-4E8B-4EAA-912F-4E649A24A714}_x0000_</stp>
        <tr r="G13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2</xdr:row>
          <xdr:rowOff>57150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51"/>
  <sheetViews>
    <sheetView showGridLines="0" tabSelected="1" workbookViewId="0">
      <selection activeCell="D8" sqref="D8"/>
    </sheetView>
  </sheetViews>
  <sheetFormatPr defaultRowHeight="11.25" x14ac:dyDescent="0.2"/>
  <cols>
    <col min="1" max="2" width="2.7109375" style="61" customWidth="1"/>
    <col min="3" max="3" width="20.28515625" style="61" bestFit="1" customWidth="1"/>
    <col min="4" max="4" width="27.5703125" style="61" bestFit="1" customWidth="1"/>
    <col min="5" max="7" width="2.7109375" style="61" customWidth="1"/>
    <col min="8" max="8" width="20.28515625" style="61" bestFit="1" customWidth="1"/>
    <col min="9" max="9" width="24.28515625" style="61" customWidth="1"/>
    <col min="10" max="10" width="2.7109375" style="61" customWidth="1"/>
    <col min="11" max="13" width="9.140625" style="61"/>
    <col min="14" max="14" width="9.7109375" style="61" bestFit="1" customWidth="1"/>
    <col min="15" max="16384" width="9.140625" style="61"/>
  </cols>
  <sheetData>
    <row r="2" spans="1:10" ht="11.25" customHeight="1" x14ac:dyDescent="0.2">
      <c r="C2" s="23" t="s">
        <v>57</v>
      </c>
      <c r="D2" s="24">
        <f>_xll.qlSettingsEvaluationDate(Trigger)</f>
        <v>42500</v>
      </c>
    </row>
    <row r="3" spans="1:10" ht="11.25" customHeight="1" x14ac:dyDescent="0.2">
      <c r="C3" s="25" t="s">
        <v>71</v>
      </c>
      <c r="D3" s="26">
        <f>_xll.qlCalendarAdvance(Calendar,Evaluationdate,"2D","F",,Trigger)</f>
        <v>42502</v>
      </c>
    </row>
    <row r="4" spans="1:10" ht="11.25" customHeight="1" x14ac:dyDescent="0.2">
      <c r="A4" s="64"/>
      <c r="B4" s="65"/>
      <c r="C4" s="25" t="s">
        <v>23</v>
      </c>
      <c r="D4" s="27" t="s">
        <v>24</v>
      </c>
    </row>
    <row r="5" spans="1:10" ht="11.25" customHeight="1" x14ac:dyDescent="0.2">
      <c r="A5" s="64"/>
      <c r="B5" s="66"/>
      <c r="C5" s="25" t="s">
        <v>14</v>
      </c>
      <c r="D5" s="28" t="s">
        <v>25</v>
      </c>
    </row>
    <row r="6" spans="1:10" ht="11.25" customHeight="1" x14ac:dyDescent="0.2">
      <c r="A6" s="64"/>
      <c r="B6" s="66"/>
      <c r="C6" s="25" t="s">
        <v>20</v>
      </c>
      <c r="D6" s="27" t="b">
        <v>1</v>
      </c>
    </row>
    <row r="7" spans="1:10" ht="11.25" customHeight="1" x14ac:dyDescent="0.2">
      <c r="A7" s="64"/>
      <c r="B7" s="66"/>
      <c r="C7" s="25" t="s">
        <v>21</v>
      </c>
      <c r="D7" s="27" t="b">
        <v>1</v>
      </c>
    </row>
    <row r="8" spans="1:10" ht="11.25" customHeight="1" x14ac:dyDescent="0.2">
      <c r="A8" s="64"/>
      <c r="B8" s="66"/>
      <c r="C8" s="31" t="s">
        <v>19</v>
      </c>
      <c r="D8" s="32"/>
    </row>
    <row r="9" spans="1:10" ht="11.25" customHeight="1" x14ac:dyDescent="0.2">
      <c r="B9" s="62"/>
      <c r="C9" s="29" t="s">
        <v>22</v>
      </c>
      <c r="D9" s="30" t="s">
        <v>143</v>
      </c>
    </row>
    <row r="10" spans="1:10" ht="11.25" customHeight="1" x14ac:dyDescent="0.2"/>
    <row r="11" spans="1:10" x14ac:dyDescent="0.2">
      <c r="B11" s="50"/>
      <c r="C11" s="51"/>
      <c r="D11" s="51"/>
      <c r="E11" s="52"/>
      <c r="G11" s="50"/>
      <c r="H11" s="51"/>
      <c r="I11" s="51"/>
      <c r="J11" s="52"/>
    </row>
    <row r="12" spans="1:10" x14ac:dyDescent="0.2">
      <c r="B12" s="53"/>
      <c r="C12" s="33" t="s">
        <v>10</v>
      </c>
      <c r="D12" s="54" t="str">
        <f>_xll.qlPiecewiseYieldCurve(D14,D15,Calendar,_xll.ohPack(EURSTD!O3:O82),,,,D16,D17,D18,Permanent,,ObjectOverwrite)</f>
        <v>_MXEURSTD#0007</v>
      </c>
      <c r="E12" s="55"/>
      <c r="G12" s="34"/>
      <c r="H12" s="33" t="s">
        <v>10</v>
      </c>
      <c r="I12" s="54" t="str">
        <f>_xll.qlPiecewiseYieldCurve(I14,I15,Calendar,_xll.ohPack(EUR3M!O3:O82),,,,I16,I17,I18,Permanent,,ObjectOverwrite)</f>
        <v>_MXEUR3M#0012</v>
      </c>
      <c r="J12" s="55"/>
    </row>
    <row r="13" spans="1:10" x14ac:dyDescent="0.2">
      <c r="B13" s="53"/>
      <c r="C13" s="35" t="s">
        <v>11</v>
      </c>
      <c r="D13" s="56" t="str">
        <f>_xll.ohRangeRetrieveError(YieldCurve_STD)</f>
        <v/>
      </c>
      <c r="E13" s="55"/>
      <c r="G13" s="34"/>
      <c r="H13" s="35" t="s">
        <v>11</v>
      </c>
      <c r="I13" s="56" t="str">
        <f>_xll.ohRangeRetrieveError(YieldCurve_3M)</f>
        <v/>
      </c>
      <c r="J13" s="55"/>
    </row>
    <row r="14" spans="1:10" x14ac:dyDescent="0.2">
      <c r="B14" s="53"/>
      <c r="C14" s="33" t="s">
        <v>12</v>
      </c>
      <c r="D14" s="36" t="s">
        <v>30</v>
      </c>
      <c r="E14" s="55"/>
      <c r="G14" s="34"/>
      <c r="H14" s="33" t="s">
        <v>12</v>
      </c>
      <c r="I14" s="36" t="s">
        <v>29</v>
      </c>
      <c r="J14" s="55"/>
    </row>
    <row r="15" spans="1:10" x14ac:dyDescent="0.2">
      <c r="B15" s="53"/>
      <c r="C15" s="37" t="s">
        <v>13</v>
      </c>
      <c r="D15" s="38">
        <v>0</v>
      </c>
      <c r="E15" s="55"/>
      <c r="G15" s="34"/>
      <c r="H15" s="37" t="s">
        <v>13</v>
      </c>
      <c r="I15" s="38">
        <v>0</v>
      </c>
      <c r="J15" s="55"/>
    </row>
    <row r="16" spans="1:10" x14ac:dyDescent="0.2">
      <c r="B16" s="53"/>
      <c r="C16" s="37" t="s">
        <v>15</v>
      </c>
      <c r="D16" s="39"/>
      <c r="E16" s="55"/>
      <c r="G16" s="34"/>
      <c r="H16" s="37" t="s">
        <v>15</v>
      </c>
      <c r="I16" s="39"/>
      <c r="J16" s="55"/>
    </row>
    <row r="17" spans="1:10" x14ac:dyDescent="0.2">
      <c r="B17" s="53"/>
      <c r="C17" s="37" t="s">
        <v>16</v>
      </c>
      <c r="D17" s="40" t="s">
        <v>17</v>
      </c>
      <c r="E17" s="55"/>
      <c r="G17" s="34"/>
      <c r="H17" s="37" t="s">
        <v>16</v>
      </c>
      <c r="I17" s="40" t="s">
        <v>17</v>
      </c>
      <c r="J17" s="55"/>
    </row>
    <row r="18" spans="1:10" x14ac:dyDescent="0.2">
      <c r="B18" s="53"/>
      <c r="C18" s="35" t="s">
        <v>18</v>
      </c>
      <c r="D18" s="41" t="s">
        <v>228</v>
      </c>
      <c r="E18" s="55"/>
      <c r="G18" s="34"/>
      <c r="H18" s="35" t="s">
        <v>18</v>
      </c>
      <c r="I18" s="41" t="s">
        <v>228</v>
      </c>
      <c r="J18" s="55"/>
    </row>
    <row r="19" spans="1:10" x14ac:dyDescent="0.2">
      <c r="B19" s="53"/>
      <c r="C19" s="42"/>
      <c r="D19" s="42"/>
      <c r="E19" s="55"/>
      <c r="G19" s="34"/>
      <c r="H19" s="42"/>
      <c r="I19" s="42"/>
      <c r="J19" s="55"/>
    </row>
    <row r="20" spans="1:10" x14ac:dyDescent="0.2">
      <c r="B20" s="53"/>
      <c r="C20" s="43">
        <f>_xll.qlTermStructureReferenceDate(D12)</f>
        <v>42500</v>
      </c>
      <c r="D20" s="44">
        <f>_xll.qlYieldTSDiscount(YieldCurve_STD,C20,,Trigger)</f>
        <v>1</v>
      </c>
      <c r="E20" s="55"/>
      <c r="G20" s="34"/>
      <c r="H20" s="43">
        <f>_xll.qlTermStructureReferenceDate(I12)</f>
        <v>42500</v>
      </c>
      <c r="I20" s="44">
        <f>_xll.qlYieldTSDiscount(YieldCurve_3M,H20,,Trigger)</f>
        <v>1</v>
      </c>
      <c r="J20" s="55"/>
    </row>
    <row r="21" spans="1:10" x14ac:dyDescent="0.2">
      <c r="B21" s="53"/>
      <c r="C21" s="45">
        <f>MAX(_xll.ohPack(EURSTD!R3:R82))</f>
        <v>64417</v>
      </c>
      <c r="D21" s="46">
        <f>_xll.qlYieldTSDiscount(YieldCurve_STD,C21,,Trigger)</f>
        <v>0.57067033727329097</v>
      </c>
      <c r="E21" s="55"/>
      <c r="G21" s="34"/>
      <c r="H21" s="45">
        <f>MAX(_xll.ohPack(EUR3M!R3:R82))</f>
        <v>64417</v>
      </c>
      <c r="I21" s="46">
        <f>_xll.qlYieldTSDiscount(YieldCurve_3M,H21,,Trigger)</f>
        <v>0.58124383787868139</v>
      </c>
      <c r="J21" s="55"/>
    </row>
    <row r="22" spans="1:10" x14ac:dyDescent="0.2">
      <c r="B22" s="53"/>
      <c r="C22" s="47" t="str">
        <f>Euribor!D3</f>
        <v>EURSTD</v>
      </c>
      <c r="D22" s="48" t="b">
        <f>_xll.qlRelinkableHandleLinkTo(C22,D12,Trigger)</f>
        <v>1</v>
      </c>
      <c r="E22" s="55"/>
      <c r="G22" s="34"/>
      <c r="H22" s="47" t="str">
        <f>Euribor!D6</f>
        <v>EUR3M</v>
      </c>
      <c r="I22" s="48" t="b">
        <f>_xll.qlRelinkableHandleLinkTo(H22,I12,Trigger)</f>
        <v>1</v>
      </c>
      <c r="J22" s="55"/>
    </row>
    <row r="23" spans="1:10" x14ac:dyDescent="0.2">
      <c r="B23" s="57"/>
      <c r="C23" s="58"/>
      <c r="D23" s="58"/>
      <c r="E23" s="59"/>
      <c r="G23" s="57"/>
      <c r="H23" s="58"/>
      <c r="I23" s="58"/>
      <c r="J23" s="59"/>
    </row>
    <row r="24" spans="1:10" x14ac:dyDescent="0.2">
      <c r="A24" s="64"/>
      <c r="B24" s="64"/>
      <c r="C24" s="64"/>
      <c r="D24" s="64"/>
      <c r="E24" s="64"/>
      <c r="G24" s="64"/>
      <c r="H24" s="64"/>
      <c r="I24" s="64"/>
      <c r="J24" s="64"/>
    </row>
    <row r="25" spans="1:10" x14ac:dyDescent="0.2">
      <c r="B25" s="50"/>
      <c r="C25" s="60"/>
      <c r="D25" s="60"/>
      <c r="E25" s="52"/>
      <c r="F25" s="63"/>
      <c r="G25" s="50"/>
      <c r="H25" s="51"/>
      <c r="I25" s="51"/>
      <c r="J25" s="52"/>
    </row>
    <row r="26" spans="1:10" x14ac:dyDescent="0.2">
      <c r="B26" s="53"/>
      <c r="C26" s="33" t="s">
        <v>10</v>
      </c>
      <c r="D26" s="54" t="str">
        <f>_xll.qlPiecewiseYieldCurve(D28,D29,Calendar,_xll.ohPack(EUR6M!O3:O82),,,,D30,D31,D32,Permanent,,ObjectOverwrite)</f>
        <v>_MXEUR6M#0011</v>
      </c>
      <c r="E26" s="55"/>
      <c r="F26" s="63"/>
      <c r="G26" s="34"/>
      <c r="H26" s="33" t="s">
        <v>10</v>
      </c>
      <c r="I26" s="54" t="str">
        <f>_xll.qlPiecewiseYieldCurve(I28,I29,Calendar,_xll.ohPack(EUR1M!O3:O93),,,,I30,I31,I32,Permanent,,ObjectOverwrite)</f>
        <v>_MXEUR1M#0007</v>
      </c>
      <c r="J26" s="55"/>
    </row>
    <row r="27" spans="1:10" x14ac:dyDescent="0.2">
      <c r="B27" s="53"/>
      <c r="C27" s="35" t="s">
        <v>11</v>
      </c>
      <c r="D27" s="56" t="str">
        <f>_xll.ohRangeRetrieveError(YieldCurve_6M)</f>
        <v/>
      </c>
      <c r="E27" s="55"/>
      <c r="F27" s="63"/>
      <c r="G27" s="34"/>
      <c r="H27" s="35" t="s">
        <v>11</v>
      </c>
      <c r="I27" s="56" t="str">
        <f>_xll.ohRangeRetrieveError(YieldCurve_1M)</f>
        <v/>
      </c>
      <c r="J27" s="55"/>
    </row>
    <row r="28" spans="1:10" x14ac:dyDescent="0.2">
      <c r="B28" s="34"/>
      <c r="C28" s="33" t="s">
        <v>12</v>
      </c>
      <c r="D28" s="36" t="s">
        <v>31</v>
      </c>
      <c r="E28" s="55"/>
      <c r="F28" s="63"/>
      <c r="G28" s="34"/>
      <c r="H28" s="33" t="s">
        <v>12</v>
      </c>
      <c r="I28" s="36" t="s">
        <v>37</v>
      </c>
      <c r="J28" s="55"/>
    </row>
    <row r="29" spans="1:10" x14ac:dyDescent="0.2">
      <c r="B29" s="34"/>
      <c r="C29" s="37" t="s">
        <v>13</v>
      </c>
      <c r="D29" s="38">
        <v>0</v>
      </c>
      <c r="E29" s="55"/>
      <c r="F29" s="63"/>
      <c r="G29" s="34"/>
      <c r="H29" s="37" t="s">
        <v>13</v>
      </c>
      <c r="I29" s="38">
        <v>0</v>
      </c>
      <c r="J29" s="55"/>
    </row>
    <row r="30" spans="1:10" x14ac:dyDescent="0.2">
      <c r="B30" s="34"/>
      <c r="C30" s="37" t="s">
        <v>15</v>
      </c>
      <c r="D30" s="39"/>
      <c r="E30" s="55"/>
      <c r="F30" s="63"/>
      <c r="G30" s="34"/>
      <c r="H30" s="37" t="s">
        <v>15</v>
      </c>
      <c r="I30" s="39"/>
      <c r="J30" s="55"/>
    </row>
    <row r="31" spans="1:10" x14ac:dyDescent="0.2">
      <c r="B31" s="34"/>
      <c r="C31" s="37" t="s">
        <v>16</v>
      </c>
      <c r="D31" s="40" t="s">
        <v>17</v>
      </c>
      <c r="E31" s="55"/>
      <c r="F31" s="63"/>
      <c r="G31" s="34"/>
      <c r="H31" s="37" t="s">
        <v>16</v>
      </c>
      <c r="I31" s="40" t="s">
        <v>17</v>
      </c>
      <c r="J31" s="55"/>
    </row>
    <row r="32" spans="1:10" x14ac:dyDescent="0.2">
      <c r="B32" s="34"/>
      <c r="C32" s="35" t="s">
        <v>18</v>
      </c>
      <c r="D32" s="41" t="s">
        <v>228</v>
      </c>
      <c r="E32" s="55"/>
      <c r="F32" s="63"/>
      <c r="G32" s="34"/>
      <c r="H32" s="35" t="s">
        <v>18</v>
      </c>
      <c r="I32" s="41" t="s">
        <v>228</v>
      </c>
      <c r="J32" s="55"/>
    </row>
    <row r="33" spans="2:10" x14ac:dyDescent="0.2">
      <c r="B33" s="34"/>
      <c r="C33" s="42"/>
      <c r="D33" s="42"/>
      <c r="E33" s="55"/>
      <c r="F33" s="63"/>
      <c r="G33" s="34"/>
      <c r="H33" s="42"/>
      <c r="I33" s="42"/>
      <c r="J33" s="55"/>
    </row>
    <row r="34" spans="2:10" x14ac:dyDescent="0.2">
      <c r="B34" s="34"/>
      <c r="C34" s="43">
        <f>_xll.qlTermStructureReferenceDate(D26)</f>
        <v>42500</v>
      </c>
      <c r="D34" s="44">
        <f>_xll.qlYieldTSDiscount(YieldCurve_6M,C34,,Trigger)</f>
        <v>1</v>
      </c>
      <c r="E34" s="55"/>
      <c r="F34" s="63"/>
      <c r="G34" s="34"/>
      <c r="H34" s="43">
        <f>_xll.qlTermStructureReferenceDate(I26)</f>
        <v>42500</v>
      </c>
      <c r="I34" s="44">
        <f>_xll.qlYieldTSDiscount(YieldCurve_1M,H34,,Trigger)</f>
        <v>1</v>
      </c>
      <c r="J34" s="55"/>
    </row>
    <row r="35" spans="2:10" x14ac:dyDescent="0.2">
      <c r="B35" s="34"/>
      <c r="C35" s="45">
        <f>MAX(_xll.ohPack(EUR6M!R3:R82))</f>
        <v>64417</v>
      </c>
      <c r="D35" s="46">
        <f>_xll.qlYieldTSDiscount(YieldCurve_6M,C35,,Trigger)</f>
        <v>0.5711013895310415</v>
      </c>
      <c r="E35" s="55"/>
      <c r="F35" s="63"/>
      <c r="G35" s="34"/>
      <c r="H35" s="45">
        <f>MAX(_xll.ohPack(EUR1M!R3:R82))</f>
        <v>64417</v>
      </c>
      <c r="I35" s="46">
        <f>_xll.qlYieldTSDiscount(YieldCurve_1M,H35,,Trigger)</f>
        <v>0.59887656047828919</v>
      </c>
      <c r="J35" s="55"/>
    </row>
    <row r="36" spans="2:10" x14ac:dyDescent="0.2">
      <c r="B36" s="34"/>
      <c r="C36" s="47" t="str">
        <f>Euribor!D7</f>
        <v>EUR6M</v>
      </c>
      <c r="D36" s="49" t="b">
        <f>_xll.qlRelinkableHandleLinkTo(C36,D26,Trigger)</f>
        <v>1</v>
      </c>
      <c r="E36" s="55"/>
      <c r="F36" s="63"/>
      <c r="G36" s="34"/>
      <c r="H36" s="47" t="str">
        <f>Euribor!D5</f>
        <v>EUR1M</v>
      </c>
      <c r="I36" s="48" t="b">
        <f>_xll.qlRelinkableHandleLinkTo(H36,I26,Trigger)</f>
        <v>1</v>
      </c>
      <c r="J36" s="55"/>
    </row>
    <row r="37" spans="2:10" x14ac:dyDescent="0.2">
      <c r="B37" s="57"/>
      <c r="C37" s="58"/>
      <c r="D37" s="58"/>
      <c r="E37" s="59"/>
      <c r="F37" s="63"/>
      <c r="G37" s="57"/>
      <c r="H37" s="58"/>
      <c r="I37" s="58"/>
      <c r="J37" s="59"/>
    </row>
    <row r="38" spans="2:10" x14ac:dyDescent="0.2">
      <c r="F38" s="63"/>
    </row>
    <row r="39" spans="2:10" x14ac:dyDescent="0.2">
      <c r="B39" s="50"/>
      <c r="C39" s="51"/>
      <c r="D39" s="51"/>
      <c r="E39" s="52"/>
      <c r="F39" s="63"/>
      <c r="G39" s="50"/>
      <c r="H39" s="51"/>
      <c r="I39" s="51"/>
      <c r="J39" s="52"/>
    </row>
    <row r="40" spans="2:10" x14ac:dyDescent="0.2">
      <c r="B40" s="34"/>
      <c r="C40" s="33" t="s">
        <v>10</v>
      </c>
      <c r="D40" s="54" t="str">
        <f>_xll.qlPiecewiseYieldCurve(D42,D43,Calendar,_xll.ohPack(EUR1Y!O3:O82),,,,D44,D45,D46,Permanent,,ObjectOverwrite)</f>
        <v>_MXEUR1Y#0007</v>
      </c>
      <c r="E40" s="55"/>
      <c r="F40" s="63"/>
      <c r="G40" s="34"/>
      <c r="H40" s="33" t="s">
        <v>10</v>
      </c>
      <c r="I40" s="54" t="str">
        <f>_xll.qlPiecewiseYieldCurve(I42,I43,Calendar,_xll.ohPack(EURON!N3:N71),,,,I44,I45,I46,Permanent,,ObjectOverwrite)</f>
        <v>_MXEURON#0004</v>
      </c>
      <c r="J40" s="55"/>
    </row>
    <row r="41" spans="2:10" x14ac:dyDescent="0.2">
      <c r="B41" s="34"/>
      <c r="C41" s="35" t="s">
        <v>11</v>
      </c>
      <c r="D41" s="56" t="str">
        <f>_xll.ohRangeRetrieveError(YieldCurve_1Y)</f>
        <v/>
      </c>
      <c r="E41" s="55"/>
      <c r="G41" s="34"/>
      <c r="H41" s="35" t="s">
        <v>11</v>
      </c>
      <c r="I41" s="56" t="str">
        <f>_xll.ohRangeRetrieveError(YieldCurve_ON)</f>
        <v/>
      </c>
      <c r="J41" s="55"/>
    </row>
    <row r="42" spans="2:10" x14ac:dyDescent="0.2">
      <c r="B42" s="34"/>
      <c r="C42" s="33" t="s">
        <v>12</v>
      </c>
      <c r="D42" s="36" t="s">
        <v>38</v>
      </c>
      <c r="E42" s="55"/>
      <c r="G42" s="34"/>
      <c r="H42" s="33" t="s">
        <v>12</v>
      </c>
      <c r="I42" s="36" t="s">
        <v>41</v>
      </c>
      <c r="J42" s="55"/>
    </row>
    <row r="43" spans="2:10" x14ac:dyDescent="0.2">
      <c r="B43" s="34"/>
      <c r="C43" s="37" t="s">
        <v>13</v>
      </c>
      <c r="D43" s="38">
        <v>0</v>
      </c>
      <c r="E43" s="55"/>
      <c r="G43" s="34"/>
      <c r="H43" s="37" t="s">
        <v>13</v>
      </c>
      <c r="I43" s="38">
        <v>0</v>
      </c>
      <c r="J43" s="55"/>
    </row>
    <row r="44" spans="2:10" x14ac:dyDescent="0.2">
      <c r="B44" s="34"/>
      <c r="C44" s="37" t="s">
        <v>15</v>
      </c>
      <c r="D44" s="39"/>
      <c r="E44" s="55"/>
      <c r="G44" s="34"/>
      <c r="H44" s="37" t="s">
        <v>15</v>
      </c>
      <c r="I44" s="39"/>
      <c r="J44" s="55"/>
    </row>
    <row r="45" spans="2:10" x14ac:dyDescent="0.2">
      <c r="B45" s="34"/>
      <c r="C45" s="37" t="s">
        <v>16</v>
      </c>
      <c r="D45" s="40" t="s">
        <v>17</v>
      </c>
      <c r="E45" s="55"/>
      <c r="G45" s="34"/>
      <c r="H45" s="37" t="s">
        <v>16</v>
      </c>
      <c r="I45" s="40" t="s">
        <v>17</v>
      </c>
      <c r="J45" s="55"/>
    </row>
    <row r="46" spans="2:10" x14ac:dyDescent="0.2">
      <c r="B46" s="34"/>
      <c r="C46" s="35" t="s">
        <v>18</v>
      </c>
      <c r="D46" s="41" t="s">
        <v>228</v>
      </c>
      <c r="E46" s="55"/>
      <c r="G46" s="34"/>
      <c r="H46" s="35" t="s">
        <v>18</v>
      </c>
      <c r="I46" s="41" t="s">
        <v>228</v>
      </c>
      <c r="J46" s="55"/>
    </row>
    <row r="47" spans="2:10" x14ac:dyDescent="0.2">
      <c r="B47" s="34"/>
      <c r="C47" s="42"/>
      <c r="D47" s="42"/>
      <c r="E47" s="55"/>
      <c r="G47" s="34"/>
      <c r="H47" s="42"/>
      <c r="I47" s="42"/>
      <c r="J47" s="55"/>
    </row>
    <row r="48" spans="2:10" x14ac:dyDescent="0.2">
      <c r="B48" s="34"/>
      <c r="C48" s="43">
        <f>_xll.qlTermStructureReferenceDate(D40)</f>
        <v>42500</v>
      </c>
      <c r="D48" s="44">
        <f>_xll.qlYieldTSDiscount(YieldCurve_1Y,C48,,Trigger)</f>
        <v>1</v>
      </c>
      <c r="E48" s="55"/>
      <c r="G48" s="34"/>
      <c r="H48" s="43">
        <f>_xll.qlTermStructureReferenceDate(I40)</f>
        <v>42500</v>
      </c>
      <c r="I48" s="44">
        <f>_xll.qlYieldTSDiscount(YieldCurve_ON,H48,,Trigger)</f>
        <v>1</v>
      </c>
      <c r="J48" s="55"/>
    </row>
    <row r="49" spans="2:10" x14ac:dyDescent="0.2">
      <c r="B49" s="34"/>
      <c r="C49" s="45">
        <f>MAX(_xll.ohPack(EUR1Y!R3:R82))</f>
        <v>64417</v>
      </c>
      <c r="D49" s="46">
        <f>_xll.qlYieldTSDiscount(YieldCurve_1Y,C49,,Trigger)</f>
        <v>0.55574700413652489</v>
      </c>
      <c r="E49" s="55"/>
      <c r="G49" s="34"/>
      <c r="H49" s="45">
        <f>MAX(_xll.ohPack(EURON!Q3:Q71))</f>
        <v>64417</v>
      </c>
      <c r="I49" s="46">
        <f>_xll.qlYieldTSDiscount(YieldCurve_ON,H49,,Trigger)</f>
        <v>0.59871394529900568</v>
      </c>
      <c r="J49" s="55"/>
    </row>
    <row r="50" spans="2:10" x14ac:dyDescent="0.2">
      <c r="B50" s="34"/>
      <c r="C50" s="47" t="str">
        <f>Euribor!D8</f>
        <v>EUR1Y</v>
      </c>
      <c r="D50" s="49" t="b">
        <f>_xll.qlRelinkableHandleLinkTo(C50,D40,Trigger)</f>
        <v>1</v>
      </c>
      <c r="E50" s="55"/>
      <c r="G50" s="34"/>
      <c r="H50" s="47" t="str">
        <f>Euribor!D4</f>
        <v>EURON</v>
      </c>
      <c r="I50" s="48" t="b">
        <f>_xll.qlRelinkableHandleLinkTo(H50,I40,Trigger)</f>
        <v>1</v>
      </c>
      <c r="J50" s="55"/>
    </row>
    <row r="51" spans="2:10" x14ac:dyDescent="0.2">
      <c r="B51" s="57"/>
      <c r="C51" s="58"/>
      <c r="D51" s="58"/>
      <c r="E51" s="59"/>
      <c r="G51" s="57"/>
      <c r="H51" s="58"/>
      <c r="I51" s="58"/>
      <c r="J51" s="59"/>
    </row>
  </sheetData>
  <dataValidations count="3">
    <dataValidation type="list" allowBlank="1" showInputMessage="1" showErrorMessage="1" sqref="D31 D17 I17 I31 D45 I45">
      <formula1>"Discount,ZeroYield,ForwardRate"</formula1>
    </dataValidation>
    <dataValidation type="list" allowBlank="1" showInputMessage="1" showErrorMessage="1" sqref="D32 D18 I18 I32 D46 I4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2</xdr:row>
                    <xdr:rowOff>57150</xdr:rowOff>
                  </from>
                  <to>
                    <xdr:col>8</xdr:col>
                    <xdr:colOff>666750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89"/>
  <sheetViews>
    <sheetView showGridLines="0" topLeftCell="L1" zoomScaleNormal="100" workbookViewId="0">
      <selection activeCell="S1" sqref="S1"/>
    </sheetView>
  </sheetViews>
  <sheetFormatPr defaultRowHeight="11.25" outlineLevelCol="1" x14ac:dyDescent="0.2"/>
  <cols>
    <col min="1" max="1" width="6.7109375" style="61" hidden="1" customWidth="1" outlineLevel="1"/>
    <col min="2" max="2" width="6.7109375" style="180" hidden="1" customWidth="1" outlineLevel="1"/>
    <col min="3" max="3" width="6.7109375" style="73" hidden="1" customWidth="1" outlineLevel="1"/>
    <col min="4" max="4" width="6.7109375" style="72" hidden="1" customWidth="1" outlineLevel="1"/>
    <col min="5" max="5" width="10" style="72" hidden="1" customWidth="1" outlineLevel="1"/>
    <col min="6" max="6" width="19.42578125" style="74" hidden="1" customWidth="1" outlineLevel="1"/>
    <col min="7" max="7" width="7" style="61" hidden="1" customWidth="1" outlineLevel="1"/>
    <col min="8" max="8" width="20.28515625" style="61" hidden="1" customWidth="1" outlineLevel="1"/>
    <col min="9" max="9" width="12.7109375" style="61" hidden="1" customWidth="1" outlineLevel="1"/>
    <col min="10" max="10" width="15.140625" style="61" hidden="1" customWidth="1" outlineLevel="1"/>
    <col min="11" max="11" width="9" style="72" hidden="1" customWidth="1" outlineLevel="1"/>
    <col min="12" max="12" width="2.7109375" style="61" customWidth="1" collapsed="1"/>
    <col min="13" max="13" width="5" style="61" bestFit="1" customWidth="1"/>
    <col min="14" max="14" width="8" style="61" customWidth="1"/>
    <col min="15" max="15" width="15.140625" style="61" hidden="1" customWidth="1" outlineLevel="1"/>
    <col min="16" max="16" width="9" style="61" bestFit="1" customWidth="1" collapsed="1"/>
    <col min="17" max="18" width="17.28515625" style="61" bestFit="1" customWidth="1"/>
    <col min="19" max="19" width="12.7109375" style="61" customWidth="1"/>
    <col min="20" max="20" width="15.140625" style="61" bestFit="1" customWidth="1"/>
    <col min="21" max="21" width="9" style="61" bestFit="1" customWidth="1"/>
    <col min="22" max="16384" width="9.140625" style="61"/>
  </cols>
  <sheetData>
    <row r="1" spans="1:19" ht="18" customHeight="1" x14ac:dyDescent="0.2">
      <c r="B1" s="176"/>
      <c r="C1" s="68"/>
      <c r="D1" s="69"/>
      <c r="E1" s="69"/>
      <c r="F1" s="70"/>
      <c r="G1" s="71"/>
      <c r="H1" s="75" t="s">
        <v>45</v>
      </c>
      <c r="K1" s="69"/>
      <c r="M1" s="110" t="s">
        <v>148</v>
      </c>
      <c r="N1" s="93"/>
      <c r="O1" s="93"/>
      <c r="P1" s="94"/>
      <c r="Q1" s="93"/>
      <c r="R1" s="93"/>
      <c r="S1" s="109" t="s">
        <v>229</v>
      </c>
    </row>
    <row r="2" spans="1:19" ht="21" customHeight="1" x14ac:dyDescent="0.2">
      <c r="A2" s="92" t="s">
        <v>9</v>
      </c>
      <c r="B2" s="177"/>
      <c r="C2" s="92" t="s">
        <v>1</v>
      </c>
      <c r="D2" s="92" t="s">
        <v>2</v>
      </c>
      <c r="E2" s="92" t="s">
        <v>227</v>
      </c>
      <c r="F2" s="92" t="s">
        <v>8</v>
      </c>
      <c r="G2" s="92" t="s">
        <v>3</v>
      </c>
      <c r="H2" s="92" t="s">
        <v>4</v>
      </c>
      <c r="I2" s="92" t="s">
        <v>5</v>
      </c>
      <c r="J2" s="92" t="s">
        <v>32</v>
      </c>
      <c r="K2" s="92" t="s">
        <v>36</v>
      </c>
      <c r="M2" s="106" t="s">
        <v>9</v>
      </c>
      <c r="N2" s="106" t="s">
        <v>44</v>
      </c>
      <c r="O2" s="106" t="s">
        <v>32</v>
      </c>
      <c r="P2" s="107" t="s">
        <v>28</v>
      </c>
      <c r="Q2" s="106" t="s">
        <v>26</v>
      </c>
      <c r="R2" s="106" t="s">
        <v>27</v>
      </c>
      <c r="S2" s="95">
        <f t="array" ref="S2:S82">_xll.qlPiecewiseYieldCurveData(YieldCurve_STD,Trigger)</f>
        <v>-3.5486273474694212E-3</v>
      </c>
    </row>
    <row r="3" spans="1:19" ht="11.25" customHeight="1" x14ac:dyDescent="0.2">
      <c r="A3" s="76" t="str">
        <f t="array" ref="A3:A82">_xll.ohFilter(PastedValue!K2:K74,NOT(ISBLANK(PastedValue!K2:K74)))</f>
        <v>Dp</v>
      </c>
      <c r="B3" s="178" t="str">
        <f t="array" ref="B3:B82">_xll.ohFilter(PastedValue!O2:O74,NOT(ISBLANK(PastedValue!O2:O74)))</f>
        <v>O/N</v>
      </c>
      <c r="C3" s="183" t="str">
        <f>IF(A3="Sf",_xll.qlIMMNextCode(B3,Trigger),IF(LEFT(B3,1)="#",_xll.qlCalendarBusinessDaysBetween(Calendar,Settlementdate,DATE(LEFT(SUBSTITUTE(B3,"#",""),4),LEFT(RIGHT(SUBSTITUTE(B3,"#",""),4),2),RIGHT(SUBSTITUTE(B3,"#",""),2)),,,Trigger)-1&amp;"D",SUBSTITUTE(B3,"/","")))</f>
        <v>ON</v>
      </c>
      <c r="D3" s="78">
        <f>IF(C3="ON",0,IF(C3="TN",1,2))</f>
        <v>0</v>
      </c>
      <c r="E3" s="78" t="str">
        <f>IF(A3="Sw","Annual","--")</f>
        <v>--</v>
      </c>
      <c r="F3" s="77" t="str">
        <f t="shared" ref="F3:F21" si="0">IF(OR(RIGHT(C3,1)="N",RIGHT(C3,1)="W"),"Following","Modified Following")</f>
        <v>Following</v>
      </c>
      <c r="G3" s="80" t="str">
        <f>IF(OR(RIGHT(C3,1)="N",RIGHT(C3,1)="W"),"FALSE","TRUE")</f>
        <v>FALSE</v>
      </c>
      <c r="H3" s="99" t="str">
        <f>IF(A3="Sw","30/360 (Bond Basis)","Actual/360")</f>
        <v>Actual/360</v>
      </c>
      <c r="I3" s="181">
        <f t="array" ref="I3:I82">_xll.ohFilter(PastedValue!R2:R74,NOT(ISBLANK(PastedValue!R2:R74)))/IF(A3:A82="Sf",1,100)</f>
        <v>-3.4999989999999997E-3</v>
      </c>
      <c r="J3" s="83" t="str">
        <f>IF(LEFT(A3,1)="D",_xll.qlDepositRateHelper2(,I3,IF(RIGHT(C3,1)="N","1D",C3),D3,Calendar,F3,G3,H3,,Trigger),IF(A3="Sw",_xll.qlSwapRateHelper2(,I3,D3,C3,Calendar,"Annual",F3,H3,"Euribor6M",0,"0D",,,,,Trigger),IF(A3="Fr",_xll.qlFraRateHelper(,I3,SUBSTITUTE(LEFT(C3,2),"M","")&amp;"M","Euribor6M",,,,Trigger),IF(A3="Sf",_xll.qlFuturesRateHelper(,I3,,C3,"Euribor3M",0,,Trigger),"--"))))</f>
        <v>obj_00012#0006</v>
      </c>
      <c r="K3" s="78" t="b">
        <f t="shared" ref="K3:K17" si="1">IF(ISERROR(J3),FALSE,TRUE)</f>
        <v>1</v>
      </c>
      <c r="M3" s="9" t="str">
        <f t="array" ref="M3:M82">_xll.ohPack(_xll.ohFilter(A3:A82,K3:K82),Trigger)</f>
        <v>Dp</v>
      </c>
      <c r="N3" s="9" t="str">
        <f t="array" ref="N3:N82">_xll.ohPack(_xll.ohFilter(C3:C82,K3:K82),Trigger)</f>
        <v>ON</v>
      </c>
      <c r="O3" s="9" t="str">
        <f t="array" ref="O3:O82">_xll.ohPack(_xll.ohFilter(J3:J82,K3:K82))</f>
        <v>obj_00012#0006</v>
      </c>
      <c r="P3" s="96">
        <f>_xll.qlRateHelperRate(O3,Trigger)</f>
        <v>-3.4999989999999997E-3</v>
      </c>
      <c r="Q3" s="10">
        <f>_xll.qlRateHelperEarliestDate(O3,Trigger)</f>
        <v>42500</v>
      </c>
      <c r="R3" s="10">
        <f>_xll.qlRateHelperPillarDate(O3,Trigger)</f>
        <v>42501</v>
      </c>
      <c r="S3" s="96">
        <v>-3.5486273474694212E-3</v>
      </c>
    </row>
    <row r="4" spans="1:19" ht="11.25" customHeight="1" x14ac:dyDescent="0.2">
      <c r="A4" s="84" t="str">
        <v>Dp</v>
      </c>
      <c r="B4" s="179" t="str">
        <v>T/N</v>
      </c>
      <c r="C4" s="184" t="str">
        <f>IF(A4="Sf",_xll.qlIMMNextCode(B4,Trigger),IF(LEFT(B4,1)="#",_xll.qlCalendarBusinessDaysBetween(Calendar,Settlementdate,DATE(LEFT(SUBSTITUTE(B4,"#",""),4),LEFT(RIGHT(SUBSTITUTE(B4,"#",""),4),2),RIGHT(SUBSTITUTE(B4,"#",""),2)),,,Trigger)-1&amp;"D",SUBSTITUTE(B4,"/","")))</f>
        <v>TN</v>
      </c>
      <c r="D4" s="86">
        <f t="shared" ref="D4:D67" si="2">IF(C4="ON",0,IF(C4="TN",1,2))</f>
        <v>1</v>
      </c>
      <c r="E4" s="86" t="str">
        <f t="shared" ref="E4:E67" si="3">IF(A4="Sw","Annual","--")</f>
        <v>--</v>
      </c>
      <c r="F4" s="85" t="str">
        <f t="shared" si="0"/>
        <v>Following</v>
      </c>
      <c r="G4" s="88" t="str">
        <f t="shared" ref="G4:G67" si="4">IF(OR(RIGHT(C4,1)="N",RIGHT(C4,1)="W"),"FALSE","TRUE")</f>
        <v>FALSE</v>
      </c>
      <c r="H4" s="100" t="str">
        <f t="shared" ref="H4:H67" si="5">IF(A4="Sw","30/360 (Bond Basis)","Actual/360")</f>
        <v>Actual/360</v>
      </c>
      <c r="I4" s="182">
        <v>-3.4999999999999996E-3</v>
      </c>
      <c r="J4" s="91" t="str">
        <f>IF(LEFT(A4,1)="D",_xll.qlDepositRateHelper2(,I4,IF(RIGHT(C4,1)="N","1D",C4),D4,Calendar,F4,G4,H4,,Trigger),IF(A4="Sw",_xll.qlSwapRateHelper2(,I4,D4,C4,Calendar,"Annual",F4,H4,"Euribor6M",0,"0D",,,,,Trigger),IF(A4="Fr",_xll.qlFraRateHelper(,I4,SUBSTITUTE(LEFT(C4,2),"M","")&amp;"M","Euribor6M",,,,Trigger),IF(A4="Sf",_xll.qlFuturesRateHelper(,I4,,C4,"Euribor3M",0,,Trigger),"--"))))</f>
        <v>obj_00010#0005</v>
      </c>
      <c r="K4" s="86" t="b">
        <f t="shared" si="1"/>
        <v>1</v>
      </c>
      <c r="M4" s="9" t="str">
        <v>Dp</v>
      </c>
      <c r="N4" s="9" t="str">
        <v>TN</v>
      </c>
      <c r="O4" s="9" t="str">
        <v>obj_00010#0005</v>
      </c>
      <c r="P4" s="96">
        <f>_xll.qlRateHelperRate(O4,Trigger)</f>
        <v>-3.4999999999999996E-3</v>
      </c>
      <c r="Q4" s="10">
        <f>_xll.qlRateHelperEarliestDate(O4,Trigger)</f>
        <v>42501</v>
      </c>
      <c r="R4" s="10">
        <f>_xll.qlRateHelperPillarDate(O4,Trigger)</f>
        <v>42502</v>
      </c>
      <c r="S4" s="96">
        <v>-3.5486278544222308E-3</v>
      </c>
    </row>
    <row r="5" spans="1:19" ht="11.25" customHeight="1" x14ac:dyDescent="0.2">
      <c r="A5" s="84" t="str">
        <v>Dp</v>
      </c>
      <c r="B5" s="179" t="str">
        <v>S/N</v>
      </c>
      <c r="C5" s="184" t="str">
        <f>IF(A5="Sf",_xll.qlIMMNextCode(B5,Trigger),IF(LEFT(B5,1)="#",_xll.qlCalendarBusinessDaysBetween(Calendar,Settlementdate,DATE(LEFT(SUBSTITUTE(B5,"#",""),4),LEFT(RIGHT(SUBSTITUTE(B5,"#",""),4),2),RIGHT(SUBSTITUTE(B5,"#",""),2)),,,Trigger)-1&amp;"D",SUBSTITUTE(B5,"/","")))</f>
        <v>SN</v>
      </c>
      <c r="D5" s="86">
        <f t="shared" si="2"/>
        <v>2</v>
      </c>
      <c r="E5" s="86" t="str">
        <f t="shared" si="3"/>
        <v>--</v>
      </c>
      <c r="F5" s="85" t="str">
        <f t="shared" si="0"/>
        <v>Following</v>
      </c>
      <c r="G5" s="88" t="str">
        <f t="shared" si="4"/>
        <v>FALSE</v>
      </c>
      <c r="H5" s="100" t="str">
        <f t="shared" si="5"/>
        <v>Actual/360</v>
      </c>
      <c r="I5" s="182">
        <v>-3.4999999999999996E-3</v>
      </c>
      <c r="J5" s="91" t="str">
        <f>IF(LEFT(A5,1)="D",_xll.qlDepositRateHelper2(,I5,IF(RIGHT(C5,1)="N","1D",C5),D5,Calendar,F5,G5,H5,,Trigger),IF(A5="Sw",_xll.qlSwapRateHelper2(,I5,D5,C5,Calendar,"Annual",F5,H5,"Euribor6M",0,"0D",,,,,Trigger),IF(A5="Fr",_xll.qlFraRateHelper(,I5,SUBSTITUTE(LEFT(C5,2),"M","")&amp;"M","Euribor6M",,,,Trigger),IF(A5="Sf",_xll.qlFuturesRateHelper(,I5,,C5,"Euribor3M",0,,Trigger),"--"))))</f>
        <v>obj_0000e#0005</v>
      </c>
      <c r="K5" s="86" t="b">
        <f t="shared" si="1"/>
        <v>1</v>
      </c>
      <c r="M5" s="9" t="str">
        <v>Dp</v>
      </c>
      <c r="N5" s="9" t="str">
        <v>SN</v>
      </c>
      <c r="O5" s="9" t="str">
        <v>obj_0000e#0005</v>
      </c>
      <c r="P5" s="96">
        <f>_xll.qlRateHelperRate(O5,Trigger)</f>
        <v>-3.4999999999999996E-3</v>
      </c>
      <c r="Q5" s="10">
        <f>_xll.qlRateHelperEarliestDate(O5,Trigger)</f>
        <v>42502</v>
      </c>
      <c r="R5" s="10">
        <f>_xll.qlRateHelperPillarDate(O5,Trigger)</f>
        <v>42503</v>
      </c>
      <c r="S5" s="96">
        <v>-3.5486280234106661E-3</v>
      </c>
    </row>
    <row r="6" spans="1:19" ht="11.25" customHeight="1" x14ac:dyDescent="0.2">
      <c r="A6" s="84" t="str">
        <v>Dp</v>
      </c>
      <c r="B6" s="179" t="str">
        <v>1W</v>
      </c>
      <c r="C6" s="184" t="str">
        <f>IF(A6="Sf",_xll.qlIMMNextCode(B6,Trigger),IF(LEFT(B6,1)="#",_xll.qlCalendarBusinessDaysBetween(Calendar,Settlementdate,DATE(LEFT(SUBSTITUTE(B6,"#",""),4),LEFT(RIGHT(SUBSTITUTE(B6,"#",""),4),2),RIGHT(SUBSTITUTE(B6,"#",""),2)),,,Trigger)-1&amp;"D",SUBSTITUTE(B6,"/","")))</f>
        <v>1W</v>
      </c>
      <c r="D6" s="86">
        <f t="shared" si="2"/>
        <v>2</v>
      </c>
      <c r="E6" s="86" t="str">
        <f t="shared" si="3"/>
        <v>--</v>
      </c>
      <c r="F6" s="85" t="str">
        <f t="shared" si="0"/>
        <v>Following</v>
      </c>
      <c r="G6" s="88" t="str">
        <f t="shared" si="4"/>
        <v>FALSE</v>
      </c>
      <c r="H6" s="100" t="str">
        <f t="shared" si="5"/>
        <v>Actual/360</v>
      </c>
      <c r="I6" s="182">
        <v>-3.4999999999999996E-3</v>
      </c>
      <c r="J6" s="91" t="str">
        <f>IF(LEFT(A6,1)="D",_xll.qlDepositRateHelper2(,I6,IF(RIGHT(C6,1)="N","1D",C6),D6,Calendar,F6,G6,H6,,Trigger),IF(A6="Sw",_xll.qlSwapRateHelper2(,I6,D6,C6,Calendar,"Annual",F6,H6,"Euribor6M",0,"0D",,,,,Trigger),IF(A6="Fr",_xll.qlFraRateHelper(,I6,SUBSTITUTE(LEFT(C6,2),"M","")&amp;"M","Euribor6M",,,,Trigger),IF(A6="Sf",_xll.qlFuturesRateHelper(,I6,,C6,"Euribor3M",0,,Trigger),"--"))))</f>
        <v>obj_00015#0005</v>
      </c>
      <c r="K6" s="86" t="b">
        <f t="shared" si="1"/>
        <v>1</v>
      </c>
      <c r="M6" s="9" t="str">
        <v>Dp</v>
      </c>
      <c r="N6" s="9" t="str">
        <v>1W</v>
      </c>
      <c r="O6" s="9" t="str">
        <v>obj_00015#0005</v>
      </c>
      <c r="P6" s="96">
        <f>_xll.qlRateHelperRate(O6,Trigger)</f>
        <v>-3.4999999999999996E-3</v>
      </c>
      <c r="Q6" s="10">
        <f>_xll.qlRateHelperEarliestDate(O6,Trigger)</f>
        <v>42502</v>
      </c>
      <c r="R6" s="10">
        <f>_xll.qlRateHelperPillarDate(O6,Trigger)</f>
        <v>42509</v>
      </c>
      <c r="S6" s="96">
        <v>-3.5487087538197109E-3</v>
      </c>
    </row>
    <row r="7" spans="1:19" ht="11.25" customHeight="1" x14ac:dyDescent="0.2">
      <c r="A7" s="84" t="str">
        <v>Dp</v>
      </c>
      <c r="B7" s="179" t="str">
        <v>2W</v>
      </c>
      <c r="C7" s="184" t="str">
        <f>IF(A7="Sf",_xll.qlIMMNextCode(B7,Trigger),IF(LEFT(B7,1)="#",_xll.qlCalendarBusinessDaysBetween(Calendar,Settlementdate,DATE(LEFT(SUBSTITUTE(B7,"#",""),4),LEFT(RIGHT(SUBSTITUTE(B7,"#",""),4),2),RIGHT(SUBSTITUTE(B7,"#",""),2)),,,Trigger)-1&amp;"D",SUBSTITUTE(B7,"/","")))</f>
        <v>2W</v>
      </c>
      <c r="D7" s="86">
        <f t="shared" si="2"/>
        <v>2</v>
      </c>
      <c r="E7" s="86" t="str">
        <f t="shared" si="3"/>
        <v>--</v>
      </c>
      <c r="F7" s="85" t="str">
        <f t="shared" si="0"/>
        <v>Following</v>
      </c>
      <c r="G7" s="88" t="str">
        <f t="shared" si="4"/>
        <v>FALSE</v>
      </c>
      <c r="H7" s="100" t="str">
        <f t="shared" si="5"/>
        <v>Actual/360</v>
      </c>
      <c r="I7" s="182">
        <v>-3.4999999999999996E-3</v>
      </c>
      <c r="J7" s="91" t="str">
        <f>IF(LEFT(A7,1)="D",_xll.qlDepositRateHelper2(,I7,IF(RIGHT(C7,1)="N","1D",C7),D7,Calendar,F7,G7,H7,,Trigger),IF(A7="Sw",_xll.qlSwapRateHelper2(,I7,D7,C7,Calendar,"Annual",F7,H7,"Euribor6M",0,"0D",,,,,Trigger),IF(A7="Fr",_xll.qlFraRateHelper(,I7,SUBSTITUTE(LEFT(C7,2),"M","")&amp;"M","Euribor6M",,,,Trigger),IF(A7="Sf",_xll.qlFuturesRateHelper(,I7,,C7,"Euribor3M",0,,Trigger),"--"))))</f>
        <v>obj_0000c#0005</v>
      </c>
      <c r="K7" s="86" t="b">
        <f t="shared" si="1"/>
        <v>1</v>
      </c>
      <c r="M7" s="9" t="str">
        <v>Dp</v>
      </c>
      <c r="N7" s="9" t="str">
        <v>2W</v>
      </c>
      <c r="O7" s="9" t="str">
        <v>obj_0000c#0005</v>
      </c>
      <c r="P7" s="96">
        <f>_xll.qlRateHelperRate(O7,Trigger)</f>
        <v>-3.4999999999999996E-3</v>
      </c>
      <c r="Q7" s="10">
        <f>_xll.qlRateHelperEarliestDate(O7,Trigger)</f>
        <v>42502</v>
      </c>
      <c r="R7" s="10">
        <f>_xll.qlRateHelperPillarDate(O7,Trigger)</f>
        <v>42516</v>
      </c>
      <c r="S7" s="96">
        <v>-3.5488245380621715E-3</v>
      </c>
    </row>
    <row r="8" spans="1:19" ht="11.25" customHeight="1" x14ac:dyDescent="0.2">
      <c r="A8" s="84" t="str">
        <v>Dp</v>
      </c>
      <c r="B8" s="179" t="str">
        <v>3W</v>
      </c>
      <c r="C8" s="184" t="str">
        <f>IF(A8="Sf",_xll.qlIMMNextCode(B8,Trigger),IF(LEFT(B8,1)="#",_xll.qlCalendarBusinessDaysBetween(Calendar,Settlementdate,DATE(LEFT(SUBSTITUTE(B8,"#",""),4),LEFT(RIGHT(SUBSTITUTE(B8,"#",""),4),2),RIGHT(SUBSTITUTE(B8,"#",""),2)),,,Trigger)-1&amp;"D",SUBSTITUTE(B8,"/","")))</f>
        <v>3W</v>
      </c>
      <c r="D8" s="86">
        <f t="shared" si="2"/>
        <v>2</v>
      </c>
      <c r="E8" s="86" t="str">
        <f t="shared" si="3"/>
        <v>--</v>
      </c>
      <c r="F8" s="85" t="str">
        <f t="shared" si="0"/>
        <v>Following</v>
      </c>
      <c r="G8" s="88" t="str">
        <f t="shared" si="4"/>
        <v>FALSE</v>
      </c>
      <c r="H8" s="100" t="str">
        <f t="shared" si="5"/>
        <v>Actual/360</v>
      </c>
      <c r="I8" s="182">
        <v>-3.4000000000000002E-3</v>
      </c>
      <c r="J8" s="91" t="str">
        <f>IF(LEFT(A8,1)="D",_xll.qlDepositRateHelper2(,I8,IF(RIGHT(C8,1)="N","1D",C8),D8,Calendar,F8,G8,H8,,Trigger),IF(A8="Sw",_xll.qlSwapRateHelper2(,I8,D8,C8,Calendar,"Annual",F8,H8,"Euribor6M",0,"0D",,,,,Trigger),IF(A8="Fr",_xll.qlFraRateHelper(,I8,SUBSTITUTE(LEFT(C8,2),"M","")&amp;"M","Euribor6M",,,,Trigger),IF(A8="Sf",_xll.qlFuturesRateHelper(,I8,,C8,"Euribor3M",0,,Trigger),"--"))))</f>
        <v>obj_0000b#0005</v>
      </c>
      <c r="K8" s="86" t="b">
        <f t="shared" si="1"/>
        <v>1</v>
      </c>
      <c r="M8" s="9" t="str">
        <v>Dp</v>
      </c>
      <c r="N8" s="9" t="str">
        <v>3W</v>
      </c>
      <c r="O8" s="9" t="str">
        <v>obj_0000b#0005</v>
      </c>
      <c r="P8" s="96">
        <f>_xll.qlRateHelperRate(O8,Trigger)</f>
        <v>-3.4000000000000002E-3</v>
      </c>
      <c r="Q8" s="10">
        <f>_xll.qlRateHelperEarliestDate(O8,Trigger)</f>
        <v>42502</v>
      </c>
      <c r="R8" s="10">
        <f>_xll.qlRateHelperPillarDate(O8,Trigger)</f>
        <v>42523</v>
      </c>
      <c r="S8" s="96">
        <v>-3.4563522681973842E-3</v>
      </c>
    </row>
    <row r="9" spans="1:19" ht="11.25" customHeight="1" x14ac:dyDescent="0.2">
      <c r="A9" s="84" t="str">
        <v>Dp</v>
      </c>
      <c r="B9" s="179" t="str">
        <v>1M</v>
      </c>
      <c r="C9" s="184" t="str">
        <f>IF(A9="Sf",_xll.qlIMMNextCode(B9,Trigger),IF(LEFT(B9,1)="#",_xll.qlCalendarBusinessDaysBetween(Calendar,Settlementdate,DATE(LEFT(SUBSTITUTE(B9,"#",""),4),LEFT(RIGHT(SUBSTITUTE(B9,"#",""),4),2),RIGHT(SUBSTITUTE(B9,"#",""),2)),,,Trigger)-1&amp;"D",SUBSTITUTE(B9,"/","")))</f>
        <v>1M</v>
      </c>
      <c r="D9" s="86">
        <f t="shared" si="2"/>
        <v>2</v>
      </c>
      <c r="E9" s="86" t="str">
        <f t="shared" si="3"/>
        <v>--</v>
      </c>
      <c r="F9" s="85" t="str">
        <f t="shared" si="0"/>
        <v>Modified Following</v>
      </c>
      <c r="G9" s="88" t="str">
        <f t="shared" si="4"/>
        <v>TRUE</v>
      </c>
      <c r="H9" s="100" t="str">
        <f t="shared" si="5"/>
        <v>Actual/360</v>
      </c>
      <c r="I9" s="182">
        <v>-3.4000000000000002E-3</v>
      </c>
      <c r="J9" s="91" t="str">
        <f>IF(LEFT(A9,1)="D",_xll.qlDepositRateHelper2(,I9,IF(RIGHT(C9,1)="N","1D",C9),D9,Calendar,F9,G9,H9,,Trigger),IF(A9="Sw",_xll.qlSwapRateHelper2(,I9,D9,C9,Calendar,"Annual",F9,H9,"Euribor6M",0,"0D",,,,,Trigger),IF(A9="Fr",_xll.qlFraRateHelper(,I9,SUBSTITUTE(LEFT(C9,2),"M","")&amp;"M","Euribor6M",,,,Trigger),IF(A9="Sf",_xll.qlFuturesRateHelper(,I9,,C9,"Euribor3M",0,,Trigger),"--"))))</f>
        <v>obj_00007#0005</v>
      </c>
      <c r="K9" s="86" t="b">
        <f t="shared" si="1"/>
        <v>1</v>
      </c>
      <c r="M9" s="9" t="str">
        <v>Dp</v>
      </c>
      <c r="N9" s="9" t="str">
        <v>1M</v>
      </c>
      <c r="O9" s="9" t="str">
        <v>obj_00007#0005</v>
      </c>
      <c r="P9" s="96">
        <f>_xll.qlRateHelperRate(O9,Trigger)</f>
        <v>-3.4000000000000002E-3</v>
      </c>
      <c r="Q9" s="10">
        <f>_xll.qlRateHelperEarliestDate(O9,Trigger)</f>
        <v>42502</v>
      </c>
      <c r="R9" s="10">
        <f>_xll.qlRateHelperPillarDate(O9,Trigger)</f>
        <v>42534</v>
      </c>
      <c r="S9" s="96">
        <v>-3.4536776298182302E-3</v>
      </c>
    </row>
    <row r="10" spans="1:19" ht="11.25" customHeight="1" x14ac:dyDescent="0.2">
      <c r="A10" s="84" t="str">
        <v>Dp</v>
      </c>
      <c r="B10" s="179" t="str">
        <v>2M</v>
      </c>
      <c r="C10" s="184" t="str">
        <f>IF(A10="Sf",_xll.qlIMMNextCode(B10,Trigger),IF(LEFT(B10,1)="#",_xll.qlCalendarBusinessDaysBetween(Calendar,Settlementdate,DATE(LEFT(SUBSTITUTE(B10,"#",""),4),LEFT(RIGHT(SUBSTITUTE(B10,"#",""),4),2),RIGHT(SUBSTITUTE(B10,"#",""),2)),,,Trigger)-1&amp;"D",SUBSTITUTE(B10,"/","")))</f>
        <v>2M</v>
      </c>
      <c r="D10" s="86">
        <f t="shared" si="2"/>
        <v>2</v>
      </c>
      <c r="E10" s="86" t="str">
        <f t="shared" si="3"/>
        <v>--</v>
      </c>
      <c r="F10" s="85" t="str">
        <f t="shared" si="0"/>
        <v>Modified Following</v>
      </c>
      <c r="G10" s="88" t="str">
        <f t="shared" si="4"/>
        <v>TRUE</v>
      </c>
      <c r="H10" s="100" t="str">
        <f t="shared" si="5"/>
        <v>Actual/360</v>
      </c>
      <c r="I10" s="182">
        <v>-2.8999999999999998E-3</v>
      </c>
      <c r="J10" s="91" t="str">
        <f>IF(LEFT(A10,1)="D",_xll.qlDepositRateHelper2(,I10,IF(RIGHT(C10,1)="N","1D",C10),D10,Calendar,F10,G10,H10,,Trigger),IF(A10="Sw",_xll.qlSwapRateHelper2(,I10,D10,C10,Calendar,"Annual",F10,H10,"Euribor6M",0,"0D",,,,,Trigger),IF(A10="Fr",_xll.qlFraRateHelper(,I10,SUBSTITUTE(LEFT(C10,2),"M","")&amp;"M","Euribor6M",,,,Trigger),IF(A10="Sf",_xll.qlFuturesRateHelper(,I10,,C10,"Euribor3M",0,,Trigger),"--"))))</f>
        <v>obj_0001f#0005</v>
      </c>
      <c r="K10" s="86" t="b">
        <f t="shared" si="1"/>
        <v>1</v>
      </c>
      <c r="M10" s="9" t="str">
        <v>Dp</v>
      </c>
      <c r="N10" s="9" t="str">
        <v>2M</v>
      </c>
      <c r="O10" s="9" t="str">
        <v>obj_0001f#0005</v>
      </c>
      <c r="P10" s="96">
        <f>_xll.qlRateHelperRate(O10,Trigger)</f>
        <v>-2.8999999999999998E-3</v>
      </c>
      <c r="Q10" s="10">
        <f>_xll.qlRateHelperEarliestDate(O10,Trigger)</f>
        <v>42502</v>
      </c>
      <c r="R10" s="10">
        <f>_xll.qlRateHelperPillarDate(O10,Trigger)</f>
        <v>42563</v>
      </c>
      <c r="S10" s="96">
        <v>-2.960290184119317E-3</v>
      </c>
    </row>
    <row r="11" spans="1:19" ht="11.25" customHeight="1" x14ac:dyDescent="0.2">
      <c r="A11" s="84" t="str">
        <v>Dp</v>
      </c>
      <c r="B11" s="179" t="str">
        <v>3M</v>
      </c>
      <c r="C11" s="184" t="str">
        <f>IF(A11="Sf",_xll.qlIMMNextCode(B11,Trigger),IF(LEFT(B11,1)="#",_xll.qlCalendarBusinessDaysBetween(Calendar,Settlementdate,DATE(LEFT(SUBSTITUTE(B11,"#",""),4),LEFT(RIGHT(SUBSTITUTE(B11,"#",""),4),2),RIGHT(SUBSTITUTE(B11,"#",""),2)),,,Trigger)-1&amp;"D",SUBSTITUTE(B11,"/","")))</f>
        <v>3M</v>
      </c>
      <c r="D11" s="86">
        <f t="shared" si="2"/>
        <v>2</v>
      </c>
      <c r="E11" s="86" t="str">
        <f t="shared" si="3"/>
        <v>--</v>
      </c>
      <c r="F11" s="85" t="str">
        <f t="shared" si="0"/>
        <v>Modified Following</v>
      </c>
      <c r="G11" s="88" t="str">
        <f t="shared" si="4"/>
        <v>TRUE</v>
      </c>
      <c r="H11" s="100" t="str">
        <f t="shared" si="5"/>
        <v>Actual/360</v>
      </c>
      <c r="I11" s="182">
        <v>-2.5000000000000001E-3</v>
      </c>
      <c r="J11" s="91" t="str">
        <f>IF(LEFT(A11,1)="D",_xll.qlDepositRateHelper2(,I11,IF(RIGHT(C11,1)="N","1D",C11),D11,Calendar,F11,G11,H11,,Trigger),IF(A11="Sw",_xll.qlSwapRateHelper2(,I11,D11,C11,Calendar,"Annual",F11,H11,"Euribor6M",0,"0D",,,,,Trigger),IF(A11="Fr",_xll.qlFraRateHelper(,I11,SUBSTITUTE(LEFT(C11,2),"M","")&amp;"M","Euribor6M",,,,Trigger),IF(A11="Sf",_xll.qlFuturesRateHelper(,I11,,C11,"Euribor3M",0,,Trigger),"--"))))</f>
        <v>obj_0001a#0005</v>
      </c>
      <c r="K11" s="86" t="b">
        <f t="shared" si="1"/>
        <v>1</v>
      </c>
      <c r="M11" s="9" t="str">
        <v>Dp</v>
      </c>
      <c r="N11" s="9" t="str">
        <v>3M</v>
      </c>
      <c r="O11" s="9" t="str">
        <v>obj_0001a#0005</v>
      </c>
      <c r="P11" s="96">
        <f>_xll.qlRateHelperRate(O11,Trigger)</f>
        <v>-2.5000000000000001E-3</v>
      </c>
      <c r="Q11" s="10">
        <f>_xll.qlRateHelperEarliestDate(O11,Trigger)</f>
        <v>42502</v>
      </c>
      <c r="R11" s="10">
        <f>_xll.qlRateHelperPillarDate(O11,Trigger)</f>
        <v>42594</v>
      </c>
      <c r="S11" s="96">
        <v>-2.5570874953892947E-3</v>
      </c>
    </row>
    <row r="12" spans="1:19" ht="11.25" customHeight="1" x14ac:dyDescent="0.2">
      <c r="A12" s="84" t="str">
        <v>Dp</v>
      </c>
      <c r="B12" s="179" t="str">
        <v>4M</v>
      </c>
      <c r="C12" s="184" t="str">
        <f>IF(A12="Sf",_xll.qlIMMNextCode(B12,Trigger),IF(LEFT(B12,1)="#",_xll.qlCalendarBusinessDaysBetween(Calendar,Settlementdate,DATE(LEFT(SUBSTITUTE(B12,"#",""),4),LEFT(RIGHT(SUBSTITUTE(B12,"#",""),4),2),RIGHT(SUBSTITUTE(B12,"#",""),2)),,,Trigger)-1&amp;"D",SUBSTITUTE(B12,"/","")))</f>
        <v>4M</v>
      </c>
      <c r="D12" s="86">
        <f t="shared" si="2"/>
        <v>2</v>
      </c>
      <c r="E12" s="86" t="str">
        <f t="shared" si="3"/>
        <v>--</v>
      </c>
      <c r="F12" s="85" t="str">
        <f t="shared" si="0"/>
        <v>Modified Following</v>
      </c>
      <c r="G12" s="88" t="str">
        <f t="shared" si="4"/>
        <v>TRUE</v>
      </c>
      <c r="H12" s="100" t="str">
        <f t="shared" si="5"/>
        <v>Actual/360</v>
      </c>
      <c r="I12" s="182">
        <v>-2.0999999999999999E-3</v>
      </c>
      <c r="J12" s="91" t="str">
        <f>IF(LEFT(A12,1)="D",_xll.qlDepositRateHelper2(,I12,IF(RIGHT(C12,1)="N","1D",C12),D12,Calendar,F12,G12,H12,,Trigger),IF(A12="Sw",_xll.qlSwapRateHelper2(,I12,D12,C12,Calendar,"Annual",F12,H12,"Euribor6M",0,"0D",,,,,Trigger),IF(A12="Fr",_xll.qlFraRateHelper(,I12,SUBSTITUTE(LEFT(C12,2),"M","")&amp;"M","Euribor6M",,,,Trigger),IF(A12="Sf",_xll.qlFuturesRateHelper(,I12,,C12,"Euribor3M",0,,Trigger),"--"))))</f>
        <v>obj_0001c#0005</v>
      </c>
      <c r="K12" s="86" t="b">
        <f t="shared" si="1"/>
        <v>1</v>
      </c>
      <c r="M12" s="9" t="str">
        <v>Dp</v>
      </c>
      <c r="N12" s="9" t="str">
        <v>4M</v>
      </c>
      <c r="O12" s="9" t="str">
        <v>obj_0001c#0005</v>
      </c>
      <c r="P12" s="96">
        <f>_xll.qlRateHelperRate(O12,Trigger)</f>
        <v>-2.0999999999999999E-3</v>
      </c>
      <c r="Q12" s="10">
        <f>_xll.qlRateHelperEarliestDate(O12,Trigger)</f>
        <v>42502</v>
      </c>
      <c r="R12" s="10">
        <f>_xll.qlRateHelperPillarDate(O12,Trigger)</f>
        <v>42625</v>
      </c>
      <c r="S12" s="96">
        <v>-2.1526300225033386E-3</v>
      </c>
    </row>
    <row r="13" spans="1:19" ht="11.25" customHeight="1" x14ac:dyDescent="0.2">
      <c r="A13" s="84" t="str">
        <v>Dp</v>
      </c>
      <c r="B13" s="179" t="str">
        <v>5M</v>
      </c>
      <c r="C13" s="184" t="str">
        <f>IF(A13="Sf",_xll.qlIMMNextCode(B13,Trigger),IF(LEFT(B13,1)="#",_xll.qlCalendarBusinessDaysBetween(Calendar,Settlementdate,DATE(LEFT(SUBSTITUTE(B13,"#",""),4),LEFT(RIGHT(SUBSTITUTE(B13,"#",""),4),2),RIGHT(SUBSTITUTE(B13,"#",""),2)),,,Trigger)-1&amp;"D",SUBSTITUTE(B13,"/","")))</f>
        <v>5M</v>
      </c>
      <c r="D13" s="86">
        <f t="shared" si="2"/>
        <v>2</v>
      </c>
      <c r="E13" s="86" t="str">
        <f t="shared" si="3"/>
        <v>--</v>
      </c>
      <c r="F13" s="85" t="str">
        <f t="shared" si="0"/>
        <v>Modified Following</v>
      </c>
      <c r="G13" s="88" t="str">
        <f t="shared" si="4"/>
        <v>TRUE</v>
      </c>
      <c r="H13" s="100" t="str">
        <f t="shared" si="5"/>
        <v>Actual/360</v>
      </c>
      <c r="I13" s="182">
        <v>-1.7000000000000001E-3</v>
      </c>
      <c r="J13" s="91" t="str">
        <f>IF(LEFT(A13,1)="D",_xll.qlDepositRateHelper2(,I13,IF(RIGHT(C13,1)="N","1D",C13),D13,Calendar,F13,G13,H13,,Trigger),IF(A13="Sw",_xll.qlSwapRateHelper2(,I13,D13,C13,Calendar,"Annual",F13,H13,"Euribor6M",0,"0D",,,,,Trigger),IF(A13="Fr",_xll.qlFraRateHelper(,I13,SUBSTITUTE(LEFT(C13,2),"M","")&amp;"M","Euribor6M",,,,Trigger),IF(A13="Sf",_xll.qlFuturesRateHelper(,I13,,C13,"Euribor3M",0,,Trigger),"--"))))</f>
        <v>obj_00013#0006</v>
      </c>
      <c r="K13" s="86" t="b">
        <f t="shared" si="1"/>
        <v>1</v>
      </c>
      <c r="M13" s="9" t="str">
        <v>Dp</v>
      </c>
      <c r="N13" s="9" t="str">
        <v>5M</v>
      </c>
      <c r="O13" s="9" t="str">
        <v>obj_00013#0006</v>
      </c>
      <c r="P13" s="96">
        <f>_xll.qlRateHelperRate(O13,Trigger)</f>
        <v>-1.7000000000000001E-3</v>
      </c>
      <c r="Q13" s="10">
        <f>_xll.qlRateHelperEarliestDate(O13,Trigger)</f>
        <v>42502</v>
      </c>
      <c r="R13" s="10">
        <f>_xll.qlRateHelperPillarDate(O13,Trigger)</f>
        <v>42655</v>
      </c>
      <c r="S13" s="96">
        <v>-1.7477746307152163E-3</v>
      </c>
    </row>
    <row r="14" spans="1:19" ht="11.25" customHeight="1" x14ac:dyDescent="0.2">
      <c r="A14" s="84" t="str">
        <v>Dp</v>
      </c>
      <c r="B14" s="179" t="str">
        <v>6M</v>
      </c>
      <c r="C14" s="184" t="str">
        <f>IF(A14="Sf",_xll.qlIMMNextCode(B14,Trigger),IF(LEFT(B14,1)="#",_xll.qlCalendarBusinessDaysBetween(Calendar,Settlementdate,DATE(LEFT(SUBSTITUTE(B14,"#",""),4),LEFT(RIGHT(SUBSTITUTE(B14,"#",""),4),2),RIGHT(SUBSTITUTE(B14,"#",""),2)),,,Trigger)-1&amp;"D",SUBSTITUTE(B14,"/","")))</f>
        <v>6M</v>
      </c>
      <c r="D14" s="86">
        <f t="shared" si="2"/>
        <v>2</v>
      </c>
      <c r="E14" s="86" t="str">
        <f t="shared" si="3"/>
        <v>--</v>
      </c>
      <c r="F14" s="85" t="str">
        <f t="shared" si="0"/>
        <v>Modified Following</v>
      </c>
      <c r="G14" s="88" t="str">
        <f t="shared" si="4"/>
        <v>TRUE</v>
      </c>
      <c r="H14" s="100" t="str">
        <f t="shared" si="5"/>
        <v>Actual/360</v>
      </c>
      <c r="I14" s="182">
        <v>-1.4000000000000002E-3</v>
      </c>
      <c r="J14" s="91" t="str">
        <f>IF(LEFT(A14,1)="D",_xll.qlDepositRateHelper2(,I14,IF(RIGHT(C14,1)="N","1D",C14),D14,Calendar,F14,G14,H14,,Trigger),IF(A14="Sw",_xll.qlSwapRateHelper2(,I14,D14,C14,Calendar,"Annual",F14,H14,"Euribor6M",0,"0D",,,,,Trigger),IF(A14="Fr",_xll.qlFraRateHelper(,I14,SUBSTITUTE(LEFT(C14,2),"M","")&amp;"M","Euribor6M",,,,Trigger),IF(A14="Sf",_xll.qlFuturesRateHelper(,I14,,C14,"Euribor3M",0,,Trigger),"--"))))</f>
        <v>obj_00011#0005</v>
      </c>
      <c r="K14" s="86" t="b">
        <f t="shared" si="1"/>
        <v>1</v>
      </c>
      <c r="M14" s="9" t="str">
        <v>Dp</v>
      </c>
      <c r="N14" s="9" t="str">
        <v>6M</v>
      </c>
      <c r="O14" s="9" t="str">
        <v>obj_00011#0005</v>
      </c>
      <c r="P14" s="96">
        <f>_xll.qlRateHelperRate(O14,Trigger)</f>
        <v>-1.4000000000000002E-3</v>
      </c>
      <c r="Q14" s="10">
        <f>_xll.qlRateHelperEarliestDate(O14,Trigger)</f>
        <v>42502</v>
      </c>
      <c r="R14" s="10">
        <f>_xll.qlRateHelperPillarDate(O14,Trigger)</f>
        <v>42688</v>
      </c>
      <c r="S14" s="96">
        <v>-1.4426034812435298E-3</v>
      </c>
    </row>
    <row r="15" spans="1:19" ht="11.25" customHeight="1" x14ac:dyDescent="0.2">
      <c r="A15" s="84" t="str">
        <v>Dp</v>
      </c>
      <c r="B15" s="179" t="str">
        <v>7M</v>
      </c>
      <c r="C15" s="184" t="str">
        <f>IF(A15="Sf",_xll.qlIMMNextCode(B15,Trigger),IF(LEFT(B15,1)="#",_xll.qlCalendarBusinessDaysBetween(Calendar,Settlementdate,DATE(LEFT(SUBSTITUTE(B15,"#",""),4),LEFT(RIGHT(SUBSTITUTE(B15,"#",""),4),2),RIGHT(SUBSTITUTE(B15,"#",""),2)),,,Trigger)-1&amp;"D",SUBSTITUTE(B15,"/","")))</f>
        <v>7M</v>
      </c>
      <c r="D15" s="86">
        <f t="shared" si="2"/>
        <v>2</v>
      </c>
      <c r="E15" s="86" t="str">
        <f t="shared" si="3"/>
        <v>--</v>
      </c>
      <c r="F15" s="85" t="str">
        <f t="shared" si="0"/>
        <v>Modified Following</v>
      </c>
      <c r="G15" s="88" t="str">
        <f t="shared" si="4"/>
        <v>TRUE</v>
      </c>
      <c r="H15" s="100" t="str">
        <f t="shared" si="5"/>
        <v>Actual/360</v>
      </c>
      <c r="I15" s="182">
        <v>-1.1999999999999999E-3</v>
      </c>
      <c r="J15" s="91" t="str">
        <f>IF(LEFT(A15,1)="D",_xll.qlDepositRateHelper2(,I15,IF(RIGHT(C15,1)="N","1D",C15),D15,Calendar,F15,G15,H15,,Trigger),IF(A15="Sw",_xll.qlSwapRateHelper2(,I15,D15,C15,Calendar,"Annual",F15,H15,"Euribor6M",0,"0D",,,,,Trigger),IF(A15="Fr",_xll.qlFraRateHelper(,I15,SUBSTITUTE(LEFT(C15,2),"M","")&amp;"M","Euribor6M",,,,Trigger),IF(A15="Sf",_xll.qlFuturesRateHelper(,I15,,C15,"Euribor3M",0,,Trigger),"--"))))</f>
        <v>obj_00016#0005</v>
      </c>
      <c r="K15" s="86" t="b">
        <f t="shared" si="1"/>
        <v>1</v>
      </c>
      <c r="M15" s="9" t="str">
        <v>Dp</v>
      </c>
      <c r="N15" s="9" t="str">
        <v>7M</v>
      </c>
      <c r="O15" s="9" t="str">
        <v>obj_00016#0005</v>
      </c>
      <c r="P15" s="96">
        <f>_xll.qlRateHelperRate(O15,Trigger)</f>
        <v>-1.1999999999999999E-3</v>
      </c>
      <c r="Q15" s="10">
        <f>_xll.qlRateHelperEarliestDate(O15,Trigger)</f>
        <v>42502</v>
      </c>
      <c r="R15" s="10">
        <f>_xll.qlRateHelperPillarDate(O15,Trigger)</f>
        <v>42716</v>
      </c>
      <c r="S15" s="96">
        <v>-1.2386890308905198E-3</v>
      </c>
    </row>
    <row r="16" spans="1:19" ht="11.25" customHeight="1" x14ac:dyDescent="0.2">
      <c r="A16" s="84" t="str">
        <v>Dp</v>
      </c>
      <c r="B16" s="179" t="str">
        <v>#20161221</v>
      </c>
      <c r="C16" s="184" t="str">
        <f>IF(A16="Sf",_xll.qlIMMNextCode(B16,Trigger),IF(LEFT(B16,1)="#",_xll.qlCalendarBusinessDaysBetween(Calendar,Settlementdate,DATE(LEFT(SUBSTITUTE(B16,"#",""),4),LEFT(RIGHT(SUBSTITUTE(B16,"#",""),4),2),RIGHT(SUBSTITUTE(B16,"#",""),2)),,,Trigger)-1&amp;"D",SUBSTITUTE(B16,"/","")))</f>
        <v>159D</v>
      </c>
      <c r="D16" s="86">
        <f t="shared" si="2"/>
        <v>2</v>
      </c>
      <c r="E16" s="86" t="str">
        <f t="shared" si="3"/>
        <v>--</v>
      </c>
      <c r="F16" s="85" t="str">
        <f t="shared" si="0"/>
        <v>Modified Following</v>
      </c>
      <c r="G16" s="88" t="str">
        <f t="shared" si="4"/>
        <v>TRUE</v>
      </c>
      <c r="H16" s="100" t="str">
        <f t="shared" si="5"/>
        <v>Actual/360</v>
      </c>
      <c r="I16" s="182">
        <v>-1.1100000000000001E-3</v>
      </c>
      <c r="J16" s="91" t="str">
        <f>IF(LEFT(A16,1)="D",_xll.qlDepositRateHelper2(,I16,IF(RIGHT(C16,1)="N","1D",C16),D16,Calendar,F16,G16,H16,,Trigger),IF(A16="Sw",_xll.qlSwapRateHelper2(,I16,D16,C16,Calendar,"Annual",F16,H16,"Euribor6M",0,"0D",,,,,Trigger),IF(A16="Fr",_xll.qlFraRateHelper(,I16,SUBSTITUTE(LEFT(C16,2),"M","")&amp;"M","Euribor6M",,,,Trigger),IF(A16="Sf",_xll.qlFuturesRateHelper(,I16,,C16,"Euribor3M",0,,Trigger),"--"))))</f>
        <v>obj_0003e#0005</v>
      </c>
      <c r="K16" s="86" t="b">
        <f t="shared" si="1"/>
        <v>1</v>
      </c>
      <c r="M16" s="9" t="str">
        <v>Dp</v>
      </c>
      <c r="N16" s="9" t="str">
        <v>159D</v>
      </c>
      <c r="O16" s="9" t="str">
        <v>obj_0003e#0005</v>
      </c>
      <c r="P16" s="96">
        <f>_xll.qlRateHelperRate(O16,Trigger)</f>
        <v>-1.1100000000000001E-3</v>
      </c>
      <c r="Q16" s="10">
        <f>_xll.qlRateHelperEarliestDate(O16,Trigger)</f>
        <v>42502</v>
      </c>
      <c r="R16" s="10">
        <f>_xll.qlRateHelperPillarDate(O16,Trigger)</f>
        <v>42725</v>
      </c>
      <c r="S16" s="96">
        <v>-1.1473399672193186E-3</v>
      </c>
    </row>
    <row r="17" spans="1:19" ht="11.25" customHeight="1" x14ac:dyDescent="0.2">
      <c r="A17" s="84" t="str">
        <v>Sf</v>
      </c>
      <c r="B17" s="91">
        <v>42705</v>
      </c>
      <c r="C17" s="184" t="str">
        <f>IF(A17="Sf",_xll.qlIMMNextCode(B17,Trigger),IF(LEFT(B17,1)="#",_xll.qlCalendarBusinessDaysBetween(Calendar,Settlementdate,DATE(LEFT(SUBSTITUTE(B17,"#",""),4),LEFT(RIGHT(SUBSTITUTE(B17,"#",""),4),2),RIGHT(SUBSTITUTE(B17,"#",""),2)),,,Trigger)-1&amp;"D",SUBSTITUTE(B17,"/","")))</f>
        <v>Z6</v>
      </c>
      <c r="D17" s="86">
        <f t="shared" si="2"/>
        <v>2</v>
      </c>
      <c r="E17" s="86" t="str">
        <f t="shared" si="3"/>
        <v>--</v>
      </c>
      <c r="F17" s="85" t="str">
        <f t="shared" si="0"/>
        <v>Modified Following</v>
      </c>
      <c r="G17" s="88" t="str">
        <f t="shared" si="4"/>
        <v>TRUE</v>
      </c>
      <c r="H17" s="100" t="str">
        <f t="shared" si="5"/>
        <v>Actual/360</v>
      </c>
      <c r="I17" s="185">
        <v>100.29225</v>
      </c>
      <c r="J17" s="91" t="str">
        <f>IF(LEFT(A17,1)="D",_xll.qlDepositRateHelper2(,I17,IF(RIGHT(C17,1)="N","1D",C17),D17,Calendar,F17,G17,H17,,Trigger),IF(A17="Sw",_xll.qlSwapRateHelper2(,I17,D17,C17,Calendar,"Annual",F17,H17,"Euribor6M",0,"0D",,,,,Trigger),IF(A17="Fr",_xll.qlFraRateHelper(,I17,SUBSTITUTE(LEFT(C17,2),"M","")&amp;"M","Euribor6M",,,,Trigger),IF(A17="Sf",_xll.qlFuturesRateHelper(,I17,,C17,"Euribor3M",0,,Trigger),"--"))))</f>
        <v>obj_00087#0004</v>
      </c>
      <c r="K17" s="86" t="b">
        <f t="shared" si="1"/>
        <v>1</v>
      </c>
      <c r="M17" s="9" t="str">
        <v>Sf</v>
      </c>
      <c r="N17" s="9" t="str">
        <v>Z6</v>
      </c>
      <c r="O17" s="9" t="str">
        <v>obj_00087#0004</v>
      </c>
      <c r="P17" s="96">
        <f>_xll.qlRateHelperRate(O17,Trigger)</f>
        <v>-2.922499999999939E-3</v>
      </c>
      <c r="Q17" s="10">
        <f>_xll.qlRateHelperEarliestDate(O17,Trigger)</f>
        <v>42725</v>
      </c>
      <c r="R17" s="10">
        <f>_xll.qlRateHelperPillarDate(O17,Trigger)</f>
        <v>42815</v>
      </c>
      <c r="S17" s="96">
        <v>-1.666435193510723E-3</v>
      </c>
    </row>
    <row r="18" spans="1:19" ht="11.25" customHeight="1" x14ac:dyDescent="0.2">
      <c r="A18" s="84" t="str">
        <v>Sf</v>
      </c>
      <c r="B18" s="91">
        <v>42795</v>
      </c>
      <c r="C18" s="184" t="str">
        <f>IF(A18="Sf",_xll.qlIMMNextCode(B18,Trigger),IF(LEFT(B18,1)="#",_xll.qlCalendarBusinessDaysBetween(Calendar,Settlementdate,DATE(LEFT(SUBSTITUTE(B18,"#",""),4),LEFT(RIGHT(SUBSTITUTE(B18,"#",""),4),2),RIGHT(SUBSTITUTE(B18,"#",""),2)),,,Trigger)-1&amp;"D",SUBSTITUTE(B18,"/","")))</f>
        <v>H7</v>
      </c>
      <c r="D18" s="86">
        <f t="shared" si="2"/>
        <v>2</v>
      </c>
      <c r="E18" s="86" t="str">
        <f t="shared" si="3"/>
        <v>--</v>
      </c>
      <c r="F18" s="85" t="str">
        <f t="shared" si="0"/>
        <v>Modified Following</v>
      </c>
      <c r="G18" s="88" t="str">
        <f t="shared" si="4"/>
        <v>TRUE</v>
      </c>
      <c r="H18" s="100" t="str">
        <f t="shared" si="5"/>
        <v>Actual/360</v>
      </c>
      <c r="I18" s="185">
        <v>100.30225</v>
      </c>
      <c r="J18" s="91" t="str">
        <f>IF(LEFT(A18,1)="D",_xll.qlDepositRateHelper2(,I18,IF(RIGHT(C18,1)="N","1D",C18),D18,Calendar,F18,G18,H18,,Trigger),IF(A18="Sw",_xll.qlSwapRateHelper2(,I18,D18,C18,Calendar,"Annual",F18,H18,"Euribor6M",0,"0D",,,,,Trigger),IF(A18="Fr",_xll.qlFraRateHelper(,I18,SUBSTITUTE(LEFT(C18,2),"M","")&amp;"M","Euribor6M",,,,Trigger),IF(A18="Sf",_xll.qlFuturesRateHelper(,I18,,C18,"Euribor3M",0,,Trigger),"--"))))</f>
        <v>obj_0008b#0004</v>
      </c>
      <c r="K18" s="86" t="b">
        <f>IF(ISERROR(J18),FALSE,TRUE)</f>
        <v>1</v>
      </c>
      <c r="M18" s="9" t="str">
        <v>Sf</v>
      </c>
      <c r="N18" s="9" t="str">
        <v>H7</v>
      </c>
      <c r="O18" s="9" t="str">
        <v>obj_0008b#0004</v>
      </c>
      <c r="P18" s="96">
        <f>_xll.qlRateHelperRate(O18,Trigger)</f>
        <v>-3.022499999999928E-3</v>
      </c>
      <c r="Q18" s="10">
        <f>_xll.qlRateHelperEarliestDate(O18,Trigger)</f>
        <v>42809</v>
      </c>
      <c r="R18" s="10">
        <f>_xll.qlRateHelperPillarDate(O18,Trigger)</f>
        <v>42901</v>
      </c>
      <c r="S18" s="96">
        <v>-1.9649052651709549E-3</v>
      </c>
    </row>
    <row r="19" spans="1:19" ht="11.25" customHeight="1" x14ac:dyDescent="0.2">
      <c r="A19" s="91" t="str">
        <v>Sf</v>
      </c>
      <c r="B19" s="91">
        <v>42887</v>
      </c>
      <c r="C19" s="91" t="str">
        <f>IF(A19="Sf",_xll.qlIMMNextCode(B19,Trigger),IF(LEFT(B19,1)="#",_xll.qlCalendarBusinessDaysBetween(Calendar,Settlementdate,DATE(LEFT(SUBSTITUTE(B19,"#",""),4),LEFT(RIGHT(SUBSTITUTE(B19,"#",""),4),2),RIGHT(SUBSTITUTE(B19,"#",""),2)),,,Trigger)-1&amp;"D",SUBSTITUTE(B19,"/","")))</f>
        <v>M7</v>
      </c>
      <c r="D19" s="101">
        <f t="shared" si="2"/>
        <v>2</v>
      </c>
      <c r="E19" s="101" t="str">
        <f t="shared" si="3"/>
        <v>--</v>
      </c>
      <c r="F19" s="97" t="str">
        <f t="shared" si="0"/>
        <v>Modified Following</v>
      </c>
      <c r="G19" s="100" t="str">
        <f t="shared" si="4"/>
        <v>TRUE</v>
      </c>
      <c r="H19" s="97" t="str">
        <f t="shared" si="5"/>
        <v>Actual/360</v>
      </c>
      <c r="I19" s="185">
        <v>100.30725</v>
      </c>
      <c r="J19" s="89" t="str">
        <f>IF(LEFT(A19,1)="D",_xll.qlDepositRateHelper2(,I19,IF(RIGHT(C19,1)="N","1D",C19),D19,Calendar,F19,G19,H19,,Trigger),IF(A19="Sw",_xll.qlSwapRateHelper2(,I19,D19,C19,Calendar,"Annual",F19,H19,"Euribor6M",0,"0D",,,,,Trigger),IF(A19="Fr",_xll.qlFraRateHelper(,I19,SUBSTITUTE(LEFT(C19,2),"M","")&amp;"M","Euribor6M",,,,Trigger),IF(A19="Sf",_xll.qlFuturesRateHelper(,I19,,C19,"Euribor3M",0,,Trigger),"--"))))</f>
        <v>obj_00088#0004</v>
      </c>
      <c r="K19" s="98" t="b">
        <f t="shared" ref="K19:K82" si="6">IF(ISERROR(J19),FALSE,TRUE)</f>
        <v>1</v>
      </c>
      <c r="M19" s="9" t="str">
        <v>Sf</v>
      </c>
      <c r="N19" s="9" t="str">
        <v>M7</v>
      </c>
      <c r="O19" s="9" t="str">
        <v>obj_00088#0004</v>
      </c>
      <c r="P19" s="96">
        <f>_xll.qlRateHelperRate(O19,Trigger)</f>
        <v>-3.0725000000000335E-3</v>
      </c>
      <c r="Q19" s="10">
        <f>_xll.qlRateHelperEarliestDate(O19,Trigger)</f>
        <v>42907</v>
      </c>
      <c r="R19" s="10">
        <f>_xll.qlRateHelperPillarDate(O19,Trigger)</f>
        <v>42999</v>
      </c>
      <c r="S19" s="96">
        <v>-2.1905875901071085E-3</v>
      </c>
    </row>
    <row r="20" spans="1:19" ht="11.25" customHeight="1" x14ac:dyDescent="0.2">
      <c r="A20" s="91" t="str">
        <v>Sf</v>
      </c>
      <c r="B20" s="91">
        <v>42979</v>
      </c>
      <c r="C20" s="91" t="str">
        <f>IF(A20="Sf",_xll.qlIMMNextCode(B20,Trigger),IF(LEFT(B20,1)="#",_xll.qlCalendarBusinessDaysBetween(Calendar,Settlementdate,DATE(LEFT(SUBSTITUTE(B20,"#",""),4),LEFT(RIGHT(SUBSTITUTE(B20,"#",""),4),2),RIGHT(SUBSTITUTE(B20,"#",""),2)),,,Trigger)-1&amp;"D",SUBSTITUTE(B20,"/","")))</f>
        <v>U7</v>
      </c>
      <c r="D20" s="101">
        <f t="shared" si="2"/>
        <v>2</v>
      </c>
      <c r="E20" s="101" t="str">
        <f t="shared" si="3"/>
        <v>--</v>
      </c>
      <c r="F20" s="97" t="str">
        <f t="shared" si="0"/>
        <v>Modified Following</v>
      </c>
      <c r="G20" s="100" t="str">
        <f t="shared" si="4"/>
        <v>TRUE</v>
      </c>
      <c r="H20" s="97" t="str">
        <f t="shared" si="5"/>
        <v>Actual/360</v>
      </c>
      <c r="I20" s="185">
        <v>100.3125</v>
      </c>
      <c r="J20" s="89" t="str">
        <f>IF(LEFT(A20,1)="D",_xll.qlDepositRateHelper2(,I20,IF(RIGHT(C20,1)="N","1D",C20),D20,Calendar,F20,G20,H20,,Trigger),IF(A20="Sw",_xll.qlSwapRateHelper2(,I20,D20,C20,Calendar,"Annual",F20,H20,"Euribor6M",0,"0D",,,,,Trigger),IF(A20="Fr",_xll.qlFraRateHelper(,I20,SUBSTITUTE(LEFT(C20,2),"M","")&amp;"M","Euribor6M",,,,Trigger),IF(A20="Sf",_xll.qlFuturesRateHelper(,I20,,C20,"Euribor3M",0,,Trigger),"--"))))</f>
        <v>obj_00091#0004</v>
      </c>
      <c r="K20" s="98" t="b">
        <f t="shared" si="6"/>
        <v>1</v>
      </c>
      <c r="M20" s="9" t="str">
        <v>Sf</v>
      </c>
      <c r="N20" s="9" t="str">
        <v>U7</v>
      </c>
      <c r="O20" s="9" t="str">
        <v>obj_00091#0004</v>
      </c>
      <c r="P20" s="96">
        <f>_xll.qlRateHelperRate(O20,Trigger)</f>
        <v>-3.1250000000000444E-3</v>
      </c>
      <c r="Q20" s="10">
        <f>_xll.qlRateHelperEarliestDate(O20,Trigger)</f>
        <v>42998</v>
      </c>
      <c r="R20" s="10">
        <f>_xll.qlRateHelperPillarDate(O20,Trigger)</f>
        <v>43089</v>
      </c>
      <c r="S20" s="96">
        <v>-2.3402175646704531E-3</v>
      </c>
    </row>
    <row r="21" spans="1:19" ht="11.25" customHeight="1" x14ac:dyDescent="0.2">
      <c r="A21" s="91" t="str">
        <v>Sf</v>
      </c>
      <c r="B21" s="91">
        <v>43070</v>
      </c>
      <c r="C21" s="91" t="str">
        <f>IF(A21="Sf",_xll.qlIMMNextCode(B21,Trigger),IF(LEFT(B21,1)="#",_xll.qlCalendarBusinessDaysBetween(Calendar,Settlementdate,DATE(LEFT(SUBSTITUTE(B21,"#",""),4),LEFT(RIGHT(SUBSTITUTE(B21,"#",""),4),2),RIGHT(SUBSTITUTE(B21,"#",""),2)),,,Trigger)-1&amp;"D",SUBSTITUTE(B21,"/","")))</f>
        <v>Z7</v>
      </c>
      <c r="D21" s="101">
        <f t="shared" si="2"/>
        <v>2</v>
      </c>
      <c r="E21" s="101" t="str">
        <f t="shared" si="3"/>
        <v>--</v>
      </c>
      <c r="F21" s="97" t="str">
        <f t="shared" si="0"/>
        <v>Modified Following</v>
      </c>
      <c r="G21" s="100" t="str">
        <f t="shared" si="4"/>
        <v>TRUE</v>
      </c>
      <c r="H21" s="97" t="str">
        <f t="shared" si="5"/>
        <v>Actual/360</v>
      </c>
      <c r="I21" s="185">
        <v>100.30275</v>
      </c>
      <c r="J21" s="89" t="str">
        <f>IF(LEFT(A21,1)="D",_xll.qlDepositRateHelper2(,I21,IF(RIGHT(C21,1)="N","1D",C21),D21,Calendar,F21,G21,H21,,Trigger),IF(A21="Sw",_xll.qlSwapRateHelper2(,I21,D21,C21,Calendar,"Annual",F21,H21,"Euribor6M",0,"0D",,,,,Trigger),IF(A21="Fr",_xll.qlFraRateHelper(,I21,SUBSTITUTE(LEFT(C21,2),"M","")&amp;"M","Euribor6M",,,,Trigger),IF(A21="Sf",_xll.qlFuturesRateHelper(,I21,,C21,"Euribor3M",0,,Trigger),"--"))))</f>
        <v>obj_00095#0004</v>
      </c>
      <c r="K21" s="98" t="b">
        <f t="shared" si="6"/>
        <v>1</v>
      </c>
      <c r="M21" s="9" t="str">
        <v>Sf</v>
      </c>
      <c r="N21" s="9" t="str">
        <v>Z7</v>
      </c>
      <c r="O21" s="9" t="str">
        <v>obj_00095#0004</v>
      </c>
      <c r="P21" s="96">
        <f>_xll.qlRateHelperRate(O21,Trigger)</f>
        <v>-3.0274999999999608E-3</v>
      </c>
      <c r="Q21" s="10">
        <f>_xll.qlRateHelperEarliestDate(O21,Trigger)</f>
        <v>43089</v>
      </c>
      <c r="R21" s="10">
        <f>_xll.qlRateHelperPillarDate(O21,Trigger)</f>
        <v>43179</v>
      </c>
      <c r="S21" s="96">
        <v>-2.4370428867694109E-3</v>
      </c>
    </row>
    <row r="22" spans="1:19" ht="11.25" customHeight="1" x14ac:dyDescent="0.2">
      <c r="A22" s="91" t="str">
        <v>Sf</v>
      </c>
      <c r="B22" s="91">
        <v>43160</v>
      </c>
      <c r="C22" s="91" t="str">
        <f>IF(A22="Sf",_xll.qlIMMNextCode(B22,Trigger),IF(LEFT(B22,1)="#",_xll.qlCalendarBusinessDaysBetween(Calendar,Settlementdate,DATE(LEFT(SUBSTITUTE(B22,"#",""),4),LEFT(RIGHT(SUBSTITUTE(B22,"#",""),4),2),RIGHT(SUBSTITUTE(B22,"#",""),2)),,,Trigger)-1&amp;"D",SUBSTITUTE(B22,"/","")))</f>
        <v>H8</v>
      </c>
      <c r="D22" s="101">
        <f t="shared" si="2"/>
        <v>2</v>
      </c>
      <c r="E22" s="101" t="str">
        <f t="shared" si="3"/>
        <v>--</v>
      </c>
      <c r="F22" s="97" t="str">
        <f>IF(OR(RIGHT(C22,1)="N",RIGHT(C22,1)="W"),"Following","Modified Following")</f>
        <v>Modified Following</v>
      </c>
      <c r="G22" s="100" t="str">
        <f t="shared" si="4"/>
        <v>TRUE</v>
      </c>
      <c r="H22" s="97" t="str">
        <f t="shared" si="5"/>
        <v>Actual/360</v>
      </c>
      <c r="I22" s="185">
        <v>100.291</v>
      </c>
      <c r="J22" s="89" t="str">
        <f>IF(LEFT(A22,1)="D",_xll.qlDepositRateHelper2(,I22,IF(RIGHT(C22,1)="N","1D",C22),D22,Calendar,F22,G22,H22,,Trigger),IF(A22="Sw",_xll.qlSwapRateHelper2(,I22,D22,C22,Calendar,"Annual",F22,H22,"Euribor6M",0,"0D",,,,,Trigger),IF(A22="Fr",_xll.qlFraRateHelper(,I22,SUBSTITUTE(LEFT(C22,2),"M","")&amp;"M","Euribor6M",,,,Trigger),IF(A22="Sf",_xll.qlFuturesRateHelper(,I22,,C22,"Euribor3M",0,,Trigger),"--"))))</f>
        <v>obj_00089#0004</v>
      </c>
      <c r="K22" s="98" t="b">
        <f t="shared" si="6"/>
        <v>1</v>
      </c>
      <c r="M22" s="9" t="str">
        <v>Sf</v>
      </c>
      <c r="N22" s="9" t="str">
        <v>H8</v>
      </c>
      <c r="O22" s="9" t="str">
        <v>obj_00089#0004</v>
      </c>
      <c r="P22" s="96">
        <f>_xll.qlRateHelperRate(O22,Trigger)</f>
        <v>-2.9099999999999682E-3</v>
      </c>
      <c r="Q22" s="10">
        <f>_xll.qlRateHelperEarliestDate(O22,Trigger)</f>
        <v>43180</v>
      </c>
      <c r="R22" s="10">
        <f>_xll.qlRateHelperPillarDate(O22,Trigger)</f>
        <v>43272</v>
      </c>
      <c r="S22" s="96">
        <v>-2.4990816396684074E-3</v>
      </c>
    </row>
    <row r="23" spans="1:19" ht="11.25" customHeight="1" x14ac:dyDescent="0.2">
      <c r="A23" s="91" t="str">
        <v>Sw</v>
      </c>
      <c r="B23" s="91" t="str">
        <v>3Y</v>
      </c>
      <c r="C23" s="91" t="str">
        <f>IF(A23="Sf",_xll.qlIMMNextCode(B23,Trigger),IF(LEFT(B23,1)="#",_xll.qlCalendarBusinessDaysBetween(Calendar,Settlementdate,DATE(LEFT(SUBSTITUTE(B23,"#",""),4),LEFT(RIGHT(SUBSTITUTE(B23,"#",""),4),2),RIGHT(SUBSTITUTE(B23,"#",""),2)),,,Trigger)-1&amp;"D",SUBSTITUTE(B23,"/","")))</f>
        <v>3Y</v>
      </c>
      <c r="D23" s="101">
        <f t="shared" si="2"/>
        <v>2</v>
      </c>
      <c r="E23" s="101" t="str">
        <f t="shared" si="3"/>
        <v>Annual</v>
      </c>
      <c r="F23" s="97" t="str">
        <f t="shared" ref="F23:F82" si="7">IF(OR(RIGHT(C23,1)="N",RIGHT(C23,1)="W"),"Following","Modified Following")</f>
        <v>Modified Following</v>
      </c>
      <c r="G23" s="100" t="str">
        <f t="shared" si="4"/>
        <v>TRUE</v>
      </c>
      <c r="H23" s="97" t="str">
        <f t="shared" si="5"/>
        <v>30/360 (Bond Basis)</v>
      </c>
      <c r="I23" s="102">
        <v>-1.3700000000000001E-3</v>
      </c>
      <c r="J23" s="89" t="str">
        <f>IF(LEFT(A23,1)="D",_xll.qlDepositRateHelper2(,I23,IF(RIGHT(C23,1)="N","1D",C23),D23,Calendar,F23,G23,H23,,Trigger),IF(A23="Sw",_xll.qlSwapRateHelper2(,I23,D23,C23,Calendar,"Annual",F23,H23,"Euribor6M",0,"0D",,,,,Trigger),IF(A23="Fr",_xll.qlFraRateHelper(,I23,SUBSTITUTE(LEFT(C23,2),"M","")&amp;"M","Euribor6M",,,,Trigger),IF(A23="Sf",_xll.qlFuturesRateHelper(,I23,,C23,"Euribor3M",0,,Trigger),"--"))))</f>
        <v>obj_000b3#0004</v>
      </c>
      <c r="K23" s="98" t="b">
        <f t="shared" si="6"/>
        <v>1</v>
      </c>
      <c r="M23" s="9" t="str">
        <v>Sw</v>
      </c>
      <c r="N23" s="9" t="str">
        <v>3Y</v>
      </c>
      <c r="O23" s="9" t="str">
        <v>obj_000b3#0004</v>
      </c>
      <c r="P23" s="96">
        <f>_xll.qlRateHelperRate(O23,Trigger)</f>
        <v>-1.3700000000000001E-3</v>
      </c>
      <c r="Q23" s="10">
        <f>_xll.qlRateHelperEarliestDate(O23,Trigger)</f>
        <v>42502</v>
      </c>
      <c r="R23" s="10">
        <f>_xll.qlRateHelperPillarDate(O23,Trigger)</f>
        <v>43598</v>
      </c>
      <c r="S23" s="96">
        <v>-1.3693081296085813E-3</v>
      </c>
    </row>
    <row r="24" spans="1:19" ht="11.25" customHeight="1" x14ac:dyDescent="0.2">
      <c r="A24" s="91" t="str">
        <v>Sw</v>
      </c>
      <c r="B24" s="91" t="str">
        <v>4Y</v>
      </c>
      <c r="C24" s="91" t="str">
        <f>IF(A24="Sf",_xll.qlIMMNextCode(B24,Trigger),IF(LEFT(B24,1)="#",_xll.qlCalendarBusinessDaysBetween(Calendar,Settlementdate,DATE(LEFT(SUBSTITUTE(B24,"#",""),4),LEFT(RIGHT(SUBSTITUTE(B24,"#",""),4),2),RIGHT(SUBSTITUTE(B24,"#",""),2)),,,Trigger)-1&amp;"D",SUBSTITUTE(B24,"/","")))</f>
        <v>4Y</v>
      </c>
      <c r="D24" s="101">
        <f t="shared" si="2"/>
        <v>2</v>
      </c>
      <c r="E24" s="101" t="str">
        <f t="shared" si="3"/>
        <v>Annual</v>
      </c>
      <c r="F24" s="97" t="str">
        <f t="shared" si="7"/>
        <v>Modified Following</v>
      </c>
      <c r="G24" s="100" t="str">
        <f t="shared" si="4"/>
        <v>TRUE</v>
      </c>
      <c r="H24" s="97" t="str">
        <f t="shared" si="5"/>
        <v>30/360 (Bond Basis)</v>
      </c>
      <c r="I24" s="102">
        <v>-8.3000000000000001E-4</v>
      </c>
      <c r="J24" s="89" t="str">
        <f>IF(LEFT(A24,1)="D",_xll.qlDepositRateHelper2(,I24,IF(RIGHT(C24,1)="N","1D",C24),D24,Calendar,F24,G24,H24,,Trigger),IF(A24="Sw",_xll.qlSwapRateHelper2(,I24,D24,C24,Calendar,"Annual",F24,H24,"Euribor6M",0,"0D",,,,,Trigger),IF(A24="Fr",_xll.qlFraRateHelper(,I24,SUBSTITUTE(LEFT(C24,2),"M","")&amp;"M","Euribor6M",,,,Trigger),IF(A24="Sf",_xll.qlFuturesRateHelper(,I24,,C24,"Euribor3M",0,,Trigger),"--"))))</f>
        <v>obj_0008a#0004</v>
      </c>
      <c r="K24" s="98" t="b">
        <f t="shared" si="6"/>
        <v>1</v>
      </c>
      <c r="M24" s="9" t="str">
        <v>Sw</v>
      </c>
      <c r="N24" s="9" t="str">
        <v>4Y</v>
      </c>
      <c r="O24" s="9" t="str">
        <v>obj_0008a#0004</v>
      </c>
      <c r="P24" s="96">
        <f>_xll.qlRateHelperRate(O24,Trigger)</f>
        <v>-8.3000000000000001E-4</v>
      </c>
      <c r="Q24" s="10">
        <f>_xll.qlRateHelperEarliestDate(O24,Trigger)</f>
        <v>42502</v>
      </c>
      <c r="R24" s="10">
        <f>_xll.qlRateHelperPillarDate(O24,Trigger)</f>
        <v>43963</v>
      </c>
      <c r="S24" s="96">
        <v>-8.2957963607391792E-4</v>
      </c>
    </row>
    <row r="25" spans="1:19" ht="11.25" customHeight="1" x14ac:dyDescent="0.2">
      <c r="A25" s="91" t="str">
        <v>Sw</v>
      </c>
      <c r="B25" s="91" t="str">
        <v>5Y</v>
      </c>
      <c r="C25" s="91" t="str">
        <f>IF(A25="Sf",_xll.qlIMMNextCode(B25,Trigger),IF(LEFT(B25,1)="#",_xll.qlCalendarBusinessDaysBetween(Calendar,Settlementdate,DATE(LEFT(SUBSTITUTE(B25,"#",""),4),LEFT(RIGHT(SUBSTITUTE(B25,"#",""),4),2),RIGHT(SUBSTITUTE(B25,"#",""),2)),,,Trigger)-1&amp;"D",SUBSTITUTE(B25,"/","")))</f>
        <v>5Y</v>
      </c>
      <c r="D25" s="101">
        <f t="shared" si="2"/>
        <v>2</v>
      </c>
      <c r="E25" s="101" t="str">
        <f t="shared" si="3"/>
        <v>Annual</v>
      </c>
      <c r="F25" s="97" t="str">
        <f t="shared" si="7"/>
        <v>Modified Following</v>
      </c>
      <c r="G25" s="100" t="str">
        <f t="shared" si="4"/>
        <v>TRUE</v>
      </c>
      <c r="H25" s="97" t="str">
        <f t="shared" si="5"/>
        <v>30/360 (Bond Basis)</v>
      </c>
      <c r="I25" s="102">
        <v>-6.0000000000000002E-5</v>
      </c>
      <c r="J25" s="89" t="str">
        <f>IF(LEFT(A25,1)="D",_xll.qlDepositRateHelper2(,I25,IF(RIGHT(C25,1)="N","1D",C25),D25,Calendar,F25,G25,H25,,Trigger),IF(A25="Sw",_xll.qlSwapRateHelper2(,I25,D25,C25,Calendar,"Annual",F25,H25,"Euribor6M",0,"0D",,,,,Trigger),IF(A25="Fr",_xll.qlFraRateHelper(,I25,SUBSTITUTE(LEFT(C25,2),"M","")&amp;"M","Euribor6M",,,,Trigger),IF(A25="Sf",_xll.qlFuturesRateHelper(,I25,,C25,"Euribor3M",0,,Trigger),"--"))))</f>
        <v>obj_0008d#0004</v>
      </c>
      <c r="K25" s="98" t="b">
        <f t="shared" si="6"/>
        <v>1</v>
      </c>
      <c r="M25" s="9" t="str">
        <v>Sw</v>
      </c>
      <c r="N25" s="9" t="str">
        <v>5Y</v>
      </c>
      <c r="O25" s="9" t="str">
        <v>obj_0008d#0004</v>
      </c>
      <c r="P25" s="96">
        <f>_xll.qlRateHelperRate(O25,Trigger)</f>
        <v>-6.0000000000000002E-5</v>
      </c>
      <c r="Q25" s="10">
        <f>_xll.qlRateHelperEarliestDate(O25,Trigger)</f>
        <v>42502</v>
      </c>
      <c r="R25" s="10">
        <f>_xll.qlRateHelperPillarDate(O25,Trigger)</f>
        <v>44328</v>
      </c>
      <c r="S25" s="96">
        <v>-5.9820995869637263E-5</v>
      </c>
    </row>
    <row r="26" spans="1:19" ht="11.25" customHeight="1" x14ac:dyDescent="0.2">
      <c r="A26" s="91" t="str">
        <v>Sw</v>
      </c>
      <c r="B26" s="91" t="str">
        <v>6Y</v>
      </c>
      <c r="C26" s="91" t="str">
        <f>IF(A26="Sf",_xll.qlIMMNextCode(B26,Trigger),IF(LEFT(B26,1)="#",_xll.qlCalendarBusinessDaysBetween(Calendar,Settlementdate,DATE(LEFT(SUBSTITUTE(B26,"#",""),4),LEFT(RIGHT(SUBSTITUTE(B26,"#",""),4),2),RIGHT(SUBSTITUTE(B26,"#",""),2)),,,Trigger)-1&amp;"D",SUBSTITUTE(B26,"/","")))</f>
        <v>6Y</v>
      </c>
      <c r="D26" s="101">
        <f t="shared" si="2"/>
        <v>2</v>
      </c>
      <c r="E26" s="101" t="str">
        <f t="shared" si="3"/>
        <v>Annual</v>
      </c>
      <c r="F26" s="97" t="str">
        <f t="shared" si="7"/>
        <v>Modified Following</v>
      </c>
      <c r="G26" s="100" t="str">
        <f t="shared" si="4"/>
        <v>TRUE</v>
      </c>
      <c r="H26" s="97" t="str">
        <f t="shared" si="5"/>
        <v>30/360 (Bond Basis)</v>
      </c>
      <c r="I26" s="102">
        <v>9.1E-4</v>
      </c>
      <c r="J26" s="89" t="str">
        <f>IF(LEFT(A26,1)="D",_xll.qlDepositRateHelper2(,I26,IF(RIGHT(C26,1)="N","1D",C26),D26,Calendar,F26,G26,H26,,Trigger),IF(A26="Sw",_xll.qlSwapRateHelper2(,I26,D26,C26,Calendar,"Annual",F26,H26,"Euribor6M",0,"0D",,,,,Trigger),IF(A26="Fr",_xll.qlFraRateHelper(,I26,SUBSTITUTE(LEFT(C26,2),"M","")&amp;"M","Euribor6M",,,,Trigger),IF(A26="Sf",_xll.qlFuturesRateHelper(,I26,,C26,"Euribor3M",0,,Trigger),"--"))))</f>
        <v>obj_000ad#0004</v>
      </c>
      <c r="K26" s="98" t="b">
        <f t="shared" si="6"/>
        <v>1</v>
      </c>
      <c r="M26" s="9" t="str">
        <v>Sw</v>
      </c>
      <c r="N26" s="9" t="str">
        <v>6Y</v>
      </c>
      <c r="O26" s="9" t="str">
        <v>obj_000ad#0004</v>
      </c>
      <c r="P26" s="96">
        <f>_xll.qlRateHelperRate(O26,Trigger)</f>
        <v>9.1E-4</v>
      </c>
      <c r="Q26" s="10">
        <f>_xll.qlRateHelperEarliestDate(O26,Trigger)</f>
        <v>42502</v>
      </c>
      <c r="R26" s="10">
        <f>_xll.qlRateHelperPillarDate(O26,Trigger)</f>
        <v>44693</v>
      </c>
      <c r="S26" s="96">
        <v>9.1284988071955986E-4</v>
      </c>
    </row>
    <row r="27" spans="1:19" ht="11.25" customHeight="1" x14ac:dyDescent="0.2">
      <c r="A27" s="91" t="str">
        <v>Sw</v>
      </c>
      <c r="B27" s="91" t="str">
        <v>7Y</v>
      </c>
      <c r="C27" s="91" t="str">
        <f>IF(A27="Sf",_xll.qlIMMNextCode(B27,Trigger),IF(LEFT(B27,1)="#",_xll.qlCalendarBusinessDaysBetween(Calendar,Settlementdate,DATE(LEFT(SUBSTITUTE(B27,"#",""),4),LEFT(RIGHT(SUBSTITUTE(B27,"#",""),4),2),RIGHT(SUBSTITUTE(B27,"#",""),2)),,,Trigger)-1&amp;"D",SUBSTITUTE(B27,"/","")))</f>
        <v>7Y</v>
      </c>
      <c r="D27" s="101">
        <f t="shared" si="2"/>
        <v>2</v>
      </c>
      <c r="E27" s="101" t="str">
        <f t="shared" si="3"/>
        <v>Annual</v>
      </c>
      <c r="F27" s="97" t="str">
        <f t="shared" si="7"/>
        <v>Modified Following</v>
      </c>
      <c r="G27" s="100" t="str">
        <f t="shared" si="4"/>
        <v>TRUE</v>
      </c>
      <c r="H27" s="97" t="str">
        <f t="shared" si="5"/>
        <v>30/360 (Bond Basis)</v>
      </c>
      <c r="I27" s="102">
        <v>2E-3</v>
      </c>
      <c r="J27" s="89" t="str">
        <f>IF(LEFT(A27,1)="D",_xll.qlDepositRateHelper2(,I27,IF(RIGHT(C27,1)="N","1D",C27),D27,Calendar,F27,G27,H27,,Trigger),IF(A27="Sw",_xll.qlSwapRateHelper2(,I27,D27,C27,Calendar,"Annual",F27,H27,"Euribor6M",0,"0D",,,,,Trigger),IF(A27="Fr",_xll.qlFraRateHelper(,I27,SUBSTITUTE(LEFT(C27,2),"M","")&amp;"M","Euribor6M",,,,Trigger),IF(A27="Sf",_xll.qlFuturesRateHelper(,I27,,C27,"Euribor3M",0,,Trigger),"--"))))</f>
        <v>obj_00097#0004</v>
      </c>
      <c r="K27" s="98" t="b">
        <f t="shared" si="6"/>
        <v>1</v>
      </c>
      <c r="M27" s="9" t="str">
        <v>Sw</v>
      </c>
      <c r="N27" s="9" t="str">
        <v>7Y</v>
      </c>
      <c r="O27" s="9" t="str">
        <v>obj_00097#0004</v>
      </c>
      <c r="P27" s="96">
        <f>_xll.qlRateHelperRate(O27,Trigger)</f>
        <v>2E-3</v>
      </c>
      <c r="Q27" s="10">
        <f>_xll.qlRateHelperEarliestDate(O27,Trigger)</f>
        <v>42502</v>
      </c>
      <c r="R27" s="10">
        <f>_xll.qlRateHelperPillarDate(O27,Trigger)</f>
        <v>45058</v>
      </c>
      <c r="S27" s="96">
        <v>2.0105557208428839E-3</v>
      </c>
    </row>
    <row r="28" spans="1:19" ht="11.25" customHeight="1" x14ac:dyDescent="0.2">
      <c r="A28" s="91" t="str">
        <v>Sw</v>
      </c>
      <c r="B28" s="91" t="str">
        <v>8Y</v>
      </c>
      <c r="C28" s="91" t="str">
        <f>IF(A28="Sf",_xll.qlIMMNextCode(B28,Trigger),IF(LEFT(B28,1)="#",_xll.qlCalendarBusinessDaysBetween(Calendar,Settlementdate,DATE(LEFT(SUBSTITUTE(B28,"#",""),4),LEFT(RIGHT(SUBSTITUTE(B28,"#",""),4),2),RIGHT(SUBSTITUTE(B28,"#",""),2)),,,Trigger)-1&amp;"D",SUBSTITUTE(B28,"/","")))</f>
        <v>8Y</v>
      </c>
      <c r="D28" s="101">
        <f t="shared" si="2"/>
        <v>2</v>
      </c>
      <c r="E28" s="101" t="str">
        <f t="shared" si="3"/>
        <v>Annual</v>
      </c>
      <c r="F28" s="97" t="str">
        <f t="shared" si="7"/>
        <v>Modified Following</v>
      </c>
      <c r="G28" s="100" t="str">
        <f t="shared" si="4"/>
        <v>TRUE</v>
      </c>
      <c r="H28" s="97" t="str">
        <f t="shared" si="5"/>
        <v>30/360 (Bond Basis)</v>
      </c>
      <c r="I28" s="102">
        <v>3.15E-3</v>
      </c>
      <c r="J28" s="89" t="str">
        <f>IF(LEFT(A28,1)="D",_xll.qlDepositRateHelper2(,I28,IF(RIGHT(C28,1)="N","1D",C28),D28,Calendar,F28,G28,H28,,Trigger),IF(A28="Sw",_xll.qlSwapRateHelper2(,I28,D28,C28,Calendar,"Annual",F28,H28,"Euribor6M",0,"0D",,,,,Trigger),IF(A28="Fr",_xll.qlFraRateHelper(,I28,SUBSTITUTE(LEFT(C28,2),"M","")&amp;"M","Euribor6M",,,,Trigger),IF(A28="Sf",_xll.qlFuturesRateHelper(,I28,,C28,"Euribor3M",0,,Trigger),"--"))))</f>
        <v>obj_000a6#0004</v>
      </c>
      <c r="K28" s="98" t="b">
        <f t="shared" si="6"/>
        <v>1</v>
      </c>
      <c r="M28" s="9" t="str">
        <v>Sw</v>
      </c>
      <c r="N28" s="9" t="str">
        <v>8Y</v>
      </c>
      <c r="O28" s="9" t="str">
        <v>obj_000a6#0004</v>
      </c>
      <c r="P28" s="96">
        <f>_xll.qlRateHelperRate(O28,Trigger)</f>
        <v>3.15E-3</v>
      </c>
      <c r="Q28" s="10">
        <f>_xll.qlRateHelperEarliestDate(O28,Trigger)</f>
        <v>42502</v>
      </c>
      <c r="R28" s="10">
        <f>_xll.qlRateHelperPillarDate(O28,Trigger)</f>
        <v>45425</v>
      </c>
      <c r="S28" s="96">
        <v>3.1740982556546704E-3</v>
      </c>
    </row>
    <row r="29" spans="1:19" ht="11.25" customHeight="1" x14ac:dyDescent="0.2">
      <c r="A29" s="91" t="str">
        <v>Sw</v>
      </c>
      <c r="B29" s="91" t="str">
        <v>9Y</v>
      </c>
      <c r="C29" s="91" t="str">
        <f>IF(A29="Sf",_xll.qlIMMNextCode(B29,Trigger),IF(LEFT(B29,1)="#",_xll.qlCalendarBusinessDaysBetween(Calendar,Settlementdate,DATE(LEFT(SUBSTITUTE(B29,"#",""),4),LEFT(RIGHT(SUBSTITUTE(B29,"#",""),4),2),RIGHT(SUBSTITUTE(B29,"#",""),2)),,,Trigger)-1&amp;"D",SUBSTITUTE(B29,"/","")))</f>
        <v>9Y</v>
      </c>
      <c r="D29" s="101">
        <f t="shared" si="2"/>
        <v>2</v>
      </c>
      <c r="E29" s="101" t="str">
        <f t="shared" si="3"/>
        <v>Annual</v>
      </c>
      <c r="F29" s="97" t="str">
        <f t="shared" si="7"/>
        <v>Modified Following</v>
      </c>
      <c r="G29" s="100" t="str">
        <f t="shared" si="4"/>
        <v>TRUE</v>
      </c>
      <c r="H29" s="97" t="str">
        <f t="shared" si="5"/>
        <v>30/360 (Bond Basis)</v>
      </c>
      <c r="I29" s="102">
        <v>4.2399999999999998E-3</v>
      </c>
      <c r="J29" s="89" t="str">
        <f>IF(LEFT(A29,1)="D",_xll.qlDepositRateHelper2(,I29,IF(RIGHT(C29,1)="N","1D",C29),D29,Calendar,F29,G29,H29,,Trigger),IF(A29="Sw",_xll.qlSwapRateHelper2(,I29,D29,C29,Calendar,"Annual",F29,H29,"Euribor6M",0,"0D",,,,,Trigger),IF(A29="Fr",_xll.qlFraRateHelper(,I29,SUBSTITUTE(LEFT(C29,2),"M","")&amp;"M","Euribor6M",,,,Trigger),IF(A29="Sf",_xll.qlFuturesRateHelper(,I29,,C29,"Euribor3M",0,,Trigger),"--"))))</f>
        <v>obj_0009e#0004</v>
      </c>
      <c r="K29" s="98" t="b">
        <f t="shared" si="6"/>
        <v>1</v>
      </c>
      <c r="M29" s="9" t="str">
        <v>Sw</v>
      </c>
      <c r="N29" s="9" t="str">
        <v>9Y</v>
      </c>
      <c r="O29" s="9" t="str">
        <v>obj_0009e#0004</v>
      </c>
      <c r="P29" s="96">
        <f>_xll.qlRateHelperRate(O29,Trigger)</f>
        <v>4.2399999999999998E-3</v>
      </c>
      <c r="Q29" s="10">
        <f>_xll.qlRateHelperEarliestDate(O29,Trigger)</f>
        <v>42502</v>
      </c>
      <c r="R29" s="10">
        <f>_xll.qlRateHelperPillarDate(O29,Trigger)</f>
        <v>45789</v>
      </c>
      <c r="S29" s="96">
        <v>4.284755788182203E-3</v>
      </c>
    </row>
    <row r="30" spans="1:19" ht="11.25" customHeight="1" x14ac:dyDescent="0.2">
      <c r="A30" s="91" t="str">
        <v>Sw</v>
      </c>
      <c r="B30" s="91" t="str">
        <v>10Y</v>
      </c>
      <c r="C30" s="91" t="str">
        <f>IF(A30="Sf",_xll.qlIMMNextCode(B30,Trigger),IF(LEFT(B30,1)="#",_xll.qlCalendarBusinessDaysBetween(Calendar,Settlementdate,DATE(LEFT(SUBSTITUTE(B30,"#",""),4),LEFT(RIGHT(SUBSTITUTE(B30,"#",""),4),2),RIGHT(SUBSTITUTE(B30,"#",""),2)),,,Trigger)-1&amp;"D",SUBSTITUTE(B30,"/","")))</f>
        <v>10Y</v>
      </c>
      <c r="D30" s="101">
        <f t="shared" si="2"/>
        <v>2</v>
      </c>
      <c r="E30" s="101" t="str">
        <f t="shared" si="3"/>
        <v>Annual</v>
      </c>
      <c r="F30" s="97" t="str">
        <f t="shared" si="7"/>
        <v>Modified Following</v>
      </c>
      <c r="G30" s="100" t="str">
        <f t="shared" si="4"/>
        <v>TRUE</v>
      </c>
      <c r="H30" s="97" t="str">
        <f t="shared" si="5"/>
        <v>30/360 (Bond Basis)</v>
      </c>
      <c r="I30" s="102">
        <v>5.2399999999999999E-3</v>
      </c>
      <c r="J30" s="89" t="str">
        <f>IF(LEFT(A30,1)="D",_xll.qlDepositRateHelper2(,I30,IF(RIGHT(C30,1)="N","1D",C30),D30,Calendar,F30,G30,H30,,Trigger),IF(A30="Sw",_xll.qlSwapRateHelper2(,I30,D30,C30,Calendar,"Annual",F30,H30,"Euribor6M",0,"0D",,,,,Trigger),IF(A30="Fr",_xll.qlFraRateHelper(,I30,SUBSTITUTE(LEFT(C30,2),"M","")&amp;"M","Euribor6M",,,,Trigger),IF(A30="Sf",_xll.qlFuturesRateHelper(,I30,,C30,"Euribor3M",0,,Trigger),"--"))))</f>
        <v>obj_000a5#0004</v>
      </c>
      <c r="K30" s="98" t="b">
        <f t="shared" si="6"/>
        <v>1</v>
      </c>
      <c r="M30" s="9" t="str">
        <v>Sw</v>
      </c>
      <c r="N30" s="9" t="str">
        <v>10Y</v>
      </c>
      <c r="O30" s="9" t="str">
        <v>obj_000a5#0004</v>
      </c>
      <c r="P30" s="96">
        <f>_xll.qlRateHelperRate(O30,Trigger)</f>
        <v>5.2399999999999999E-3</v>
      </c>
      <c r="Q30" s="10">
        <f>_xll.qlRateHelperEarliestDate(O30,Trigger)</f>
        <v>42502</v>
      </c>
      <c r="R30" s="10">
        <f>_xll.qlRateHelperPillarDate(O30,Trigger)</f>
        <v>46154</v>
      </c>
      <c r="S30" s="96">
        <v>5.310509132698202E-3</v>
      </c>
    </row>
    <row r="31" spans="1:19" ht="11.25" customHeight="1" x14ac:dyDescent="0.2">
      <c r="A31" s="91" t="str">
        <v>Sw</v>
      </c>
      <c r="B31" s="91" t="str">
        <v>11Y</v>
      </c>
      <c r="C31" s="91" t="str">
        <f>IF(A31="Sf",_xll.qlIMMNextCode(B31,Trigger),IF(LEFT(B31,1)="#",_xll.qlCalendarBusinessDaysBetween(Calendar,Settlementdate,DATE(LEFT(SUBSTITUTE(B31,"#",""),4),LEFT(RIGHT(SUBSTITUTE(B31,"#",""),4),2),RIGHT(SUBSTITUTE(B31,"#",""),2)),,,Trigger)-1&amp;"D",SUBSTITUTE(B31,"/","")))</f>
        <v>11Y</v>
      </c>
      <c r="D31" s="101">
        <f t="shared" si="2"/>
        <v>2</v>
      </c>
      <c r="E31" s="101" t="str">
        <f t="shared" si="3"/>
        <v>Annual</v>
      </c>
      <c r="F31" s="97" t="str">
        <f t="shared" si="7"/>
        <v>Modified Following</v>
      </c>
      <c r="G31" s="100" t="str">
        <f t="shared" si="4"/>
        <v>TRUE</v>
      </c>
      <c r="H31" s="97" t="str">
        <f t="shared" si="5"/>
        <v>30/360 (Bond Basis)</v>
      </c>
      <c r="I31" s="102">
        <v>6.1550472700000001E-3</v>
      </c>
      <c r="J31" s="89" t="str">
        <f>IF(LEFT(A31,1)="D",_xll.qlDepositRateHelper2(,I31,IF(RIGHT(C31,1)="N","1D",C31),D31,Calendar,F31,G31,H31,,Trigger),IF(A31="Sw",_xll.qlSwapRateHelper2(,I31,D31,C31,Calendar,"Annual",F31,H31,"Euribor6M",0,"0D",,,,,Trigger),IF(A31="Fr",_xll.qlFraRateHelper(,I31,SUBSTITUTE(LEFT(C31,2),"M","")&amp;"M","Euribor6M",,,,Trigger),IF(A31="Sf",_xll.qlFuturesRateHelper(,I31,,C31,"Euribor3M",0,,Trigger),"--"))))</f>
        <v>obj_0009c#0004</v>
      </c>
      <c r="K31" s="98" t="b">
        <f t="shared" si="6"/>
        <v>1</v>
      </c>
      <c r="M31" s="9" t="str">
        <v>Sw</v>
      </c>
      <c r="N31" s="9" t="str">
        <v>11Y</v>
      </c>
      <c r="O31" s="9" t="str">
        <v>obj_0009c#0004</v>
      </c>
      <c r="P31" s="96">
        <f>_xll.qlRateHelperRate(O31,Trigger)</f>
        <v>6.1550472700000001E-3</v>
      </c>
      <c r="Q31" s="10">
        <f>_xll.qlRateHelperEarliestDate(O31,Trigger)</f>
        <v>42502</v>
      </c>
      <c r="R31" s="10">
        <f>_xll.qlRateHelperPillarDate(O31,Trigger)</f>
        <v>46519</v>
      </c>
      <c r="S31" s="96">
        <v>6.2555826305137835E-3</v>
      </c>
    </row>
    <row r="32" spans="1:19" ht="11.25" customHeight="1" x14ac:dyDescent="0.2">
      <c r="A32" s="91" t="str">
        <v>Sw</v>
      </c>
      <c r="B32" s="91" t="str">
        <v>12Y</v>
      </c>
      <c r="C32" s="91" t="str">
        <f>IF(A32="Sf",_xll.qlIMMNextCode(B32,Trigger),IF(LEFT(B32,1)="#",_xll.qlCalendarBusinessDaysBetween(Calendar,Settlementdate,DATE(LEFT(SUBSTITUTE(B32,"#",""),4),LEFT(RIGHT(SUBSTITUTE(B32,"#",""),4),2),RIGHT(SUBSTITUTE(B32,"#",""),2)),,,Trigger)-1&amp;"D",SUBSTITUTE(B32,"/","")))</f>
        <v>12Y</v>
      </c>
      <c r="D32" s="101">
        <f t="shared" si="2"/>
        <v>2</v>
      </c>
      <c r="E32" s="101" t="str">
        <f t="shared" si="3"/>
        <v>Annual</v>
      </c>
      <c r="F32" s="97" t="str">
        <f t="shared" si="7"/>
        <v>Modified Following</v>
      </c>
      <c r="G32" s="100" t="str">
        <f t="shared" si="4"/>
        <v>TRUE</v>
      </c>
      <c r="H32" s="97" t="str">
        <f t="shared" si="5"/>
        <v>30/360 (Bond Basis)</v>
      </c>
      <c r="I32" s="102">
        <v>6.9799999999999992E-3</v>
      </c>
      <c r="J32" s="89" t="str">
        <f>IF(LEFT(A32,1)="D",_xll.qlDepositRateHelper2(,I32,IF(RIGHT(C32,1)="N","1D",C32),D32,Calendar,F32,G32,H32,,Trigger),IF(A32="Sw",_xll.qlSwapRateHelper2(,I32,D32,C32,Calendar,"Annual",F32,H32,"Euribor6M",0,"0D",,,,,Trigger),IF(A32="Fr",_xll.qlFraRateHelper(,I32,SUBSTITUTE(LEFT(C32,2),"M","")&amp;"M","Euribor6M",,,,Trigger),IF(A32="Sf",_xll.qlFuturesRateHelper(,I32,,C32,"Euribor3M",0,,Trigger),"--"))))</f>
        <v>obj_00093#0004</v>
      </c>
      <c r="K32" s="98" t="b">
        <f t="shared" si="6"/>
        <v>1</v>
      </c>
      <c r="M32" s="9" t="str">
        <v>Sw</v>
      </c>
      <c r="N32" s="9" t="str">
        <v>12Y</v>
      </c>
      <c r="O32" s="9" t="str">
        <v>obj_00093#0004</v>
      </c>
      <c r="P32" s="96">
        <f>_xll.qlRateHelperRate(O32,Trigger)</f>
        <v>6.9799999999999992E-3</v>
      </c>
      <c r="Q32" s="10">
        <f>_xll.qlRateHelperEarliestDate(O32,Trigger)</f>
        <v>42502</v>
      </c>
      <c r="R32" s="10">
        <f>_xll.qlRateHelperPillarDate(O32,Trigger)</f>
        <v>46885</v>
      </c>
      <c r="S32" s="96">
        <v>7.1117784367156637E-3</v>
      </c>
    </row>
    <row r="33" spans="1:19" ht="11.25" customHeight="1" x14ac:dyDescent="0.2">
      <c r="A33" s="91" t="str">
        <v>Sw</v>
      </c>
      <c r="B33" s="91" t="str">
        <v>13Y</v>
      </c>
      <c r="C33" s="91" t="str">
        <f>IF(A33="Sf",_xll.qlIMMNextCode(B33,Trigger),IF(LEFT(B33,1)="#",_xll.qlCalendarBusinessDaysBetween(Calendar,Settlementdate,DATE(LEFT(SUBSTITUTE(B33,"#",""),4),LEFT(RIGHT(SUBSTITUTE(B33,"#",""),4),2),RIGHT(SUBSTITUTE(B33,"#",""),2)),,,Trigger)-1&amp;"D",SUBSTITUTE(B33,"/","")))</f>
        <v>13Y</v>
      </c>
      <c r="D33" s="101">
        <f t="shared" si="2"/>
        <v>2</v>
      </c>
      <c r="E33" s="101" t="str">
        <f t="shared" si="3"/>
        <v>Annual</v>
      </c>
      <c r="F33" s="97" t="str">
        <f t="shared" si="7"/>
        <v>Modified Following</v>
      </c>
      <c r="G33" s="100" t="str">
        <f t="shared" si="4"/>
        <v>TRUE</v>
      </c>
      <c r="H33" s="97" t="str">
        <f t="shared" si="5"/>
        <v>30/360 (Bond Basis)</v>
      </c>
      <c r="I33" s="102">
        <v>7.6994708000000002E-3</v>
      </c>
      <c r="J33" s="89" t="str">
        <f>IF(LEFT(A33,1)="D",_xll.qlDepositRateHelper2(,I33,IF(RIGHT(C33,1)="N","1D",C33),D33,Calendar,F33,G33,H33,,Trigger),IF(A33="Sw",_xll.qlSwapRateHelper2(,I33,D33,C33,Calendar,"Annual",F33,H33,"Euribor6M",0,"0D",,,,,Trigger),IF(A33="Fr",_xll.qlFraRateHelper(,I33,SUBSTITUTE(LEFT(C33,2),"M","")&amp;"M","Euribor6M",,,,Trigger),IF(A33="Sf",_xll.qlFuturesRateHelper(,I33,,C33,"Euribor3M",0,,Trigger),"--"))))</f>
        <v>obj_0008f#0004</v>
      </c>
      <c r="K33" s="98" t="b">
        <f t="shared" si="6"/>
        <v>1</v>
      </c>
      <c r="M33" s="9" t="str">
        <v>Sw</v>
      </c>
      <c r="N33" s="9" t="str">
        <v>13Y</v>
      </c>
      <c r="O33" s="9" t="str">
        <v>obj_0008f#0004</v>
      </c>
      <c r="P33" s="96">
        <f>_xll.qlRateHelperRate(O33,Trigger)</f>
        <v>7.6994708000000002E-3</v>
      </c>
      <c r="Q33" s="10">
        <f>_xll.qlRateHelperEarliestDate(O33,Trigger)</f>
        <v>42502</v>
      </c>
      <c r="R33" s="10">
        <f>_xll.qlRateHelperPillarDate(O33,Trigger)</f>
        <v>47252</v>
      </c>
      <c r="S33" s="96">
        <v>7.864354268604162E-3</v>
      </c>
    </row>
    <row r="34" spans="1:19" ht="11.25" customHeight="1" x14ac:dyDescent="0.2">
      <c r="A34" s="91" t="str">
        <v>Sw</v>
      </c>
      <c r="B34" s="91" t="str">
        <v>14Y</v>
      </c>
      <c r="C34" s="91" t="str">
        <f>IF(A34="Sf",_xll.qlIMMNextCode(B34,Trigger),IF(LEFT(B34,1)="#",_xll.qlCalendarBusinessDaysBetween(Calendar,Settlementdate,DATE(LEFT(SUBSTITUTE(B34,"#",""),4),LEFT(RIGHT(SUBSTITUTE(B34,"#",""),4),2),RIGHT(SUBSTITUTE(B34,"#",""),2)),,,Trigger)-1&amp;"D",SUBSTITUTE(B34,"/","")))</f>
        <v>14Y</v>
      </c>
      <c r="D34" s="101">
        <f t="shared" si="2"/>
        <v>2</v>
      </c>
      <c r="E34" s="101" t="str">
        <f t="shared" si="3"/>
        <v>Annual</v>
      </c>
      <c r="F34" s="97" t="str">
        <f t="shared" si="7"/>
        <v>Modified Following</v>
      </c>
      <c r="G34" s="100" t="str">
        <f t="shared" si="4"/>
        <v>TRUE</v>
      </c>
      <c r="H34" s="97" t="str">
        <f t="shared" si="5"/>
        <v>30/360 (Bond Basis)</v>
      </c>
      <c r="I34" s="102">
        <v>8.3211671299999995E-3</v>
      </c>
      <c r="J34" s="89" t="str">
        <f>IF(LEFT(A34,1)="D",_xll.qlDepositRateHelper2(,I34,IF(RIGHT(C34,1)="N","1D",C34),D34,Calendar,F34,G34,H34,,Trigger),IF(A34="Sw",_xll.qlSwapRateHelper2(,I34,D34,C34,Calendar,"Annual",F34,H34,"Euribor6M",0,"0D",,,,,Trigger),IF(A34="Fr",_xll.qlFraRateHelper(,I34,SUBSTITUTE(LEFT(C34,2),"M","")&amp;"M","Euribor6M",,,,Trigger),IF(A34="Sf",_xll.qlFuturesRateHelper(,I34,,C34,"Euribor3M",0,,Trigger),"--"))))</f>
        <v>obj_00098#0004</v>
      </c>
      <c r="K34" s="98" t="b">
        <f t="shared" si="6"/>
        <v>1</v>
      </c>
      <c r="M34" s="9" t="str">
        <v>Sw</v>
      </c>
      <c r="N34" s="9" t="str">
        <v>14Y</v>
      </c>
      <c r="O34" s="9" t="str">
        <v>obj_00098#0004</v>
      </c>
      <c r="P34" s="96">
        <f>_xll.qlRateHelperRate(O34,Trigger)</f>
        <v>8.3211671299999995E-3</v>
      </c>
      <c r="Q34" s="10">
        <f>_xll.qlRateHelperEarliestDate(O34,Trigger)</f>
        <v>42502</v>
      </c>
      <c r="R34" s="10">
        <f>_xll.qlRateHelperPillarDate(O34,Trigger)</f>
        <v>47616</v>
      </c>
      <c r="S34" s="96">
        <v>8.5181843973283471E-3</v>
      </c>
    </row>
    <row r="35" spans="1:19" ht="11.25" customHeight="1" x14ac:dyDescent="0.2">
      <c r="A35" s="91" t="str">
        <v>Sw</v>
      </c>
      <c r="B35" s="91" t="str">
        <v>15Y</v>
      </c>
      <c r="C35" s="91" t="str">
        <f>IF(A35="Sf",_xll.qlIMMNextCode(B35,Trigger),IF(LEFT(B35,1)="#",_xll.qlCalendarBusinessDaysBetween(Calendar,Settlementdate,DATE(LEFT(SUBSTITUTE(B35,"#",""),4),LEFT(RIGHT(SUBSTITUTE(B35,"#",""),4),2),RIGHT(SUBSTITUTE(B35,"#",""),2)),,,Trigger)-1&amp;"D",SUBSTITUTE(B35,"/","")))</f>
        <v>15Y</v>
      </c>
      <c r="D35" s="101">
        <f t="shared" si="2"/>
        <v>2</v>
      </c>
      <c r="E35" s="101" t="str">
        <f t="shared" si="3"/>
        <v>Annual</v>
      </c>
      <c r="F35" s="97" t="str">
        <f t="shared" si="7"/>
        <v>Modified Following</v>
      </c>
      <c r="G35" s="100" t="str">
        <f t="shared" si="4"/>
        <v>TRUE</v>
      </c>
      <c r="H35" s="97" t="str">
        <f t="shared" si="5"/>
        <v>30/360 (Bond Basis)</v>
      </c>
      <c r="I35" s="102">
        <v>8.8400000000000006E-3</v>
      </c>
      <c r="J35" s="89" t="str">
        <f>IF(LEFT(A35,1)="D",_xll.qlDepositRateHelper2(,I35,IF(RIGHT(C35,1)="N","1D",C35),D35,Calendar,F35,G35,H35,,Trigger),IF(A35="Sw",_xll.qlSwapRateHelper2(,I35,D35,C35,Calendar,"Annual",F35,H35,"Euribor6M",0,"0D",,,,,Trigger),IF(A35="Fr",_xll.qlFraRateHelper(,I35,SUBSTITUTE(LEFT(C35,2),"M","")&amp;"M","Euribor6M",,,,Trigger),IF(A35="Sf",_xll.qlFuturesRateHelper(,I35,,C35,"Euribor3M",0,,Trigger),"--"))))</f>
        <v>obj_000a3#0004</v>
      </c>
      <c r="K35" s="98" t="b">
        <f t="shared" si="6"/>
        <v>1</v>
      </c>
      <c r="M35" s="9" t="str">
        <v>Sw</v>
      </c>
      <c r="N35" s="9" t="str">
        <v>15Y</v>
      </c>
      <c r="O35" s="9" t="str">
        <v>obj_000a3#0004</v>
      </c>
      <c r="P35" s="96">
        <f>_xll.qlRateHelperRate(O35,Trigger)</f>
        <v>8.8400000000000006E-3</v>
      </c>
      <c r="Q35" s="10">
        <f>_xll.qlRateHelperEarliestDate(O35,Trigger)</f>
        <v>42502</v>
      </c>
      <c r="R35" s="10">
        <f>_xll.qlRateHelperPillarDate(O35,Trigger)</f>
        <v>47980</v>
      </c>
      <c r="S35" s="96">
        <v>9.0657052500812303E-3</v>
      </c>
    </row>
    <row r="36" spans="1:19" ht="11.25" customHeight="1" x14ac:dyDescent="0.2">
      <c r="A36" s="91" t="str">
        <v>Sw</v>
      </c>
      <c r="B36" s="91" t="str">
        <v>16Y</v>
      </c>
      <c r="C36" s="91" t="str">
        <f>IF(A36="Sf",_xll.qlIMMNextCode(B36,Trigger),IF(LEFT(B36,1)="#",_xll.qlCalendarBusinessDaysBetween(Calendar,Settlementdate,DATE(LEFT(SUBSTITUTE(B36,"#",""),4),LEFT(RIGHT(SUBSTITUTE(B36,"#",""),4),2),RIGHT(SUBSTITUTE(B36,"#",""),2)),,,Trigger)-1&amp;"D",SUBSTITUTE(B36,"/","")))</f>
        <v>16Y</v>
      </c>
      <c r="D36" s="101">
        <f t="shared" si="2"/>
        <v>2</v>
      </c>
      <c r="E36" s="101" t="str">
        <f t="shared" si="3"/>
        <v>Annual</v>
      </c>
      <c r="F36" s="97" t="str">
        <f t="shared" si="7"/>
        <v>Modified Following</v>
      </c>
      <c r="G36" s="100" t="str">
        <f t="shared" si="4"/>
        <v>TRUE</v>
      </c>
      <c r="H36" s="97" t="str">
        <f t="shared" si="5"/>
        <v>30/360 (Bond Basis)</v>
      </c>
      <c r="I36" s="102">
        <v>9.2684162600000005E-3</v>
      </c>
      <c r="J36" s="89" t="str">
        <f>IF(LEFT(A36,1)="D",_xll.qlDepositRateHelper2(,I36,IF(RIGHT(C36,1)="N","1D",C36),D36,Calendar,F36,G36,H36,,Trigger),IF(A36="Sw",_xll.qlSwapRateHelper2(,I36,D36,C36,Calendar,"Annual",F36,H36,"Euribor6M",0,"0D",,,,,Trigger),IF(A36="Fr",_xll.qlFraRateHelper(,I36,SUBSTITUTE(LEFT(C36,2),"M","")&amp;"M","Euribor6M",,,,Trigger),IF(A36="Sf",_xll.qlFuturesRateHelper(,I36,,C36,"Euribor3M",0,,Trigger),"--"))))</f>
        <v>obj_00099#0004</v>
      </c>
      <c r="K36" s="98" t="b">
        <f t="shared" si="6"/>
        <v>1</v>
      </c>
      <c r="M36" s="9" t="str">
        <v>Sw</v>
      </c>
      <c r="N36" s="9" t="str">
        <v>16Y</v>
      </c>
      <c r="O36" s="9" t="str">
        <v>obj_00099#0004</v>
      </c>
      <c r="P36" s="96">
        <f>_xll.qlRateHelperRate(O36,Trigger)</f>
        <v>9.2684162600000005E-3</v>
      </c>
      <c r="Q36" s="10">
        <f>_xll.qlRateHelperEarliestDate(O36,Trigger)</f>
        <v>42502</v>
      </c>
      <c r="R36" s="10">
        <f>_xll.qlRateHelperPillarDate(O36,Trigger)</f>
        <v>48346</v>
      </c>
      <c r="S36" s="96">
        <v>9.5168999714982608E-3</v>
      </c>
    </row>
    <row r="37" spans="1:19" ht="11.25" customHeight="1" x14ac:dyDescent="0.2">
      <c r="A37" s="91" t="str">
        <v>Sw</v>
      </c>
      <c r="B37" s="91" t="str">
        <v>17Y</v>
      </c>
      <c r="C37" s="91" t="str">
        <f>IF(A37="Sf",_xll.qlIMMNextCode(B37,Trigger),IF(LEFT(B37,1)="#",_xll.qlCalendarBusinessDaysBetween(Calendar,Settlementdate,DATE(LEFT(SUBSTITUTE(B37,"#",""),4),LEFT(RIGHT(SUBSTITUTE(B37,"#",""),4),2),RIGHT(SUBSTITUTE(B37,"#",""),2)),,,Trigger)-1&amp;"D",SUBSTITUTE(B37,"/","")))</f>
        <v>17Y</v>
      </c>
      <c r="D37" s="101">
        <f t="shared" si="2"/>
        <v>2</v>
      </c>
      <c r="E37" s="101" t="str">
        <f t="shared" si="3"/>
        <v>Annual</v>
      </c>
      <c r="F37" s="97" t="str">
        <f t="shared" si="7"/>
        <v>Modified Following</v>
      </c>
      <c r="G37" s="100" t="str">
        <f t="shared" si="4"/>
        <v>TRUE</v>
      </c>
      <c r="H37" s="97" t="str">
        <f t="shared" si="5"/>
        <v>30/360 (Bond Basis)</v>
      </c>
      <c r="I37" s="102">
        <v>9.6126716999999987E-3</v>
      </c>
      <c r="J37" s="89" t="str">
        <f>IF(LEFT(A37,1)="D",_xll.qlDepositRateHelper2(,I37,IF(RIGHT(C37,1)="N","1D",C37),D37,Calendar,F37,G37,H37,,Trigger),IF(A37="Sw",_xll.qlSwapRateHelper2(,I37,D37,C37,Calendar,"Annual",F37,H37,"Euribor6M",0,"0D",,,,,Trigger),IF(A37="Fr",_xll.qlFraRateHelper(,I37,SUBSTITUTE(LEFT(C37,2),"M","")&amp;"M","Euribor6M",,,,Trigger),IF(A37="Sf",_xll.qlFuturesRateHelper(,I37,,C37,"Euribor3M",0,,Trigger),"--"))))</f>
        <v>obj_000ac#0004</v>
      </c>
      <c r="K37" s="98" t="b">
        <f t="shared" si="6"/>
        <v>1</v>
      </c>
      <c r="M37" s="9" t="str">
        <v>Sw</v>
      </c>
      <c r="N37" s="9" t="str">
        <v>17Y</v>
      </c>
      <c r="O37" s="9" t="str">
        <v>obj_000ac#0004</v>
      </c>
      <c r="P37" s="96">
        <f>_xll.qlRateHelperRate(O37,Trigger)</f>
        <v>9.6126716999999987E-3</v>
      </c>
      <c r="Q37" s="10">
        <f>_xll.qlRateHelperEarliestDate(O37,Trigger)</f>
        <v>42502</v>
      </c>
      <c r="R37" s="10">
        <f>_xll.qlRateHelperPillarDate(O37,Trigger)</f>
        <v>48711</v>
      </c>
      <c r="S37" s="96">
        <v>9.8803384801142303E-3</v>
      </c>
    </row>
    <row r="38" spans="1:19" ht="11.25" customHeight="1" x14ac:dyDescent="0.2">
      <c r="A38" s="91" t="str">
        <v>Sw</v>
      </c>
      <c r="B38" s="91" t="str">
        <v>18Y</v>
      </c>
      <c r="C38" s="91" t="str">
        <f>IF(A38="Sf",_xll.qlIMMNextCode(B38,Trigger),IF(LEFT(B38,1)="#",_xll.qlCalendarBusinessDaysBetween(Calendar,Settlementdate,DATE(LEFT(SUBSTITUTE(B38,"#",""),4),LEFT(RIGHT(SUBSTITUTE(B38,"#",""),4),2),RIGHT(SUBSTITUTE(B38,"#",""),2)),,,Trigger)-1&amp;"D",SUBSTITUTE(B38,"/","")))</f>
        <v>18Y</v>
      </c>
      <c r="D38" s="101">
        <f t="shared" si="2"/>
        <v>2</v>
      </c>
      <c r="E38" s="101" t="str">
        <f t="shared" si="3"/>
        <v>Annual</v>
      </c>
      <c r="F38" s="97" t="str">
        <f t="shared" si="7"/>
        <v>Modified Following</v>
      </c>
      <c r="G38" s="100" t="str">
        <f t="shared" si="4"/>
        <v>TRUE</v>
      </c>
      <c r="H38" s="97" t="str">
        <f t="shared" si="5"/>
        <v>30/360 (Bond Basis)</v>
      </c>
      <c r="I38" s="102">
        <v>9.8862792899999993E-3</v>
      </c>
      <c r="J38" s="89" t="str">
        <f>IF(LEFT(A38,1)="D",_xll.qlDepositRateHelper2(,I38,IF(RIGHT(C38,1)="N","1D",C38),D38,Calendar,F38,G38,H38,,Trigger),IF(A38="Sw",_xll.qlSwapRateHelper2(,I38,D38,C38,Calendar,"Annual",F38,H38,"Euribor6M",0,"0D",,,,,Trigger),IF(A38="Fr",_xll.qlFraRateHelper(,I38,SUBSTITUTE(LEFT(C38,2),"M","")&amp;"M","Euribor6M",,,,Trigger),IF(A38="Sf",_xll.qlFuturesRateHelper(,I38,,C38,"Euribor3M",0,,Trigger),"--"))))</f>
        <v>obj_000a8#0004</v>
      </c>
      <c r="K38" s="98" t="b">
        <f t="shared" si="6"/>
        <v>1</v>
      </c>
      <c r="M38" s="9" t="str">
        <v>Sw</v>
      </c>
      <c r="N38" s="9" t="str">
        <v>18Y</v>
      </c>
      <c r="O38" s="9" t="str">
        <v>obj_000a8#0004</v>
      </c>
      <c r="P38" s="96">
        <f>_xll.qlRateHelperRate(O38,Trigger)</f>
        <v>9.8862792899999993E-3</v>
      </c>
      <c r="Q38" s="10">
        <f>_xll.qlRateHelperEarliestDate(O38,Trigger)</f>
        <v>42502</v>
      </c>
      <c r="R38" s="10">
        <f>_xll.qlRateHelperPillarDate(O38,Trigger)</f>
        <v>49076</v>
      </c>
      <c r="S38" s="96">
        <v>1.0167978921751683E-2</v>
      </c>
    </row>
    <row r="39" spans="1:19" ht="11.25" customHeight="1" x14ac:dyDescent="0.2">
      <c r="A39" s="91" t="str">
        <v>Sw</v>
      </c>
      <c r="B39" s="91" t="str">
        <v>19Y</v>
      </c>
      <c r="C39" s="91" t="str">
        <f>IF(A39="Sf",_xll.qlIMMNextCode(B39,Trigger),IF(LEFT(B39,1)="#",_xll.qlCalendarBusinessDaysBetween(Calendar,Settlementdate,DATE(LEFT(SUBSTITUTE(B39,"#",""),4),LEFT(RIGHT(SUBSTITUTE(B39,"#",""),4),2),RIGHT(SUBSTITUTE(B39,"#",""),2)),,,Trigger)-1&amp;"D",SUBSTITUTE(B39,"/","")))</f>
        <v>19Y</v>
      </c>
      <c r="D39" s="101">
        <f t="shared" si="2"/>
        <v>2</v>
      </c>
      <c r="E39" s="101" t="str">
        <f t="shared" si="3"/>
        <v>Annual</v>
      </c>
      <c r="F39" s="97" t="str">
        <f t="shared" si="7"/>
        <v>Modified Following</v>
      </c>
      <c r="G39" s="100" t="str">
        <f t="shared" si="4"/>
        <v>TRUE</v>
      </c>
      <c r="H39" s="97" t="str">
        <f t="shared" si="5"/>
        <v>30/360 (Bond Basis)</v>
      </c>
      <c r="I39" s="102">
        <v>1.0100916369999999E-2</v>
      </c>
      <c r="J39" s="89" t="str">
        <f>IF(LEFT(A39,1)="D",_xll.qlDepositRateHelper2(,I39,IF(RIGHT(C39,1)="N","1D",C39),D39,Calendar,F39,G39,H39,,Trigger),IF(A39="Sw",_xll.qlSwapRateHelper2(,I39,D39,C39,Calendar,"Annual",F39,H39,"Euribor6M",0,"0D",,,,,Trigger),IF(A39="Fr",_xll.qlFraRateHelper(,I39,SUBSTITUTE(LEFT(C39,2),"M","")&amp;"M","Euribor6M",,,,Trigger),IF(A39="Sf",_xll.qlFuturesRateHelper(,I39,,C39,"Euribor3M",0,,Trigger),"--"))))</f>
        <v>obj_000a9#0004</v>
      </c>
      <c r="K39" s="98" t="b">
        <f t="shared" si="6"/>
        <v>1</v>
      </c>
      <c r="M39" s="9" t="str">
        <v>Sw</v>
      </c>
      <c r="N39" s="9" t="str">
        <v>19Y</v>
      </c>
      <c r="O39" s="9" t="str">
        <v>obj_000a9#0004</v>
      </c>
      <c r="P39" s="96">
        <f>_xll.qlRateHelperRate(O39,Trigger)</f>
        <v>1.0100916369999999E-2</v>
      </c>
      <c r="Q39" s="10">
        <f>_xll.qlRateHelperEarliestDate(O39,Trigger)</f>
        <v>42502</v>
      </c>
      <c r="R39" s="10">
        <f>_xll.qlRateHelperPillarDate(O39,Trigger)</f>
        <v>49443</v>
      </c>
      <c r="S39" s="96">
        <v>1.0391741812921516E-2</v>
      </c>
    </row>
    <row r="40" spans="1:19" ht="11.25" customHeight="1" x14ac:dyDescent="0.2">
      <c r="A40" s="91" t="str">
        <v>Sw</v>
      </c>
      <c r="B40" s="91" t="str">
        <v>20Y</v>
      </c>
      <c r="C40" s="91" t="str">
        <f>IF(A40="Sf",_xll.qlIMMNextCode(B40,Trigger),IF(LEFT(B40,1)="#",_xll.qlCalendarBusinessDaysBetween(Calendar,Settlementdate,DATE(LEFT(SUBSTITUTE(B40,"#",""),4),LEFT(RIGHT(SUBSTITUTE(B40,"#",""),4),2),RIGHT(SUBSTITUTE(B40,"#",""),2)),,,Trigger)-1&amp;"D",SUBSTITUTE(B40,"/","")))</f>
        <v>20Y</v>
      </c>
      <c r="D40" s="101">
        <f t="shared" si="2"/>
        <v>2</v>
      </c>
      <c r="E40" s="101" t="str">
        <f t="shared" si="3"/>
        <v>Annual</v>
      </c>
      <c r="F40" s="97" t="str">
        <f t="shared" si="7"/>
        <v>Modified Following</v>
      </c>
      <c r="G40" s="100" t="str">
        <f t="shared" si="4"/>
        <v>TRUE</v>
      </c>
      <c r="H40" s="97" t="str">
        <f t="shared" si="5"/>
        <v>30/360 (Bond Basis)</v>
      </c>
      <c r="I40" s="102">
        <v>1.027E-2</v>
      </c>
      <c r="J40" s="89" t="str">
        <f>IF(LEFT(A40,1)="D",_xll.qlDepositRateHelper2(,I40,IF(RIGHT(C40,1)="N","1D",C40),D40,Calendar,F40,G40,H40,,Trigger),IF(A40="Sw",_xll.qlSwapRateHelper2(,I40,D40,C40,Calendar,"Annual",F40,H40,"Euribor6M",0,"0D",,,,,Trigger),IF(A40="Fr",_xll.qlFraRateHelper(,I40,SUBSTITUTE(LEFT(C40,2),"M","")&amp;"M","Euribor6M",,,,Trigger),IF(A40="Sf",_xll.qlFuturesRateHelper(,I40,,C40,"Euribor3M",0,,Trigger),"--"))))</f>
        <v>obj_00094#0004</v>
      </c>
      <c r="K40" s="98" t="b">
        <f t="shared" si="6"/>
        <v>1</v>
      </c>
      <c r="M40" s="9" t="str">
        <v>Sw</v>
      </c>
      <c r="N40" s="9" t="str">
        <v>20Y</v>
      </c>
      <c r="O40" s="9" t="str">
        <v>obj_00094#0004</v>
      </c>
      <c r="P40" s="96">
        <f>_xll.qlRateHelperRate(O40,Trigger)</f>
        <v>1.027E-2</v>
      </c>
      <c r="Q40" s="10">
        <f>_xll.qlRateHelperEarliestDate(O40,Trigger)</f>
        <v>42502</v>
      </c>
      <c r="R40" s="10">
        <f>_xll.qlRateHelperPillarDate(O40,Trigger)</f>
        <v>49807</v>
      </c>
      <c r="S40" s="96">
        <v>1.0564733373867954E-2</v>
      </c>
    </row>
    <row r="41" spans="1:19" ht="11.25" customHeight="1" x14ac:dyDescent="0.2">
      <c r="A41" s="91" t="str">
        <v>Sw</v>
      </c>
      <c r="B41" s="91" t="str">
        <v>21Y</v>
      </c>
      <c r="C41" s="91" t="str">
        <f>IF(A41="Sf",_xll.qlIMMNextCode(B41,Trigger),IF(LEFT(B41,1)="#",_xll.qlCalendarBusinessDaysBetween(Calendar,Settlementdate,DATE(LEFT(SUBSTITUTE(B41,"#",""),4),LEFT(RIGHT(SUBSTITUTE(B41,"#",""),4),2),RIGHT(SUBSTITUTE(B41,"#",""),2)),,,Trigger)-1&amp;"D",SUBSTITUTE(B41,"/","")))</f>
        <v>21Y</v>
      </c>
      <c r="D41" s="101">
        <f t="shared" si="2"/>
        <v>2</v>
      </c>
      <c r="E41" s="101" t="str">
        <f t="shared" si="3"/>
        <v>Annual</v>
      </c>
      <c r="F41" s="97" t="str">
        <f t="shared" si="7"/>
        <v>Modified Following</v>
      </c>
      <c r="G41" s="100" t="str">
        <f t="shared" si="4"/>
        <v>TRUE</v>
      </c>
      <c r="H41" s="97" t="str">
        <f t="shared" si="5"/>
        <v>30/360 (Bond Basis)</v>
      </c>
      <c r="I41" s="102">
        <v>1.039902866E-2</v>
      </c>
      <c r="J41" s="89" t="str">
        <f>IF(LEFT(A41,1)="D",_xll.qlDepositRateHelper2(,I41,IF(RIGHT(C41,1)="N","1D",C41),D41,Calendar,F41,G41,H41,,Trigger),IF(A41="Sw",_xll.qlSwapRateHelper2(,I41,D41,C41,Calendar,"Annual",F41,H41,"Euribor6M",0,"0D",,,,,Trigger),IF(A41="Fr",_xll.qlFraRateHelper(,I41,SUBSTITUTE(LEFT(C41,2),"M","")&amp;"M","Euribor6M",,,,Trigger),IF(A41="Sf",_xll.qlFuturesRateHelper(,I41,,C41,"Euribor3M",0,,Trigger),"--"))))</f>
        <v>obj_000ae#0004</v>
      </c>
      <c r="K41" s="98" t="b">
        <f t="shared" si="6"/>
        <v>1</v>
      </c>
      <c r="M41" s="9" t="str">
        <v>Sw</v>
      </c>
      <c r="N41" s="9" t="str">
        <v>21Y</v>
      </c>
      <c r="O41" s="9" t="str">
        <v>obj_000ae#0004</v>
      </c>
      <c r="P41" s="96">
        <f>_xll.qlRateHelperRate(O41,Trigger)</f>
        <v>1.039902866E-2</v>
      </c>
      <c r="Q41" s="10">
        <f>_xll.qlRateHelperEarliestDate(O41,Trigger)</f>
        <v>42502</v>
      </c>
      <c r="R41" s="10">
        <f>_xll.qlRateHelperPillarDate(O41,Trigger)</f>
        <v>50172</v>
      </c>
      <c r="S41" s="96">
        <v>1.069528262770625E-2</v>
      </c>
    </row>
    <row r="42" spans="1:19" ht="11.25" customHeight="1" x14ac:dyDescent="0.2">
      <c r="A42" s="91" t="str">
        <v>Sw</v>
      </c>
      <c r="B42" s="91" t="str">
        <v>22Y</v>
      </c>
      <c r="C42" s="91" t="str">
        <f>IF(A42="Sf",_xll.qlIMMNextCode(B42,Trigger),IF(LEFT(B42,1)="#",_xll.qlCalendarBusinessDaysBetween(Calendar,Settlementdate,DATE(LEFT(SUBSTITUTE(B42,"#",""),4),LEFT(RIGHT(SUBSTITUTE(B42,"#",""),4),2),RIGHT(SUBSTITUTE(B42,"#",""),2)),,,Trigger)-1&amp;"D",SUBSTITUTE(B42,"/","")))</f>
        <v>22Y</v>
      </c>
      <c r="D42" s="101">
        <f t="shared" si="2"/>
        <v>2</v>
      </c>
      <c r="E42" s="101" t="str">
        <f t="shared" si="3"/>
        <v>Annual</v>
      </c>
      <c r="F42" s="97" t="str">
        <f t="shared" si="7"/>
        <v>Modified Following</v>
      </c>
      <c r="G42" s="100" t="str">
        <f t="shared" si="4"/>
        <v>TRUE</v>
      </c>
      <c r="H42" s="97" t="str">
        <f t="shared" si="5"/>
        <v>30/360 (Bond Basis)</v>
      </c>
      <c r="I42" s="102">
        <v>1.049690717E-2</v>
      </c>
      <c r="J42" s="89" t="str">
        <f>IF(LEFT(A42,1)="D",_xll.qlDepositRateHelper2(,I42,IF(RIGHT(C42,1)="N","1D",C42),D42,Calendar,F42,G42,H42,,Trigger),IF(A42="Sw",_xll.qlSwapRateHelper2(,I42,D42,C42,Calendar,"Annual",F42,H42,"Euribor6M",0,"0D",,,,,Trigger),IF(A42="Fr",_xll.qlFraRateHelper(,I42,SUBSTITUTE(LEFT(C42,2),"M","")&amp;"M","Euribor6M",,,,Trigger),IF(A42="Sf",_xll.qlFuturesRateHelper(,I42,,C42,"Euribor3M",0,,Trigger),"--"))))</f>
        <v>obj_0009b#0004</v>
      </c>
      <c r="K42" s="98" t="b">
        <f t="shared" si="6"/>
        <v>1</v>
      </c>
      <c r="M42" s="9" t="str">
        <v>Sw</v>
      </c>
      <c r="N42" s="9" t="str">
        <v>22Y</v>
      </c>
      <c r="O42" s="9" t="str">
        <v>obj_0009b#0004</v>
      </c>
      <c r="P42" s="96">
        <f>_xll.qlRateHelperRate(O42,Trigger)</f>
        <v>1.049690717E-2</v>
      </c>
      <c r="Q42" s="10">
        <f>_xll.qlRateHelperEarliestDate(O42,Trigger)</f>
        <v>42502</v>
      </c>
      <c r="R42" s="10">
        <f>_xll.qlRateHelperPillarDate(O42,Trigger)</f>
        <v>50537</v>
      </c>
      <c r="S42" s="96">
        <v>1.0791669686364516E-2</v>
      </c>
    </row>
    <row r="43" spans="1:19" ht="11.25" customHeight="1" x14ac:dyDescent="0.2">
      <c r="A43" s="91" t="str">
        <v>Sw</v>
      </c>
      <c r="B43" s="91" t="str">
        <v>23Y</v>
      </c>
      <c r="C43" s="91" t="str">
        <f>IF(A43="Sf",_xll.qlIMMNextCode(B43,Trigger),IF(LEFT(B43,1)="#",_xll.qlCalendarBusinessDaysBetween(Calendar,Settlementdate,DATE(LEFT(SUBSTITUTE(B43,"#",""),4),LEFT(RIGHT(SUBSTITUTE(B43,"#",""),4),2),RIGHT(SUBSTITUTE(B43,"#",""),2)),,,Trigger)-1&amp;"D",SUBSTITUTE(B43,"/","")))</f>
        <v>23Y</v>
      </c>
      <c r="D43" s="101">
        <f t="shared" si="2"/>
        <v>2</v>
      </c>
      <c r="E43" s="101" t="str">
        <f t="shared" si="3"/>
        <v>Annual</v>
      </c>
      <c r="F43" s="97" t="str">
        <f t="shared" si="7"/>
        <v>Modified Following</v>
      </c>
      <c r="G43" s="100" t="str">
        <f t="shared" si="4"/>
        <v>TRUE</v>
      </c>
      <c r="H43" s="97" t="str">
        <f t="shared" si="5"/>
        <v>30/360 (Bond Basis)</v>
      </c>
      <c r="I43" s="102">
        <v>1.0568040020000001E-2</v>
      </c>
      <c r="J43" s="89" t="str">
        <f>IF(LEFT(A43,1)="D",_xll.qlDepositRateHelper2(,I43,IF(RIGHT(C43,1)="N","1D",C43),D43,Calendar,F43,G43,H43,,Trigger),IF(A43="Sw",_xll.qlSwapRateHelper2(,I43,D43,C43,Calendar,"Annual",F43,H43,"Euribor6M",0,"0D",,,,,Trigger),IF(A43="Fr",_xll.qlFraRateHelper(,I43,SUBSTITUTE(LEFT(C43,2),"M","")&amp;"M","Euribor6M",,,,Trigger),IF(A43="Sf",_xll.qlFuturesRateHelper(,I43,,C43,"Euribor3M",0,,Trigger),"--"))))</f>
        <v>obj_000a7#0004</v>
      </c>
      <c r="K43" s="98" t="b">
        <f t="shared" si="6"/>
        <v>1</v>
      </c>
      <c r="M43" s="9" t="str">
        <v>Sw</v>
      </c>
      <c r="N43" s="9" t="str">
        <v>23Y</v>
      </c>
      <c r="O43" s="9" t="str">
        <v>obj_000a7#0004</v>
      </c>
      <c r="P43" s="96">
        <f>_xll.qlRateHelperRate(O43,Trigger)</f>
        <v>1.0568040020000001E-2</v>
      </c>
      <c r="Q43" s="10">
        <f>_xll.qlRateHelperEarliestDate(O43,Trigger)</f>
        <v>42502</v>
      </c>
      <c r="R43" s="10">
        <f>_xll.qlRateHelperPillarDate(O43,Trigger)</f>
        <v>50902</v>
      </c>
      <c r="S43" s="96">
        <v>1.0858581274826659E-2</v>
      </c>
    </row>
    <row r="44" spans="1:19" ht="11.25" customHeight="1" x14ac:dyDescent="0.2">
      <c r="A44" s="91" t="str">
        <v>Sw</v>
      </c>
      <c r="B44" s="91" t="str">
        <v>24Y</v>
      </c>
      <c r="C44" s="91" t="str">
        <f>IF(A44="Sf",_xll.qlIMMNextCode(B44,Trigger),IF(LEFT(B44,1)="#",_xll.qlCalendarBusinessDaysBetween(Calendar,Settlementdate,DATE(LEFT(SUBSTITUTE(B44,"#",""),4),LEFT(RIGHT(SUBSTITUTE(B44,"#",""),4),2),RIGHT(SUBSTITUTE(B44,"#",""),2)),,,Trigger)-1&amp;"D",SUBSTITUTE(B44,"/","")))</f>
        <v>24Y</v>
      </c>
      <c r="D44" s="101">
        <f t="shared" si="2"/>
        <v>2</v>
      </c>
      <c r="E44" s="101" t="str">
        <f t="shared" si="3"/>
        <v>Annual</v>
      </c>
      <c r="F44" s="97" t="str">
        <f t="shared" si="7"/>
        <v>Modified Following</v>
      </c>
      <c r="G44" s="100" t="str">
        <f t="shared" si="4"/>
        <v>TRUE</v>
      </c>
      <c r="H44" s="97" t="str">
        <f t="shared" si="5"/>
        <v>30/360 (Bond Basis)</v>
      </c>
      <c r="I44" s="102">
        <v>1.0618290260000001E-2</v>
      </c>
      <c r="J44" s="89" t="str">
        <f>IF(LEFT(A44,1)="D",_xll.qlDepositRateHelper2(,I44,IF(RIGHT(C44,1)="N","1D",C44),D44,Calendar,F44,G44,H44,,Trigger),IF(A44="Sw",_xll.qlSwapRateHelper2(,I44,D44,C44,Calendar,"Annual",F44,H44,"Euribor6M",0,"0D",,,,,Trigger),IF(A44="Fr",_xll.qlFraRateHelper(,I44,SUBSTITUTE(LEFT(C44,2),"M","")&amp;"M","Euribor6M",,,,Trigger),IF(A44="Sf",_xll.qlFuturesRateHelper(,I44,,C44,"Euribor3M",0,,Trigger),"--"))))</f>
        <v>obj_0009a#0004</v>
      </c>
      <c r="K44" s="98" t="b">
        <f t="shared" si="6"/>
        <v>1</v>
      </c>
      <c r="M44" s="9" t="str">
        <v>Sw</v>
      </c>
      <c r="N44" s="9" t="str">
        <v>24Y</v>
      </c>
      <c r="O44" s="9" t="str">
        <v>obj_0009a#0004</v>
      </c>
      <c r="P44" s="96">
        <f>_xll.qlRateHelperRate(O44,Trigger)</f>
        <v>1.0618290260000001E-2</v>
      </c>
      <c r="Q44" s="10">
        <f>_xll.qlRateHelperEarliestDate(O44,Trigger)</f>
        <v>42502</v>
      </c>
      <c r="R44" s="10">
        <f>_xll.qlRateHelperPillarDate(O44,Trigger)</f>
        <v>51270</v>
      </c>
      <c r="S44" s="96">
        <v>1.0901199487372979E-2</v>
      </c>
    </row>
    <row r="45" spans="1:19" ht="11.25" customHeight="1" x14ac:dyDescent="0.2">
      <c r="A45" s="91" t="str">
        <v>Sw</v>
      </c>
      <c r="B45" s="91" t="str">
        <v>25Y</v>
      </c>
      <c r="C45" s="91" t="str">
        <f>IF(A45="Sf",_xll.qlIMMNextCode(B45,Trigger),IF(LEFT(B45,1)="#",_xll.qlCalendarBusinessDaysBetween(Calendar,Settlementdate,DATE(LEFT(SUBSTITUTE(B45,"#",""),4),LEFT(RIGHT(SUBSTITUTE(B45,"#",""),4),2),RIGHT(SUBSTITUTE(B45,"#",""),2)),,,Trigger)-1&amp;"D",SUBSTITUTE(B45,"/","")))</f>
        <v>25Y</v>
      </c>
      <c r="D45" s="101">
        <f t="shared" si="2"/>
        <v>2</v>
      </c>
      <c r="E45" s="101" t="str">
        <f t="shared" si="3"/>
        <v>Annual</v>
      </c>
      <c r="F45" s="97" t="str">
        <f t="shared" si="7"/>
        <v>Modified Following</v>
      </c>
      <c r="G45" s="100" t="str">
        <f t="shared" si="4"/>
        <v>TRUE</v>
      </c>
      <c r="H45" s="97" t="str">
        <f t="shared" si="5"/>
        <v>30/360 (Bond Basis)</v>
      </c>
      <c r="I45" s="102">
        <v>1.065E-2</v>
      </c>
      <c r="J45" s="89" t="str">
        <f>IF(LEFT(A45,1)="D",_xll.qlDepositRateHelper2(,I45,IF(RIGHT(C45,1)="N","1D",C45),D45,Calendar,F45,G45,H45,,Trigger),IF(A45="Sw",_xll.qlSwapRateHelper2(,I45,D45,C45,Calendar,"Annual",F45,H45,"Euribor6M",0,"0D",,,,,Trigger),IF(A45="Fr",_xll.qlFraRateHelper(,I45,SUBSTITUTE(LEFT(C45,2),"M","")&amp;"M","Euribor6M",,,,Trigger),IF(A45="Sf",_xll.qlFuturesRateHelper(,I45,,C45,"Euribor3M",0,,Trigger),"--"))))</f>
        <v>obj_000a1#0004</v>
      </c>
      <c r="K45" s="98" t="b">
        <f t="shared" si="6"/>
        <v>1</v>
      </c>
      <c r="M45" s="9" t="str">
        <v>Sw</v>
      </c>
      <c r="N45" s="9" t="str">
        <v>25Y</v>
      </c>
      <c r="O45" s="9" t="str">
        <v>obj_000a1#0004</v>
      </c>
      <c r="P45" s="96">
        <f>_xll.qlRateHelperRate(O45,Trigger)</f>
        <v>1.065E-2</v>
      </c>
      <c r="Q45" s="10">
        <f>_xll.qlRateHelperEarliestDate(O45,Trigger)</f>
        <v>42502</v>
      </c>
      <c r="R45" s="10">
        <f>_xll.qlRateHelperPillarDate(O45,Trigger)</f>
        <v>51634</v>
      </c>
      <c r="S45" s="96">
        <v>1.0924683620776168E-2</v>
      </c>
    </row>
    <row r="46" spans="1:19" ht="11.25" customHeight="1" x14ac:dyDescent="0.2">
      <c r="A46" s="91" t="str">
        <v>Sw</v>
      </c>
      <c r="B46" s="91" t="str">
        <v>26Y</v>
      </c>
      <c r="C46" s="91" t="str">
        <f>IF(A46="Sf",_xll.qlIMMNextCode(B46,Trigger),IF(LEFT(B46,1)="#",_xll.qlCalendarBusinessDaysBetween(Calendar,Settlementdate,DATE(LEFT(SUBSTITUTE(B46,"#",""),4),LEFT(RIGHT(SUBSTITUTE(B46,"#",""),4),2),RIGHT(SUBSTITUTE(B46,"#",""),2)),,,Trigger)-1&amp;"D",SUBSTITUTE(B46,"/","")))</f>
        <v>26Y</v>
      </c>
      <c r="D46" s="101">
        <f t="shared" si="2"/>
        <v>2</v>
      </c>
      <c r="E46" s="101" t="str">
        <f t="shared" si="3"/>
        <v>Annual</v>
      </c>
      <c r="F46" s="97" t="str">
        <f t="shared" si="7"/>
        <v>Modified Following</v>
      </c>
      <c r="G46" s="100" t="str">
        <f t="shared" si="4"/>
        <v>TRUE</v>
      </c>
      <c r="H46" s="97" t="str">
        <f t="shared" si="5"/>
        <v>30/360 (Bond Basis)</v>
      </c>
      <c r="I46" s="102">
        <v>1.0668286499999999E-2</v>
      </c>
      <c r="J46" s="89" t="str">
        <f>IF(LEFT(A46,1)="D",_xll.qlDepositRateHelper2(,I46,IF(RIGHT(C46,1)="N","1D",C46),D46,Calendar,F46,G46,H46,,Trigger),IF(A46="Sw",_xll.qlSwapRateHelper2(,I46,D46,C46,Calendar,"Annual",F46,H46,"Euribor6M",0,"0D",,,,,Trigger),IF(A46="Fr",_xll.qlFraRateHelper(,I46,SUBSTITUTE(LEFT(C46,2),"M","")&amp;"M","Euribor6M",,,,Trigger),IF(A46="Sf",_xll.qlFuturesRateHelper(,I46,,C46,"Euribor3M",0,,Trigger),"--"))))</f>
        <v>obj_000b2#0004</v>
      </c>
      <c r="K46" s="98" t="b">
        <f t="shared" si="6"/>
        <v>1</v>
      </c>
      <c r="M46" s="9" t="str">
        <v>Sw</v>
      </c>
      <c r="N46" s="9" t="str">
        <v>26Y</v>
      </c>
      <c r="O46" s="9" t="str">
        <v>obj_000b2#0004</v>
      </c>
      <c r="P46" s="96">
        <f>_xll.qlRateHelperRate(O46,Trigger)</f>
        <v>1.0668286499999999E-2</v>
      </c>
      <c r="Q46" s="10">
        <f>_xll.qlRateHelperEarliestDate(O46,Trigger)</f>
        <v>42502</v>
      </c>
      <c r="R46" s="10">
        <f>_xll.qlRateHelperPillarDate(O46,Trigger)</f>
        <v>51998</v>
      </c>
      <c r="S46" s="96">
        <v>1.0933434018257989E-2</v>
      </c>
    </row>
    <row r="47" spans="1:19" ht="11.25" customHeight="1" x14ac:dyDescent="0.2">
      <c r="A47" s="91" t="str">
        <v>Sw</v>
      </c>
      <c r="B47" s="91" t="str">
        <v>27Y</v>
      </c>
      <c r="C47" s="91" t="str">
        <f>IF(A47="Sf",_xll.qlIMMNextCode(B47,Trigger),IF(LEFT(B47,1)="#",_xll.qlCalendarBusinessDaysBetween(Calendar,Settlementdate,DATE(LEFT(SUBSTITUTE(B47,"#",""),4),LEFT(RIGHT(SUBSTITUTE(B47,"#",""),4),2),RIGHT(SUBSTITUTE(B47,"#",""),2)),,,Trigger)-1&amp;"D",SUBSTITUTE(B47,"/","")))</f>
        <v>27Y</v>
      </c>
      <c r="D47" s="101">
        <f t="shared" si="2"/>
        <v>2</v>
      </c>
      <c r="E47" s="101" t="str">
        <f t="shared" si="3"/>
        <v>Annual</v>
      </c>
      <c r="F47" s="97" t="str">
        <f t="shared" si="7"/>
        <v>Modified Following</v>
      </c>
      <c r="G47" s="100" t="str">
        <f t="shared" si="4"/>
        <v>TRUE</v>
      </c>
      <c r="H47" s="97" t="str">
        <f t="shared" si="5"/>
        <v>30/360 (Bond Basis)</v>
      </c>
      <c r="I47" s="102">
        <v>1.0676107800000001E-2</v>
      </c>
      <c r="J47" s="89" t="str">
        <f>IF(LEFT(A47,1)="D",_xll.qlDepositRateHelper2(,I47,IF(RIGHT(C47,1)="N","1D",C47),D47,Calendar,F47,G47,H47,,Trigger),IF(A47="Sw",_xll.qlSwapRateHelper2(,I47,D47,C47,Calendar,"Annual",F47,H47,"Euribor6M",0,"0D",,,,,Trigger),IF(A47="Fr",_xll.qlFraRateHelper(,I47,SUBSTITUTE(LEFT(C47,2),"M","")&amp;"M","Euribor6M",,,,Trigger),IF(A47="Sf",_xll.qlFuturesRateHelper(,I47,,C47,"Euribor3M",0,,Trigger),"--"))))</f>
        <v>obj_000a4#0004</v>
      </c>
      <c r="K47" s="98" t="b">
        <f t="shared" si="6"/>
        <v>1</v>
      </c>
      <c r="M47" s="9" t="str">
        <v>Sw</v>
      </c>
      <c r="N47" s="9" t="str">
        <v>27Y</v>
      </c>
      <c r="O47" s="9" t="str">
        <v>obj_000a4#0004</v>
      </c>
      <c r="P47" s="96">
        <f>_xll.qlRateHelperRate(O47,Trigger)</f>
        <v>1.0676107800000001E-2</v>
      </c>
      <c r="Q47" s="10">
        <f>_xll.qlRateHelperEarliestDate(O47,Trigger)</f>
        <v>42502</v>
      </c>
      <c r="R47" s="10">
        <f>_xll.qlRateHelperPillarDate(O47,Trigger)</f>
        <v>52363</v>
      </c>
      <c r="S47" s="96">
        <v>1.0930747165223844E-2</v>
      </c>
    </row>
    <row r="48" spans="1:19" ht="11.25" customHeight="1" x14ac:dyDescent="0.2">
      <c r="A48" s="91" t="str">
        <v>Sw</v>
      </c>
      <c r="B48" s="91" t="str">
        <v>28Y</v>
      </c>
      <c r="C48" s="91" t="str">
        <f>IF(A48="Sf",_xll.qlIMMNextCode(B48,Trigger),IF(LEFT(B48,1)="#",_xll.qlCalendarBusinessDaysBetween(Calendar,Settlementdate,DATE(LEFT(SUBSTITUTE(B48,"#",""),4),LEFT(RIGHT(SUBSTITUTE(B48,"#",""),4),2),RIGHT(SUBSTITUTE(B48,"#",""),2)),,,Trigger)-1&amp;"D",SUBSTITUTE(B48,"/","")))</f>
        <v>28Y</v>
      </c>
      <c r="D48" s="101">
        <f t="shared" si="2"/>
        <v>2</v>
      </c>
      <c r="E48" s="101" t="str">
        <f t="shared" si="3"/>
        <v>Annual</v>
      </c>
      <c r="F48" s="97" t="str">
        <f t="shared" si="7"/>
        <v>Modified Following</v>
      </c>
      <c r="G48" s="100" t="str">
        <f t="shared" si="4"/>
        <v>TRUE</v>
      </c>
      <c r="H48" s="97" t="str">
        <f t="shared" si="5"/>
        <v>30/360 (Bond Basis)</v>
      </c>
      <c r="I48" s="102">
        <v>1.067659046E-2</v>
      </c>
      <c r="J48" s="89" t="str">
        <f>IF(LEFT(A48,1)="D",_xll.qlDepositRateHelper2(,I48,IF(RIGHT(C48,1)="N","1D",C48),D48,Calendar,F48,G48,H48,,Trigger),IF(A48="Sw",_xll.qlSwapRateHelper2(,I48,D48,C48,Calendar,"Annual",F48,H48,"Euribor6M",0,"0D",,,,,Trigger),IF(A48="Fr",_xll.qlFraRateHelper(,I48,SUBSTITUTE(LEFT(C48,2),"M","")&amp;"M","Euribor6M",,,,Trigger),IF(A48="Sf",_xll.qlFuturesRateHelper(,I48,,C48,"Euribor3M",0,,Trigger),"--"))))</f>
        <v>obj_0008e#0004</v>
      </c>
      <c r="K48" s="98" t="b">
        <f t="shared" si="6"/>
        <v>1</v>
      </c>
      <c r="M48" s="9" t="str">
        <v>Sw</v>
      </c>
      <c r="N48" s="9" t="str">
        <v>28Y</v>
      </c>
      <c r="O48" s="9" t="str">
        <v>obj_0008e#0004</v>
      </c>
      <c r="P48" s="96">
        <f>_xll.qlRateHelperRate(O48,Trigger)</f>
        <v>1.067659046E-2</v>
      </c>
      <c r="Q48" s="10">
        <f>_xll.qlRateHelperEarliestDate(O48,Trigger)</f>
        <v>42502</v>
      </c>
      <c r="R48" s="10">
        <f>_xll.qlRateHelperPillarDate(O48,Trigger)</f>
        <v>52729</v>
      </c>
      <c r="S48" s="96">
        <v>1.0919144480263814E-2</v>
      </c>
    </row>
    <row r="49" spans="1:19" ht="11.25" customHeight="1" x14ac:dyDescent="0.2">
      <c r="A49" s="91" t="str">
        <v>Sw</v>
      </c>
      <c r="B49" s="91" t="str">
        <v>29Y</v>
      </c>
      <c r="C49" s="91" t="str">
        <f>IF(A49="Sf",_xll.qlIMMNextCode(B49,Trigger),IF(LEFT(B49,1)="#",_xll.qlCalendarBusinessDaysBetween(Calendar,Settlementdate,DATE(LEFT(SUBSTITUTE(B49,"#",""),4),LEFT(RIGHT(SUBSTITUTE(B49,"#",""),4),2),RIGHT(SUBSTITUTE(B49,"#",""),2)),,,Trigger)-1&amp;"D",SUBSTITUTE(B49,"/","")))</f>
        <v>29Y</v>
      </c>
      <c r="D49" s="101">
        <f t="shared" si="2"/>
        <v>2</v>
      </c>
      <c r="E49" s="101" t="str">
        <f t="shared" si="3"/>
        <v>Annual</v>
      </c>
      <c r="F49" s="97" t="str">
        <f t="shared" si="7"/>
        <v>Modified Following</v>
      </c>
      <c r="G49" s="100" t="str">
        <f t="shared" si="4"/>
        <v>TRUE</v>
      </c>
      <c r="H49" s="97" t="str">
        <f t="shared" si="5"/>
        <v>30/360 (Bond Basis)</v>
      </c>
      <c r="I49" s="102">
        <v>1.0670168609999999E-2</v>
      </c>
      <c r="J49" s="89" t="str">
        <f>IF(LEFT(A49,1)="D",_xll.qlDepositRateHelper2(,I49,IF(RIGHT(C49,1)="N","1D",C49),D49,Calendar,F49,G49,H49,,Trigger),IF(A49="Sw",_xll.qlSwapRateHelper2(,I49,D49,C49,Calendar,"Annual",F49,H49,"Euribor6M",0,"0D",,,,,Trigger),IF(A49="Fr",_xll.qlFraRateHelper(,I49,SUBSTITUTE(LEFT(C49,2),"M","")&amp;"M","Euribor6M",,,,Trigger),IF(A49="Sf",_xll.qlFuturesRateHelper(,I49,,C49,"Euribor3M",0,,Trigger),"--"))))</f>
        <v>obj_00090#0004</v>
      </c>
      <c r="K49" s="98" t="b">
        <f t="shared" si="6"/>
        <v>1</v>
      </c>
      <c r="M49" s="9" t="str">
        <v>Sw</v>
      </c>
      <c r="N49" s="9" t="str">
        <v>29Y</v>
      </c>
      <c r="O49" s="9" t="str">
        <v>obj_00090#0004</v>
      </c>
      <c r="P49" s="96">
        <f>_xll.qlRateHelperRate(O49,Trigger)</f>
        <v>1.0670168609999999E-2</v>
      </c>
      <c r="Q49" s="10">
        <f>_xll.qlRateHelperEarliestDate(O49,Trigger)</f>
        <v>42502</v>
      </c>
      <c r="R49" s="10">
        <f>_xll.qlRateHelperPillarDate(O49,Trigger)</f>
        <v>53094</v>
      </c>
      <c r="S49" s="96">
        <v>1.0901201016892114E-2</v>
      </c>
    </row>
    <row r="50" spans="1:19" ht="11.25" customHeight="1" x14ac:dyDescent="0.2">
      <c r="A50" s="91" t="str">
        <v>Sw</v>
      </c>
      <c r="B50" s="91" t="str">
        <v>30Y</v>
      </c>
      <c r="C50" s="91" t="str">
        <f>IF(A50="Sf",_xll.qlIMMNextCode(B50,Trigger),IF(LEFT(B50,1)="#",_xll.qlCalendarBusinessDaysBetween(Calendar,Settlementdate,DATE(LEFT(SUBSTITUTE(B50,"#",""),4),LEFT(RIGHT(SUBSTITUTE(B50,"#",""),4),2),RIGHT(SUBSTITUTE(B50,"#",""),2)),,,Trigger)-1&amp;"D",SUBSTITUTE(B50,"/","")))</f>
        <v>30Y</v>
      </c>
      <c r="D50" s="101">
        <f t="shared" si="2"/>
        <v>2</v>
      </c>
      <c r="E50" s="101" t="str">
        <f t="shared" si="3"/>
        <v>Annual</v>
      </c>
      <c r="F50" s="97" t="str">
        <f t="shared" si="7"/>
        <v>Modified Following</v>
      </c>
      <c r="G50" s="100" t="str">
        <f t="shared" si="4"/>
        <v>TRUE</v>
      </c>
      <c r="H50" s="97" t="str">
        <f t="shared" si="5"/>
        <v>30/360 (Bond Basis)</v>
      </c>
      <c r="I50" s="102">
        <v>1.0660000000000001E-2</v>
      </c>
      <c r="J50" s="89" t="str">
        <f>IF(LEFT(A50,1)="D",_xll.qlDepositRateHelper2(,I50,IF(RIGHT(C50,1)="N","1D",C50),D50,Calendar,F50,G50,H50,,Trigger),IF(A50="Sw",_xll.qlSwapRateHelper2(,I50,D50,C50,Calendar,"Annual",F50,H50,"Euribor6M",0,"0D",,,,,Trigger),IF(A50="Fr",_xll.qlFraRateHelper(,I50,SUBSTITUTE(LEFT(C50,2),"M","")&amp;"M","Euribor6M",,,,Trigger),IF(A50="Sf",_xll.qlFuturesRateHelper(,I50,,C50,"Euribor3M",0,,Trigger),"--"))))</f>
        <v>obj_000b0#0004</v>
      </c>
      <c r="K50" s="98" t="b">
        <f t="shared" si="6"/>
        <v>1</v>
      </c>
      <c r="M50" s="9" t="str">
        <v>Sw</v>
      </c>
      <c r="N50" s="9" t="str">
        <v>30Y</v>
      </c>
      <c r="O50" s="9" t="str">
        <v>obj_000b0#0004</v>
      </c>
      <c r="P50" s="96">
        <f>_xll.qlRateHelperRate(O50,Trigger)</f>
        <v>1.0660000000000001E-2</v>
      </c>
      <c r="Q50" s="10">
        <f>_xll.qlRateHelperEarliestDate(O50,Trigger)</f>
        <v>42502</v>
      </c>
      <c r="R50" s="10">
        <f>_xll.qlRateHelperPillarDate(O50,Trigger)</f>
        <v>53461</v>
      </c>
      <c r="S50" s="96">
        <v>1.0879443550048985E-2</v>
      </c>
    </row>
    <row r="51" spans="1:19" ht="11.25" customHeight="1" x14ac:dyDescent="0.2">
      <c r="A51" s="91" t="str">
        <v>Sw</v>
      </c>
      <c r="B51" s="91" t="str">
        <v>31Y</v>
      </c>
      <c r="C51" s="91" t="str">
        <f>IF(A51="Sf",_xll.qlIMMNextCode(B51,Trigger),IF(LEFT(B51,1)="#",_xll.qlCalendarBusinessDaysBetween(Calendar,Settlementdate,DATE(LEFT(SUBSTITUTE(B51,"#",""),4),LEFT(RIGHT(SUBSTITUTE(B51,"#",""),4),2),RIGHT(SUBSTITUTE(B51,"#",""),2)),,,Trigger)-1&amp;"D",SUBSTITUTE(B51,"/","")))</f>
        <v>31Y</v>
      </c>
      <c r="D51" s="101">
        <f t="shared" si="2"/>
        <v>2</v>
      </c>
      <c r="E51" s="101" t="str">
        <f t="shared" si="3"/>
        <v>Annual</v>
      </c>
      <c r="F51" s="97" t="str">
        <f t="shared" si="7"/>
        <v>Modified Following</v>
      </c>
      <c r="G51" s="100" t="str">
        <f t="shared" si="4"/>
        <v>TRUE</v>
      </c>
      <c r="H51" s="97" t="str">
        <f t="shared" si="5"/>
        <v>30/360 (Bond Basis)</v>
      </c>
      <c r="I51" s="102">
        <v>1.06478036E-2</v>
      </c>
      <c r="J51" s="89" t="str">
        <f>IF(LEFT(A51,1)="D",_xll.qlDepositRateHelper2(,I51,IF(RIGHT(C51,1)="N","1D",C51),D51,Calendar,F51,G51,H51,,Trigger),IF(A51="Sw",_xll.qlSwapRateHelper2(,I51,D51,C51,Calendar,"Annual",F51,H51,"Euribor6M",0,"0D",,,,,Trigger),IF(A51="Fr",_xll.qlFraRateHelper(,I51,SUBSTITUTE(LEFT(C51,2),"M","")&amp;"M","Euribor6M",,,,Trigger),IF(A51="Sf",_xll.qlFuturesRateHelper(,I51,,C51,"Euribor3M",0,,Trigger),"--"))))</f>
        <v>obj_0009f#0004</v>
      </c>
      <c r="K51" s="98" t="b">
        <f t="shared" si="6"/>
        <v>1</v>
      </c>
      <c r="M51" s="9" t="str">
        <v>Sw</v>
      </c>
      <c r="N51" s="9" t="str">
        <v>31Y</v>
      </c>
      <c r="O51" s="9" t="str">
        <v>obj_0009f#0004</v>
      </c>
      <c r="P51" s="96">
        <f>_xll.qlRateHelperRate(O51,Trigger)</f>
        <v>1.06478036E-2</v>
      </c>
      <c r="Q51" s="10">
        <f>_xll.qlRateHelperEarliestDate(O51,Trigger)</f>
        <v>42502</v>
      </c>
      <c r="R51" s="10">
        <f>_xll.qlRateHelperPillarDate(O51,Trigger)</f>
        <v>53825</v>
      </c>
      <c r="S51" s="96">
        <v>1.085593592786931E-2</v>
      </c>
    </row>
    <row r="52" spans="1:19" ht="11.25" customHeight="1" x14ac:dyDescent="0.2">
      <c r="A52" s="91" t="str">
        <v>Sw</v>
      </c>
      <c r="B52" s="91" t="str">
        <v>32Y</v>
      </c>
      <c r="C52" s="91" t="str">
        <f>IF(A52="Sf",_xll.qlIMMNextCode(B52,Trigger),IF(LEFT(B52,1)="#",_xll.qlCalendarBusinessDaysBetween(Calendar,Settlementdate,DATE(LEFT(SUBSTITUTE(B52,"#",""),4),LEFT(RIGHT(SUBSTITUTE(B52,"#",""),4),2),RIGHT(SUBSTITUTE(B52,"#",""),2)),,,Trigger)-1&amp;"D",SUBSTITUTE(B52,"/","")))</f>
        <v>32Y</v>
      </c>
      <c r="D52" s="101">
        <f t="shared" si="2"/>
        <v>2</v>
      </c>
      <c r="E52" s="101" t="str">
        <f t="shared" si="3"/>
        <v>Annual</v>
      </c>
      <c r="F52" s="97" t="str">
        <f t="shared" si="7"/>
        <v>Modified Following</v>
      </c>
      <c r="G52" s="100" t="str">
        <f t="shared" si="4"/>
        <v>TRUE</v>
      </c>
      <c r="H52" s="97" t="str">
        <f t="shared" si="5"/>
        <v>30/360 (Bond Basis)</v>
      </c>
      <c r="I52" s="102">
        <v>1.0634725439999999E-2</v>
      </c>
      <c r="J52" s="89" t="str">
        <f>IF(LEFT(A52,1)="D",_xll.qlDepositRateHelper2(,I52,IF(RIGHT(C52,1)="N","1D",C52),D52,Calendar,F52,G52,H52,,Trigger),IF(A52="Sw",_xll.qlSwapRateHelper2(,I52,D52,C52,Calendar,"Annual",F52,H52,"Euribor6M",0,"0D",,,,,Trigger),IF(A52="Fr",_xll.qlFraRateHelper(,I52,SUBSTITUTE(LEFT(C52,2),"M","")&amp;"M","Euribor6M",,,,Trigger),IF(A52="Sf",_xll.qlFuturesRateHelper(,I52,,C52,"Euribor3M",0,,Trigger),"--"))))</f>
        <v>obj_000ab#0004</v>
      </c>
      <c r="K52" s="98" t="b">
        <f t="shared" si="6"/>
        <v>1</v>
      </c>
      <c r="M52" s="9" t="str">
        <v>Sw</v>
      </c>
      <c r="N52" s="9" t="str">
        <v>32Y</v>
      </c>
      <c r="O52" s="9" t="str">
        <v>obj_000ab#0004</v>
      </c>
      <c r="P52" s="96">
        <f>_xll.qlRateHelperRate(O52,Trigger)</f>
        <v>1.0634725439999999E-2</v>
      </c>
      <c r="Q52" s="10">
        <f>_xll.qlRateHelperEarliestDate(O52,Trigger)</f>
        <v>42502</v>
      </c>
      <c r="R52" s="10">
        <f>_xll.qlRateHelperPillarDate(O52,Trigger)</f>
        <v>54190</v>
      </c>
      <c r="S52" s="96">
        <v>1.0831007694790911E-2</v>
      </c>
    </row>
    <row r="53" spans="1:19" ht="11.25" customHeight="1" x14ac:dyDescent="0.2">
      <c r="A53" s="91" t="str">
        <v>Sw</v>
      </c>
      <c r="B53" s="91" t="str">
        <v>33Y</v>
      </c>
      <c r="C53" s="91" t="str">
        <f>IF(A53="Sf",_xll.qlIMMNextCode(B53,Trigger),IF(LEFT(B53,1)="#",_xll.qlCalendarBusinessDaysBetween(Calendar,Settlementdate,DATE(LEFT(SUBSTITUTE(B53,"#",""),4),LEFT(RIGHT(SUBSTITUTE(B53,"#",""),4),2),RIGHT(SUBSTITUTE(B53,"#",""),2)),,,Trigger)-1&amp;"D",SUBSTITUTE(B53,"/","")))</f>
        <v>33Y</v>
      </c>
      <c r="D53" s="101">
        <f t="shared" si="2"/>
        <v>2</v>
      </c>
      <c r="E53" s="101" t="str">
        <f t="shared" si="3"/>
        <v>Annual</v>
      </c>
      <c r="F53" s="97" t="str">
        <f t="shared" si="7"/>
        <v>Modified Following</v>
      </c>
      <c r="G53" s="100" t="str">
        <f t="shared" si="4"/>
        <v>TRUE</v>
      </c>
      <c r="H53" s="97" t="str">
        <f t="shared" si="5"/>
        <v>30/360 (Bond Basis)</v>
      </c>
      <c r="I53" s="102">
        <v>1.0618809279999999E-2</v>
      </c>
      <c r="J53" s="89" t="str">
        <f>IF(LEFT(A53,1)="D",_xll.qlDepositRateHelper2(,I53,IF(RIGHT(C53,1)="N","1D",C53),D53,Calendar,F53,G53,H53,,Trigger),IF(A53="Sw",_xll.qlSwapRateHelper2(,I53,D53,C53,Calendar,"Annual",F53,H53,"Euribor6M",0,"0D",,,,,Trigger),IF(A53="Fr",_xll.qlFraRateHelper(,I53,SUBSTITUTE(LEFT(C53,2),"M","")&amp;"M","Euribor6M",,,,Trigger),IF(A53="Sf",_xll.qlFuturesRateHelper(,I53,,C53,"Euribor3M",0,,Trigger),"--"))))</f>
        <v>obj_0009d#0004</v>
      </c>
      <c r="K53" s="98" t="b">
        <f t="shared" si="6"/>
        <v>1</v>
      </c>
      <c r="M53" s="9" t="str">
        <v>Sw</v>
      </c>
      <c r="N53" s="9" t="str">
        <v>33Y</v>
      </c>
      <c r="O53" s="9" t="str">
        <v>obj_0009d#0004</v>
      </c>
      <c r="P53" s="96">
        <f>_xll.qlRateHelperRate(O53,Trigger)</f>
        <v>1.0618809279999999E-2</v>
      </c>
      <c r="Q53" s="10">
        <f>_xll.qlRateHelperEarliestDate(O53,Trigger)</f>
        <v>42502</v>
      </c>
      <c r="R53" s="10">
        <f>_xll.qlRateHelperPillarDate(O53,Trigger)</f>
        <v>54555</v>
      </c>
      <c r="S53" s="96">
        <v>1.0804103500216496E-2</v>
      </c>
    </row>
    <row r="54" spans="1:19" ht="11.25" customHeight="1" x14ac:dyDescent="0.2">
      <c r="A54" s="91" t="str">
        <v>Sw</v>
      </c>
      <c r="B54" s="91" t="str">
        <v>34Y</v>
      </c>
      <c r="C54" s="91" t="str">
        <f>IF(A54="Sf",_xll.qlIMMNextCode(B54,Trigger),IF(LEFT(B54,1)="#",_xll.qlCalendarBusinessDaysBetween(Calendar,Settlementdate,DATE(LEFT(SUBSTITUTE(B54,"#",""),4),LEFT(RIGHT(SUBSTITUTE(B54,"#",""),4),2),RIGHT(SUBSTITUTE(B54,"#",""),2)),,,Trigger)-1&amp;"D",SUBSTITUTE(B54,"/","")))</f>
        <v>34Y</v>
      </c>
      <c r="D54" s="101">
        <f t="shared" si="2"/>
        <v>2</v>
      </c>
      <c r="E54" s="101" t="str">
        <f t="shared" si="3"/>
        <v>Annual</v>
      </c>
      <c r="F54" s="97" t="str">
        <f t="shared" si="7"/>
        <v>Modified Following</v>
      </c>
      <c r="G54" s="100" t="str">
        <f t="shared" si="4"/>
        <v>TRUE</v>
      </c>
      <c r="H54" s="97" t="str">
        <f t="shared" si="5"/>
        <v>30/360 (Bond Basis)</v>
      </c>
      <c r="I54" s="102">
        <v>1.0600647789999999E-2</v>
      </c>
      <c r="J54" s="89" t="str">
        <f>IF(LEFT(A54,1)="D",_xll.qlDepositRateHelper2(,I54,IF(RIGHT(C54,1)="N","1D",C54),D54,Calendar,F54,G54,H54,,Trigger),IF(A54="Sw",_xll.qlSwapRateHelper2(,I54,D54,C54,Calendar,"Annual",F54,H54,"Euribor6M",0,"0D",,,,,Trigger),IF(A54="Fr",_xll.qlFraRateHelper(,I54,SUBSTITUTE(LEFT(C54,2),"M","")&amp;"M","Euribor6M",,,,Trigger),IF(A54="Sf",_xll.qlFuturesRateHelper(,I54,,C54,"Euribor3M",0,,Trigger),"--"))))</f>
        <v>obj_000a0#0004</v>
      </c>
      <c r="K54" s="98" t="b">
        <f t="shared" si="6"/>
        <v>1</v>
      </c>
      <c r="M54" s="9" t="str">
        <v>Sw</v>
      </c>
      <c r="N54" s="9" t="str">
        <v>34Y</v>
      </c>
      <c r="O54" s="9" t="str">
        <v>obj_000a0#0004</v>
      </c>
      <c r="P54" s="96">
        <f>_xll.qlRateHelperRate(O54,Trigger)</f>
        <v>1.0600647789999999E-2</v>
      </c>
      <c r="Q54" s="10">
        <f>_xll.qlRateHelperEarliestDate(O54,Trigger)</f>
        <v>42502</v>
      </c>
      <c r="R54" s="10">
        <f>_xll.qlRateHelperPillarDate(O54,Trigger)</f>
        <v>54920</v>
      </c>
      <c r="S54" s="96">
        <v>1.0774940219165799E-2</v>
      </c>
    </row>
    <row r="55" spans="1:19" ht="11.25" customHeight="1" x14ac:dyDescent="0.2">
      <c r="A55" s="91" t="str">
        <v>Sw</v>
      </c>
      <c r="B55" s="91" t="str">
        <v>35Y</v>
      </c>
      <c r="C55" s="91" t="str">
        <f>IF(A55="Sf",_xll.qlIMMNextCode(B55,Trigger),IF(LEFT(B55,1)="#",_xll.qlCalendarBusinessDaysBetween(Calendar,Settlementdate,DATE(LEFT(SUBSTITUTE(B55,"#",""),4),LEFT(RIGHT(SUBSTITUTE(B55,"#",""),4),2),RIGHT(SUBSTITUTE(B55,"#",""),2)),,,Trigger)-1&amp;"D",SUBSTITUTE(B55,"/","")))</f>
        <v>35Y</v>
      </c>
      <c r="D55" s="101">
        <f t="shared" si="2"/>
        <v>2</v>
      </c>
      <c r="E55" s="101" t="str">
        <f t="shared" si="3"/>
        <v>Annual</v>
      </c>
      <c r="F55" s="97" t="str">
        <f t="shared" si="7"/>
        <v>Modified Following</v>
      </c>
      <c r="G55" s="100" t="str">
        <f t="shared" si="4"/>
        <v>TRUE</v>
      </c>
      <c r="H55" s="97" t="str">
        <f t="shared" si="5"/>
        <v>30/360 (Bond Basis)</v>
      </c>
      <c r="I55" s="102">
        <v>1.0580000000000001E-2</v>
      </c>
      <c r="J55" s="89" t="str">
        <f>IF(LEFT(A55,1)="D",_xll.qlDepositRateHelper2(,I55,IF(RIGHT(C55,1)="N","1D",C55),D55,Calendar,F55,G55,H55,,Trigger),IF(A55="Sw",_xll.qlSwapRateHelper2(,I55,D55,C55,Calendar,"Annual",F55,H55,"Euribor6M",0,"0D",,,,,Trigger),IF(A55="Fr",_xll.qlFraRateHelper(,I55,SUBSTITUTE(LEFT(C55,2),"M","")&amp;"M","Euribor6M",,,,Trigger),IF(A55="Sf",_xll.qlFuturesRateHelper(,I55,,C55,"Euribor3M",0,,Trigger),"--"))))</f>
        <v>obj_000b4#0004</v>
      </c>
      <c r="K55" s="98" t="b">
        <f t="shared" si="6"/>
        <v>1</v>
      </c>
      <c r="M55" s="9" t="str">
        <v>Sw</v>
      </c>
      <c r="N55" s="9" t="str">
        <v>35Y</v>
      </c>
      <c r="O55" s="9" t="str">
        <v>obj_000b4#0004</v>
      </c>
      <c r="P55" s="96">
        <f>_xll.qlRateHelperRate(O55,Trigger)</f>
        <v>1.0580000000000001E-2</v>
      </c>
      <c r="Q55" s="10">
        <f>_xll.qlRateHelperEarliestDate(O55,Trigger)</f>
        <v>42502</v>
      </c>
      <c r="R55" s="10">
        <f>_xll.qlRateHelperPillarDate(O55,Trigger)</f>
        <v>55285</v>
      </c>
      <c r="S55" s="96">
        <v>1.0743171300729243E-2</v>
      </c>
    </row>
    <row r="56" spans="1:19" ht="11.25" customHeight="1" x14ac:dyDescent="0.2">
      <c r="A56" s="91" t="str">
        <v>Sw</v>
      </c>
      <c r="B56" s="91" t="str">
        <v>36Y</v>
      </c>
      <c r="C56" s="91" t="str">
        <f>IF(A56="Sf",_xll.qlIMMNextCode(B56,Trigger),IF(LEFT(B56,1)="#",_xll.qlCalendarBusinessDaysBetween(Calendar,Settlementdate,DATE(LEFT(SUBSTITUTE(B56,"#",""),4),LEFT(RIGHT(SUBSTITUTE(B56,"#",""),4),2),RIGHT(SUBSTITUTE(B56,"#",""),2)),,,Trigger)-1&amp;"D",SUBSTITUTE(B56,"/","")))</f>
        <v>36Y</v>
      </c>
      <c r="D56" s="101">
        <f t="shared" si="2"/>
        <v>2</v>
      </c>
      <c r="E56" s="101" t="str">
        <f t="shared" si="3"/>
        <v>Annual</v>
      </c>
      <c r="F56" s="97" t="str">
        <f t="shared" si="7"/>
        <v>Modified Following</v>
      </c>
      <c r="G56" s="100" t="str">
        <f t="shared" si="4"/>
        <v>TRUE</v>
      </c>
      <c r="H56" s="97" t="str">
        <f t="shared" si="5"/>
        <v>30/360 (Bond Basis)</v>
      </c>
      <c r="I56" s="102">
        <v>1.055688626E-2</v>
      </c>
      <c r="J56" s="89" t="str">
        <f>IF(LEFT(A56,1)="D",_xll.qlDepositRateHelper2(,I56,IF(RIGHT(C56,1)="N","1D",C56),D56,Calendar,F56,G56,H56,,Trigger),IF(A56="Sw",_xll.qlSwapRateHelper2(,I56,D56,C56,Calendar,"Annual",F56,H56,"Euribor6M",0,"0D",,,,,Trigger),IF(A56="Fr",_xll.qlFraRateHelper(,I56,SUBSTITUTE(LEFT(C56,2),"M","")&amp;"M","Euribor6M",,,,Trigger),IF(A56="Sf",_xll.qlFuturesRateHelper(,I56,,C56,"Euribor3M",0,,Trigger),"--"))))</f>
        <v>obj_0008c#0004</v>
      </c>
      <c r="K56" s="98" t="b">
        <f t="shared" si="6"/>
        <v>1</v>
      </c>
      <c r="M56" s="9" t="str">
        <v>Sw</v>
      </c>
      <c r="N56" s="9" t="str">
        <v>36Y</v>
      </c>
      <c r="O56" s="9" t="str">
        <v>obj_0008c#0004</v>
      </c>
      <c r="P56" s="96">
        <f>_xll.qlRateHelperRate(O56,Trigger)</f>
        <v>1.055688626E-2</v>
      </c>
      <c r="Q56" s="10">
        <f>_xll.qlRateHelperEarliestDate(O56,Trigger)</f>
        <v>42502</v>
      </c>
      <c r="R56" s="10">
        <f>_xll.qlRateHelperPillarDate(O56,Trigger)</f>
        <v>55652</v>
      </c>
      <c r="S56" s="96">
        <v>1.0707950079169328E-2</v>
      </c>
    </row>
    <row r="57" spans="1:19" ht="11.25" customHeight="1" x14ac:dyDescent="0.2">
      <c r="A57" s="91" t="str">
        <v>Sw</v>
      </c>
      <c r="B57" s="91" t="str">
        <v>37Y</v>
      </c>
      <c r="C57" s="91" t="str">
        <f>IF(A57="Sf",_xll.qlIMMNextCode(B57,Trigger),IF(LEFT(B57,1)="#",_xll.qlCalendarBusinessDaysBetween(Calendar,Settlementdate,DATE(LEFT(SUBSTITUTE(B57,"#",""),4),LEFT(RIGHT(SUBSTITUTE(B57,"#",""),4),2),RIGHT(SUBSTITUTE(B57,"#",""),2)),,,Trigger)-1&amp;"D",SUBSTITUTE(B57,"/","")))</f>
        <v>37Y</v>
      </c>
      <c r="D57" s="101">
        <f t="shared" si="2"/>
        <v>2</v>
      </c>
      <c r="E57" s="101" t="str">
        <f t="shared" si="3"/>
        <v>Annual</v>
      </c>
      <c r="F57" s="97" t="str">
        <f t="shared" si="7"/>
        <v>Modified Following</v>
      </c>
      <c r="G57" s="100" t="str">
        <f t="shared" si="4"/>
        <v>TRUE</v>
      </c>
      <c r="H57" s="97" t="str">
        <f t="shared" si="5"/>
        <v>30/360 (Bond Basis)</v>
      </c>
      <c r="I57" s="102">
        <v>1.0529344869999999E-2</v>
      </c>
      <c r="J57" s="89" t="str">
        <f>IF(LEFT(A57,1)="D",_xll.qlDepositRateHelper2(,I57,IF(RIGHT(C57,1)="N","1D",C57),D57,Calendar,F57,G57,H57,,Trigger),IF(A57="Sw",_xll.qlSwapRateHelper2(,I57,D57,C57,Calendar,"Annual",F57,H57,"Euribor6M",0,"0D",,,,,Trigger),IF(A57="Fr",_xll.qlFraRateHelper(,I57,SUBSTITUTE(LEFT(C57,2),"M","")&amp;"M","Euribor6M",,,,Trigger),IF(A57="Sf",_xll.qlFuturesRateHelper(,I57,,C57,"Euribor3M",0,,Trigger),"--"))))</f>
        <v>obj_00092#0004</v>
      </c>
      <c r="K57" s="98" t="b">
        <f t="shared" si="6"/>
        <v>1</v>
      </c>
      <c r="M57" s="9" t="str">
        <v>Sw</v>
      </c>
      <c r="N57" s="9" t="str">
        <v>37Y</v>
      </c>
      <c r="O57" s="9" t="str">
        <v>obj_00092#0004</v>
      </c>
      <c r="P57" s="96">
        <f>_xll.qlRateHelperRate(O57,Trigger)</f>
        <v>1.0529344869999999E-2</v>
      </c>
      <c r="Q57" s="10">
        <f>_xll.qlRateHelperEarliestDate(O57,Trigger)</f>
        <v>42502</v>
      </c>
      <c r="R57" s="10">
        <f>_xll.qlRateHelperPillarDate(O57,Trigger)</f>
        <v>56016</v>
      </c>
      <c r="S57" s="96">
        <v>1.0668499180837929E-2</v>
      </c>
    </row>
    <row r="58" spans="1:19" ht="11.25" customHeight="1" x14ac:dyDescent="0.2">
      <c r="A58" s="91" t="str">
        <v>Sw</v>
      </c>
      <c r="B58" s="91" t="str">
        <v>38Y</v>
      </c>
      <c r="C58" s="91" t="str">
        <f>IF(A58="Sf",_xll.qlIMMNextCode(B58,Trigger),IF(LEFT(B58,1)="#",_xll.qlCalendarBusinessDaysBetween(Calendar,Settlementdate,DATE(LEFT(SUBSTITUTE(B58,"#",""),4),LEFT(RIGHT(SUBSTITUTE(B58,"#",""),4),2),RIGHT(SUBSTITUTE(B58,"#",""),2)),,,Trigger)-1&amp;"D",SUBSTITUTE(B58,"/","")))</f>
        <v>38Y</v>
      </c>
      <c r="D58" s="101">
        <f t="shared" si="2"/>
        <v>2</v>
      </c>
      <c r="E58" s="101" t="str">
        <f t="shared" si="3"/>
        <v>Annual</v>
      </c>
      <c r="F58" s="97" t="str">
        <f t="shared" si="7"/>
        <v>Modified Following</v>
      </c>
      <c r="G58" s="100" t="str">
        <f t="shared" si="4"/>
        <v>TRUE</v>
      </c>
      <c r="H58" s="97" t="str">
        <f t="shared" si="5"/>
        <v>30/360 (Bond Basis)</v>
      </c>
      <c r="I58" s="102">
        <v>1.0496512769999999E-2</v>
      </c>
      <c r="J58" s="89" t="str">
        <f>IF(LEFT(A58,1)="D",_xll.qlDepositRateHelper2(,I58,IF(RIGHT(C58,1)="N","1D",C58),D58,Calendar,F58,G58,H58,,Trigger),IF(A58="Sw",_xll.qlSwapRateHelper2(,I58,D58,C58,Calendar,"Annual",F58,H58,"Euribor6M",0,"0D",,,,,Trigger),IF(A58="Fr",_xll.qlFraRateHelper(,I58,SUBSTITUTE(LEFT(C58,2),"M","")&amp;"M","Euribor6M",,,,Trigger),IF(A58="Sf",_xll.qlFuturesRateHelper(,I58,,C58,"Euribor3M",0,,Trigger),"--"))))</f>
        <v>obj_000b1#0004</v>
      </c>
      <c r="K58" s="98" t="b">
        <f t="shared" si="6"/>
        <v>1</v>
      </c>
      <c r="M58" s="9" t="str">
        <v>Sw</v>
      </c>
      <c r="N58" s="9" t="str">
        <v>38Y</v>
      </c>
      <c r="O58" s="9" t="str">
        <v>obj_000b1#0004</v>
      </c>
      <c r="P58" s="96">
        <f>_xll.qlRateHelperRate(O58,Trigger)</f>
        <v>1.0496512769999999E-2</v>
      </c>
      <c r="Q58" s="10">
        <f>_xll.qlRateHelperEarliestDate(O58,Trigger)</f>
        <v>42502</v>
      </c>
      <c r="R58" s="10">
        <f>_xll.qlRateHelperPillarDate(O58,Trigger)</f>
        <v>56381</v>
      </c>
      <c r="S58" s="96">
        <v>1.0622846189729418E-2</v>
      </c>
    </row>
    <row r="59" spans="1:19" ht="11.25" customHeight="1" x14ac:dyDescent="0.2">
      <c r="A59" s="91" t="str">
        <v>Sw</v>
      </c>
      <c r="B59" s="91" t="str">
        <v>39Y</v>
      </c>
      <c r="C59" s="91" t="str">
        <f>IF(A59="Sf",_xll.qlIMMNextCode(B59,Trigger),IF(LEFT(B59,1)="#",_xll.qlCalendarBusinessDaysBetween(Calendar,Settlementdate,DATE(LEFT(SUBSTITUTE(B59,"#",""),4),LEFT(RIGHT(SUBSTITUTE(B59,"#",""),4),2),RIGHT(SUBSTITUTE(B59,"#",""),2)),,,Trigger)-1&amp;"D",SUBSTITUTE(B59,"/","")))</f>
        <v>39Y</v>
      </c>
      <c r="D59" s="101">
        <f t="shared" si="2"/>
        <v>2</v>
      </c>
      <c r="E59" s="101" t="str">
        <f t="shared" si="3"/>
        <v>Annual</v>
      </c>
      <c r="F59" s="97" t="str">
        <f t="shared" si="7"/>
        <v>Modified Following</v>
      </c>
      <c r="G59" s="100" t="str">
        <f t="shared" si="4"/>
        <v>TRUE</v>
      </c>
      <c r="H59" s="97" t="str">
        <f t="shared" si="5"/>
        <v>30/360 (Bond Basis)</v>
      </c>
      <c r="I59" s="102">
        <v>1.045698713E-2</v>
      </c>
      <c r="J59" s="89" t="str">
        <f>IF(LEFT(A59,1)="D",_xll.qlDepositRateHelper2(,I59,IF(RIGHT(C59,1)="N","1D",C59),D59,Calendar,F59,G59,H59,,Trigger),IF(A59="Sw",_xll.qlSwapRateHelper2(,I59,D59,C59,Calendar,"Annual",F59,H59,"Euribor6M",0,"0D",,,,,Trigger),IF(A59="Fr",_xll.qlFraRateHelper(,I59,SUBSTITUTE(LEFT(C59,2),"M","")&amp;"M","Euribor6M",,,,Trigger),IF(A59="Sf",_xll.qlFuturesRateHelper(,I59,,C59,"Euribor3M",0,,Trigger),"--"))))</f>
        <v>obj_00096#0004</v>
      </c>
      <c r="K59" s="98" t="b">
        <f t="shared" si="6"/>
        <v>1</v>
      </c>
      <c r="M59" s="9" t="str">
        <v>Sw</v>
      </c>
      <c r="N59" s="9" t="str">
        <v>39Y</v>
      </c>
      <c r="O59" s="9" t="str">
        <v>obj_00096#0004</v>
      </c>
      <c r="P59" s="96">
        <f>_xll.qlRateHelperRate(O59,Trigger)</f>
        <v>1.045698713E-2</v>
      </c>
      <c r="Q59" s="10">
        <f>_xll.qlRateHelperEarliestDate(O59,Trigger)</f>
        <v>42502</v>
      </c>
      <c r="R59" s="10">
        <f>_xll.qlRateHelperPillarDate(O59,Trigger)</f>
        <v>56746</v>
      </c>
      <c r="S59" s="96">
        <v>1.0569224631542433E-2</v>
      </c>
    </row>
    <row r="60" spans="1:19" ht="11.25" customHeight="1" x14ac:dyDescent="0.2">
      <c r="A60" s="91" t="str">
        <v>Sw</v>
      </c>
      <c r="B60" s="91" t="str">
        <v>40Y</v>
      </c>
      <c r="C60" s="91" t="str">
        <f>IF(A60="Sf",_xll.qlIMMNextCode(B60,Trigger),IF(LEFT(B60,1)="#",_xll.qlCalendarBusinessDaysBetween(Calendar,Settlementdate,DATE(LEFT(SUBSTITUTE(B60,"#",""),4),LEFT(RIGHT(SUBSTITUTE(B60,"#",""),4),2),RIGHT(SUBSTITUTE(B60,"#",""),2)),,,Trigger)-1&amp;"D",SUBSTITUTE(B60,"/","")))</f>
        <v>40Y</v>
      </c>
      <c r="D60" s="101">
        <f t="shared" si="2"/>
        <v>2</v>
      </c>
      <c r="E60" s="101" t="str">
        <f t="shared" si="3"/>
        <v>Annual</v>
      </c>
      <c r="F60" s="97" t="str">
        <f t="shared" si="7"/>
        <v>Modified Following</v>
      </c>
      <c r="G60" s="100" t="str">
        <f t="shared" si="4"/>
        <v>TRUE</v>
      </c>
      <c r="H60" s="97" t="str">
        <f t="shared" si="5"/>
        <v>30/360 (Bond Basis)</v>
      </c>
      <c r="I60" s="102">
        <v>1.0409999999999999E-2</v>
      </c>
      <c r="J60" s="89" t="str">
        <f>IF(LEFT(A60,1)="D",_xll.qlDepositRateHelper2(,I60,IF(RIGHT(C60,1)="N","1D",C60),D60,Calendar,F60,G60,H60,,Trigger),IF(A60="Sw",_xll.qlSwapRateHelper2(,I60,D60,C60,Calendar,"Annual",F60,H60,"Euribor6M",0,"0D",,,,,Trigger),IF(A60="Fr",_xll.qlFraRateHelper(,I60,SUBSTITUTE(LEFT(C60,2),"M","")&amp;"M","Euribor6M",,,,Trigger),IF(A60="Sf",_xll.qlFuturesRateHelper(,I60,,C60,"Euribor3M",0,,Trigger),"--"))))</f>
        <v>obj_000aa#0004</v>
      </c>
      <c r="K60" s="98" t="b">
        <f t="shared" si="6"/>
        <v>1</v>
      </c>
      <c r="M60" s="9" t="str">
        <v>Sw</v>
      </c>
      <c r="N60" s="9" t="str">
        <v>40Y</v>
      </c>
      <c r="O60" s="9" t="str">
        <v>obj_000aa#0004</v>
      </c>
      <c r="P60" s="96">
        <f>_xll.qlRateHelperRate(O60,Trigger)</f>
        <v>1.0409999999999999E-2</v>
      </c>
      <c r="Q60" s="10">
        <f>_xll.qlRateHelperEarliestDate(O60,Trigger)</f>
        <v>42502</v>
      </c>
      <c r="R60" s="10">
        <f>_xll.qlRateHelperPillarDate(O60,Trigger)</f>
        <v>57112</v>
      </c>
      <c r="S60" s="96">
        <v>1.0505932937885622E-2</v>
      </c>
    </row>
    <row r="61" spans="1:19" ht="11.25" customHeight="1" x14ac:dyDescent="0.2">
      <c r="A61" s="91" t="str">
        <v>Sw</v>
      </c>
      <c r="B61" s="91" t="str">
        <v>50Y</v>
      </c>
      <c r="C61" s="91" t="str">
        <f>IF(A61="Sf",_xll.qlIMMNextCode(B61,Trigger),IF(LEFT(B61,1)="#",_xll.qlCalendarBusinessDaysBetween(Calendar,Settlementdate,DATE(LEFT(SUBSTITUTE(B61,"#",""),4),LEFT(RIGHT(SUBSTITUTE(B61,"#",""),4),2),RIGHT(SUBSTITUTE(B61,"#",""),2)),,,Trigger)-1&amp;"D",SUBSTITUTE(B61,"/","")))</f>
        <v>50Y</v>
      </c>
      <c r="D61" s="101">
        <f t="shared" si="2"/>
        <v>2</v>
      </c>
      <c r="E61" s="101" t="str">
        <f t="shared" si="3"/>
        <v>Annual</v>
      </c>
      <c r="F61" s="97" t="str">
        <f t="shared" si="7"/>
        <v>Modified Following</v>
      </c>
      <c r="G61" s="100" t="str">
        <f t="shared" si="4"/>
        <v>TRUE</v>
      </c>
      <c r="H61" s="97" t="str">
        <f t="shared" si="5"/>
        <v>30/360 (Bond Basis)</v>
      </c>
      <c r="I61" s="102">
        <v>9.7400000000000004E-3</v>
      </c>
      <c r="J61" s="89" t="str">
        <f>IF(LEFT(A61,1)="D",_xll.qlDepositRateHelper2(,I61,IF(RIGHT(C61,1)="N","1D",C61),D61,Calendar,F61,G61,H61,,Trigger),IF(A61="Sw",_xll.qlSwapRateHelper2(,I61,D61,C61,Calendar,"Annual",F61,H61,"Euribor6M",0,"0D",,,,,Trigger),IF(A61="Fr",_xll.qlFraRateHelper(,I61,SUBSTITUTE(LEFT(C61,2),"M","")&amp;"M","Euribor6M",,,,Trigger),IF(A61="Sf",_xll.qlFuturesRateHelper(,I61,,C61,"Euribor3M",0,,Trigger),"--"))))</f>
        <v>obj_000a2#0004</v>
      </c>
      <c r="K61" s="98" t="b">
        <f t="shared" si="6"/>
        <v>1</v>
      </c>
      <c r="M61" s="9" t="str">
        <v>Sw</v>
      </c>
      <c r="N61" s="9" t="str">
        <v>50Y</v>
      </c>
      <c r="O61" s="9" t="str">
        <v>obj_000a2#0004</v>
      </c>
      <c r="P61" s="96">
        <f>_xll.qlRateHelperRate(O61,Trigger)</f>
        <v>9.7400000000000004E-3</v>
      </c>
      <c r="Q61" s="10">
        <f>_xll.qlRateHelperEarliestDate(O61,Trigger)</f>
        <v>42502</v>
      </c>
      <c r="R61" s="10">
        <f>_xll.qlRateHelperPillarDate(O61,Trigger)</f>
        <v>60764</v>
      </c>
      <c r="S61" s="96">
        <v>9.6512460365257707E-3</v>
      </c>
    </row>
    <row r="62" spans="1:19" ht="11.25" customHeight="1" x14ac:dyDescent="0.2">
      <c r="A62" s="91" t="str">
        <v>Sw</v>
      </c>
      <c r="B62" s="91" t="str">
        <v>60Y</v>
      </c>
      <c r="C62" s="91" t="str">
        <f>IF(A62="Sf",_xll.qlIMMNextCode(B62,Trigger),IF(LEFT(B62,1)="#",_xll.qlCalendarBusinessDaysBetween(Calendar,Settlementdate,DATE(LEFT(SUBSTITUTE(B62,"#",""),4),LEFT(RIGHT(SUBSTITUTE(B62,"#",""),4),2),RIGHT(SUBSTITUTE(B62,"#",""),2)),,,Trigger)-1&amp;"D",SUBSTITUTE(B62,"/","")))</f>
        <v>60Y</v>
      </c>
      <c r="D62" s="101">
        <f t="shared" si="2"/>
        <v>2</v>
      </c>
      <c r="E62" s="101" t="str">
        <f t="shared" si="3"/>
        <v>Annual</v>
      </c>
      <c r="F62" s="97" t="str">
        <f t="shared" si="7"/>
        <v>Modified Following</v>
      </c>
      <c r="G62" s="100" t="str">
        <f t="shared" si="4"/>
        <v>TRUE</v>
      </c>
      <c r="H62" s="97" t="str">
        <f t="shared" si="5"/>
        <v>30/360 (Bond Basis)</v>
      </c>
      <c r="I62" s="102">
        <v>9.4900000000000002E-3</v>
      </c>
      <c r="J62" s="89" t="str">
        <f>IF(LEFT(A62,1)="D",_xll.qlDepositRateHelper2(,I62,IF(RIGHT(C62,1)="N","1D",C62),D62,Calendar,F62,G62,H62,,Trigger),IF(A62="Sw",_xll.qlSwapRateHelper2(,I62,D62,C62,Calendar,"Annual",F62,H62,"Euribor6M",0,"0D",,,,,Trigger),IF(A62="Fr",_xll.qlFraRateHelper(,I62,SUBSTITUTE(LEFT(C62,2),"M","")&amp;"M","Euribor6M",,,,Trigger),IF(A62="Sf",_xll.qlFuturesRateHelper(,I62,,C62,"Euribor3M",0,,Trigger),"--"))))</f>
        <v>obj_000af#0004</v>
      </c>
      <c r="K62" s="98" t="b">
        <f t="shared" si="6"/>
        <v>1</v>
      </c>
      <c r="M62" s="9" t="str">
        <v>Sw</v>
      </c>
      <c r="N62" s="9" t="str">
        <v>60Y</v>
      </c>
      <c r="O62" s="9" t="str">
        <v>obj_000af#0004</v>
      </c>
      <c r="P62" s="96">
        <f>_xll.qlRateHelperRate(O62,Trigger)</f>
        <v>9.4900000000000002E-3</v>
      </c>
      <c r="Q62" s="10">
        <f>_xll.qlRateHelperEarliestDate(O62,Trigger)</f>
        <v>42502</v>
      </c>
      <c r="R62" s="10">
        <f>_xll.qlRateHelperPillarDate(O62,Trigger)</f>
        <v>64417</v>
      </c>
      <c r="S62" s="96">
        <v>9.3418080153983805E-3</v>
      </c>
    </row>
    <row r="63" spans="1:19" ht="11.25" customHeight="1" x14ac:dyDescent="0.2">
      <c r="A63" s="91" t="e">
        <v>#N/A</v>
      </c>
      <c r="B63" s="91" t="e">
        <v>#N/A</v>
      </c>
      <c r="C63" s="91" t="e">
        <f>IF(A63="Sf",_xll.qlIMMNextCode(B63,Trigger),IF(LEFT(B63,1)="#",_xll.qlCalendarBusinessDaysBetween(Calendar,Settlementdate,DATE(LEFT(SUBSTITUTE(B63,"#",""),4),LEFT(RIGHT(SUBSTITUTE(B63,"#",""),4),2),RIGHT(SUBSTITUTE(B63,"#",""),2)),,,Trigger)-1&amp;"D",SUBSTITUTE(B63,"/","")))</f>
        <v>#N/A</v>
      </c>
      <c r="D63" s="101" t="e">
        <f t="shared" si="2"/>
        <v>#N/A</v>
      </c>
      <c r="E63" s="101" t="e">
        <f t="shared" si="3"/>
        <v>#N/A</v>
      </c>
      <c r="F63" s="97" t="e">
        <f t="shared" si="7"/>
        <v>#N/A</v>
      </c>
      <c r="G63" s="100" t="e">
        <f t="shared" si="4"/>
        <v>#N/A</v>
      </c>
      <c r="H63" s="97" t="e">
        <f t="shared" si="5"/>
        <v>#N/A</v>
      </c>
      <c r="I63" s="102" t="e">
        <v>#N/A</v>
      </c>
      <c r="J63" s="89" t="e">
        <f>IF(LEFT(A63,1)="D",_xll.qlDepositRateHelper2(,I63,IF(RIGHT(C63,1)="N","1D",C63),D63,Calendar,F63,G63,H63,,Trigger),IF(A63="Sw",_xll.qlSwapRateHelper2(,I63,D63,C63,Calendar,"Annual",F63,H63,"Euribor6M",0,"0D",,,,,Trigger),IF(A63="Fr",_xll.qlFraRateHelper(,I63,SUBSTITUTE(LEFT(C63,2),"M","")&amp;"M","Euribor6M",,,,Trigger),IF(A63="Sf",_xll.qlFuturesRateHelper(,I63,,C63,"Euribor3M",0,,Trigger),"--"))))</f>
        <v>#N/A</v>
      </c>
      <c r="K63" s="98" t="b">
        <f t="shared" si="6"/>
        <v>0</v>
      </c>
      <c r="M63" s="9" t="e">
        <v>#N/A</v>
      </c>
      <c r="N63" s="9" t="e">
        <v>#N/A</v>
      </c>
      <c r="O63" s="9" t="e">
        <v>#N/A</v>
      </c>
      <c r="P63" s="96" t="e">
        <f>_xll.qlRateHelperRate(O63,Trigger)</f>
        <v>#VALUE!</v>
      </c>
      <c r="Q63" s="10" t="e">
        <f>_xll.qlRateHelperEarliestDate(O63,Trigger)</f>
        <v>#VALUE!</v>
      </c>
      <c r="R63" s="10" t="e">
        <f>_xll.qlRateHelperPillarDate(O63,Trigger)</f>
        <v>#VALUE!</v>
      </c>
      <c r="S63" s="96" t="e">
        <v>#N/A</v>
      </c>
    </row>
    <row r="64" spans="1:19" ht="11.25" customHeight="1" x14ac:dyDescent="0.2">
      <c r="A64" s="91" t="e">
        <v>#N/A</v>
      </c>
      <c r="B64" s="91" t="e">
        <v>#N/A</v>
      </c>
      <c r="C64" s="91" t="e">
        <f>IF(A64="Sf",_xll.qlIMMNextCode(B64,Trigger),IF(LEFT(B64,1)="#",_xll.qlCalendarBusinessDaysBetween(Calendar,Settlementdate,DATE(LEFT(SUBSTITUTE(B64,"#",""),4),LEFT(RIGHT(SUBSTITUTE(B64,"#",""),4),2),RIGHT(SUBSTITUTE(B64,"#",""),2)),,,Trigger)-1&amp;"D",SUBSTITUTE(B64,"/","")))</f>
        <v>#N/A</v>
      </c>
      <c r="D64" s="101" t="e">
        <f t="shared" si="2"/>
        <v>#N/A</v>
      </c>
      <c r="E64" s="101" t="e">
        <f t="shared" si="3"/>
        <v>#N/A</v>
      </c>
      <c r="F64" s="97" t="e">
        <f t="shared" si="7"/>
        <v>#N/A</v>
      </c>
      <c r="G64" s="100" t="e">
        <f t="shared" si="4"/>
        <v>#N/A</v>
      </c>
      <c r="H64" s="97" t="e">
        <f t="shared" si="5"/>
        <v>#N/A</v>
      </c>
      <c r="I64" s="102" t="e">
        <v>#N/A</v>
      </c>
      <c r="J64" s="89" t="e">
        <f>IF(LEFT(A64,1)="D",_xll.qlDepositRateHelper2(,I64,IF(RIGHT(C64,1)="N","1D",C64),D64,Calendar,F64,G64,H64,,Trigger),IF(A64="Sw",_xll.qlSwapRateHelper2(,I64,D64,C64,Calendar,"Annual",F64,H64,"Euribor6M",0,"0D",,,,,Trigger),IF(A64="Fr",_xll.qlFraRateHelper(,I64,SUBSTITUTE(LEFT(C64,2),"M","")&amp;"M","Euribor6M",,,,Trigger),IF(A64="Sf",_xll.qlFuturesRateHelper(,I64,,C64,"Euribor3M",0,,Trigger),"--"))))</f>
        <v>#N/A</v>
      </c>
      <c r="K64" s="98" t="b">
        <f t="shared" si="6"/>
        <v>0</v>
      </c>
      <c r="M64" s="9" t="e">
        <v>#N/A</v>
      </c>
      <c r="N64" s="9" t="e">
        <v>#N/A</v>
      </c>
      <c r="O64" s="9" t="e">
        <v>#N/A</v>
      </c>
      <c r="P64" s="96" t="e">
        <f>_xll.qlRateHelperRate(O64,Trigger)</f>
        <v>#VALUE!</v>
      </c>
      <c r="Q64" s="10" t="e">
        <f>_xll.qlRateHelperEarliestDate(O64,Trigger)</f>
        <v>#VALUE!</v>
      </c>
      <c r="R64" s="10" t="e">
        <f>_xll.qlRateHelperPillarDate(O64,Trigger)</f>
        <v>#VALUE!</v>
      </c>
      <c r="S64" s="96" t="e">
        <v>#N/A</v>
      </c>
    </row>
    <row r="65" spans="1:19" ht="11.25" customHeight="1" x14ac:dyDescent="0.2">
      <c r="A65" s="91" t="e">
        <v>#N/A</v>
      </c>
      <c r="B65" s="91" t="e">
        <v>#N/A</v>
      </c>
      <c r="C65" s="91" t="e">
        <f>IF(A65="Sf",_xll.qlIMMNextCode(B65,Trigger),IF(LEFT(B65,1)="#",_xll.qlCalendarBusinessDaysBetween(Calendar,Settlementdate,DATE(LEFT(SUBSTITUTE(B65,"#",""),4),LEFT(RIGHT(SUBSTITUTE(B65,"#",""),4),2),RIGHT(SUBSTITUTE(B65,"#",""),2)),,,Trigger)-1&amp;"D",SUBSTITUTE(B65,"/","")))</f>
        <v>#N/A</v>
      </c>
      <c r="D65" s="101" t="e">
        <f t="shared" si="2"/>
        <v>#N/A</v>
      </c>
      <c r="E65" s="101" t="e">
        <f t="shared" si="3"/>
        <v>#N/A</v>
      </c>
      <c r="F65" s="97" t="e">
        <f t="shared" si="7"/>
        <v>#N/A</v>
      </c>
      <c r="G65" s="100" t="e">
        <f t="shared" si="4"/>
        <v>#N/A</v>
      </c>
      <c r="H65" s="97" t="e">
        <f t="shared" si="5"/>
        <v>#N/A</v>
      </c>
      <c r="I65" s="102" t="e">
        <v>#N/A</v>
      </c>
      <c r="J65" s="89" t="e">
        <f>IF(LEFT(A65,1)="D",_xll.qlDepositRateHelper2(,I65,IF(RIGHT(C65,1)="N","1D",C65),D65,Calendar,F65,G65,H65,,Trigger),IF(A65="Sw",_xll.qlSwapRateHelper2(,I65,D65,C65,Calendar,"Annual",F65,H65,"Euribor6M",0,"0D",,,,,Trigger),IF(A65="Fr",_xll.qlFraRateHelper(,I65,SUBSTITUTE(LEFT(C65,2),"M","")&amp;"M","Euribor6M",,,,Trigger),IF(A65="Sf",_xll.qlFuturesRateHelper(,I65,,C65,"Euribor3M",0,,Trigger),"--"))))</f>
        <v>#N/A</v>
      </c>
      <c r="K65" s="98" t="b">
        <f t="shared" si="6"/>
        <v>0</v>
      </c>
      <c r="M65" s="9" t="e">
        <v>#N/A</v>
      </c>
      <c r="N65" s="9" t="e">
        <v>#N/A</v>
      </c>
      <c r="O65" s="9" t="e">
        <v>#N/A</v>
      </c>
      <c r="P65" s="96" t="e">
        <f>_xll.qlRateHelperRate(O65,Trigger)</f>
        <v>#VALUE!</v>
      </c>
      <c r="Q65" s="10" t="e">
        <f>_xll.qlRateHelperEarliestDate(O65,Trigger)</f>
        <v>#VALUE!</v>
      </c>
      <c r="R65" s="10" t="e">
        <f>_xll.qlRateHelperPillarDate(O65,Trigger)</f>
        <v>#VALUE!</v>
      </c>
      <c r="S65" s="96" t="e">
        <v>#N/A</v>
      </c>
    </row>
    <row r="66" spans="1:19" ht="11.25" customHeight="1" x14ac:dyDescent="0.2">
      <c r="A66" s="91" t="e">
        <v>#N/A</v>
      </c>
      <c r="B66" s="91" t="e">
        <v>#N/A</v>
      </c>
      <c r="C66" s="91" t="e">
        <f>IF(A66="Sf",_xll.qlIMMNextCode(B66,Trigger),IF(LEFT(B66,1)="#",_xll.qlCalendarBusinessDaysBetween(Calendar,Settlementdate,DATE(LEFT(SUBSTITUTE(B66,"#",""),4),LEFT(RIGHT(SUBSTITUTE(B66,"#",""),4),2),RIGHT(SUBSTITUTE(B66,"#",""),2)),,,Trigger)-1&amp;"D",SUBSTITUTE(B66,"/","")))</f>
        <v>#N/A</v>
      </c>
      <c r="D66" s="101" t="e">
        <f t="shared" si="2"/>
        <v>#N/A</v>
      </c>
      <c r="E66" s="101" t="e">
        <f t="shared" si="3"/>
        <v>#N/A</v>
      </c>
      <c r="F66" s="97" t="e">
        <f t="shared" si="7"/>
        <v>#N/A</v>
      </c>
      <c r="G66" s="100" t="e">
        <f t="shared" si="4"/>
        <v>#N/A</v>
      </c>
      <c r="H66" s="97" t="e">
        <f t="shared" si="5"/>
        <v>#N/A</v>
      </c>
      <c r="I66" s="102" t="e">
        <v>#N/A</v>
      </c>
      <c r="J66" s="89" t="e">
        <f>IF(LEFT(A66,1)="D",_xll.qlDepositRateHelper2(,I66,IF(RIGHT(C66,1)="N","1D",C66),D66,Calendar,F66,G66,H66,,Trigger),IF(A66="Sw",_xll.qlSwapRateHelper2(,I66,D66,C66,Calendar,"Annual",F66,H66,"Euribor6M",0,"0D",,,,,Trigger),IF(A66="Fr",_xll.qlFraRateHelper(,I66,SUBSTITUTE(LEFT(C66,2),"M","")&amp;"M","Euribor6M",,,,Trigger),IF(A66="Sf",_xll.qlFuturesRateHelper(,I66,,C66,"Euribor3M",0,,Trigger),"--"))))</f>
        <v>#N/A</v>
      </c>
      <c r="K66" s="98" t="b">
        <f t="shared" si="6"/>
        <v>0</v>
      </c>
      <c r="M66" s="9" t="e">
        <v>#N/A</v>
      </c>
      <c r="N66" s="9" t="e">
        <v>#N/A</v>
      </c>
      <c r="O66" s="9" t="e">
        <v>#N/A</v>
      </c>
      <c r="P66" s="96" t="e">
        <f>_xll.qlRateHelperRate(O66,Trigger)</f>
        <v>#VALUE!</v>
      </c>
      <c r="Q66" s="10" t="e">
        <f>_xll.qlRateHelperEarliestDate(O66,Trigger)</f>
        <v>#VALUE!</v>
      </c>
      <c r="R66" s="10" t="e">
        <f>_xll.qlRateHelperPillarDate(O66,Trigger)</f>
        <v>#VALUE!</v>
      </c>
      <c r="S66" s="96" t="e">
        <v>#N/A</v>
      </c>
    </row>
    <row r="67" spans="1:19" ht="11.25" customHeight="1" x14ac:dyDescent="0.2">
      <c r="A67" s="91" t="e">
        <v>#N/A</v>
      </c>
      <c r="B67" s="91" t="e">
        <v>#N/A</v>
      </c>
      <c r="C67" s="91" t="e">
        <f>IF(A67="Sf",_xll.qlIMMNextCode(B67,Trigger),IF(LEFT(B67,1)="#",_xll.qlCalendarBusinessDaysBetween(Calendar,Settlementdate,DATE(LEFT(SUBSTITUTE(B67,"#",""),4),LEFT(RIGHT(SUBSTITUTE(B67,"#",""),4),2),RIGHT(SUBSTITUTE(B67,"#",""),2)),,,Trigger)-1&amp;"D",SUBSTITUTE(B67,"/","")))</f>
        <v>#N/A</v>
      </c>
      <c r="D67" s="101" t="e">
        <f t="shared" si="2"/>
        <v>#N/A</v>
      </c>
      <c r="E67" s="101" t="e">
        <f t="shared" si="3"/>
        <v>#N/A</v>
      </c>
      <c r="F67" s="97" t="e">
        <f t="shared" si="7"/>
        <v>#N/A</v>
      </c>
      <c r="G67" s="100" t="e">
        <f t="shared" si="4"/>
        <v>#N/A</v>
      </c>
      <c r="H67" s="97" t="e">
        <f t="shared" si="5"/>
        <v>#N/A</v>
      </c>
      <c r="I67" s="102" t="e">
        <v>#N/A</v>
      </c>
      <c r="J67" s="89" t="e">
        <f>IF(LEFT(A67,1)="D",_xll.qlDepositRateHelper2(,I67,IF(RIGHT(C67,1)="N","1D",C67),D67,Calendar,F67,G67,H67,,Trigger),IF(A67="Sw",_xll.qlSwapRateHelper2(,I67,D67,C67,Calendar,"Annual",F67,H67,"Euribor6M",0,"0D",,,,,Trigger),IF(A67="Fr",_xll.qlFraRateHelper(,I67,SUBSTITUTE(LEFT(C67,2),"M","")&amp;"M","Euribor6M",,,,Trigger),IF(A67="Sf",_xll.qlFuturesRateHelper(,I67,,C67,"Euribor3M",0,,Trigger),"--"))))</f>
        <v>#N/A</v>
      </c>
      <c r="K67" s="98" t="b">
        <f t="shared" si="6"/>
        <v>0</v>
      </c>
      <c r="M67" s="9" t="e">
        <v>#N/A</v>
      </c>
      <c r="N67" s="9" t="e">
        <v>#N/A</v>
      </c>
      <c r="O67" s="9" t="e">
        <v>#N/A</v>
      </c>
      <c r="P67" s="96" t="e">
        <f>_xll.qlRateHelperRate(O67,Trigger)</f>
        <v>#VALUE!</v>
      </c>
      <c r="Q67" s="10" t="e">
        <f>_xll.qlRateHelperEarliestDate(O67,Trigger)</f>
        <v>#VALUE!</v>
      </c>
      <c r="R67" s="10" t="e">
        <f>_xll.qlRateHelperPillarDate(O67,Trigger)</f>
        <v>#VALUE!</v>
      </c>
      <c r="S67" s="96" t="e">
        <v>#N/A</v>
      </c>
    </row>
    <row r="68" spans="1:19" ht="11.25" customHeight="1" x14ac:dyDescent="0.2">
      <c r="A68" s="91" t="e">
        <v>#N/A</v>
      </c>
      <c r="B68" s="91" t="e">
        <v>#N/A</v>
      </c>
      <c r="C68" s="91" t="e">
        <f>IF(A68="Sf",_xll.qlIMMNextCode(B68,Trigger),IF(LEFT(B68,1)="#",_xll.qlCalendarBusinessDaysBetween(Calendar,Settlementdate,DATE(LEFT(SUBSTITUTE(B68,"#",""),4),LEFT(RIGHT(SUBSTITUTE(B68,"#",""),4),2),RIGHT(SUBSTITUTE(B68,"#",""),2)),,,Trigger)-1&amp;"D",SUBSTITUTE(B68,"/","")))</f>
        <v>#N/A</v>
      </c>
      <c r="D68" s="101" t="e">
        <f t="shared" ref="D68:D82" si="8">IF(C68="ON",0,IF(C68="TN",1,2))</f>
        <v>#N/A</v>
      </c>
      <c r="E68" s="101" t="e">
        <f t="shared" ref="E68:E82" si="9">IF(A68="Sw","Annual","--")</f>
        <v>#N/A</v>
      </c>
      <c r="F68" s="97" t="e">
        <f t="shared" si="7"/>
        <v>#N/A</v>
      </c>
      <c r="G68" s="100" t="e">
        <f t="shared" ref="G68:G82" si="10">IF(OR(RIGHT(C68,1)="N",RIGHT(C68,1)="W"),"FALSE","TRUE")</f>
        <v>#N/A</v>
      </c>
      <c r="H68" s="97" t="e">
        <f t="shared" ref="H68:H82" si="11">IF(A68="Sw","30/360 (Bond Basis)","Actual/360")</f>
        <v>#N/A</v>
      </c>
      <c r="I68" s="102" t="e">
        <v>#N/A</v>
      </c>
      <c r="J68" s="89" t="e">
        <f>IF(LEFT(A68,1)="D",_xll.qlDepositRateHelper2(,I68,IF(RIGHT(C68,1)="N","1D",C68),D68,Calendar,F68,G68,H68,,Trigger),IF(A68="Sw",_xll.qlSwapRateHelper2(,I68,D68,C68,Calendar,"Annual",F68,H68,"Euribor6M",0,"0D",,,,,Trigger),IF(A68="Fr",_xll.qlFraRateHelper(,I68,SUBSTITUTE(LEFT(C68,2),"M","")&amp;"M","Euribor6M",,,,Trigger),IF(A68="Sf",_xll.qlFuturesRateHelper(,I68,,C68,"Euribor3M",0,,Trigger),"--"))))</f>
        <v>#N/A</v>
      </c>
      <c r="K68" s="98" t="b">
        <f t="shared" si="6"/>
        <v>0</v>
      </c>
      <c r="M68" s="9" t="e">
        <v>#N/A</v>
      </c>
      <c r="N68" s="9" t="e">
        <v>#N/A</v>
      </c>
      <c r="O68" s="9" t="e">
        <v>#N/A</v>
      </c>
      <c r="P68" s="96" t="e">
        <f>_xll.qlRateHelperRate(O68,Trigger)</f>
        <v>#VALUE!</v>
      </c>
      <c r="Q68" s="10" t="e">
        <f>_xll.qlRateHelperEarliestDate(O68,Trigger)</f>
        <v>#VALUE!</v>
      </c>
      <c r="R68" s="10" t="e">
        <f>_xll.qlRateHelperPillarDate(O68,Trigger)</f>
        <v>#VALUE!</v>
      </c>
      <c r="S68" s="96" t="e">
        <v>#N/A</v>
      </c>
    </row>
    <row r="69" spans="1:19" ht="11.25" customHeight="1" x14ac:dyDescent="0.2">
      <c r="A69" s="91" t="e">
        <v>#N/A</v>
      </c>
      <c r="B69" s="91" t="e">
        <v>#N/A</v>
      </c>
      <c r="C69" s="91" t="e">
        <f>IF(A69="Sf",_xll.qlIMMNextCode(B69,Trigger),IF(LEFT(B69,1)="#",_xll.qlCalendarBusinessDaysBetween(Calendar,Settlementdate,DATE(LEFT(SUBSTITUTE(B69,"#",""),4),LEFT(RIGHT(SUBSTITUTE(B69,"#",""),4),2),RIGHT(SUBSTITUTE(B69,"#",""),2)),,,Trigger)-1&amp;"D",SUBSTITUTE(B69,"/","")))</f>
        <v>#N/A</v>
      </c>
      <c r="D69" s="101" t="e">
        <f t="shared" si="8"/>
        <v>#N/A</v>
      </c>
      <c r="E69" s="101" t="e">
        <f t="shared" si="9"/>
        <v>#N/A</v>
      </c>
      <c r="F69" s="97" t="e">
        <f t="shared" si="7"/>
        <v>#N/A</v>
      </c>
      <c r="G69" s="100" t="e">
        <f t="shared" si="10"/>
        <v>#N/A</v>
      </c>
      <c r="H69" s="97" t="e">
        <f t="shared" si="11"/>
        <v>#N/A</v>
      </c>
      <c r="I69" s="102" t="e">
        <v>#N/A</v>
      </c>
      <c r="J69" s="89" t="e">
        <f>IF(LEFT(A69,1)="D",_xll.qlDepositRateHelper2(,I69,IF(RIGHT(C69,1)="N","1D",C69),D69,Calendar,F69,G69,H69,,Trigger),IF(A69="Sw",_xll.qlSwapRateHelper2(,I69,D69,C69,Calendar,"Annual",F69,H69,"Euribor6M",0,"0D",,,,,Trigger),IF(A69="Fr",_xll.qlFraRateHelper(,I69,SUBSTITUTE(LEFT(C69,2),"M","")&amp;"M","Euribor6M",,,,Trigger),IF(A69="Sf",_xll.qlFuturesRateHelper(,I69,,C69,"Euribor3M",0,,Trigger),"--"))))</f>
        <v>#N/A</v>
      </c>
      <c r="K69" s="98" t="b">
        <f t="shared" si="6"/>
        <v>0</v>
      </c>
      <c r="M69" s="9" t="e">
        <v>#N/A</v>
      </c>
      <c r="N69" s="9" t="e">
        <v>#N/A</v>
      </c>
      <c r="O69" s="9" t="e">
        <v>#N/A</v>
      </c>
      <c r="P69" s="96" t="e">
        <f>_xll.qlRateHelperRate(O69,Trigger)</f>
        <v>#VALUE!</v>
      </c>
      <c r="Q69" s="10" t="e">
        <f>_xll.qlRateHelperEarliestDate(O69,Trigger)</f>
        <v>#VALUE!</v>
      </c>
      <c r="R69" s="10" t="e">
        <f>_xll.qlRateHelperPillarDate(O69,Trigger)</f>
        <v>#VALUE!</v>
      </c>
      <c r="S69" s="96" t="e">
        <v>#N/A</v>
      </c>
    </row>
    <row r="70" spans="1:19" ht="11.25" customHeight="1" x14ac:dyDescent="0.2">
      <c r="A70" s="91" t="e">
        <v>#N/A</v>
      </c>
      <c r="B70" s="91" t="e">
        <v>#N/A</v>
      </c>
      <c r="C70" s="91" t="e">
        <f>IF(A70="Sf",_xll.qlIMMNextCode(B70,Trigger),IF(LEFT(B70,1)="#",_xll.qlCalendarBusinessDaysBetween(Calendar,Settlementdate,DATE(LEFT(SUBSTITUTE(B70,"#",""),4),LEFT(RIGHT(SUBSTITUTE(B70,"#",""),4),2),RIGHT(SUBSTITUTE(B70,"#",""),2)),,,Trigger)-1&amp;"D",SUBSTITUTE(B70,"/","")))</f>
        <v>#N/A</v>
      </c>
      <c r="D70" s="101" t="e">
        <f t="shared" si="8"/>
        <v>#N/A</v>
      </c>
      <c r="E70" s="101" t="e">
        <f t="shared" si="9"/>
        <v>#N/A</v>
      </c>
      <c r="F70" s="97" t="e">
        <f t="shared" si="7"/>
        <v>#N/A</v>
      </c>
      <c r="G70" s="100" t="e">
        <f t="shared" si="10"/>
        <v>#N/A</v>
      </c>
      <c r="H70" s="97" t="e">
        <f t="shared" si="11"/>
        <v>#N/A</v>
      </c>
      <c r="I70" s="102" t="e">
        <v>#N/A</v>
      </c>
      <c r="J70" s="89" t="e">
        <f>IF(LEFT(A70,1)="D",_xll.qlDepositRateHelper2(,I70,IF(RIGHT(C70,1)="N","1D",C70),D70,Calendar,F70,G70,H70,,Trigger),IF(A70="Sw",_xll.qlSwapRateHelper2(,I70,D70,C70,Calendar,"Annual",F70,H70,"Euribor6M",0,"0D",,,,,Trigger),IF(A70="Fr",_xll.qlFraRateHelper(,I70,SUBSTITUTE(LEFT(C70,2),"M","")&amp;"M","Euribor6M",,,,Trigger),IF(A70="Sf",_xll.qlFuturesRateHelper(,I70,,C70,"Euribor3M",0,,Trigger),"--"))))</f>
        <v>#N/A</v>
      </c>
      <c r="K70" s="98" t="b">
        <f t="shared" si="6"/>
        <v>0</v>
      </c>
      <c r="M70" s="9" t="e">
        <v>#N/A</v>
      </c>
      <c r="N70" s="9" t="e">
        <v>#N/A</v>
      </c>
      <c r="O70" s="9" t="e">
        <v>#N/A</v>
      </c>
      <c r="P70" s="96" t="e">
        <f>_xll.qlRateHelperRate(O70,Trigger)</f>
        <v>#VALUE!</v>
      </c>
      <c r="Q70" s="10" t="e">
        <f>_xll.qlRateHelperEarliestDate(O70,Trigger)</f>
        <v>#VALUE!</v>
      </c>
      <c r="R70" s="10" t="e">
        <f>_xll.qlRateHelperPillarDate(O70,Trigger)</f>
        <v>#VALUE!</v>
      </c>
      <c r="S70" s="96" t="e">
        <v>#N/A</v>
      </c>
    </row>
    <row r="71" spans="1:19" ht="11.25" customHeight="1" x14ac:dyDescent="0.2">
      <c r="A71" s="91" t="e">
        <v>#N/A</v>
      </c>
      <c r="B71" s="91" t="e">
        <v>#N/A</v>
      </c>
      <c r="C71" s="91" t="e">
        <f>IF(A71="Sf",_xll.qlIMMNextCode(B71,Trigger),IF(LEFT(B71,1)="#",_xll.qlCalendarBusinessDaysBetween(Calendar,Settlementdate,DATE(LEFT(SUBSTITUTE(B71,"#",""),4),LEFT(RIGHT(SUBSTITUTE(B71,"#",""),4),2),RIGHT(SUBSTITUTE(B71,"#",""),2)),,,Trigger)-1&amp;"D",SUBSTITUTE(B71,"/","")))</f>
        <v>#N/A</v>
      </c>
      <c r="D71" s="101" t="e">
        <f t="shared" si="8"/>
        <v>#N/A</v>
      </c>
      <c r="E71" s="101" t="e">
        <f t="shared" si="9"/>
        <v>#N/A</v>
      </c>
      <c r="F71" s="97" t="e">
        <f t="shared" si="7"/>
        <v>#N/A</v>
      </c>
      <c r="G71" s="100" t="e">
        <f t="shared" si="10"/>
        <v>#N/A</v>
      </c>
      <c r="H71" s="97" t="e">
        <f t="shared" si="11"/>
        <v>#N/A</v>
      </c>
      <c r="I71" s="102" t="e">
        <v>#N/A</v>
      </c>
      <c r="J71" s="89" t="e">
        <f>IF(LEFT(A71,1)="D",_xll.qlDepositRateHelper2(,I71,IF(RIGHT(C71,1)="N","1D",C71),D71,Calendar,F71,G71,H71,,Trigger),IF(A71="Sw",_xll.qlSwapRateHelper2(,I71,D71,C71,Calendar,"Annual",F71,H71,"Euribor6M",0,"0D",,,,,Trigger),IF(A71="Fr",_xll.qlFraRateHelper(,I71,SUBSTITUTE(LEFT(C71,2),"M","")&amp;"M","Euribor6M",,,,Trigger),IF(A71="Sf",_xll.qlFuturesRateHelper(,I71,,C71,"Euribor3M",0,,Trigger),"--"))))</f>
        <v>#N/A</v>
      </c>
      <c r="K71" s="98" t="b">
        <f t="shared" si="6"/>
        <v>0</v>
      </c>
      <c r="M71" s="9" t="e">
        <v>#N/A</v>
      </c>
      <c r="N71" s="9" t="e">
        <v>#N/A</v>
      </c>
      <c r="O71" s="9" t="e">
        <v>#N/A</v>
      </c>
      <c r="P71" s="96" t="e">
        <f>_xll.qlRateHelperRate(O71,Trigger)</f>
        <v>#VALUE!</v>
      </c>
      <c r="Q71" s="10" t="e">
        <f>_xll.qlRateHelperEarliestDate(O71,Trigger)</f>
        <v>#VALUE!</v>
      </c>
      <c r="R71" s="10" t="e">
        <f>_xll.qlRateHelperPillarDate(O71,Trigger)</f>
        <v>#VALUE!</v>
      </c>
      <c r="S71" s="96" t="e">
        <v>#N/A</v>
      </c>
    </row>
    <row r="72" spans="1:19" ht="11.25" customHeight="1" x14ac:dyDescent="0.2">
      <c r="A72" s="91" t="e">
        <v>#N/A</v>
      </c>
      <c r="B72" s="91" t="e">
        <v>#N/A</v>
      </c>
      <c r="C72" s="91" t="e">
        <f>IF(A72="Sf",_xll.qlIMMNextCode(B72,Trigger),IF(LEFT(B72,1)="#",_xll.qlCalendarBusinessDaysBetween(Calendar,Settlementdate,DATE(LEFT(SUBSTITUTE(B72,"#",""),4),LEFT(RIGHT(SUBSTITUTE(B72,"#",""),4),2),RIGHT(SUBSTITUTE(B72,"#",""),2)),,,Trigger)-1&amp;"D",SUBSTITUTE(B72,"/","")))</f>
        <v>#N/A</v>
      </c>
      <c r="D72" s="101" t="e">
        <f t="shared" si="8"/>
        <v>#N/A</v>
      </c>
      <c r="E72" s="101" t="e">
        <f t="shared" si="9"/>
        <v>#N/A</v>
      </c>
      <c r="F72" s="97" t="e">
        <f t="shared" si="7"/>
        <v>#N/A</v>
      </c>
      <c r="G72" s="100" t="e">
        <f t="shared" si="10"/>
        <v>#N/A</v>
      </c>
      <c r="H72" s="97" t="e">
        <f t="shared" si="11"/>
        <v>#N/A</v>
      </c>
      <c r="I72" s="102" t="e">
        <v>#N/A</v>
      </c>
      <c r="J72" s="89" t="e">
        <f>IF(LEFT(A72,1)="D",_xll.qlDepositRateHelper2(,I72,IF(RIGHT(C72,1)="N","1D",C72),D72,Calendar,F72,G72,H72,,Trigger),IF(A72="Sw",_xll.qlSwapRateHelper2(,I72,D72,C72,Calendar,"Annual",F72,H72,"Euribor6M",0,"0D",,,,,Trigger),IF(A72="Fr",_xll.qlFraRateHelper(,I72,SUBSTITUTE(LEFT(C72,2),"M","")&amp;"M","Euribor6M",,,,Trigger),IF(A72="Sf",_xll.qlFuturesRateHelper(,I72,,C72,"Euribor3M",0,,Trigger),"--"))))</f>
        <v>#N/A</v>
      </c>
      <c r="K72" s="98" t="b">
        <f t="shared" si="6"/>
        <v>0</v>
      </c>
      <c r="M72" s="9" t="e">
        <v>#N/A</v>
      </c>
      <c r="N72" s="9" t="e">
        <v>#N/A</v>
      </c>
      <c r="O72" s="9" t="e">
        <v>#N/A</v>
      </c>
      <c r="P72" s="96" t="e">
        <f>_xll.qlRateHelperRate(O72,Trigger)</f>
        <v>#VALUE!</v>
      </c>
      <c r="Q72" s="10" t="e">
        <f>_xll.qlRateHelperEarliestDate(O72,Trigger)</f>
        <v>#VALUE!</v>
      </c>
      <c r="R72" s="10" t="e">
        <f>_xll.qlRateHelperPillarDate(O72,Trigger)</f>
        <v>#VALUE!</v>
      </c>
      <c r="S72" s="96" t="e">
        <v>#N/A</v>
      </c>
    </row>
    <row r="73" spans="1:19" ht="11.25" customHeight="1" x14ac:dyDescent="0.2">
      <c r="A73" s="91" t="e">
        <v>#N/A</v>
      </c>
      <c r="B73" s="91" t="e">
        <v>#N/A</v>
      </c>
      <c r="C73" s="91" t="e">
        <f>IF(A73="Sf",_xll.qlIMMNextCode(B73,Trigger),IF(LEFT(B73,1)="#",_xll.qlCalendarBusinessDaysBetween(Calendar,Settlementdate,DATE(LEFT(SUBSTITUTE(B73,"#",""),4),LEFT(RIGHT(SUBSTITUTE(B73,"#",""),4),2),RIGHT(SUBSTITUTE(B73,"#",""),2)),,,Trigger)-1&amp;"D",SUBSTITUTE(B73,"/","")))</f>
        <v>#N/A</v>
      </c>
      <c r="D73" s="101" t="e">
        <f t="shared" si="8"/>
        <v>#N/A</v>
      </c>
      <c r="E73" s="101" t="e">
        <f t="shared" si="9"/>
        <v>#N/A</v>
      </c>
      <c r="F73" s="97" t="e">
        <f t="shared" si="7"/>
        <v>#N/A</v>
      </c>
      <c r="G73" s="100" t="e">
        <f t="shared" si="10"/>
        <v>#N/A</v>
      </c>
      <c r="H73" s="97" t="e">
        <f t="shared" si="11"/>
        <v>#N/A</v>
      </c>
      <c r="I73" s="102" t="e">
        <v>#N/A</v>
      </c>
      <c r="J73" s="89" t="e">
        <f>IF(LEFT(A73,1)="D",_xll.qlDepositRateHelper2(,I73,IF(RIGHT(C73,1)="N","1D",C73),D73,Calendar,F73,G73,H73,,Trigger),IF(A73="Sw",_xll.qlSwapRateHelper2(,I73,D73,C73,Calendar,"Annual",F73,H73,"Euribor6M",0,"0D",,,,,Trigger),IF(A73="Fr",_xll.qlFraRateHelper(,I73,SUBSTITUTE(LEFT(C73,2),"M","")&amp;"M","Euribor6M",,,,Trigger),IF(A73="Sf",_xll.qlFuturesRateHelper(,I73,,C73,"Euribor3M",0,,Trigger),"--"))))</f>
        <v>#N/A</v>
      </c>
      <c r="K73" s="98" t="b">
        <f t="shared" si="6"/>
        <v>0</v>
      </c>
      <c r="M73" s="9" t="e">
        <v>#N/A</v>
      </c>
      <c r="N73" s="9" t="e">
        <v>#N/A</v>
      </c>
      <c r="O73" s="9" t="e">
        <v>#N/A</v>
      </c>
      <c r="P73" s="96" t="e">
        <f>_xll.qlRateHelperRate(O73,Trigger)</f>
        <v>#VALUE!</v>
      </c>
      <c r="Q73" s="10" t="e">
        <f>_xll.qlRateHelperEarliestDate(O73,Trigger)</f>
        <v>#VALUE!</v>
      </c>
      <c r="R73" s="10" t="e">
        <f>_xll.qlRateHelperPillarDate(O73,Trigger)</f>
        <v>#VALUE!</v>
      </c>
      <c r="S73" s="96" t="e">
        <v>#N/A</v>
      </c>
    </row>
    <row r="74" spans="1:19" ht="11.25" customHeight="1" x14ac:dyDescent="0.2">
      <c r="A74" s="91" t="e">
        <v>#N/A</v>
      </c>
      <c r="B74" s="91" t="e">
        <v>#N/A</v>
      </c>
      <c r="C74" s="91" t="e">
        <f>IF(A74="Sf",_xll.qlIMMNextCode(B74,Trigger),IF(LEFT(B74,1)="#",_xll.qlCalendarBusinessDaysBetween(Calendar,Settlementdate,DATE(LEFT(SUBSTITUTE(B74,"#",""),4),LEFT(RIGHT(SUBSTITUTE(B74,"#",""),4),2),RIGHT(SUBSTITUTE(B74,"#",""),2)),,,Trigger)-1&amp;"D",SUBSTITUTE(B74,"/","")))</f>
        <v>#N/A</v>
      </c>
      <c r="D74" s="101" t="e">
        <f t="shared" si="8"/>
        <v>#N/A</v>
      </c>
      <c r="E74" s="101" t="e">
        <f t="shared" si="9"/>
        <v>#N/A</v>
      </c>
      <c r="F74" s="97" t="e">
        <f t="shared" si="7"/>
        <v>#N/A</v>
      </c>
      <c r="G74" s="100" t="e">
        <f t="shared" si="10"/>
        <v>#N/A</v>
      </c>
      <c r="H74" s="97" t="e">
        <f t="shared" si="11"/>
        <v>#N/A</v>
      </c>
      <c r="I74" s="102" t="e">
        <v>#N/A</v>
      </c>
      <c r="J74" s="89" t="e">
        <f>IF(LEFT(A74,1)="D",_xll.qlDepositRateHelper2(,I74,IF(RIGHT(C74,1)="N","1D",C74),D74,Calendar,F74,G74,H74,,Trigger),IF(A74="Sw",_xll.qlSwapRateHelper2(,I74,D74,C74,Calendar,"Annual",F74,H74,"Euribor6M",0,"0D",,,,,Trigger),IF(A74="Fr",_xll.qlFraRateHelper(,I74,SUBSTITUTE(LEFT(C74,2),"M","")&amp;"M","Euribor6M",,,,Trigger),IF(A74="Sf",_xll.qlFuturesRateHelper(,I74,,C74,"Euribor3M",0,,Trigger),"--"))))</f>
        <v>#N/A</v>
      </c>
      <c r="K74" s="98" t="b">
        <f t="shared" si="6"/>
        <v>0</v>
      </c>
      <c r="M74" s="9" t="e">
        <v>#N/A</v>
      </c>
      <c r="N74" s="9" t="e">
        <v>#N/A</v>
      </c>
      <c r="O74" s="9" t="e">
        <v>#N/A</v>
      </c>
      <c r="P74" s="96" t="e">
        <f>_xll.qlRateHelperRate(O74,Trigger)</f>
        <v>#VALUE!</v>
      </c>
      <c r="Q74" s="10" t="e">
        <f>_xll.qlRateHelperEarliestDate(O74,Trigger)</f>
        <v>#VALUE!</v>
      </c>
      <c r="R74" s="10" t="e">
        <f>_xll.qlRateHelperPillarDate(O74,Trigger)</f>
        <v>#VALUE!</v>
      </c>
      <c r="S74" s="96" t="e">
        <v>#N/A</v>
      </c>
    </row>
    <row r="75" spans="1:19" ht="11.25" customHeight="1" x14ac:dyDescent="0.2">
      <c r="A75" s="91" t="e">
        <v>#N/A</v>
      </c>
      <c r="B75" s="91" t="e">
        <v>#N/A</v>
      </c>
      <c r="C75" s="91" t="e">
        <f>IF(A75="Sf",_xll.qlIMMNextCode(B75,Trigger),IF(LEFT(B75,1)="#",_xll.qlCalendarBusinessDaysBetween(Calendar,Settlementdate,DATE(LEFT(SUBSTITUTE(B75,"#",""),4),LEFT(RIGHT(SUBSTITUTE(B75,"#",""),4),2),RIGHT(SUBSTITUTE(B75,"#",""),2)),,,Trigger)-1&amp;"D",SUBSTITUTE(B75,"/","")))</f>
        <v>#N/A</v>
      </c>
      <c r="D75" s="101" t="e">
        <f t="shared" si="8"/>
        <v>#N/A</v>
      </c>
      <c r="E75" s="101" t="e">
        <f t="shared" si="9"/>
        <v>#N/A</v>
      </c>
      <c r="F75" s="97" t="e">
        <f t="shared" si="7"/>
        <v>#N/A</v>
      </c>
      <c r="G75" s="100" t="e">
        <f t="shared" si="10"/>
        <v>#N/A</v>
      </c>
      <c r="H75" s="97" t="e">
        <f t="shared" si="11"/>
        <v>#N/A</v>
      </c>
      <c r="I75" s="102" t="e">
        <v>#N/A</v>
      </c>
      <c r="J75" s="89" t="e">
        <f>IF(LEFT(A75,1)="D",_xll.qlDepositRateHelper2(,I75,IF(RIGHT(C75,1)="N","1D",C75),D75,Calendar,F75,G75,H75,,Trigger),IF(A75="Sw",_xll.qlSwapRateHelper2(,I75,D75,C75,Calendar,"Annual",F75,H75,"Euribor6M",0,"0D",,,,,Trigger),IF(A75="Fr",_xll.qlFraRateHelper(,I75,SUBSTITUTE(LEFT(C75,2),"M","")&amp;"M","Euribor6M",,,,Trigger),IF(A75="Sf",_xll.qlFuturesRateHelper(,I75,,C75,"Euribor3M",0,,Trigger),"--"))))</f>
        <v>#N/A</v>
      </c>
      <c r="K75" s="98" t="b">
        <f t="shared" si="6"/>
        <v>0</v>
      </c>
      <c r="M75" s="9" t="e">
        <v>#N/A</v>
      </c>
      <c r="N75" s="9" t="e">
        <v>#N/A</v>
      </c>
      <c r="O75" s="9" t="e">
        <v>#N/A</v>
      </c>
      <c r="P75" s="96" t="e">
        <f>_xll.qlRateHelperRate(O75,Trigger)</f>
        <v>#VALUE!</v>
      </c>
      <c r="Q75" s="10" t="e">
        <f>_xll.qlRateHelperEarliestDate(O75,Trigger)</f>
        <v>#VALUE!</v>
      </c>
      <c r="R75" s="10" t="e">
        <f>_xll.qlRateHelperPillarDate(O75,Trigger)</f>
        <v>#VALUE!</v>
      </c>
      <c r="S75" s="96" t="e">
        <v>#N/A</v>
      </c>
    </row>
    <row r="76" spans="1:19" ht="11.25" customHeight="1" x14ac:dyDescent="0.2">
      <c r="A76" s="91" t="e">
        <v>#N/A</v>
      </c>
      <c r="B76" s="91" t="e">
        <v>#N/A</v>
      </c>
      <c r="C76" s="91" t="e">
        <f>IF(A76="Sf",_xll.qlIMMNextCode(B76,Trigger),IF(LEFT(B76,1)="#",_xll.qlCalendarBusinessDaysBetween(Calendar,Settlementdate,DATE(LEFT(SUBSTITUTE(B76,"#",""),4),LEFT(RIGHT(SUBSTITUTE(B76,"#",""),4),2),RIGHT(SUBSTITUTE(B76,"#",""),2)),,,Trigger)-1&amp;"D",SUBSTITUTE(B76,"/","")))</f>
        <v>#N/A</v>
      </c>
      <c r="D76" s="101" t="e">
        <f t="shared" si="8"/>
        <v>#N/A</v>
      </c>
      <c r="E76" s="101" t="e">
        <f t="shared" si="9"/>
        <v>#N/A</v>
      </c>
      <c r="F76" s="97" t="e">
        <f t="shared" si="7"/>
        <v>#N/A</v>
      </c>
      <c r="G76" s="100" t="e">
        <f t="shared" si="10"/>
        <v>#N/A</v>
      </c>
      <c r="H76" s="97" t="e">
        <f t="shared" si="11"/>
        <v>#N/A</v>
      </c>
      <c r="I76" s="102" t="e">
        <v>#N/A</v>
      </c>
      <c r="J76" s="89" t="e">
        <f>IF(LEFT(A76,1)="D",_xll.qlDepositRateHelper2(,I76,IF(RIGHT(C76,1)="N","1D",C76),D76,Calendar,F76,G76,H76,,Trigger),IF(A76="Sw",_xll.qlSwapRateHelper2(,I76,D76,C76,Calendar,"Annual",F76,H76,"Euribor6M",0,"0D",,,,,Trigger),IF(A76="Fr",_xll.qlFraRateHelper(,I76,SUBSTITUTE(LEFT(C76,2),"M","")&amp;"M","Euribor6M",,,,Trigger),IF(A76="Sf",_xll.qlFuturesRateHelper(,I76,,C76,"Euribor3M",0,,Trigger),"--"))))</f>
        <v>#N/A</v>
      </c>
      <c r="K76" s="98" t="b">
        <f t="shared" si="6"/>
        <v>0</v>
      </c>
      <c r="M76" s="9" t="e">
        <v>#N/A</v>
      </c>
      <c r="N76" s="9" t="e">
        <v>#N/A</v>
      </c>
      <c r="O76" s="9" t="e">
        <v>#N/A</v>
      </c>
      <c r="P76" s="96" t="e">
        <f>_xll.qlRateHelperRate(O76,Trigger)</f>
        <v>#VALUE!</v>
      </c>
      <c r="Q76" s="10" t="e">
        <f>_xll.qlRateHelperEarliestDate(O76,Trigger)</f>
        <v>#VALUE!</v>
      </c>
      <c r="R76" s="10" t="e">
        <f>_xll.qlRateHelperPillarDate(O76,Trigger)</f>
        <v>#VALUE!</v>
      </c>
      <c r="S76" s="96" t="e">
        <v>#N/A</v>
      </c>
    </row>
    <row r="77" spans="1:19" ht="11.25" customHeight="1" x14ac:dyDescent="0.2">
      <c r="A77" s="91" t="e">
        <v>#N/A</v>
      </c>
      <c r="B77" s="91" t="e">
        <v>#N/A</v>
      </c>
      <c r="C77" s="91" t="e">
        <f>IF(A77="Sf",_xll.qlIMMNextCode(B77,Trigger),IF(LEFT(B77,1)="#",_xll.qlCalendarBusinessDaysBetween(Calendar,Settlementdate,DATE(LEFT(SUBSTITUTE(B77,"#",""),4),LEFT(RIGHT(SUBSTITUTE(B77,"#",""),4),2),RIGHT(SUBSTITUTE(B77,"#",""),2)),,,Trigger)-1&amp;"D",SUBSTITUTE(B77,"/","")))</f>
        <v>#N/A</v>
      </c>
      <c r="D77" s="101" t="e">
        <f t="shared" si="8"/>
        <v>#N/A</v>
      </c>
      <c r="E77" s="101" t="e">
        <f t="shared" si="9"/>
        <v>#N/A</v>
      </c>
      <c r="F77" s="97" t="e">
        <f t="shared" si="7"/>
        <v>#N/A</v>
      </c>
      <c r="G77" s="100" t="e">
        <f t="shared" si="10"/>
        <v>#N/A</v>
      </c>
      <c r="H77" s="97" t="e">
        <f t="shared" si="11"/>
        <v>#N/A</v>
      </c>
      <c r="I77" s="102" t="e">
        <v>#N/A</v>
      </c>
      <c r="J77" s="89" t="e">
        <f>IF(LEFT(A77,1)="D",_xll.qlDepositRateHelper2(,I77,IF(RIGHT(C77,1)="N","1D",C77),D77,Calendar,F77,G77,H77,,Trigger),IF(A77="Sw",_xll.qlSwapRateHelper2(,I77,D77,C77,Calendar,"Annual",F77,H77,"Euribor6M",0,"0D",,,,,Trigger),IF(A77="Fr",_xll.qlFraRateHelper(,I77,SUBSTITUTE(LEFT(C77,2),"M","")&amp;"M","Euribor6M",,,,Trigger),IF(A77="Sf",_xll.qlFuturesRateHelper(,I77,,C77,"Euribor3M",0,,Trigger),"--"))))</f>
        <v>#N/A</v>
      </c>
      <c r="K77" s="98" t="b">
        <f t="shared" si="6"/>
        <v>0</v>
      </c>
      <c r="M77" s="9" t="e">
        <v>#N/A</v>
      </c>
      <c r="N77" s="9" t="e">
        <v>#N/A</v>
      </c>
      <c r="O77" s="9" t="e">
        <v>#N/A</v>
      </c>
      <c r="P77" s="96" t="e">
        <f>_xll.qlRateHelperRate(O77,Trigger)</f>
        <v>#VALUE!</v>
      </c>
      <c r="Q77" s="10" t="e">
        <f>_xll.qlRateHelperEarliestDate(O77,Trigger)</f>
        <v>#VALUE!</v>
      </c>
      <c r="R77" s="10" t="e">
        <f>_xll.qlRateHelperPillarDate(O77,Trigger)</f>
        <v>#VALUE!</v>
      </c>
      <c r="S77" s="96" t="e">
        <v>#N/A</v>
      </c>
    </row>
    <row r="78" spans="1:19" ht="11.25" customHeight="1" x14ac:dyDescent="0.2">
      <c r="A78" s="91" t="e">
        <v>#N/A</v>
      </c>
      <c r="B78" s="91" t="e">
        <v>#N/A</v>
      </c>
      <c r="C78" s="91" t="e">
        <f>IF(A78="Sf",_xll.qlIMMNextCode(B78,Trigger),IF(LEFT(B78,1)="#",_xll.qlCalendarBusinessDaysBetween(Calendar,Settlementdate,DATE(LEFT(SUBSTITUTE(B78,"#",""),4),LEFT(RIGHT(SUBSTITUTE(B78,"#",""),4),2),RIGHT(SUBSTITUTE(B78,"#",""),2)),,,Trigger)-1&amp;"D",SUBSTITUTE(B78,"/","")))</f>
        <v>#N/A</v>
      </c>
      <c r="D78" s="101" t="e">
        <f t="shared" si="8"/>
        <v>#N/A</v>
      </c>
      <c r="E78" s="101" t="e">
        <f t="shared" si="9"/>
        <v>#N/A</v>
      </c>
      <c r="F78" s="97" t="e">
        <f t="shared" si="7"/>
        <v>#N/A</v>
      </c>
      <c r="G78" s="100" t="e">
        <f t="shared" si="10"/>
        <v>#N/A</v>
      </c>
      <c r="H78" s="97" t="e">
        <f t="shared" si="11"/>
        <v>#N/A</v>
      </c>
      <c r="I78" s="102" t="e">
        <v>#N/A</v>
      </c>
      <c r="J78" s="89" t="e">
        <f>IF(LEFT(A78,1)="D",_xll.qlDepositRateHelper2(,I78,IF(RIGHT(C78,1)="N","1D",C78),D78,Calendar,F78,G78,H78,,Trigger),IF(A78="Sw",_xll.qlSwapRateHelper2(,I78,D78,C78,Calendar,"Annual",F78,H78,"Euribor6M",0,"0D",,,,,Trigger),IF(A78="Fr",_xll.qlFraRateHelper(,I78,SUBSTITUTE(LEFT(C78,2),"M","")&amp;"M","Euribor6M",,,,Trigger),IF(A78="Sf",_xll.qlFuturesRateHelper(,I78,,C78,"Euribor3M",0,,Trigger),"--"))))</f>
        <v>#N/A</v>
      </c>
      <c r="K78" s="98" t="b">
        <f t="shared" si="6"/>
        <v>0</v>
      </c>
      <c r="M78" s="9" t="e">
        <v>#N/A</v>
      </c>
      <c r="N78" s="9" t="e">
        <v>#N/A</v>
      </c>
      <c r="O78" s="9" t="e">
        <v>#N/A</v>
      </c>
      <c r="P78" s="96" t="e">
        <f>_xll.qlRateHelperRate(O78,Trigger)</f>
        <v>#VALUE!</v>
      </c>
      <c r="Q78" s="10" t="e">
        <f>_xll.qlRateHelperEarliestDate(O78,Trigger)</f>
        <v>#VALUE!</v>
      </c>
      <c r="R78" s="10" t="e">
        <f>_xll.qlRateHelperPillarDate(O78,Trigger)</f>
        <v>#VALUE!</v>
      </c>
      <c r="S78" s="96" t="e">
        <v>#N/A</v>
      </c>
    </row>
    <row r="79" spans="1:19" ht="11.25" customHeight="1" x14ac:dyDescent="0.2">
      <c r="A79" s="91" t="e">
        <v>#N/A</v>
      </c>
      <c r="B79" s="91" t="e">
        <v>#N/A</v>
      </c>
      <c r="C79" s="91" t="e">
        <f>IF(A79="Sf",_xll.qlIMMNextCode(B79,Trigger),IF(LEFT(B79,1)="#",_xll.qlCalendarBusinessDaysBetween(Calendar,Settlementdate,DATE(LEFT(SUBSTITUTE(B79,"#",""),4),LEFT(RIGHT(SUBSTITUTE(B79,"#",""),4),2),RIGHT(SUBSTITUTE(B79,"#",""),2)),,,Trigger)-1&amp;"D",SUBSTITUTE(B79,"/","")))</f>
        <v>#N/A</v>
      </c>
      <c r="D79" s="101" t="e">
        <f t="shared" si="8"/>
        <v>#N/A</v>
      </c>
      <c r="E79" s="101" t="e">
        <f t="shared" si="9"/>
        <v>#N/A</v>
      </c>
      <c r="F79" s="97" t="e">
        <f t="shared" si="7"/>
        <v>#N/A</v>
      </c>
      <c r="G79" s="100" t="e">
        <f t="shared" si="10"/>
        <v>#N/A</v>
      </c>
      <c r="H79" s="97" t="e">
        <f t="shared" si="11"/>
        <v>#N/A</v>
      </c>
      <c r="I79" s="102" t="e">
        <v>#N/A</v>
      </c>
      <c r="J79" s="89" t="e">
        <f>IF(LEFT(A79,1)="D",_xll.qlDepositRateHelper2(,I79,IF(RIGHT(C79,1)="N","1D",C79),D79,Calendar,F79,G79,H79,,Trigger),IF(A79="Sw",_xll.qlSwapRateHelper2(,I79,D79,C79,Calendar,"Annual",F79,H79,"Euribor6M",0,"0D",,,,,Trigger),IF(A79="Fr",_xll.qlFraRateHelper(,I79,SUBSTITUTE(LEFT(C79,2),"M","")&amp;"M","Euribor6M",,,,Trigger),IF(A79="Sf",_xll.qlFuturesRateHelper(,I79,,C79,"Euribor3M",0,,Trigger),"--"))))</f>
        <v>#N/A</v>
      </c>
      <c r="K79" s="98" t="b">
        <f t="shared" si="6"/>
        <v>0</v>
      </c>
      <c r="M79" s="9" t="e">
        <v>#N/A</v>
      </c>
      <c r="N79" s="9" t="e">
        <v>#N/A</v>
      </c>
      <c r="O79" s="9" t="e">
        <v>#N/A</v>
      </c>
      <c r="P79" s="96" t="e">
        <f>_xll.qlRateHelperRate(O79,Trigger)</f>
        <v>#VALUE!</v>
      </c>
      <c r="Q79" s="10" t="e">
        <f>_xll.qlRateHelperEarliestDate(O79,Trigger)</f>
        <v>#VALUE!</v>
      </c>
      <c r="R79" s="10" t="e">
        <f>_xll.qlRateHelperPillarDate(O79,Trigger)</f>
        <v>#VALUE!</v>
      </c>
      <c r="S79" s="96" t="e">
        <v>#N/A</v>
      </c>
    </row>
    <row r="80" spans="1:19" ht="11.25" customHeight="1" x14ac:dyDescent="0.2">
      <c r="A80" s="91" t="e">
        <v>#N/A</v>
      </c>
      <c r="B80" s="91" t="e">
        <v>#N/A</v>
      </c>
      <c r="C80" s="91" t="e">
        <f>IF(A80="Sf",_xll.qlIMMNextCode(B80,Trigger),IF(LEFT(B80,1)="#",_xll.qlCalendarBusinessDaysBetween(Calendar,Settlementdate,DATE(LEFT(SUBSTITUTE(B80,"#",""),4),LEFT(RIGHT(SUBSTITUTE(B80,"#",""),4),2),RIGHT(SUBSTITUTE(B80,"#",""),2)),,,Trigger)-1&amp;"D",SUBSTITUTE(B80,"/","")))</f>
        <v>#N/A</v>
      </c>
      <c r="D80" s="101" t="e">
        <f t="shared" si="8"/>
        <v>#N/A</v>
      </c>
      <c r="E80" s="101" t="e">
        <f t="shared" si="9"/>
        <v>#N/A</v>
      </c>
      <c r="F80" s="97" t="e">
        <f t="shared" si="7"/>
        <v>#N/A</v>
      </c>
      <c r="G80" s="100" t="e">
        <f t="shared" si="10"/>
        <v>#N/A</v>
      </c>
      <c r="H80" s="97" t="e">
        <f t="shared" si="11"/>
        <v>#N/A</v>
      </c>
      <c r="I80" s="102" t="e">
        <v>#N/A</v>
      </c>
      <c r="J80" s="89" t="e">
        <f>IF(LEFT(A80,1)="D",_xll.qlDepositRateHelper2(,I80,IF(RIGHT(C80,1)="N","1D",C80),D80,Calendar,F80,G80,H80,,Trigger),IF(A80="Sw",_xll.qlSwapRateHelper2(,I80,D80,C80,Calendar,"Annual",F80,H80,"Euribor6M",0,"0D",,,,,Trigger),IF(A80="Fr",_xll.qlFraRateHelper(,I80,SUBSTITUTE(LEFT(C80,2),"M","")&amp;"M","Euribor6M",,,,Trigger),IF(A80="Sf",_xll.qlFuturesRateHelper(,I80,,C80,"Euribor3M",0,,Trigger),"--"))))</f>
        <v>#N/A</v>
      </c>
      <c r="K80" s="98" t="b">
        <f t="shared" si="6"/>
        <v>0</v>
      </c>
      <c r="M80" s="9" t="e">
        <v>#N/A</v>
      </c>
      <c r="N80" s="9" t="e">
        <v>#N/A</v>
      </c>
      <c r="O80" s="9" t="e">
        <v>#N/A</v>
      </c>
      <c r="P80" s="96" t="e">
        <f>_xll.qlRateHelperRate(O80,Trigger)</f>
        <v>#VALUE!</v>
      </c>
      <c r="Q80" s="10" t="e">
        <f>_xll.qlRateHelperEarliestDate(O80,Trigger)</f>
        <v>#VALUE!</v>
      </c>
      <c r="R80" s="10" t="e">
        <f>_xll.qlRateHelperPillarDate(O80,Trigger)</f>
        <v>#VALUE!</v>
      </c>
      <c r="S80" s="96" t="e">
        <v>#N/A</v>
      </c>
    </row>
    <row r="81" spans="1:19" ht="11.25" customHeight="1" x14ac:dyDescent="0.2">
      <c r="A81" s="91" t="e">
        <v>#N/A</v>
      </c>
      <c r="B81" s="91" t="e">
        <v>#N/A</v>
      </c>
      <c r="C81" s="91" t="e">
        <f>IF(A81="Sf",_xll.qlIMMNextCode(B81,Trigger),IF(LEFT(B81,1)="#",_xll.qlCalendarBusinessDaysBetween(Calendar,Settlementdate,DATE(LEFT(SUBSTITUTE(B81,"#",""),4),LEFT(RIGHT(SUBSTITUTE(B81,"#",""),4),2),RIGHT(SUBSTITUTE(B81,"#",""),2)),,,Trigger)-1&amp;"D",SUBSTITUTE(B81,"/","")))</f>
        <v>#N/A</v>
      </c>
      <c r="D81" s="101" t="e">
        <f t="shared" si="8"/>
        <v>#N/A</v>
      </c>
      <c r="E81" s="101" t="e">
        <f t="shared" si="9"/>
        <v>#N/A</v>
      </c>
      <c r="F81" s="97" t="e">
        <f t="shared" si="7"/>
        <v>#N/A</v>
      </c>
      <c r="G81" s="100" t="e">
        <f t="shared" si="10"/>
        <v>#N/A</v>
      </c>
      <c r="H81" s="97" t="e">
        <f t="shared" si="11"/>
        <v>#N/A</v>
      </c>
      <c r="I81" s="102" t="e">
        <v>#N/A</v>
      </c>
      <c r="J81" s="89" t="e">
        <f>IF(LEFT(A81,1)="D",_xll.qlDepositRateHelper2(,I81,IF(RIGHT(C81,1)="N","1D",C81),D81,Calendar,F81,G81,H81,,Trigger),IF(A81="Sw",_xll.qlSwapRateHelper2(,I81,D81,C81,Calendar,"Annual",F81,H81,"Euribor6M",0,"0D",,,,,Trigger),IF(A81="Fr",_xll.qlFraRateHelper(,I81,SUBSTITUTE(LEFT(C81,2),"M","")&amp;"M","Euribor6M",,,,Trigger),IF(A81="Sf",_xll.qlFuturesRateHelper(,I81,,C81,"Euribor3M",0,,Trigger),"--"))))</f>
        <v>#N/A</v>
      </c>
      <c r="K81" s="98" t="b">
        <f t="shared" si="6"/>
        <v>0</v>
      </c>
      <c r="M81" s="9" t="e">
        <v>#N/A</v>
      </c>
      <c r="N81" s="9" t="e">
        <v>#N/A</v>
      </c>
      <c r="O81" s="9" t="e">
        <v>#N/A</v>
      </c>
      <c r="P81" s="96" t="e">
        <f>_xll.qlRateHelperRate(O81,Trigger)</f>
        <v>#VALUE!</v>
      </c>
      <c r="Q81" s="10" t="e">
        <f>_xll.qlRateHelperEarliestDate(O81,Trigger)</f>
        <v>#VALUE!</v>
      </c>
      <c r="R81" s="10" t="e">
        <f>_xll.qlRateHelperPillarDate(O81,Trigger)</f>
        <v>#VALUE!</v>
      </c>
      <c r="S81" s="96" t="e">
        <v>#N/A</v>
      </c>
    </row>
    <row r="82" spans="1:19" ht="11.25" customHeight="1" x14ac:dyDescent="0.2">
      <c r="A82" s="6" t="e">
        <v>#N/A</v>
      </c>
      <c r="B82" s="6" t="e">
        <v>#N/A</v>
      </c>
      <c r="C82" s="6" t="e">
        <f>IF(A82="Sf",_xll.qlIMMNextCode(B82,Trigger),IF(LEFT(B82,1)="#",_xll.qlCalendarBusinessDaysBetween(Calendar,Settlementdate,DATE(LEFT(SUBSTITUTE(B82,"#",""),4),LEFT(RIGHT(SUBSTITUTE(B82,"#",""),4),2),RIGHT(SUBSTITUTE(B82,"#",""),2)),,,Trigger)-1&amp;"D",SUBSTITUTE(B82,"/","")))</f>
        <v>#N/A</v>
      </c>
      <c r="D82" s="104" t="e">
        <f t="shared" si="8"/>
        <v>#N/A</v>
      </c>
      <c r="E82" s="104" t="e">
        <f t="shared" si="9"/>
        <v>#N/A</v>
      </c>
      <c r="F82" s="2" t="e">
        <f t="shared" si="7"/>
        <v>#N/A</v>
      </c>
      <c r="G82" s="103" t="e">
        <f t="shared" si="10"/>
        <v>#N/A</v>
      </c>
      <c r="H82" s="2" t="e">
        <f t="shared" si="11"/>
        <v>#N/A</v>
      </c>
      <c r="I82" s="105" t="e">
        <v>#N/A</v>
      </c>
      <c r="J82" s="4" t="e">
        <f>IF(LEFT(A82,1)="D",_xll.qlDepositRateHelper2(,I82,IF(RIGHT(C82,1)="N","1D",C82),D82,Calendar,F82,G82,H82,,Trigger),IF(A82="Sw",_xll.qlSwapRateHelper2(,I82,D82,C82,Calendar,"Annual",F82,H82,"Euribor6M",0,"0D",,,,,Trigger),IF(A82="Fr",_xll.qlFraRateHelper(,I82,SUBSTITUTE(LEFT(C82,2),"M","")&amp;"M","Euribor6M",,,,Trigger),IF(A82="Sf",_xll.qlFuturesRateHelper(,I82,,C82,"Euribor3M",0,,Trigger),"--"))))</f>
        <v>#N/A</v>
      </c>
      <c r="K82" s="8" t="b">
        <f t="shared" si="6"/>
        <v>0</v>
      </c>
      <c r="M82" s="11" t="e">
        <v>#N/A</v>
      </c>
      <c r="N82" s="11" t="e">
        <v>#N/A</v>
      </c>
      <c r="O82" s="11" t="e">
        <v>#N/A</v>
      </c>
      <c r="P82" s="174" t="e">
        <f>_xll.qlRateHelperRate(O82,Trigger)</f>
        <v>#VALUE!</v>
      </c>
      <c r="Q82" s="19" t="e">
        <f>_xll.qlRateHelperEarliestDate(O82,Trigger)</f>
        <v>#VALUE!</v>
      </c>
      <c r="R82" s="19" t="e">
        <f>_xll.qlRateHelperPillarDate(O82,Trigger)</f>
        <v>#VALUE!</v>
      </c>
      <c r="S82" s="174" t="e">
        <v>#N/A</v>
      </c>
    </row>
    <row r="83" spans="1:19" ht="11.25" customHeight="1" x14ac:dyDescent="0.2"/>
    <row r="84" spans="1:19" ht="11.25" customHeight="1" x14ac:dyDescent="0.2"/>
    <row r="85" spans="1:19" ht="11.25" customHeight="1" x14ac:dyDescent="0.2"/>
    <row r="86" spans="1:19" ht="11.25" customHeight="1" x14ac:dyDescent="0.2"/>
    <row r="87" spans="1:19" ht="11.25" customHeight="1" x14ac:dyDescent="0.2"/>
    <row r="88" spans="1:19" ht="11.25" customHeight="1" x14ac:dyDescent="0.2"/>
    <row r="89" spans="1:19" ht="11.25" customHeight="1" x14ac:dyDescent="0.2"/>
  </sheetData>
  <dataValidations disablePrompts="1" count="3">
    <dataValidation type="list" allowBlank="1" showInputMessage="1" showErrorMessage="1" sqref="H3:H8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19:G82">
      <formula1>"Annual,Semiannual,EveryFourthMonth,Quarterly,Bimonthly,Monthly,Biweekly,Weekly,Daily,Once,NoFrequency"</formula1>
    </dataValidation>
    <dataValidation type="list" allowBlank="1" showInputMessage="1" showErrorMessage="1" sqref="F19:F82">
      <formula1>"Following,Modified Following,Preceding,Modified Preceding,Month End Reference,Unadjusted Month End,Unadjusted"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89"/>
  <sheetViews>
    <sheetView showGridLines="0" topLeftCell="L1" zoomScaleNormal="100" workbookViewId="0">
      <selection activeCell="S1" sqref="S1"/>
    </sheetView>
  </sheetViews>
  <sheetFormatPr defaultRowHeight="11.25" outlineLevelCol="1" x14ac:dyDescent="0.2"/>
  <cols>
    <col min="1" max="1" width="6.7109375" style="61" hidden="1" customWidth="1" outlineLevel="1"/>
    <col min="2" max="2" width="6.7109375" style="180" hidden="1" customWidth="1" outlineLevel="1"/>
    <col min="3" max="3" width="6.7109375" style="73" hidden="1" customWidth="1" outlineLevel="1"/>
    <col min="4" max="4" width="6.7109375" style="72" hidden="1" customWidth="1" outlineLevel="1"/>
    <col min="5" max="5" width="10" style="72" hidden="1" customWidth="1" outlineLevel="1"/>
    <col min="6" max="6" width="19.42578125" style="74" hidden="1" customWidth="1" outlineLevel="1"/>
    <col min="7" max="7" width="7" style="61" hidden="1" customWidth="1" outlineLevel="1"/>
    <col min="8" max="8" width="20.28515625" style="61" hidden="1" customWidth="1" outlineLevel="1"/>
    <col min="9" max="9" width="12.7109375" style="61" hidden="1" customWidth="1" outlineLevel="1"/>
    <col min="10" max="10" width="15.140625" style="61" hidden="1" customWidth="1" outlineLevel="1"/>
    <col min="11" max="11" width="9" style="72" hidden="1" customWidth="1" outlineLevel="1"/>
    <col min="12" max="12" width="2.7109375" style="61" customWidth="1" collapsed="1"/>
    <col min="13" max="13" width="5" style="61" bestFit="1" customWidth="1"/>
    <col min="14" max="14" width="8" style="61" bestFit="1" customWidth="1"/>
    <col min="15" max="15" width="15.140625" style="61" hidden="1" customWidth="1" outlineLevel="1"/>
    <col min="16" max="16" width="9" style="61" bestFit="1" customWidth="1" collapsed="1"/>
    <col min="17" max="18" width="17.28515625" style="61" bestFit="1" customWidth="1"/>
    <col min="19" max="19" width="12.7109375" style="61" customWidth="1"/>
    <col min="20" max="20" width="15.140625" style="61" bestFit="1" customWidth="1"/>
    <col min="21" max="21" width="9" style="61" bestFit="1" customWidth="1"/>
    <col min="22" max="16384" width="9.140625" style="61"/>
  </cols>
  <sheetData>
    <row r="1" spans="1:19" ht="18" customHeight="1" x14ac:dyDescent="0.2">
      <c r="B1" s="176"/>
      <c r="C1" s="68"/>
      <c r="D1" s="69"/>
      <c r="E1" s="69"/>
      <c r="F1" s="70"/>
      <c r="G1" s="71"/>
      <c r="H1" s="75" t="s">
        <v>0</v>
      </c>
      <c r="K1" s="69"/>
      <c r="M1" s="110" t="s">
        <v>147</v>
      </c>
      <c r="N1" s="93"/>
      <c r="O1" s="93"/>
      <c r="P1" s="94"/>
      <c r="Q1" s="93"/>
      <c r="R1" s="93"/>
      <c r="S1" s="109" t="s">
        <v>229</v>
      </c>
    </row>
    <row r="2" spans="1:19" ht="21" customHeight="1" x14ac:dyDescent="0.2">
      <c r="A2" s="92" t="s">
        <v>9</v>
      </c>
      <c r="B2" s="177"/>
      <c r="C2" s="92" t="s">
        <v>1</v>
      </c>
      <c r="D2" s="92" t="s">
        <v>2</v>
      </c>
      <c r="E2" s="92" t="s">
        <v>227</v>
      </c>
      <c r="F2" s="92" t="s">
        <v>8</v>
      </c>
      <c r="G2" s="92" t="s">
        <v>3</v>
      </c>
      <c r="H2" s="92" t="s">
        <v>4</v>
      </c>
      <c r="I2" s="92" t="s">
        <v>5</v>
      </c>
      <c r="J2" s="92" t="s">
        <v>32</v>
      </c>
      <c r="K2" s="92" t="s">
        <v>36</v>
      </c>
      <c r="M2" s="106" t="s">
        <v>9</v>
      </c>
      <c r="N2" s="106" t="s">
        <v>44</v>
      </c>
      <c r="O2" s="106" t="s">
        <v>32</v>
      </c>
      <c r="P2" s="107" t="s">
        <v>28</v>
      </c>
      <c r="Q2" s="106" t="s">
        <v>26</v>
      </c>
      <c r="R2" s="106" t="s">
        <v>27</v>
      </c>
      <c r="S2" s="95">
        <f t="array" ref="S2:S82">_xll.qlPiecewiseYieldCurveData(YieldCurve_3M,Trigger)</f>
        <v>-2.6455524811366017E-3</v>
      </c>
    </row>
    <row r="3" spans="1:19" ht="11.25" customHeight="1" x14ac:dyDescent="0.2">
      <c r="A3" s="76" t="str">
        <f t="array" ref="A3:A82">_xll.ohFilter(PastedValue!A2:A74,NOT(ISBLANK(PastedValue!A2:A74)))</f>
        <v>Dg</v>
      </c>
      <c r="B3" s="178" t="str">
        <f t="array" ref="B3:B82">_xll.ohFilter(PastedValue!E2:E74,NOT(ISBLANK(PastedValue!E2:E74)))</f>
        <v>S/N</v>
      </c>
      <c r="C3" s="183" t="str">
        <f>IF(A3="Sf",_xll.qlIMMNextCode(B3,Trigger),IF(LEFT(B3,1)="#",_xll.qlCalendarBusinessDaysBetween(Calendar,Settlementdate,DATE(LEFT(SUBSTITUTE(B3,"#",""),4),LEFT(RIGHT(SUBSTITUTE(B3,"#",""),4),2),RIGHT(SUBSTITUTE(B3,"#",""),2)),,,Trigger)-1&amp;"D",SUBSTITUTE(B3,"/","")))</f>
        <v>SN</v>
      </c>
      <c r="D3" s="78">
        <f>IF(C3="ON",0,IF(C3="TN",1,2))</f>
        <v>2</v>
      </c>
      <c r="E3" s="78" t="str">
        <f>IF(A3="Sw","Annual","--")</f>
        <v>--</v>
      </c>
      <c r="F3" s="77" t="str">
        <f t="shared" ref="F3:F21" si="0">IF(OR(RIGHT(C3,1)="N",RIGHT(C3,1)="W"),"Following","Modified Following")</f>
        <v>Following</v>
      </c>
      <c r="G3" s="80" t="str">
        <f>IF(OR(RIGHT(C3,1)="M",RIGHT(C3,1)="Y"),"TRUE","FALSE")</f>
        <v>FALSE</v>
      </c>
      <c r="H3" s="99" t="str">
        <f>IF(A3="Sw","30/360 (Bond Basis)","Actual/360")</f>
        <v>Actual/360</v>
      </c>
      <c r="I3" s="181">
        <f t="array" ref="I3:I82">_xll.ohFilter(PastedValue!H2:H74,NOT(ISBLANK(PastedValue!H2:H74)))/IF(A3:A82="Sf",1,100)</f>
        <v>-2.6093025800000003E-3</v>
      </c>
      <c r="J3" s="83" t="str">
        <f>IF(LEFT(A3,1)="D",_xll.qlDepositRateHelper2(,I3,IF(RIGHT(C3,1)="N","1D",C3),D3,Calendar,F3,G3,H3,,Trigger),IF(A3="Sw",_xll.qlSwapRateHelper2(,I3,D3,C3,Calendar,"Annual",F3,H3,"Euribor"&amp;$H$1,0,"0D",Discounting,,,,Trigger),IF(A3="Fr",_xll.qlFraRateHelper(,I3,SUBSTITUTE(LEFT(C3,2),"M","")&amp;"M","Euribor"&amp;$H$1,,,,Trigger),IF(A3="Sf",_xll.qlFuturesRateHelper(,I3,,C3,"Euribor"&amp;$H$1,0,,Trigger),"--"))))</f>
        <v>obj_0000d#0008</v>
      </c>
      <c r="K3" s="78" t="b">
        <f t="shared" ref="K3:K17" si="1">IF(ISERROR(J3),FALSE,TRUE)</f>
        <v>1</v>
      </c>
      <c r="M3" s="9" t="str">
        <f t="array" ref="M3:M82">_xll.ohPack(_xll.ohFilter(A3:A82,K3:K82),Trigger)</f>
        <v>Dg</v>
      </c>
      <c r="N3" s="9" t="str">
        <f t="array" ref="N3:N82">_xll.ohPack(_xll.ohFilter(C3:C82,K3:K82),Trigger)</f>
        <v>SN</v>
      </c>
      <c r="O3" s="9" t="str">
        <f t="array" ref="O3:O82">_xll.ohPack(_xll.ohFilter(J3:J82,K3:K82))</f>
        <v>obj_0000d#0008</v>
      </c>
      <c r="P3" s="96">
        <f>_xll.qlRateHelperRate(O3,Trigger)</f>
        <v>-2.6093025800000003E-3</v>
      </c>
      <c r="Q3" s="10">
        <f>_xll.qlRateHelperEarliestDate(O3,Trigger)</f>
        <v>42502</v>
      </c>
      <c r="R3" s="10">
        <f>_xll.qlRateHelperPillarDate(O3,Trigger)</f>
        <v>42503</v>
      </c>
      <c r="S3" s="96">
        <v>-2.6455524811366017E-3</v>
      </c>
    </row>
    <row r="4" spans="1:19" ht="11.25" customHeight="1" x14ac:dyDescent="0.2">
      <c r="A4" s="84" t="str">
        <v>Dg</v>
      </c>
      <c r="B4" s="179" t="str">
        <v>1W</v>
      </c>
      <c r="C4" s="184" t="str">
        <f>IF(A4="Sf",_xll.qlIMMNextCode(B4,Trigger),IF(LEFT(B4,1)="#",_xll.qlCalendarBusinessDaysBetween(Calendar,Settlementdate,DATE(LEFT(SUBSTITUTE(B4,"#",""),4),LEFT(RIGHT(SUBSTITUTE(B4,"#",""),4),2),RIGHT(SUBSTITUTE(B4,"#",""),2)),,,Trigger)-1&amp;"D",SUBSTITUTE(B4,"/","")))</f>
        <v>1W</v>
      </c>
      <c r="D4" s="86">
        <f t="shared" ref="D4:D67" si="2">IF(C4="ON",0,IF(C4="TN",1,2))</f>
        <v>2</v>
      </c>
      <c r="E4" s="86" t="str">
        <f t="shared" ref="E4:E67" si="3">IF(A4="Sw","Annual","--")</f>
        <v>--</v>
      </c>
      <c r="F4" s="85" t="str">
        <f t="shared" si="0"/>
        <v>Following</v>
      </c>
      <c r="G4" s="88" t="str">
        <f t="shared" ref="G4:G67" si="4">IF(OR(RIGHT(C4,1)="M",RIGHT(C4,1)="Y"),"TRUE","FALSE")</f>
        <v>FALSE</v>
      </c>
      <c r="H4" s="100" t="str">
        <f t="shared" ref="H4:H67" si="5">IF(A4="Sw","30/360 (Bond Basis)","Actual/360")</f>
        <v>Actual/360</v>
      </c>
      <c r="I4" s="182">
        <v>-2.6092458400000002E-3</v>
      </c>
      <c r="J4" s="91" t="str">
        <f>IF(LEFT(A4,1)="D",_xll.qlDepositRateHelper2(,I4,IF(RIGHT(C4,1)="N","1D",C4),D4,Calendar,F4,G4,H4,,Trigger),IF(A4="Sw",_xll.qlSwapRateHelper2(,I4,D4,C4,Calendar,"Annual",F4,H4,"Euribor"&amp;$H$1,0,"0D",Discounting,,,,Trigger),IF(A4="Fr",_xll.qlFraRateHelper(,I4,SUBSTITUTE(LEFT(C4,2),"M","")&amp;"M","Euribor"&amp;$H$1,,,,Trigger),IF(A4="Sf",_xll.qlFuturesRateHelper(,I4,,C4,"Euribor"&amp;$H$1,0,,Trigger),"--"))))</f>
        <v>obj_00019#0007</v>
      </c>
      <c r="K4" s="86" t="b">
        <f t="shared" si="1"/>
        <v>1</v>
      </c>
      <c r="M4" s="9" t="str">
        <v>Dg</v>
      </c>
      <c r="N4" s="9" t="str">
        <v>1W</v>
      </c>
      <c r="O4" s="9" t="str">
        <v>obj_00019#0007</v>
      </c>
      <c r="P4" s="96">
        <f>_xll.qlRateHelperRate(O4,Trigger)</f>
        <v>-2.6092458400000002E-3</v>
      </c>
      <c r="Q4" s="10">
        <f>_xll.qlRateHelperEarliestDate(O4,Trigger)</f>
        <v>42502</v>
      </c>
      <c r="R4" s="10">
        <f>_xll.qlRateHelperPillarDate(O4,Trigger)</f>
        <v>42509</v>
      </c>
      <c r="S4" s="96">
        <v>-2.6455524784329103E-3</v>
      </c>
    </row>
    <row r="5" spans="1:19" ht="11.25" customHeight="1" x14ac:dyDescent="0.2">
      <c r="A5" s="84" t="str">
        <v>Dg</v>
      </c>
      <c r="B5" s="179" t="str">
        <v>2W</v>
      </c>
      <c r="C5" s="184" t="str">
        <f>IF(A5="Sf",_xll.qlIMMNextCode(B5,Trigger),IF(LEFT(B5,1)="#",_xll.qlCalendarBusinessDaysBetween(Calendar,Settlementdate,DATE(LEFT(SUBSTITUTE(B5,"#",""),4),LEFT(RIGHT(SUBSTITUTE(B5,"#",""),4),2),RIGHT(SUBSTITUTE(B5,"#",""),2)),,,Trigger)-1&amp;"D",SUBSTITUTE(B5,"/","")))</f>
        <v>2W</v>
      </c>
      <c r="D5" s="86">
        <f t="shared" si="2"/>
        <v>2</v>
      </c>
      <c r="E5" s="86" t="str">
        <f t="shared" si="3"/>
        <v>--</v>
      </c>
      <c r="F5" s="85" t="str">
        <f t="shared" si="0"/>
        <v>Following</v>
      </c>
      <c r="G5" s="88" t="str">
        <f t="shared" si="4"/>
        <v>FALSE</v>
      </c>
      <c r="H5" s="100" t="str">
        <f t="shared" si="5"/>
        <v>Actual/360</v>
      </c>
      <c r="I5" s="182">
        <v>-2.6091796499999997E-3</v>
      </c>
      <c r="J5" s="91" t="str">
        <f>IF(LEFT(A5,1)="D",_xll.qlDepositRateHelper2(,I5,IF(RIGHT(C5,1)="N","1D",C5),D5,Calendar,F5,G5,H5,,Trigger),IF(A5="Sw",_xll.qlSwapRateHelper2(,I5,D5,C5,Calendar,"Annual",F5,H5,"Euribor"&amp;$H$1,0,"0D",Discounting,,,,Trigger),IF(A5="Fr",_xll.qlFraRateHelper(,I5,SUBSTITUTE(LEFT(C5,2),"M","")&amp;"M","Euribor"&amp;$H$1,,,,Trigger),IF(A5="Sf",_xll.qlFuturesRateHelper(,I5,,C5,"Euribor"&amp;$H$1,0,,Trigger),"--"))))</f>
        <v>obj_00017#0007</v>
      </c>
      <c r="K5" s="86" t="b">
        <f t="shared" si="1"/>
        <v>1</v>
      </c>
      <c r="M5" s="9" t="str">
        <v>Dg</v>
      </c>
      <c r="N5" s="9" t="str">
        <v>2W</v>
      </c>
      <c r="O5" s="9" t="str">
        <v>obj_00017#0007</v>
      </c>
      <c r="P5" s="96">
        <f>_xll.qlRateHelperRate(O5,Trigger)</f>
        <v>-2.6091796499999997E-3</v>
      </c>
      <c r="Q5" s="10">
        <f>_xll.qlRateHelperEarliestDate(O5,Trigger)</f>
        <v>42502</v>
      </c>
      <c r="R5" s="10">
        <f>_xll.qlRateHelperPillarDate(O5,Trigger)</f>
        <v>42516</v>
      </c>
      <c r="S5" s="96">
        <v>-2.6455524785433918E-3</v>
      </c>
    </row>
    <row r="6" spans="1:19" ht="11.25" customHeight="1" x14ac:dyDescent="0.2">
      <c r="A6" s="84" t="str">
        <v>Dg</v>
      </c>
      <c r="B6" s="179" t="str">
        <v>3W</v>
      </c>
      <c r="C6" s="184" t="str">
        <f>IF(A6="Sf",_xll.qlIMMNextCode(B6,Trigger),IF(LEFT(B6,1)="#",_xll.qlCalendarBusinessDaysBetween(Calendar,Settlementdate,DATE(LEFT(SUBSTITUTE(B6,"#",""),4),LEFT(RIGHT(SUBSTITUTE(B6,"#",""),4),2),RIGHT(SUBSTITUTE(B6,"#",""),2)),,,Trigger)-1&amp;"D",SUBSTITUTE(B6,"/","")))</f>
        <v>3W</v>
      </c>
      <c r="D6" s="86">
        <f t="shared" si="2"/>
        <v>2</v>
      </c>
      <c r="E6" s="86" t="str">
        <f t="shared" si="3"/>
        <v>--</v>
      </c>
      <c r="F6" s="85" t="str">
        <f t="shared" si="0"/>
        <v>Following</v>
      </c>
      <c r="G6" s="88" t="str">
        <f t="shared" si="4"/>
        <v>FALSE</v>
      </c>
      <c r="H6" s="100" t="str">
        <f t="shared" si="5"/>
        <v>Actual/360</v>
      </c>
      <c r="I6" s="182">
        <v>-2.60911346E-3</v>
      </c>
      <c r="J6" s="91" t="str">
        <f>IF(LEFT(A6,1)="D",_xll.qlDepositRateHelper2(,I6,IF(RIGHT(C6,1)="N","1D",C6),D6,Calendar,F6,G6,H6,,Trigger),IF(A6="Sw",_xll.qlSwapRateHelper2(,I6,D6,C6,Calendar,"Annual",F6,H6,"Euribor"&amp;$H$1,0,"0D",Discounting,,,,Trigger),IF(A6="Fr",_xll.qlFraRateHelper(,I6,SUBSTITUTE(LEFT(C6,2),"M","")&amp;"M","Euribor"&amp;$H$1,,,,Trigger),IF(A6="Sf",_xll.qlFuturesRateHelper(,I6,,C6,"Euribor"&amp;$H$1,0,,Trigger),"--"))))</f>
        <v>obj_00014#0007</v>
      </c>
      <c r="K6" s="86" t="b">
        <f t="shared" si="1"/>
        <v>1</v>
      </c>
      <c r="M6" s="9" t="str">
        <v>Dg</v>
      </c>
      <c r="N6" s="9" t="str">
        <v>3W</v>
      </c>
      <c r="O6" s="9" t="str">
        <v>obj_00014#0007</v>
      </c>
      <c r="P6" s="96">
        <f>_xll.qlRateHelperRate(O6,Trigger)</f>
        <v>-2.60911346E-3</v>
      </c>
      <c r="Q6" s="10">
        <f>_xll.qlRateHelperEarliestDate(O6,Trigger)</f>
        <v>42502</v>
      </c>
      <c r="R6" s="10">
        <f>_xll.qlRateHelperPillarDate(O6,Trigger)</f>
        <v>42523</v>
      </c>
      <c r="S6" s="96">
        <v>-2.6455524768032417E-3</v>
      </c>
    </row>
    <row r="7" spans="1:19" ht="11.25" customHeight="1" x14ac:dyDescent="0.2">
      <c r="A7" s="84" t="str">
        <v>Dp</v>
      </c>
      <c r="B7" s="179" t="str">
        <v>1M</v>
      </c>
      <c r="C7" s="184" t="str">
        <f>IF(A7="Sf",_xll.qlIMMNextCode(B7,Trigger),IF(LEFT(B7,1)="#",_xll.qlCalendarBusinessDaysBetween(Calendar,Settlementdate,DATE(LEFT(SUBSTITUTE(B7,"#",""),4),LEFT(RIGHT(SUBSTITUTE(B7,"#",""),4),2),RIGHT(SUBSTITUTE(B7,"#",""),2)),,,Trigger)-1&amp;"D",SUBSTITUTE(B7,"/","")))</f>
        <v>1M</v>
      </c>
      <c r="D7" s="86">
        <f t="shared" si="2"/>
        <v>2</v>
      </c>
      <c r="E7" s="86" t="str">
        <f t="shared" si="3"/>
        <v>--</v>
      </c>
      <c r="F7" s="85" t="str">
        <f t="shared" si="0"/>
        <v>Modified Following</v>
      </c>
      <c r="G7" s="88" t="str">
        <f t="shared" si="4"/>
        <v>TRUE</v>
      </c>
      <c r="H7" s="100" t="str">
        <f t="shared" si="5"/>
        <v>Actual/360</v>
      </c>
      <c r="I7" s="182">
        <v>-2.6090000000000002E-3</v>
      </c>
      <c r="J7" s="91" t="str">
        <f>IF(LEFT(A7,1)="D",_xll.qlDepositRateHelper2(,I7,IF(RIGHT(C7,1)="N","1D",C7),D7,Calendar,F7,G7,H7,,Trigger),IF(A7="Sw",_xll.qlSwapRateHelper2(,I7,D7,C7,Calendar,"Annual",F7,H7,"Euribor"&amp;$H$1,0,"0D",Discounting,,,,Trigger),IF(A7="Fr",_xll.qlFraRateHelper(,I7,SUBSTITUTE(LEFT(C7,2),"M","")&amp;"M","Euribor"&amp;$H$1,,,,Trigger),IF(A7="Sf",_xll.qlFuturesRateHelper(,I7,,C7,"Euribor"&amp;$H$1,0,,Trigger),"--"))))</f>
        <v>obj_00001#0007</v>
      </c>
      <c r="K7" s="86" t="b">
        <f t="shared" si="1"/>
        <v>1</v>
      </c>
      <c r="M7" s="9" t="str">
        <v>Dp</v>
      </c>
      <c r="N7" s="9" t="str">
        <v>1M</v>
      </c>
      <c r="O7" s="9" t="str">
        <v>obj_00001#0007</v>
      </c>
      <c r="P7" s="96">
        <f>_xll.qlRateHelperRate(O7,Trigger)</f>
        <v>-2.6090000000000002E-3</v>
      </c>
      <c r="Q7" s="10">
        <f>_xll.qlRateHelperEarliestDate(O7,Trigger)</f>
        <v>42502</v>
      </c>
      <c r="R7" s="10">
        <f>_xll.qlRateHelperPillarDate(O7,Trigger)</f>
        <v>42534</v>
      </c>
      <c r="S7" s="96">
        <v>-2.6455434526459379E-3</v>
      </c>
    </row>
    <row r="8" spans="1:19" ht="11.25" customHeight="1" x14ac:dyDescent="0.2">
      <c r="A8" s="84" t="str">
        <v>Dp</v>
      </c>
      <c r="B8" s="179" t="str">
        <v>2M</v>
      </c>
      <c r="C8" s="184" t="str">
        <f>IF(A8="Sf",_xll.qlIMMNextCode(B8,Trigger),IF(LEFT(B8,1)="#",_xll.qlCalendarBusinessDaysBetween(Calendar,Settlementdate,DATE(LEFT(SUBSTITUTE(B8,"#",""),4),LEFT(RIGHT(SUBSTITUTE(B8,"#",""),4),2),RIGHT(SUBSTITUTE(B8,"#",""),2)),,,Trigger)-1&amp;"D",SUBSTITUTE(B8,"/","")))</f>
        <v>2M</v>
      </c>
      <c r="D8" s="86">
        <f t="shared" si="2"/>
        <v>2</v>
      </c>
      <c r="E8" s="86" t="str">
        <f t="shared" si="3"/>
        <v>--</v>
      </c>
      <c r="F8" s="85" t="str">
        <f t="shared" si="0"/>
        <v>Modified Following</v>
      </c>
      <c r="G8" s="88" t="str">
        <f t="shared" si="4"/>
        <v>TRUE</v>
      </c>
      <c r="H8" s="100" t="str">
        <f t="shared" si="5"/>
        <v>Actual/360</v>
      </c>
      <c r="I8" s="182">
        <v>-2.5859999999999998E-3</v>
      </c>
      <c r="J8" s="91" t="str">
        <f>IF(LEFT(A8,1)="D",_xll.qlDepositRateHelper2(,I8,IF(RIGHT(C8,1)="N","1D",C8),D8,Calendar,F8,G8,H8,,Trigger),IF(A8="Sw",_xll.qlSwapRateHelper2(,I8,D8,C8,Calendar,"Annual",F8,H8,"Euribor"&amp;$H$1,0,"0D",Discounting,,,,Trigger),IF(A8="Fr",_xll.qlFraRateHelper(,I8,SUBSTITUTE(LEFT(C8,2),"M","")&amp;"M","Euribor"&amp;$H$1,,,,Trigger),IF(A8="Sf",_xll.qlFuturesRateHelper(,I8,,C8,"Euribor"&amp;$H$1,0,,Trigger),"--"))))</f>
        <v>obj_00008#0007</v>
      </c>
      <c r="K8" s="86" t="b">
        <f t="shared" si="1"/>
        <v>1</v>
      </c>
      <c r="M8" s="9" t="str">
        <v>Dp</v>
      </c>
      <c r="N8" s="9" t="str">
        <v>2M</v>
      </c>
      <c r="O8" s="9" t="str">
        <v>obj_00008#0007</v>
      </c>
      <c r="P8" s="96">
        <f>_xll.qlRateHelperRate(O8,Trigger)</f>
        <v>-2.5859999999999998E-3</v>
      </c>
      <c r="Q8" s="10">
        <f>_xll.qlRateHelperEarliestDate(O8,Trigger)</f>
        <v>42502</v>
      </c>
      <c r="R8" s="10">
        <f>_xll.qlRateHelperPillarDate(O8,Trigger)</f>
        <v>42563</v>
      </c>
      <c r="S8" s="96">
        <v>-2.6232233765141485E-3</v>
      </c>
    </row>
    <row r="9" spans="1:19" ht="11.25" customHeight="1" x14ac:dyDescent="0.2">
      <c r="A9" s="84" t="str">
        <v>Dp</v>
      </c>
      <c r="B9" s="179" t="str">
        <v>3M</v>
      </c>
      <c r="C9" s="184" t="str">
        <f>IF(A9="Sf",_xll.qlIMMNextCode(B9,Trigger),IF(LEFT(B9,1)="#",_xll.qlCalendarBusinessDaysBetween(Calendar,Settlementdate,DATE(LEFT(SUBSTITUTE(B9,"#",""),4),LEFT(RIGHT(SUBSTITUTE(B9,"#",""),4),2),RIGHT(SUBSTITUTE(B9,"#",""),2)),,,Trigger)-1&amp;"D",SUBSTITUTE(B9,"/","")))</f>
        <v>3M</v>
      </c>
      <c r="D9" s="86">
        <f t="shared" si="2"/>
        <v>2</v>
      </c>
      <c r="E9" s="86" t="str">
        <f t="shared" si="3"/>
        <v>--</v>
      </c>
      <c r="F9" s="85" t="str">
        <f t="shared" si="0"/>
        <v>Modified Following</v>
      </c>
      <c r="G9" s="88" t="str">
        <f t="shared" si="4"/>
        <v>TRUE</v>
      </c>
      <c r="H9" s="100" t="str">
        <f t="shared" si="5"/>
        <v>Actual/360</v>
      </c>
      <c r="I9" s="182">
        <v>-2.5959999999999998E-3</v>
      </c>
      <c r="J9" s="91" t="str">
        <f>IF(LEFT(A9,1)="D",_xll.qlDepositRateHelper2(,I9,IF(RIGHT(C9,1)="N","1D",C9),D9,Calendar,F9,G9,H9,,Trigger),IF(A9="Sw",_xll.qlSwapRateHelper2(,I9,D9,C9,Calendar,"Annual",F9,H9,"Euribor"&amp;$H$1,0,"0D",Discounting,,,,Trigger),IF(A9="Fr",_xll.qlFraRateHelper(,I9,SUBSTITUTE(LEFT(C9,2),"M","")&amp;"M","Euribor"&amp;$H$1,,,,Trigger),IF(A9="Sf",_xll.qlFuturesRateHelper(,I9,,C9,"Euribor"&amp;$H$1,0,,Trigger),"--"))))</f>
        <v>obj_0000a#0007</v>
      </c>
      <c r="K9" s="86" t="b">
        <f t="shared" si="1"/>
        <v>1</v>
      </c>
      <c r="M9" s="9" t="str">
        <v>Dp</v>
      </c>
      <c r="N9" s="9" t="str">
        <v>3M</v>
      </c>
      <c r="O9" s="9" t="str">
        <v>obj_0000a#0007</v>
      </c>
      <c r="P9" s="96">
        <f>_xll.qlRateHelperRate(O9,Trigger)</f>
        <v>-2.5959999999999998E-3</v>
      </c>
      <c r="Q9" s="10">
        <f>_xll.qlRateHelperEarliestDate(O9,Trigger)</f>
        <v>42502</v>
      </c>
      <c r="R9" s="10">
        <f>_xll.qlRateHelperPillarDate(O9,Trigger)</f>
        <v>42594</v>
      </c>
      <c r="S9" s="96">
        <v>-2.6331976081635619E-3</v>
      </c>
    </row>
    <row r="10" spans="1:19" ht="11.25" customHeight="1" x14ac:dyDescent="0.2">
      <c r="A10" s="84" t="str">
        <v>Fr</v>
      </c>
      <c r="B10" s="179" t="str">
        <v>1M-4M</v>
      </c>
      <c r="C10" s="184" t="str">
        <f>IF(A10="Sf",_xll.qlIMMNextCode(B10,Trigger),IF(LEFT(B10,1)="#",_xll.qlCalendarBusinessDaysBetween(Calendar,Settlementdate,DATE(LEFT(SUBSTITUTE(B10,"#",""),4),LEFT(RIGHT(SUBSTITUTE(B10,"#",""),4),2),RIGHT(SUBSTITUTE(B10,"#",""),2)),,,Trigger)-1&amp;"D",SUBSTITUTE(B10,"/","")))</f>
        <v>1M-4M</v>
      </c>
      <c r="D10" s="86">
        <f t="shared" si="2"/>
        <v>2</v>
      </c>
      <c r="E10" s="86" t="str">
        <f t="shared" si="3"/>
        <v>--</v>
      </c>
      <c r="F10" s="85" t="str">
        <f t="shared" si="0"/>
        <v>Modified Following</v>
      </c>
      <c r="G10" s="88" t="str">
        <f t="shared" si="4"/>
        <v>TRUE</v>
      </c>
      <c r="H10" s="100" t="str">
        <f t="shared" si="5"/>
        <v>Actual/360</v>
      </c>
      <c r="I10" s="182">
        <v>-2.5800000000000003E-3</v>
      </c>
      <c r="J10" s="91" t="str">
        <f>IF(LEFT(A10,1)="D",_xll.qlDepositRateHelper2(,I10,IF(RIGHT(C10,1)="N","1D",C10),D10,Calendar,F10,G10,H10,,Trigger),IF(A10="Sw",_xll.qlSwapRateHelper2(,I10,D10,C10,Calendar,"Annual",F10,H10,"Euribor"&amp;$H$1,0,"0D",Discounting,,,,Trigger),IF(A10="Fr",_xll.qlFraRateHelper(,I10,SUBSTITUTE(LEFT(C10,2),"M","")&amp;"M","Euribor"&amp;$H$1,,,,Trigger),IF(A10="Sf",_xll.qlFuturesRateHelper(,I10,,C10,"Euribor"&amp;$H$1,0,,Trigger),"--"))))</f>
        <v>obj_00056#0006</v>
      </c>
      <c r="K10" s="86" t="b">
        <f t="shared" si="1"/>
        <v>1</v>
      </c>
      <c r="M10" s="9" t="str">
        <v>Fr</v>
      </c>
      <c r="N10" s="9" t="str">
        <v>1M-4M</v>
      </c>
      <c r="O10" s="9" t="str">
        <v>obj_00056#0006</v>
      </c>
      <c r="P10" s="96">
        <f>_xll.qlRateHelperRate(O10,Trigger)</f>
        <v>-2.5800000000000003E-3</v>
      </c>
      <c r="Q10" s="10">
        <f>_xll.qlRateHelperEarliestDate(O10,Trigger)</f>
        <v>42534</v>
      </c>
      <c r="R10" s="10">
        <f>_xll.qlRateHelperPillarDate(O10,Trigger)</f>
        <v>42625</v>
      </c>
      <c r="S10" s="96">
        <v>-2.6244249222327036E-3</v>
      </c>
    </row>
    <row r="11" spans="1:19" ht="11.25" customHeight="1" x14ac:dyDescent="0.2">
      <c r="A11" s="84" t="str">
        <v>Fr</v>
      </c>
      <c r="B11" s="179" t="str">
        <v>2M-5M</v>
      </c>
      <c r="C11" s="184" t="str">
        <f>IF(A11="Sf",_xll.qlIMMNextCode(B11,Trigger),IF(LEFT(B11,1)="#",_xll.qlCalendarBusinessDaysBetween(Calendar,Settlementdate,DATE(LEFT(SUBSTITUTE(B11,"#",""),4),LEFT(RIGHT(SUBSTITUTE(B11,"#",""),4),2),RIGHT(SUBSTITUTE(B11,"#",""),2)),,,Trigger)-1&amp;"D",SUBSTITUTE(B11,"/","")))</f>
        <v>2M-5M</v>
      </c>
      <c r="D11" s="86">
        <f t="shared" si="2"/>
        <v>2</v>
      </c>
      <c r="E11" s="86" t="str">
        <f t="shared" si="3"/>
        <v>--</v>
      </c>
      <c r="F11" s="85" t="str">
        <f t="shared" si="0"/>
        <v>Modified Following</v>
      </c>
      <c r="G11" s="88" t="str">
        <f t="shared" si="4"/>
        <v>TRUE</v>
      </c>
      <c r="H11" s="100" t="str">
        <f t="shared" si="5"/>
        <v>Actual/360</v>
      </c>
      <c r="I11" s="182">
        <v>-2.63E-3</v>
      </c>
      <c r="J11" s="91" t="str">
        <f>IF(LEFT(A11,1)="D",_xll.qlDepositRateHelper2(,I11,IF(RIGHT(C11,1)="N","1D",C11),D11,Calendar,F11,G11,H11,,Trigger),IF(A11="Sw",_xll.qlSwapRateHelper2(,I11,D11,C11,Calendar,"Annual",F11,H11,"Euribor"&amp;$H$1,0,"0D",Discounting,,,,Trigger),IF(A11="Fr",_xll.qlFraRateHelper(,I11,SUBSTITUTE(LEFT(C11,2),"M","")&amp;"M","Euribor"&amp;$H$1,,,,Trigger),IF(A11="Sf",_xll.qlFuturesRateHelper(,I11,,C11,"Euribor"&amp;$H$1,0,,Trigger),"--"))))</f>
        <v>obj_0006f#0006</v>
      </c>
      <c r="K11" s="86" t="b">
        <f t="shared" si="1"/>
        <v>1</v>
      </c>
      <c r="M11" s="9" t="str">
        <v>Fr</v>
      </c>
      <c r="N11" s="9" t="str">
        <v>2M-5M</v>
      </c>
      <c r="O11" s="9" t="str">
        <v>obj_0006f#0006</v>
      </c>
      <c r="P11" s="96">
        <f>_xll.qlRateHelperRate(O11,Trigger)</f>
        <v>-2.63E-3</v>
      </c>
      <c r="Q11" s="10">
        <f>_xll.qlRateHelperEarliestDate(O11,Trigger)</f>
        <v>42563</v>
      </c>
      <c r="R11" s="10">
        <f>_xll.qlRateHelperPillarDate(O11,Trigger)</f>
        <v>42655</v>
      </c>
      <c r="S11" s="96">
        <v>-2.6494587520643439E-3</v>
      </c>
    </row>
    <row r="12" spans="1:19" ht="11.25" customHeight="1" x14ac:dyDescent="0.2">
      <c r="A12" s="84" t="str">
        <v>Fr</v>
      </c>
      <c r="B12" s="179" t="str">
        <v>3M-6M</v>
      </c>
      <c r="C12" s="184" t="str">
        <f>IF(A12="Sf",_xll.qlIMMNextCode(B12,Trigger),IF(LEFT(B12,1)="#",_xll.qlCalendarBusinessDaysBetween(Calendar,Settlementdate,DATE(LEFT(SUBSTITUTE(B12,"#",""),4),LEFT(RIGHT(SUBSTITUTE(B12,"#",""),4),2),RIGHT(SUBSTITUTE(B12,"#",""),2)),,,Trigger)-1&amp;"D",SUBSTITUTE(B12,"/","")))</f>
        <v>3M-6M</v>
      </c>
      <c r="D12" s="86">
        <f t="shared" si="2"/>
        <v>2</v>
      </c>
      <c r="E12" s="86" t="str">
        <f t="shared" si="3"/>
        <v>--</v>
      </c>
      <c r="F12" s="85" t="str">
        <f t="shared" si="0"/>
        <v>Modified Following</v>
      </c>
      <c r="G12" s="88" t="str">
        <f t="shared" si="4"/>
        <v>TRUE</v>
      </c>
      <c r="H12" s="100" t="str">
        <f t="shared" si="5"/>
        <v>Actual/360</v>
      </c>
      <c r="I12" s="182">
        <v>-2.6800000000000001E-3</v>
      </c>
      <c r="J12" s="91" t="str">
        <f>IF(LEFT(A12,1)="D",_xll.qlDepositRateHelper2(,I12,IF(RIGHT(C12,1)="N","1D",C12),D12,Calendar,F12,G12,H12,,Trigger),IF(A12="Sw",_xll.qlSwapRateHelper2(,I12,D12,C12,Calendar,"Annual",F12,H12,"Euribor"&amp;$H$1,0,"0D",Discounting,,,,Trigger),IF(A12="Fr",_xll.qlFraRateHelper(,I12,SUBSTITUTE(LEFT(C12,2),"M","")&amp;"M","Euribor"&amp;$H$1,,,,Trigger),IF(A12="Sf",_xll.qlFuturesRateHelper(,I12,,C12,"Euribor"&amp;$H$1,0,,Trigger),"--"))))</f>
        <v>obj_00068#0006</v>
      </c>
      <c r="K12" s="86" t="b">
        <f t="shared" si="1"/>
        <v>1</v>
      </c>
      <c r="M12" s="9" t="str">
        <v>Fr</v>
      </c>
      <c r="N12" s="9" t="str">
        <v>3M-6M</v>
      </c>
      <c r="O12" s="9" t="str">
        <v>obj_00068#0006</v>
      </c>
      <c r="P12" s="96">
        <f>_xll.qlRateHelperRate(O12,Trigger)</f>
        <v>-2.6800000000000001E-3</v>
      </c>
      <c r="Q12" s="10">
        <f>_xll.qlRateHelperEarliestDate(O12,Trigger)</f>
        <v>42594</v>
      </c>
      <c r="R12" s="10">
        <f>_xll.qlRateHelperPillarDate(O12,Trigger)</f>
        <v>42688</v>
      </c>
      <c r="S12" s="96">
        <v>-2.6756854998031265E-3</v>
      </c>
    </row>
    <row r="13" spans="1:19" ht="11.25" customHeight="1" x14ac:dyDescent="0.2">
      <c r="A13" s="84" t="str">
        <v>Fr</v>
      </c>
      <c r="B13" s="179" t="str">
        <v>4M-7M</v>
      </c>
      <c r="C13" s="184" t="str">
        <f>IF(A13="Sf",_xll.qlIMMNextCode(B13,Trigger),IF(LEFT(B13,1)="#",_xll.qlCalendarBusinessDaysBetween(Calendar,Settlementdate,DATE(LEFT(SUBSTITUTE(B13,"#",""),4),LEFT(RIGHT(SUBSTITUTE(B13,"#",""),4),2),RIGHT(SUBSTITUTE(B13,"#",""),2)),,,Trigger)-1&amp;"D",SUBSTITUTE(B13,"/","")))</f>
        <v>4M-7M</v>
      </c>
      <c r="D13" s="86">
        <f t="shared" si="2"/>
        <v>2</v>
      </c>
      <c r="E13" s="86" t="str">
        <f t="shared" si="3"/>
        <v>--</v>
      </c>
      <c r="F13" s="85" t="str">
        <f t="shared" si="0"/>
        <v>Modified Following</v>
      </c>
      <c r="G13" s="88" t="str">
        <f t="shared" si="4"/>
        <v>TRUE</v>
      </c>
      <c r="H13" s="100" t="str">
        <f t="shared" si="5"/>
        <v>Actual/360</v>
      </c>
      <c r="I13" s="182">
        <v>-2.7300000000000002E-3</v>
      </c>
      <c r="J13" s="91" t="str">
        <f>IF(LEFT(A13,1)="D",_xll.qlDepositRateHelper2(,I13,IF(RIGHT(C13,1)="N","1D",C13),D13,Calendar,F13,G13,H13,,Trigger),IF(A13="Sw",_xll.qlSwapRateHelper2(,I13,D13,C13,Calendar,"Annual",F13,H13,"Euribor"&amp;$H$1,0,"0D",Discounting,,,,Trigger),IF(A13="Fr",_xll.qlFraRateHelper(,I13,SUBSTITUTE(LEFT(C13,2),"M","")&amp;"M","Euribor"&amp;$H$1,,,,Trigger),IF(A13="Sf",_xll.qlFuturesRateHelper(,I13,,C13,"Euribor"&amp;$H$1,0,,Trigger),"--"))))</f>
        <v>obj_00066#0008</v>
      </c>
      <c r="K13" s="86" t="b">
        <f t="shared" si="1"/>
        <v>1</v>
      </c>
      <c r="M13" s="9" t="str">
        <v>Fr</v>
      </c>
      <c r="N13" s="9" t="str">
        <v>4M-7M</v>
      </c>
      <c r="O13" s="9" t="str">
        <v>obj_00066#0008</v>
      </c>
      <c r="P13" s="96">
        <f>_xll.qlRateHelperRate(O13,Trigger)</f>
        <v>-2.7300000000000002E-3</v>
      </c>
      <c r="Q13" s="10">
        <f>_xll.qlRateHelperEarliestDate(O13,Trigger)</f>
        <v>42625</v>
      </c>
      <c r="R13" s="10">
        <f>_xll.qlRateHelperPillarDate(O13,Trigger)</f>
        <v>42716</v>
      </c>
      <c r="S13" s="96">
        <v>-2.6852800055010818E-3</v>
      </c>
    </row>
    <row r="14" spans="1:19" ht="11.25" customHeight="1" x14ac:dyDescent="0.2">
      <c r="A14" s="84" t="str">
        <v>Fr</v>
      </c>
      <c r="B14" s="179" t="str">
        <v>5M-8M</v>
      </c>
      <c r="C14" s="184" t="str">
        <f>IF(A14="Sf",_xll.qlIMMNextCode(B14,Trigger),IF(LEFT(B14,1)="#",_xll.qlCalendarBusinessDaysBetween(Calendar,Settlementdate,DATE(LEFT(SUBSTITUTE(B14,"#",""),4),LEFT(RIGHT(SUBSTITUTE(B14,"#",""),4),2),RIGHT(SUBSTITUTE(B14,"#",""),2)),,,Trigger)-1&amp;"D",SUBSTITUTE(B14,"/","")))</f>
        <v>5M-8M</v>
      </c>
      <c r="D14" s="86">
        <f t="shared" si="2"/>
        <v>2</v>
      </c>
      <c r="E14" s="86" t="str">
        <f t="shared" si="3"/>
        <v>--</v>
      </c>
      <c r="F14" s="85" t="str">
        <f t="shared" si="0"/>
        <v>Modified Following</v>
      </c>
      <c r="G14" s="88" t="str">
        <f t="shared" si="4"/>
        <v>TRUE</v>
      </c>
      <c r="H14" s="100" t="str">
        <f t="shared" si="5"/>
        <v>Actual/360</v>
      </c>
      <c r="I14" s="182">
        <v>-2.7700000000000003E-3</v>
      </c>
      <c r="J14" s="91" t="str">
        <f>IF(LEFT(A14,1)="D",_xll.qlDepositRateHelper2(,I14,IF(RIGHT(C14,1)="N","1D",C14),D14,Calendar,F14,G14,H14,,Trigger),IF(A14="Sw",_xll.qlSwapRateHelper2(,I14,D14,C14,Calendar,"Annual",F14,H14,"Euribor"&amp;$H$1,0,"0D",Discounting,,,,Trigger),IF(A14="Fr",_xll.qlFraRateHelper(,I14,SUBSTITUTE(LEFT(C14,2),"M","")&amp;"M","Euribor"&amp;$H$1,,,,Trigger),IF(A14="Sf",_xll.qlFuturesRateHelper(,I14,,C14,"Euribor"&amp;$H$1,0,,Trigger),"--"))))</f>
        <v>obj_00061#0006</v>
      </c>
      <c r="K14" s="86" t="b">
        <f t="shared" si="1"/>
        <v>1</v>
      </c>
      <c r="M14" s="9" t="str">
        <v>Fr</v>
      </c>
      <c r="N14" s="9" t="str">
        <v>5M-8M</v>
      </c>
      <c r="O14" s="9" t="str">
        <v>obj_00061#0006</v>
      </c>
      <c r="P14" s="96">
        <f>_xll.qlRateHelperRate(O14,Trigger)</f>
        <v>-2.7700000000000003E-3</v>
      </c>
      <c r="Q14" s="10">
        <f>_xll.qlRateHelperEarliestDate(O14,Trigger)</f>
        <v>42655</v>
      </c>
      <c r="R14" s="10">
        <f>_xll.qlRateHelperPillarDate(O14,Trigger)</f>
        <v>42747</v>
      </c>
      <c r="S14" s="96">
        <v>-2.7090568670638249E-3</v>
      </c>
    </row>
    <row r="15" spans="1:19" ht="11.25" customHeight="1" x14ac:dyDescent="0.2">
      <c r="A15" s="84" t="str">
        <v>Fr</v>
      </c>
      <c r="B15" s="179" t="str">
        <v>6M-9M</v>
      </c>
      <c r="C15" s="184" t="str">
        <f>IF(A15="Sf",_xll.qlIMMNextCode(B15,Trigger),IF(LEFT(B15,1)="#",_xll.qlCalendarBusinessDaysBetween(Calendar,Settlementdate,DATE(LEFT(SUBSTITUTE(B15,"#",""),4),LEFT(RIGHT(SUBSTITUTE(B15,"#",""),4),2),RIGHT(SUBSTITUTE(B15,"#",""),2)),,,Trigger)-1&amp;"D",SUBSTITUTE(B15,"/","")))</f>
        <v>6M-9M</v>
      </c>
      <c r="D15" s="86">
        <f t="shared" si="2"/>
        <v>2</v>
      </c>
      <c r="E15" s="86" t="str">
        <f t="shared" si="3"/>
        <v>--</v>
      </c>
      <c r="F15" s="85" t="str">
        <f t="shared" si="0"/>
        <v>Modified Following</v>
      </c>
      <c r="G15" s="88" t="str">
        <f t="shared" si="4"/>
        <v>TRUE</v>
      </c>
      <c r="H15" s="100" t="str">
        <f t="shared" si="5"/>
        <v>Actual/360</v>
      </c>
      <c r="I15" s="182">
        <v>-2.8399999999999996E-3</v>
      </c>
      <c r="J15" s="91" t="str">
        <f>IF(LEFT(A15,1)="D",_xll.qlDepositRateHelper2(,I15,IF(RIGHT(C15,1)="N","1D",C15),D15,Calendar,F15,G15,H15,,Trigger),IF(A15="Sw",_xll.qlSwapRateHelper2(,I15,D15,C15,Calendar,"Annual",F15,H15,"Euribor"&amp;$H$1,0,"0D",Discounting,,,,Trigger),IF(A15="Fr",_xll.qlFraRateHelper(,I15,SUBSTITUTE(LEFT(C15,2),"M","")&amp;"M","Euribor"&amp;$H$1,,,,Trigger),IF(A15="Sf",_xll.qlFuturesRateHelper(,I15,,C15,"Euribor"&amp;$H$1,0,,Trigger),"--"))))</f>
        <v>obj_00069#0006</v>
      </c>
      <c r="K15" s="86" t="b">
        <f t="shared" si="1"/>
        <v>1</v>
      </c>
      <c r="M15" s="9" t="str">
        <v>Fr</v>
      </c>
      <c r="N15" s="9" t="str">
        <v>6M-9M</v>
      </c>
      <c r="O15" s="9" t="str">
        <v>obj_00069#0006</v>
      </c>
      <c r="P15" s="96">
        <f>_xll.qlRateHelperRate(O15,Trigger)</f>
        <v>-2.8399999999999996E-3</v>
      </c>
      <c r="Q15" s="10">
        <f>_xll.qlRateHelperEarliestDate(O15,Trigger)</f>
        <v>42688</v>
      </c>
      <c r="R15" s="10">
        <f>_xll.qlRateHelperPillarDate(O15,Trigger)</f>
        <v>42779</v>
      </c>
      <c r="S15" s="96">
        <v>-2.7420178678443253E-3</v>
      </c>
    </row>
    <row r="16" spans="1:19" ht="11.25" customHeight="1" x14ac:dyDescent="0.2">
      <c r="A16" s="84" t="str">
        <v>Fr</v>
      </c>
      <c r="B16" s="179" t="str">
        <v>7M-10M</v>
      </c>
      <c r="C16" s="184" t="str">
        <f>IF(A16="Sf",_xll.qlIMMNextCode(B16,Trigger),IF(LEFT(B16,1)="#",_xll.qlCalendarBusinessDaysBetween(Calendar,Settlementdate,DATE(LEFT(SUBSTITUTE(B16,"#",""),4),LEFT(RIGHT(SUBSTITUTE(B16,"#",""),4),2),RIGHT(SUBSTITUTE(B16,"#",""),2)),,,Trigger)-1&amp;"D",SUBSTITUTE(B16,"/","")))</f>
        <v>7M-10M</v>
      </c>
      <c r="D16" s="86">
        <f t="shared" si="2"/>
        <v>2</v>
      </c>
      <c r="E16" s="86" t="str">
        <f t="shared" si="3"/>
        <v>--</v>
      </c>
      <c r="F16" s="85" t="str">
        <f t="shared" si="0"/>
        <v>Modified Following</v>
      </c>
      <c r="G16" s="88" t="str">
        <f t="shared" si="4"/>
        <v>TRUE</v>
      </c>
      <c r="H16" s="100" t="str">
        <f t="shared" si="5"/>
        <v>Actual/360</v>
      </c>
      <c r="I16" s="182">
        <v>-2.9199999999999999E-3</v>
      </c>
      <c r="J16" s="91" t="str">
        <f>IF(LEFT(A16,1)="D",_xll.qlDepositRateHelper2(,I16,IF(RIGHT(C16,1)="N","1D",C16),D16,Calendar,F16,G16,H16,,Trigger),IF(A16="Sw",_xll.qlSwapRateHelper2(,I16,D16,C16,Calendar,"Annual",F16,H16,"Euribor"&amp;$H$1,0,"0D",Discounting,,,,Trigger),IF(A16="Fr",_xll.qlFraRateHelper(,I16,SUBSTITUTE(LEFT(C16,2),"M","")&amp;"M","Euribor"&amp;$H$1,,,,Trigger),IF(A16="Sf",_xll.qlFuturesRateHelper(,I16,,C16,"Euribor"&amp;$H$1,0,,Trigger),"--"))))</f>
        <v>obj_00051#0006</v>
      </c>
      <c r="K16" s="86" t="b">
        <f t="shared" si="1"/>
        <v>1</v>
      </c>
      <c r="M16" s="9" t="str">
        <v>Fr</v>
      </c>
      <c r="N16" s="9" t="str">
        <v>7M-10M</v>
      </c>
      <c r="O16" s="9" t="str">
        <v>obj_00051#0006</v>
      </c>
      <c r="P16" s="96">
        <f>_xll.qlRateHelperRate(O16,Trigger)</f>
        <v>-2.9199999999999999E-3</v>
      </c>
      <c r="Q16" s="10">
        <f>_xll.qlRateHelperEarliestDate(O16,Trigger)</f>
        <v>42716</v>
      </c>
      <c r="R16" s="10">
        <f>_xll.qlRateHelperPillarDate(O16,Trigger)</f>
        <v>42807</v>
      </c>
      <c r="S16" s="96">
        <v>-2.7672003685956141E-3</v>
      </c>
    </row>
    <row r="17" spans="1:19" ht="11.25" customHeight="1" x14ac:dyDescent="0.2">
      <c r="A17" s="84" t="str">
        <v>Fr</v>
      </c>
      <c r="B17" s="179" t="str">
        <v>8M-11M</v>
      </c>
      <c r="C17" s="184" t="str">
        <f>IF(A17="Sf",_xll.qlIMMNextCode(B17,Trigger),IF(LEFT(B17,1)="#",_xll.qlCalendarBusinessDaysBetween(Calendar,Settlementdate,DATE(LEFT(SUBSTITUTE(B17,"#",""),4),LEFT(RIGHT(SUBSTITUTE(B17,"#",""),4),2),RIGHT(SUBSTITUTE(B17,"#",""),2)),,,Trigger)-1&amp;"D",SUBSTITUTE(B17,"/","")))</f>
        <v>8M-11M</v>
      </c>
      <c r="D17" s="86">
        <f t="shared" si="2"/>
        <v>2</v>
      </c>
      <c r="E17" s="86" t="str">
        <f t="shared" si="3"/>
        <v>--</v>
      </c>
      <c r="F17" s="85" t="str">
        <f t="shared" si="0"/>
        <v>Modified Following</v>
      </c>
      <c r="G17" s="88" t="str">
        <f t="shared" si="4"/>
        <v>TRUE</v>
      </c>
      <c r="H17" s="100" t="str">
        <f t="shared" si="5"/>
        <v>Actual/360</v>
      </c>
      <c r="I17" s="182">
        <v>-2.96E-3</v>
      </c>
      <c r="J17" s="91" t="str">
        <f>IF(LEFT(A17,1)="D",_xll.qlDepositRateHelper2(,I17,IF(RIGHT(C17,1)="N","1D",C17),D17,Calendar,F17,G17,H17,,Trigger),IF(A17="Sw",_xll.qlSwapRateHelper2(,I17,D17,C17,Calendar,"Annual",F17,H17,"Euribor"&amp;$H$1,0,"0D",Discounting,,,,Trigger),IF(A17="Fr",_xll.qlFraRateHelper(,I17,SUBSTITUTE(LEFT(C17,2),"M","")&amp;"M","Euribor"&amp;$H$1,,,,Trigger),IF(A17="Sf",_xll.qlFuturesRateHelper(,I17,,C17,"Euribor"&amp;$H$1,0,,Trigger),"--"))))</f>
        <v>obj_0006d#0006</v>
      </c>
      <c r="K17" s="86" t="b">
        <f t="shared" si="1"/>
        <v>1</v>
      </c>
      <c r="M17" s="9" t="str">
        <v>Fr</v>
      </c>
      <c r="N17" s="9" t="str">
        <v>8M-11M</v>
      </c>
      <c r="O17" s="9" t="str">
        <v>obj_0006d#0006</v>
      </c>
      <c r="P17" s="96">
        <f>_xll.qlRateHelperRate(O17,Trigger)</f>
        <v>-2.96E-3</v>
      </c>
      <c r="Q17" s="10">
        <f>_xll.qlRateHelperEarliestDate(O17,Trigger)</f>
        <v>42747</v>
      </c>
      <c r="R17" s="10">
        <f>_xll.qlRateHelperPillarDate(O17,Trigger)</f>
        <v>42837</v>
      </c>
      <c r="S17" s="96">
        <v>-2.7873502447903777E-3</v>
      </c>
    </row>
    <row r="18" spans="1:19" ht="11.25" customHeight="1" x14ac:dyDescent="0.2">
      <c r="A18" s="84" t="str">
        <v>Fr</v>
      </c>
      <c r="B18" s="179" t="str">
        <v>9M-12M</v>
      </c>
      <c r="C18" s="184" t="str">
        <f>IF(A18="Sf",_xll.qlIMMNextCode(B18,Trigger),IF(LEFT(B18,1)="#",_xll.qlCalendarBusinessDaysBetween(Calendar,Settlementdate,DATE(LEFT(SUBSTITUTE(B18,"#",""),4),LEFT(RIGHT(SUBSTITUTE(B18,"#",""),4),2),RIGHT(SUBSTITUTE(B18,"#",""),2)),,,Trigger)-1&amp;"D",SUBSTITUTE(B18,"/","")))</f>
        <v>9M-12M</v>
      </c>
      <c r="D18" s="86">
        <f t="shared" si="2"/>
        <v>2</v>
      </c>
      <c r="E18" s="86" t="str">
        <f t="shared" si="3"/>
        <v>--</v>
      </c>
      <c r="F18" s="85" t="str">
        <f t="shared" si="0"/>
        <v>Modified Following</v>
      </c>
      <c r="G18" s="88" t="str">
        <f t="shared" si="4"/>
        <v>TRUE</v>
      </c>
      <c r="H18" s="100" t="str">
        <f t="shared" si="5"/>
        <v>Actual/360</v>
      </c>
      <c r="I18" s="182">
        <v>-2.99E-3</v>
      </c>
      <c r="J18" s="91" t="str">
        <f>IF(LEFT(A18,1)="D",_xll.qlDepositRateHelper2(,I18,IF(RIGHT(C18,1)="N","1D",C18),D18,Calendar,F18,G18,H18,,Trigger),IF(A18="Sw",_xll.qlSwapRateHelper2(,I18,D18,C18,Calendar,"Annual",F18,H18,"Euribor"&amp;$H$1,0,"0D",Discounting,,,,Trigger),IF(A18="Fr",_xll.qlFraRateHelper(,I18,SUBSTITUTE(LEFT(C18,2),"M","")&amp;"M","Euribor"&amp;$H$1,,,,Trigger),IF(A18="Sf",_xll.qlFuturesRateHelper(,I18,,C18,"Euribor"&amp;$H$1,0,,Trigger),"--"))))</f>
        <v>obj_00065#0006</v>
      </c>
      <c r="K18" s="86" t="b">
        <f>IF(ISERROR(J18),FALSE,TRUE)</f>
        <v>1</v>
      </c>
      <c r="M18" s="9" t="str">
        <v>Fr</v>
      </c>
      <c r="N18" s="9" t="str">
        <v>9M-12M</v>
      </c>
      <c r="O18" s="9" t="str">
        <v>obj_00065#0006</v>
      </c>
      <c r="P18" s="96">
        <f>_xll.qlRateHelperRate(O18,Trigger)</f>
        <v>-2.99E-3</v>
      </c>
      <c r="Q18" s="10">
        <f>_xll.qlRateHelperEarliestDate(O18,Trigger)</f>
        <v>42779</v>
      </c>
      <c r="R18" s="10">
        <f>_xll.qlRateHelperPillarDate(O18,Trigger)</f>
        <v>42867</v>
      </c>
      <c r="S18" s="96">
        <v>-2.8112977050784652E-3</v>
      </c>
    </row>
    <row r="19" spans="1:19" ht="11.25" customHeight="1" x14ac:dyDescent="0.2">
      <c r="A19" s="91" t="str">
        <v>Fr</v>
      </c>
      <c r="B19" s="91" t="str">
        <v>10M-13M</v>
      </c>
      <c r="C19" s="91" t="str">
        <f>IF(A19="Sf",_xll.qlIMMNextCode(B19,Trigger),IF(LEFT(B19,1)="#",_xll.qlCalendarBusinessDaysBetween(Calendar,Settlementdate,DATE(LEFT(SUBSTITUTE(B19,"#",""),4),LEFT(RIGHT(SUBSTITUTE(B19,"#",""),4),2),RIGHT(SUBSTITUTE(B19,"#",""),2)),,,Trigger)-1&amp;"D",SUBSTITUTE(B19,"/","")))</f>
        <v>10M-13M</v>
      </c>
      <c r="D19" s="101">
        <f t="shared" si="2"/>
        <v>2</v>
      </c>
      <c r="E19" s="101" t="str">
        <f t="shared" si="3"/>
        <v>--</v>
      </c>
      <c r="F19" s="97" t="str">
        <f t="shared" si="0"/>
        <v>Modified Following</v>
      </c>
      <c r="G19" s="100" t="str">
        <f t="shared" si="4"/>
        <v>TRUE</v>
      </c>
      <c r="H19" s="97" t="str">
        <f t="shared" si="5"/>
        <v>Actual/360</v>
      </c>
      <c r="I19" s="102">
        <v>-3.0100000000000001E-3</v>
      </c>
      <c r="J19" s="89" t="str">
        <f>IF(LEFT(A19,1)="D",_xll.qlDepositRateHelper2(,I19,IF(RIGHT(C19,1)="N","1D",C19),D19,Calendar,F19,G19,H19,,Trigger),IF(A19="Sw",_xll.qlSwapRateHelper2(,I19,D19,C19,Calendar,"Annual",F19,H19,"Euribor"&amp;$H$1,0,"0D",Discounting,,,,Trigger),IF(A19="Fr",_xll.qlFraRateHelper(,I19,SUBSTITUTE(LEFT(C19,2),"M","")&amp;"M","Euribor"&amp;$H$1,,,,Trigger),IF(A19="Sf",_xll.qlFuturesRateHelper(,I19,,C19,"Euribor"&amp;$H$1,0,,Trigger),"--"))))</f>
        <v>obj_00057#0006</v>
      </c>
      <c r="K19" s="98" t="b">
        <f t="shared" ref="K19:K82" si="6">IF(ISERROR(J19),FALSE,TRUE)</f>
        <v>1</v>
      </c>
      <c r="M19" s="9" t="str">
        <v>Fr</v>
      </c>
      <c r="N19" s="9" t="str">
        <v>10M-13M</v>
      </c>
      <c r="O19" s="9" t="str">
        <v>obj_00057#0006</v>
      </c>
      <c r="P19" s="96">
        <f>_xll.qlRateHelperRate(O19,Trigger)</f>
        <v>-3.0100000000000001E-3</v>
      </c>
      <c r="Q19" s="10">
        <f>_xll.qlRateHelperEarliestDate(O19,Trigger)</f>
        <v>42807</v>
      </c>
      <c r="R19" s="10">
        <f>_xll.qlRateHelperPillarDate(O19,Trigger)</f>
        <v>42898</v>
      </c>
      <c r="S19" s="96">
        <v>-2.8325098080210116E-3</v>
      </c>
    </row>
    <row r="20" spans="1:19" ht="11.25" customHeight="1" x14ac:dyDescent="0.2">
      <c r="A20" s="91" t="str">
        <v>Fr</v>
      </c>
      <c r="B20" s="91" t="str">
        <v>11M-14M</v>
      </c>
      <c r="C20" s="91" t="str">
        <f>IF(A20="Sf",_xll.qlIMMNextCode(B20,Trigger),IF(LEFT(B20,1)="#",_xll.qlCalendarBusinessDaysBetween(Calendar,Settlementdate,DATE(LEFT(SUBSTITUTE(B20,"#",""),4),LEFT(RIGHT(SUBSTITUTE(B20,"#",""),4),2),RIGHT(SUBSTITUTE(B20,"#",""),2)),,,Trigger)-1&amp;"D",SUBSTITUTE(B20,"/","")))</f>
        <v>11M-14M</v>
      </c>
      <c r="D20" s="101">
        <f t="shared" si="2"/>
        <v>2</v>
      </c>
      <c r="E20" s="101" t="str">
        <f t="shared" si="3"/>
        <v>--</v>
      </c>
      <c r="F20" s="97" t="str">
        <f t="shared" si="0"/>
        <v>Modified Following</v>
      </c>
      <c r="G20" s="100" t="str">
        <f t="shared" si="4"/>
        <v>TRUE</v>
      </c>
      <c r="H20" s="97" t="str">
        <f t="shared" si="5"/>
        <v>Actual/360</v>
      </c>
      <c r="I20" s="102">
        <v>-3.0299999999999997E-3</v>
      </c>
      <c r="J20" s="89" t="str">
        <f>IF(LEFT(A20,1)="D",_xll.qlDepositRateHelper2(,I20,IF(RIGHT(C20,1)="N","1D",C20),D20,Calendar,F20,G20,H20,,Trigger),IF(A20="Sw",_xll.qlSwapRateHelper2(,I20,D20,C20,Calendar,"Annual",F20,H20,"Euribor"&amp;$H$1,0,"0D",Discounting,,,,Trigger),IF(A20="Fr",_xll.qlFraRateHelper(,I20,SUBSTITUTE(LEFT(C20,2),"M","")&amp;"M","Euribor"&amp;$H$1,,,,Trigger),IF(A20="Sf",_xll.qlFuturesRateHelper(,I20,,C20,"Euribor"&amp;$H$1,0,,Trigger),"--"))))</f>
        <v>obj_00067#0006</v>
      </c>
      <c r="K20" s="98" t="b">
        <f t="shared" si="6"/>
        <v>1</v>
      </c>
      <c r="M20" s="9" t="str">
        <v>Fr</v>
      </c>
      <c r="N20" s="9" t="str">
        <v>11M-14M</v>
      </c>
      <c r="O20" s="9" t="str">
        <v>obj_00067#0006</v>
      </c>
      <c r="P20" s="96">
        <f>_xll.qlRateHelperRate(O20,Trigger)</f>
        <v>-3.0299999999999997E-3</v>
      </c>
      <c r="Q20" s="10">
        <f>_xll.qlRateHelperEarliestDate(O20,Trigger)</f>
        <v>42837</v>
      </c>
      <c r="R20" s="10">
        <f>_xll.qlRateHelperPillarDate(O20,Trigger)</f>
        <v>42928</v>
      </c>
      <c r="S20" s="96">
        <v>-2.8481395565352961E-3</v>
      </c>
    </row>
    <row r="21" spans="1:19" ht="11.25" customHeight="1" x14ac:dyDescent="0.2">
      <c r="A21" s="91" t="str">
        <v>Fr</v>
      </c>
      <c r="B21" s="91" t="str">
        <v>12M-15M</v>
      </c>
      <c r="C21" s="91" t="str">
        <f>IF(A21="Sf",_xll.qlIMMNextCode(B21,Trigger),IF(LEFT(B21,1)="#",_xll.qlCalendarBusinessDaysBetween(Calendar,Settlementdate,DATE(LEFT(SUBSTITUTE(B21,"#",""),4),LEFT(RIGHT(SUBSTITUTE(B21,"#",""),4),2),RIGHT(SUBSTITUTE(B21,"#",""),2)),,,Trigger)-1&amp;"D",SUBSTITUTE(B21,"/","")))</f>
        <v>12M-15M</v>
      </c>
      <c r="D21" s="101">
        <f t="shared" si="2"/>
        <v>2</v>
      </c>
      <c r="E21" s="101" t="str">
        <f t="shared" si="3"/>
        <v>--</v>
      </c>
      <c r="F21" s="97" t="str">
        <f t="shared" si="0"/>
        <v>Modified Following</v>
      </c>
      <c r="G21" s="100" t="str">
        <f t="shared" si="4"/>
        <v>TRUE</v>
      </c>
      <c r="H21" s="97" t="str">
        <f t="shared" si="5"/>
        <v>Actual/360</v>
      </c>
      <c r="I21" s="102">
        <v>-3.0599999999999998E-3</v>
      </c>
      <c r="J21" s="89" t="str">
        <f>IF(LEFT(A21,1)="D",_xll.qlDepositRateHelper2(,I21,IF(RIGHT(C21,1)="N","1D",C21),D21,Calendar,F21,G21,H21,,Trigger),IF(A21="Sw",_xll.qlSwapRateHelper2(,I21,D21,C21,Calendar,"Annual",F21,H21,"Euribor"&amp;$H$1,0,"0D",Discounting,,,,Trigger),IF(A21="Fr",_xll.qlFraRateHelper(,I21,SUBSTITUTE(LEFT(C21,2),"M","")&amp;"M","Euribor"&amp;$H$1,,,,Trigger),IF(A21="Sf",_xll.qlFuturesRateHelper(,I21,,C21,"Euribor"&amp;$H$1,0,,Trigger),"--"))))</f>
        <v>obj_00072#0006</v>
      </c>
      <c r="K21" s="98" t="b">
        <f t="shared" si="6"/>
        <v>1</v>
      </c>
      <c r="M21" s="9" t="str">
        <v>Fr</v>
      </c>
      <c r="N21" s="9" t="str">
        <v>12M-15M</v>
      </c>
      <c r="O21" s="9" t="str">
        <v>obj_00072#0006</v>
      </c>
      <c r="P21" s="96">
        <f>_xll.qlRateHelperRate(O21,Trigger)</f>
        <v>-3.0599999999999998E-3</v>
      </c>
      <c r="Q21" s="10">
        <f>_xll.qlRateHelperEarliestDate(O21,Trigger)</f>
        <v>42867</v>
      </c>
      <c r="R21" s="10">
        <f>_xll.qlRateHelperPillarDate(O21,Trigger)</f>
        <v>42961</v>
      </c>
      <c r="S21" s="96">
        <v>-2.8709280434565895E-3</v>
      </c>
    </row>
    <row r="22" spans="1:19" ht="11.25" customHeight="1" x14ac:dyDescent="0.2">
      <c r="A22" s="91" t="str">
        <v>Sf</v>
      </c>
      <c r="B22" s="91">
        <v>42887</v>
      </c>
      <c r="C22" s="91" t="str">
        <f>IF(A22="Sf",_xll.qlIMMNextCode(B22,Trigger),IF(LEFT(B22,1)="#",_xll.qlCalendarBusinessDaysBetween(Calendar,Settlementdate,DATE(LEFT(SUBSTITUTE(B22,"#",""),4),LEFT(RIGHT(SUBSTITUTE(B22,"#",""),4),2),RIGHT(SUBSTITUTE(B22,"#",""),2)),,,Trigger)-1&amp;"D",SUBSTITUTE(B22,"/","")))</f>
        <v>M7</v>
      </c>
      <c r="D22" s="101">
        <f t="shared" si="2"/>
        <v>2</v>
      </c>
      <c r="E22" s="101" t="str">
        <f t="shared" si="3"/>
        <v>--</v>
      </c>
      <c r="F22" s="97" t="str">
        <f>IF(OR(RIGHT(C22,1)="N",RIGHT(C22,1)="W"),"Following","Modified Following")</f>
        <v>Modified Following</v>
      </c>
      <c r="G22" s="100" t="str">
        <f t="shared" si="4"/>
        <v>FALSE</v>
      </c>
      <c r="H22" s="97" t="str">
        <f t="shared" si="5"/>
        <v>Actual/360</v>
      </c>
      <c r="I22" s="185">
        <v>100.30725</v>
      </c>
      <c r="J22" s="89" t="str">
        <f>IF(LEFT(A22,1)="D",_xll.qlDepositRateHelper2(,I22,IF(RIGHT(C22,1)="N","1D",C22),D22,Calendar,F22,G22,H22,,Trigger),IF(A22="Sw",_xll.qlSwapRateHelper2(,I22,D22,C22,Calendar,"Annual",F22,H22,"Euribor"&amp;$H$1,0,"0D",Discounting,,,,Trigger),IF(A22="Fr",_xll.qlFraRateHelper(,I22,SUBSTITUTE(LEFT(C22,2),"M","")&amp;"M","Euribor"&amp;$H$1,,,,Trigger),IF(A22="Sf",_xll.qlFuturesRateHelper(,I22,,C22,"Euribor"&amp;$H$1,0,,Trigger),"--"))))</f>
        <v>obj_00064#0008</v>
      </c>
      <c r="K22" s="98" t="b">
        <f t="shared" si="6"/>
        <v>1</v>
      </c>
      <c r="M22" s="9" t="str">
        <v>Sf</v>
      </c>
      <c r="N22" s="9" t="str">
        <v>M7</v>
      </c>
      <c r="O22" s="9" t="str">
        <v>obj_00064#0008</v>
      </c>
      <c r="P22" s="96">
        <f>_xll.qlRateHelperRate(O22,Trigger)</f>
        <v>-3.0725000000000335E-3</v>
      </c>
      <c r="Q22" s="10">
        <f>_xll.qlRateHelperEarliestDate(O22,Trigger)</f>
        <v>42907</v>
      </c>
      <c r="R22" s="10">
        <f>_xll.qlRateHelperPillarDate(O22,Trigger)</f>
        <v>42999</v>
      </c>
      <c r="S22" s="96">
        <v>-2.8888156644725827E-3</v>
      </c>
    </row>
    <row r="23" spans="1:19" ht="11.25" customHeight="1" x14ac:dyDescent="0.2">
      <c r="A23" s="91" t="str">
        <v>Sf</v>
      </c>
      <c r="B23" s="91">
        <v>42979</v>
      </c>
      <c r="C23" s="91" t="str">
        <f>IF(A23="Sf",_xll.qlIMMNextCode(B23,Trigger),IF(LEFT(B23,1)="#",_xll.qlCalendarBusinessDaysBetween(Calendar,Settlementdate,DATE(LEFT(SUBSTITUTE(B23,"#",""),4),LEFT(RIGHT(SUBSTITUTE(B23,"#",""),4),2),RIGHT(SUBSTITUTE(B23,"#",""),2)),,,Trigger)-1&amp;"D",SUBSTITUTE(B23,"/","")))</f>
        <v>U7</v>
      </c>
      <c r="D23" s="101">
        <f t="shared" si="2"/>
        <v>2</v>
      </c>
      <c r="E23" s="101" t="str">
        <f t="shared" si="3"/>
        <v>--</v>
      </c>
      <c r="F23" s="97" t="str">
        <f t="shared" ref="F23:F82" si="7">IF(OR(RIGHT(C23,1)="N",RIGHT(C23,1)="W"),"Following","Modified Following")</f>
        <v>Modified Following</v>
      </c>
      <c r="G23" s="100" t="str">
        <f t="shared" si="4"/>
        <v>FALSE</v>
      </c>
      <c r="H23" s="97" t="str">
        <f t="shared" si="5"/>
        <v>Actual/360</v>
      </c>
      <c r="I23" s="185">
        <v>100.3125</v>
      </c>
      <c r="J23" s="89" t="str">
        <f>IF(LEFT(A23,1)="D",_xll.qlDepositRateHelper2(,I23,IF(RIGHT(C23,1)="N","1D",C23),D23,Calendar,F23,G23,H23,,Trigger),IF(A23="Sw",_xll.qlSwapRateHelper2(,I23,D23,C23,Calendar,"Annual",F23,H23,"Euribor"&amp;$H$1,0,"0D",Discounting,,,,Trigger),IF(A23="Fr",_xll.qlFraRateHelper(,I23,SUBSTITUTE(LEFT(C23,2),"M","")&amp;"M","Euribor"&amp;$H$1,,,,Trigger),IF(A23="Sf",_xll.qlFuturesRateHelper(,I23,,C23,"Euribor"&amp;$H$1,0,,Trigger),"--"))))</f>
        <v>obj_0005f#0007</v>
      </c>
      <c r="K23" s="98" t="b">
        <f t="shared" si="6"/>
        <v>1</v>
      </c>
      <c r="M23" s="9" t="str">
        <v>Sf</v>
      </c>
      <c r="N23" s="9" t="str">
        <v>U7</v>
      </c>
      <c r="O23" s="9" t="str">
        <v>obj_0005f#0007</v>
      </c>
      <c r="P23" s="96">
        <f>_xll.qlRateHelperRate(O23,Trigger)</f>
        <v>-3.1250000000000444E-3</v>
      </c>
      <c r="Q23" s="10">
        <f>_xll.qlRateHelperEarliestDate(O23,Trigger)</f>
        <v>42998</v>
      </c>
      <c r="R23" s="10">
        <f>_xll.qlRateHelperPillarDate(O23,Trigger)</f>
        <v>43089</v>
      </c>
      <c r="S23" s="96">
        <v>-2.9318062465862956E-3</v>
      </c>
    </row>
    <row r="24" spans="1:19" ht="11.25" customHeight="1" x14ac:dyDescent="0.2">
      <c r="A24" s="91" t="str">
        <v>Sf</v>
      </c>
      <c r="B24" s="91">
        <v>43070</v>
      </c>
      <c r="C24" s="91" t="str">
        <f>IF(A24="Sf",_xll.qlIMMNextCode(B24,Trigger),IF(LEFT(B24,1)="#",_xll.qlCalendarBusinessDaysBetween(Calendar,Settlementdate,DATE(LEFT(SUBSTITUTE(B24,"#",""),4),LEFT(RIGHT(SUBSTITUTE(B24,"#",""),4),2),RIGHT(SUBSTITUTE(B24,"#",""),2)),,,Trigger)-1&amp;"D",SUBSTITUTE(B24,"/","")))</f>
        <v>Z7</v>
      </c>
      <c r="D24" s="101">
        <f t="shared" si="2"/>
        <v>2</v>
      </c>
      <c r="E24" s="101" t="str">
        <f t="shared" si="3"/>
        <v>--</v>
      </c>
      <c r="F24" s="97" t="str">
        <f t="shared" si="7"/>
        <v>Modified Following</v>
      </c>
      <c r="G24" s="100" t="str">
        <f t="shared" si="4"/>
        <v>FALSE</v>
      </c>
      <c r="H24" s="97" t="str">
        <f t="shared" si="5"/>
        <v>Actual/360</v>
      </c>
      <c r="I24" s="185">
        <v>100.30275</v>
      </c>
      <c r="J24" s="89" t="str">
        <f>IF(LEFT(A24,1)="D",_xll.qlDepositRateHelper2(,I24,IF(RIGHT(C24,1)="N","1D",C24),D24,Calendar,F24,G24,H24,,Trigger),IF(A24="Sw",_xll.qlSwapRateHelper2(,I24,D24,C24,Calendar,"Annual",F24,H24,"Euribor"&amp;$H$1,0,"0D",Discounting,,,,Trigger),IF(A24="Fr",_xll.qlFraRateHelper(,I24,SUBSTITUTE(LEFT(C24,2),"M","")&amp;"M","Euribor"&amp;$H$1,,,,Trigger),IF(A24="Sf",_xll.qlFuturesRateHelper(,I24,,C24,"Euribor"&amp;$H$1,0,,Trigger),"--"))))</f>
        <v>obj_0005e#0007</v>
      </c>
      <c r="K24" s="98" t="b">
        <f t="shared" si="6"/>
        <v>1</v>
      </c>
      <c r="M24" s="9" t="str">
        <v>Sf</v>
      </c>
      <c r="N24" s="9" t="str">
        <v>Z7</v>
      </c>
      <c r="O24" s="9" t="str">
        <v>obj_0005e#0007</v>
      </c>
      <c r="P24" s="96">
        <f>_xll.qlRateHelperRate(O24,Trigger)</f>
        <v>-3.0274999999999608E-3</v>
      </c>
      <c r="Q24" s="10">
        <f>_xll.qlRateHelperEarliestDate(O24,Trigger)</f>
        <v>43089</v>
      </c>
      <c r="R24" s="10">
        <f>_xll.qlRateHelperPillarDate(O24,Trigger)</f>
        <v>43179</v>
      </c>
      <c r="S24" s="96">
        <v>-2.9502177524792566E-3</v>
      </c>
    </row>
    <row r="25" spans="1:19" ht="11.25" customHeight="1" x14ac:dyDescent="0.2">
      <c r="A25" s="91" t="str">
        <v>Sf</v>
      </c>
      <c r="B25" s="91">
        <v>43160</v>
      </c>
      <c r="C25" s="91" t="str">
        <f>IF(A25="Sf",_xll.qlIMMNextCode(B25,Trigger),IF(LEFT(B25,1)="#",_xll.qlCalendarBusinessDaysBetween(Calendar,Settlementdate,DATE(LEFT(SUBSTITUTE(B25,"#",""),4),LEFT(RIGHT(SUBSTITUTE(B25,"#",""),4),2),RIGHT(SUBSTITUTE(B25,"#",""),2)),,,Trigger)-1&amp;"D",SUBSTITUTE(B25,"/","")))</f>
        <v>H8</v>
      </c>
      <c r="D25" s="101">
        <f t="shared" si="2"/>
        <v>2</v>
      </c>
      <c r="E25" s="101" t="str">
        <f t="shared" si="3"/>
        <v>--</v>
      </c>
      <c r="F25" s="97" t="str">
        <f t="shared" si="7"/>
        <v>Modified Following</v>
      </c>
      <c r="G25" s="100" t="str">
        <f t="shared" si="4"/>
        <v>FALSE</v>
      </c>
      <c r="H25" s="97" t="str">
        <f t="shared" si="5"/>
        <v>Actual/360</v>
      </c>
      <c r="I25" s="185">
        <v>100.291</v>
      </c>
      <c r="J25" s="89" t="str">
        <f>IF(LEFT(A25,1)="D",_xll.qlDepositRateHelper2(,I25,IF(RIGHT(C25,1)="N","1D",C25),D25,Calendar,F25,G25,H25,,Trigger),IF(A25="Sw",_xll.qlSwapRateHelper2(,I25,D25,C25,Calendar,"Annual",F25,H25,"Euribor"&amp;$H$1,0,"0D",Discounting,,,,Trigger),IF(A25="Fr",_xll.qlFraRateHelper(,I25,SUBSTITUTE(LEFT(C25,2),"M","")&amp;"M","Euribor"&amp;$H$1,,,,Trigger),IF(A25="Sf",_xll.qlFuturesRateHelper(,I25,,C25,"Euribor"&amp;$H$1,0,,Trigger),"--"))))</f>
        <v>obj_00052#0007</v>
      </c>
      <c r="K25" s="98" t="b">
        <f t="shared" si="6"/>
        <v>1</v>
      </c>
      <c r="M25" s="9" t="str">
        <v>Sf</v>
      </c>
      <c r="N25" s="9" t="str">
        <v>H8</v>
      </c>
      <c r="O25" s="9" t="str">
        <v>obj_00052#0007</v>
      </c>
      <c r="P25" s="96">
        <f>_xll.qlRateHelperRate(O25,Trigger)</f>
        <v>-2.9099999999999682E-3</v>
      </c>
      <c r="Q25" s="10">
        <f>_xll.qlRateHelperEarliestDate(O25,Trigger)</f>
        <v>43180</v>
      </c>
      <c r="R25" s="10">
        <f>_xll.qlRateHelperPillarDate(O25,Trigger)</f>
        <v>43272</v>
      </c>
      <c r="S25" s="96">
        <v>-2.9503752027307626E-3</v>
      </c>
    </row>
    <row r="26" spans="1:19" ht="11.25" customHeight="1" x14ac:dyDescent="0.2">
      <c r="A26" s="91" t="str">
        <v>Sf</v>
      </c>
      <c r="B26" s="91">
        <v>43252</v>
      </c>
      <c r="C26" s="91" t="str">
        <f>IF(A26="Sf",_xll.qlIMMNextCode(B26,Trigger),IF(LEFT(B26,1)="#",_xll.qlCalendarBusinessDaysBetween(Calendar,Settlementdate,DATE(LEFT(SUBSTITUTE(B26,"#",""),4),LEFT(RIGHT(SUBSTITUTE(B26,"#",""),4),2),RIGHT(SUBSTITUTE(B26,"#",""),2)),,,Trigger)-1&amp;"D",SUBSTITUTE(B26,"/","")))</f>
        <v>M8</v>
      </c>
      <c r="D26" s="101">
        <f t="shared" si="2"/>
        <v>2</v>
      </c>
      <c r="E26" s="101" t="str">
        <f t="shared" si="3"/>
        <v>--</v>
      </c>
      <c r="F26" s="97" t="str">
        <f t="shared" si="7"/>
        <v>Modified Following</v>
      </c>
      <c r="G26" s="100" t="str">
        <f t="shared" si="4"/>
        <v>FALSE</v>
      </c>
      <c r="H26" s="97" t="str">
        <f t="shared" si="5"/>
        <v>Actual/360</v>
      </c>
      <c r="I26" s="185">
        <v>100.26875</v>
      </c>
      <c r="J26" s="89" t="str">
        <f>IF(LEFT(A26,1)="D",_xll.qlDepositRateHelper2(,I26,IF(RIGHT(C26,1)="N","1D",C26),D26,Calendar,F26,G26,H26,,Trigger),IF(A26="Sw",_xll.qlSwapRateHelper2(,I26,D26,C26,Calendar,"Annual",F26,H26,"Euribor"&amp;$H$1,0,"0D",Discounting,,,,Trigger),IF(A26="Fr",_xll.qlFraRateHelper(,I26,SUBSTITUTE(LEFT(C26,2),"M","")&amp;"M","Euribor"&amp;$H$1,,,,Trigger),IF(A26="Sf",_xll.qlFuturesRateHelper(,I26,,C26,"Euribor"&amp;$H$1,0,,Trigger),"--"))))</f>
        <v>obj_0006a#0007</v>
      </c>
      <c r="K26" s="98" t="b">
        <f t="shared" si="6"/>
        <v>1</v>
      </c>
      <c r="M26" s="9" t="str">
        <v>Sf</v>
      </c>
      <c r="N26" s="9" t="str">
        <v>M8</v>
      </c>
      <c r="O26" s="9" t="str">
        <v>obj_0006a#0007</v>
      </c>
      <c r="P26" s="96">
        <f>_xll.qlRateHelperRate(O26,Trigger)</f>
        <v>-2.6874999999999538E-3</v>
      </c>
      <c r="Q26" s="10">
        <f>_xll.qlRateHelperEarliestDate(O26,Trigger)</f>
        <v>43271</v>
      </c>
      <c r="R26" s="10">
        <f>_xll.qlRateHelperPillarDate(O26,Trigger)</f>
        <v>43363</v>
      </c>
      <c r="S26" s="96">
        <v>-2.9264303822179854E-3</v>
      </c>
    </row>
    <row r="27" spans="1:19" ht="11.25" customHeight="1" x14ac:dyDescent="0.2">
      <c r="A27" s="91" t="str">
        <v>Sf</v>
      </c>
      <c r="B27" s="91">
        <v>43344</v>
      </c>
      <c r="C27" s="91" t="str">
        <f>IF(A27="Sf",_xll.qlIMMNextCode(B27,Trigger),IF(LEFT(B27,1)="#",_xll.qlCalendarBusinessDaysBetween(Calendar,Settlementdate,DATE(LEFT(SUBSTITUTE(B27,"#",""),4),LEFT(RIGHT(SUBSTITUTE(B27,"#",""),4),2),RIGHT(SUBSTITUTE(B27,"#",""),2)),,,Trigger)-1&amp;"D",SUBSTITUTE(B27,"/","")))</f>
        <v>U8</v>
      </c>
      <c r="D27" s="101">
        <f t="shared" si="2"/>
        <v>2</v>
      </c>
      <c r="E27" s="101" t="str">
        <f t="shared" si="3"/>
        <v>--</v>
      </c>
      <c r="F27" s="97" t="str">
        <f t="shared" si="7"/>
        <v>Modified Following</v>
      </c>
      <c r="G27" s="100" t="str">
        <f t="shared" si="4"/>
        <v>FALSE</v>
      </c>
      <c r="H27" s="97" t="str">
        <f t="shared" si="5"/>
        <v>Actual/360</v>
      </c>
      <c r="I27" s="185">
        <v>100.23950000000001</v>
      </c>
      <c r="J27" s="89" t="str">
        <f>IF(LEFT(A27,1)="D",_xll.qlDepositRateHelper2(,I27,IF(RIGHT(C27,1)="N","1D",C27),D27,Calendar,F27,G27,H27,,Trigger),IF(A27="Sw",_xll.qlSwapRateHelper2(,I27,D27,C27,Calendar,"Annual",F27,H27,"Euribor"&amp;$H$1,0,"0D",Discounting,,,,Trigger),IF(A27="Fr",_xll.qlFraRateHelper(,I27,SUBSTITUTE(LEFT(C27,2),"M","")&amp;"M","Euribor"&amp;$H$1,,,,Trigger),IF(A27="Sf",_xll.qlFuturesRateHelper(,I27,,C27,"Euribor"&amp;$H$1,0,,Trigger),"--"))))</f>
        <v>obj_0005a#0007</v>
      </c>
      <c r="K27" s="98" t="b">
        <f t="shared" si="6"/>
        <v>1</v>
      </c>
      <c r="M27" s="9" t="str">
        <v>Sf</v>
      </c>
      <c r="N27" s="9" t="str">
        <v>U8</v>
      </c>
      <c r="O27" s="9" t="str">
        <v>obj_0005a#0007</v>
      </c>
      <c r="P27" s="96">
        <f>_xll.qlRateHelperRate(O27,Trigger)</f>
        <v>-2.395000000000147E-3</v>
      </c>
      <c r="Q27" s="10">
        <f>_xll.qlRateHelperEarliestDate(O27,Trigger)</f>
        <v>43362</v>
      </c>
      <c r="R27" s="10">
        <f>_xll.qlRateHelperPillarDate(O27,Trigger)</f>
        <v>43453</v>
      </c>
      <c r="S27" s="96">
        <v>-2.8792495010856851E-3</v>
      </c>
    </row>
    <row r="28" spans="1:19" ht="11.25" customHeight="1" x14ac:dyDescent="0.2">
      <c r="A28" s="91" t="str">
        <v>Sw</v>
      </c>
      <c r="B28" s="91" t="str">
        <v>3Y</v>
      </c>
      <c r="C28" s="91" t="str">
        <f>IF(A28="Sf",_xll.qlIMMNextCode(B28,Trigger),IF(LEFT(B28,1)="#",_xll.qlCalendarBusinessDaysBetween(Calendar,Settlementdate,DATE(LEFT(SUBSTITUTE(B28,"#",""),4),LEFT(RIGHT(SUBSTITUTE(B28,"#",""),4),2),RIGHT(SUBSTITUTE(B28,"#",""),2)),,,Trigger)-1&amp;"D",SUBSTITUTE(B28,"/","")))</f>
        <v>3Y</v>
      </c>
      <c r="D28" s="101">
        <f t="shared" si="2"/>
        <v>2</v>
      </c>
      <c r="E28" s="101" t="str">
        <f t="shared" si="3"/>
        <v>Annual</v>
      </c>
      <c r="F28" s="97" t="str">
        <f t="shared" si="7"/>
        <v>Modified Following</v>
      </c>
      <c r="G28" s="100" t="str">
        <f t="shared" si="4"/>
        <v>TRUE</v>
      </c>
      <c r="H28" s="97" t="str">
        <f t="shared" si="5"/>
        <v>30/360 (Bond Basis)</v>
      </c>
      <c r="I28" s="102">
        <v>-2.7500000000000003E-3</v>
      </c>
      <c r="J28" s="89" t="str">
        <f>IF(LEFT(A28,1)="D",_xll.qlDepositRateHelper2(,I28,IF(RIGHT(C28,1)="N","1D",C28),D28,Calendar,F28,G28,H28,,Trigger),IF(A28="Sw",_xll.qlSwapRateHelper2(,I28,D28,C28,Calendar,"Annual",F28,H28,"Euribor"&amp;$H$1,0,"0D",Discounting,,,,Trigger),IF(A28="Fr",_xll.qlFraRateHelper(,I28,SUBSTITUTE(LEFT(C28,2),"M","")&amp;"M","Euribor"&amp;$H$1,,,,Trigger),IF(A28="Sf",_xll.qlFuturesRateHelper(,I28,,C28,"Euribor"&amp;$H$1,0,,Trigger),"--"))))</f>
        <v>obj_00084#0006</v>
      </c>
      <c r="K28" s="98" t="b">
        <f t="shared" si="6"/>
        <v>1</v>
      </c>
      <c r="M28" s="9" t="str">
        <v>Sw</v>
      </c>
      <c r="N28" s="9" t="str">
        <v>3Y</v>
      </c>
      <c r="O28" s="9" t="str">
        <v>obj_00084#0006</v>
      </c>
      <c r="P28" s="96">
        <f>_xll.qlRateHelperRate(O28,Trigger)</f>
        <v>-2.7500000000000003E-3</v>
      </c>
      <c r="Q28" s="10">
        <f>_xll.qlRateHelperEarliestDate(O28,Trigger)</f>
        <v>42502</v>
      </c>
      <c r="R28" s="10">
        <f>_xll.qlRateHelperPillarDate(O28,Trigger)</f>
        <v>43598</v>
      </c>
      <c r="S28" s="96">
        <v>-2.7554250093521603E-3</v>
      </c>
    </row>
    <row r="29" spans="1:19" ht="11.25" customHeight="1" x14ac:dyDescent="0.2">
      <c r="A29" s="91" t="str">
        <v>Sw</v>
      </c>
      <c r="B29" s="91" t="str">
        <v>4Y</v>
      </c>
      <c r="C29" s="91" t="str">
        <f>IF(A29="Sf",_xll.qlIMMNextCode(B29,Trigger),IF(LEFT(B29,1)="#",_xll.qlCalendarBusinessDaysBetween(Calendar,Settlementdate,DATE(LEFT(SUBSTITUTE(B29,"#",""),4),LEFT(RIGHT(SUBSTITUTE(B29,"#",""),4),2),RIGHT(SUBSTITUTE(B29,"#",""),2)),,,Trigger)-1&amp;"D",SUBSTITUTE(B29,"/","")))</f>
        <v>4Y</v>
      </c>
      <c r="D29" s="101">
        <f t="shared" si="2"/>
        <v>2</v>
      </c>
      <c r="E29" s="101" t="str">
        <f t="shared" si="3"/>
        <v>Annual</v>
      </c>
      <c r="F29" s="97" t="str">
        <f t="shared" si="7"/>
        <v>Modified Following</v>
      </c>
      <c r="G29" s="100" t="str">
        <f t="shared" si="4"/>
        <v>TRUE</v>
      </c>
      <c r="H29" s="97" t="str">
        <f t="shared" si="5"/>
        <v>30/360 (Bond Basis)</v>
      </c>
      <c r="I29" s="102">
        <v>-2.2799999999999999E-3</v>
      </c>
      <c r="J29" s="89" t="str">
        <f>IF(LEFT(A29,1)="D",_xll.qlDepositRateHelper2(,I29,IF(RIGHT(C29,1)="N","1D",C29),D29,Calendar,F29,G29,H29,,Trigger),IF(A29="Sw",_xll.qlSwapRateHelper2(,I29,D29,C29,Calendar,"Annual",F29,H29,"Euribor"&amp;$H$1,0,"0D",Discounting,,,,Trigger),IF(A29="Fr",_xll.qlFraRateHelper(,I29,SUBSTITUTE(LEFT(C29,2),"M","")&amp;"M","Euribor"&amp;$H$1,,,,Trigger),IF(A29="Sf",_xll.qlFuturesRateHelper(,I29,,C29,"Euribor"&amp;$H$1,0,,Trigger),"--"))))</f>
        <v>obj_00083#0006</v>
      </c>
      <c r="K29" s="98" t="b">
        <f t="shared" si="6"/>
        <v>1</v>
      </c>
      <c r="M29" s="9" t="str">
        <v>Sw</v>
      </c>
      <c r="N29" s="9" t="str">
        <v>4Y</v>
      </c>
      <c r="O29" s="9" t="str">
        <v>obj_00083#0006</v>
      </c>
      <c r="P29" s="96">
        <f>_xll.qlRateHelperRate(O29,Trigger)</f>
        <v>-2.2799999999999999E-3</v>
      </c>
      <c r="Q29" s="10">
        <f>_xll.qlRateHelperEarliestDate(O29,Trigger)</f>
        <v>42502</v>
      </c>
      <c r="R29" s="10">
        <f>_xll.qlRateHelperPillarDate(O29,Trigger)</f>
        <v>43963</v>
      </c>
      <c r="S29" s="96">
        <v>-2.2856584387362312E-3</v>
      </c>
    </row>
    <row r="30" spans="1:19" ht="11.25" customHeight="1" x14ac:dyDescent="0.2">
      <c r="A30" s="91" t="str">
        <v>Sw</v>
      </c>
      <c r="B30" s="91" t="str">
        <v>5Y</v>
      </c>
      <c r="C30" s="91" t="str">
        <f>IF(A30="Sf",_xll.qlIMMNextCode(B30,Trigger),IF(LEFT(B30,1)="#",_xll.qlCalendarBusinessDaysBetween(Calendar,Settlementdate,DATE(LEFT(SUBSTITUTE(B30,"#",""),4),LEFT(RIGHT(SUBSTITUTE(B30,"#",""),4),2),RIGHT(SUBSTITUTE(B30,"#",""),2)),,,Trigger)-1&amp;"D",SUBSTITUTE(B30,"/","")))</f>
        <v>5Y</v>
      </c>
      <c r="D30" s="101">
        <f t="shared" si="2"/>
        <v>2</v>
      </c>
      <c r="E30" s="101" t="str">
        <f t="shared" si="3"/>
        <v>Annual</v>
      </c>
      <c r="F30" s="97" t="str">
        <f t="shared" si="7"/>
        <v>Modified Following</v>
      </c>
      <c r="G30" s="100" t="str">
        <f t="shared" si="4"/>
        <v>TRUE</v>
      </c>
      <c r="H30" s="97" t="str">
        <f t="shared" si="5"/>
        <v>30/360 (Bond Basis)</v>
      </c>
      <c r="I30" s="102">
        <v>-1.56E-3</v>
      </c>
      <c r="J30" s="89" t="str">
        <f>IF(LEFT(A30,1)="D",_xll.qlDepositRateHelper2(,I30,IF(RIGHT(C30,1)="N","1D",C30),D30,Calendar,F30,G30,H30,,Trigger),IF(A30="Sw",_xll.qlSwapRateHelper2(,I30,D30,C30,Calendar,"Annual",F30,H30,"Euribor"&amp;$H$1,0,"0D",Discounting,,,,Trigger),IF(A30="Fr",_xll.qlFraRateHelper(,I30,SUBSTITUTE(LEFT(C30,2),"M","")&amp;"M","Euribor"&amp;$H$1,,,,Trigger),IF(A30="Sf",_xll.qlFuturesRateHelper(,I30,,C30,"Euribor"&amp;$H$1,0,,Trigger),"--"))))</f>
        <v>obj_00075#0006</v>
      </c>
      <c r="K30" s="98" t="b">
        <f t="shared" si="6"/>
        <v>1</v>
      </c>
      <c r="M30" s="9" t="str">
        <v>Sw</v>
      </c>
      <c r="N30" s="9" t="str">
        <v>5Y</v>
      </c>
      <c r="O30" s="9" t="str">
        <v>obj_00075#0006</v>
      </c>
      <c r="P30" s="96">
        <f>_xll.qlRateHelperRate(O30,Trigger)</f>
        <v>-1.56E-3</v>
      </c>
      <c r="Q30" s="10">
        <f>_xll.qlRateHelperEarliestDate(O30,Trigger)</f>
        <v>42502</v>
      </c>
      <c r="R30" s="10">
        <f>_xll.qlRateHelperPillarDate(O30,Trigger)</f>
        <v>44328</v>
      </c>
      <c r="S30" s="96">
        <v>-1.5686749588022261E-3</v>
      </c>
    </row>
    <row r="31" spans="1:19" ht="11.25" customHeight="1" x14ac:dyDescent="0.2">
      <c r="A31" s="91" t="str">
        <v>Sw</v>
      </c>
      <c r="B31" s="91" t="str">
        <v>6Y</v>
      </c>
      <c r="C31" s="91" t="str">
        <f>IF(A31="Sf",_xll.qlIMMNextCode(B31,Trigger),IF(LEFT(B31,1)="#",_xll.qlCalendarBusinessDaysBetween(Calendar,Settlementdate,DATE(LEFT(SUBSTITUTE(B31,"#",""),4),LEFT(RIGHT(SUBSTITUTE(B31,"#",""),4),2),RIGHT(SUBSTITUTE(B31,"#",""),2)),,,Trigger)-1&amp;"D",SUBSTITUTE(B31,"/","")))</f>
        <v>6Y</v>
      </c>
      <c r="D31" s="101">
        <f t="shared" si="2"/>
        <v>2</v>
      </c>
      <c r="E31" s="101" t="str">
        <f t="shared" si="3"/>
        <v>Annual</v>
      </c>
      <c r="F31" s="97" t="str">
        <f t="shared" si="7"/>
        <v>Modified Following</v>
      </c>
      <c r="G31" s="100" t="str">
        <f t="shared" si="4"/>
        <v>TRUE</v>
      </c>
      <c r="H31" s="97" t="str">
        <f t="shared" si="5"/>
        <v>30/360 (Bond Basis)</v>
      </c>
      <c r="I31" s="102">
        <v>-5.8E-4</v>
      </c>
      <c r="J31" s="89" t="str">
        <f>IF(LEFT(A31,1)="D",_xll.qlDepositRateHelper2(,I31,IF(RIGHT(C31,1)="N","1D",C31),D31,Calendar,F31,G31,H31,,Trigger),IF(A31="Sw",_xll.qlSwapRateHelper2(,I31,D31,C31,Calendar,"Annual",F31,H31,"Euribor"&amp;$H$1,0,"0D",Discounting,,,,Trigger),IF(A31="Fr",_xll.qlFraRateHelper(,I31,SUBSTITUTE(LEFT(C31,2),"M","")&amp;"M","Euribor"&amp;$H$1,,,,Trigger),IF(A31="Sf",_xll.qlFuturesRateHelper(,I31,,C31,"Euribor"&amp;$H$1,0,,Trigger),"--"))))</f>
        <v>obj_00085#0006</v>
      </c>
      <c r="K31" s="98" t="b">
        <f t="shared" si="6"/>
        <v>1</v>
      </c>
      <c r="M31" s="9" t="str">
        <v>Sw</v>
      </c>
      <c r="N31" s="9" t="str">
        <v>6Y</v>
      </c>
      <c r="O31" s="9" t="str">
        <v>obj_00085#0006</v>
      </c>
      <c r="P31" s="96">
        <f>_xll.qlRateHelperRate(O31,Trigger)</f>
        <v>-5.8E-4</v>
      </c>
      <c r="Q31" s="10">
        <f>_xll.qlRateHelperEarliestDate(O31,Trigger)</f>
        <v>42502</v>
      </c>
      <c r="R31" s="10">
        <f>_xll.qlRateHelperPillarDate(O31,Trigger)</f>
        <v>44693</v>
      </c>
      <c r="S31" s="96">
        <v>-5.9065425187025168E-4</v>
      </c>
    </row>
    <row r="32" spans="1:19" ht="11.25" customHeight="1" x14ac:dyDescent="0.2">
      <c r="A32" s="91" t="str">
        <v>Sw</v>
      </c>
      <c r="B32" s="91" t="str">
        <v>7Y</v>
      </c>
      <c r="C32" s="91" t="str">
        <f>IF(A32="Sf",_xll.qlIMMNextCode(B32,Trigger),IF(LEFT(B32,1)="#",_xll.qlCalendarBusinessDaysBetween(Calendar,Settlementdate,DATE(LEFT(SUBSTITUTE(B32,"#",""),4),LEFT(RIGHT(SUBSTITUTE(B32,"#",""),4),2),RIGHT(SUBSTITUTE(B32,"#",""),2)),,,Trigger)-1&amp;"D",SUBSTITUTE(B32,"/","")))</f>
        <v>7Y</v>
      </c>
      <c r="D32" s="101">
        <f t="shared" si="2"/>
        <v>2</v>
      </c>
      <c r="E32" s="101" t="str">
        <f t="shared" si="3"/>
        <v>Annual</v>
      </c>
      <c r="F32" s="97" t="str">
        <f t="shared" si="7"/>
        <v>Modified Following</v>
      </c>
      <c r="G32" s="100" t="str">
        <f t="shared" si="4"/>
        <v>TRUE</v>
      </c>
      <c r="H32" s="97" t="str">
        <f t="shared" si="5"/>
        <v>30/360 (Bond Basis)</v>
      </c>
      <c r="I32" s="102">
        <v>5.4000000000000001E-4</v>
      </c>
      <c r="J32" s="89" t="str">
        <f>IF(LEFT(A32,1)="D",_xll.qlDepositRateHelper2(,I32,IF(RIGHT(C32,1)="N","1D",C32),D32,Calendar,F32,G32,H32,,Trigger),IF(A32="Sw",_xll.qlSwapRateHelper2(,I32,D32,C32,Calendar,"Annual",F32,H32,"Euribor"&amp;$H$1,0,"0D",Discounting,,,,Trigger),IF(A32="Fr",_xll.qlFraRateHelper(,I32,SUBSTITUTE(LEFT(C32,2),"M","")&amp;"M","Euribor"&amp;$H$1,,,,Trigger),IF(A32="Sf",_xll.qlFuturesRateHelper(,I32,,C32,"Euribor"&amp;$H$1,0,,Trigger),"--"))))</f>
        <v>obj_00054#0006</v>
      </c>
      <c r="K32" s="98" t="b">
        <f t="shared" si="6"/>
        <v>1</v>
      </c>
      <c r="M32" s="9" t="str">
        <v>Sw</v>
      </c>
      <c r="N32" s="9" t="str">
        <v>7Y</v>
      </c>
      <c r="O32" s="9" t="str">
        <v>obj_00054#0006</v>
      </c>
      <c r="P32" s="96">
        <f>_xll.qlRateHelperRate(O32,Trigger)</f>
        <v>5.4000000000000001E-4</v>
      </c>
      <c r="Q32" s="10">
        <f>_xll.qlRateHelperEarliestDate(O32,Trigger)</f>
        <v>42502</v>
      </c>
      <c r="R32" s="10">
        <f>_xll.qlRateHelperPillarDate(O32,Trigger)</f>
        <v>45058</v>
      </c>
      <c r="S32" s="96">
        <v>5.3117515280991972E-4</v>
      </c>
    </row>
    <row r="33" spans="1:19" ht="11.25" customHeight="1" x14ac:dyDescent="0.2">
      <c r="A33" s="91" t="str">
        <v>Sw</v>
      </c>
      <c r="B33" s="91" t="str">
        <v>8Y</v>
      </c>
      <c r="C33" s="91" t="str">
        <f>IF(A33="Sf",_xll.qlIMMNextCode(B33,Trigger),IF(LEFT(B33,1)="#",_xll.qlCalendarBusinessDaysBetween(Calendar,Settlementdate,DATE(LEFT(SUBSTITUTE(B33,"#",""),4),LEFT(RIGHT(SUBSTITUTE(B33,"#",""),4),2),RIGHT(SUBSTITUTE(B33,"#",""),2)),,,Trigger)-1&amp;"D",SUBSTITUTE(B33,"/","")))</f>
        <v>8Y</v>
      </c>
      <c r="D33" s="101">
        <f t="shared" si="2"/>
        <v>2</v>
      </c>
      <c r="E33" s="101" t="str">
        <f t="shared" si="3"/>
        <v>Annual</v>
      </c>
      <c r="F33" s="97" t="str">
        <f t="shared" si="7"/>
        <v>Modified Following</v>
      </c>
      <c r="G33" s="100" t="str">
        <f t="shared" si="4"/>
        <v>TRUE</v>
      </c>
      <c r="H33" s="97" t="str">
        <f t="shared" si="5"/>
        <v>30/360 (Bond Basis)</v>
      </c>
      <c r="I33" s="102">
        <v>1.7299999999999998E-3</v>
      </c>
      <c r="J33" s="89" t="str">
        <f>IF(LEFT(A33,1)="D",_xll.qlDepositRateHelper2(,I33,IF(RIGHT(C33,1)="N","1D",C33),D33,Calendar,F33,G33,H33,,Trigger),IF(A33="Sw",_xll.qlSwapRateHelper2(,I33,D33,C33,Calendar,"Annual",F33,H33,"Euribor"&amp;$H$1,0,"0D",Discounting,,,,Trigger),IF(A33="Fr",_xll.qlFraRateHelper(,I33,SUBSTITUTE(LEFT(C33,2),"M","")&amp;"M","Euribor"&amp;$H$1,,,,Trigger),IF(A33="Sf",_xll.qlFuturesRateHelper(,I33,,C33,"Euribor"&amp;$H$1,0,,Trigger),"--"))))</f>
        <v>obj_0004f#0006</v>
      </c>
      <c r="K33" s="98" t="b">
        <f t="shared" si="6"/>
        <v>1</v>
      </c>
      <c r="M33" s="9" t="str">
        <v>Sw</v>
      </c>
      <c r="N33" s="9" t="str">
        <v>8Y</v>
      </c>
      <c r="O33" s="9" t="str">
        <v>obj_0004f#0006</v>
      </c>
      <c r="P33" s="96">
        <f>_xll.qlRateHelperRate(O33,Trigger)</f>
        <v>1.7299999999999998E-3</v>
      </c>
      <c r="Q33" s="10">
        <f>_xll.qlRateHelperEarliestDate(O33,Trigger)</f>
        <v>42502</v>
      </c>
      <c r="R33" s="10">
        <f>_xll.qlRateHelperPillarDate(O33,Trigger)</f>
        <v>45425</v>
      </c>
      <c r="S33" s="96">
        <v>1.7285926017210373E-3</v>
      </c>
    </row>
    <row r="34" spans="1:19" ht="11.25" customHeight="1" x14ac:dyDescent="0.2">
      <c r="A34" s="91" t="str">
        <v>Sw</v>
      </c>
      <c r="B34" s="91" t="str">
        <v>9Y</v>
      </c>
      <c r="C34" s="91" t="str">
        <f>IF(A34="Sf",_xll.qlIMMNextCode(B34,Trigger),IF(LEFT(B34,1)="#",_xll.qlCalendarBusinessDaysBetween(Calendar,Settlementdate,DATE(LEFT(SUBSTITUTE(B34,"#",""),4),LEFT(RIGHT(SUBSTITUTE(B34,"#",""),4),2),RIGHT(SUBSTITUTE(B34,"#",""),2)),,,Trigger)-1&amp;"D",SUBSTITUTE(B34,"/","")))</f>
        <v>9Y</v>
      </c>
      <c r="D34" s="101">
        <f t="shared" si="2"/>
        <v>2</v>
      </c>
      <c r="E34" s="101" t="str">
        <f t="shared" si="3"/>
        <v>Annual</v>
      </c>
      <c r="F34" s="97" t="str">
        <f t="shared" si="7"/>
        <v>Modified Following</v>
      </c>
      <c r="G34" s="100" t="str">
        <f t="shared" si="4"/>
        <v>TRUE</v>
      </c>
      <c r="H34" s="97" t="str">
        <f t="shared" si="5"/>
        <v>30/360 (Bond Basis)</v>
      </c>
      <c r="I34" s="102">
        <v>2.8799999999999997E-3</v>
      </c>
      <c r="J34" s="89" t="str">
        <f>IF(LEFT(A34,1)="D",_xll.qlDepositRateHelper2(,I34,IF(RIGHT(C34,1)="N","1D",C34),D34,Calendar,F34,G34,H34,,Trigger),IF(A34="Sw",_xll.qlSwapRateHelper2(,I34,D34,C34,Calendar,"Annual",F34,H34,"Euribor"&amp;$H$1,0,"0D",Discounting,,,,Trigger),IF(A34="Fr",_xll.qlFraRateHelper(,I34,SUBSTITUTE(LEFT(C34,2),"M","")&amp;"M","Euribor"&amp;$H$1,,,,Trigger),IF(A34="Sf",_xll.qlFuturesRateHelper(,I34,,C34,"Euribor"&amp;$H$1,0,,Trigger),"--"))))</f>
        <v>obj_0005b#0006</v>
      </c>
      <c r="K34" s="98" t="b">
        <f t="shared" si="6"/>
        <v>1</v>
      </c>
      <c r="M34" s="9" t="str">
        <v>Sw</v>
      </c>
      <c r="N34" s="9" t="str">
        <v>9Y</v>
      </c>
      <c r="O34" s="9" t="str">
        <v>obj_0005b#0006</v>
      </c>
      <c r="P34" s="96">
        <f>_xll.qlRateHelperRate(O34,Trigger)</f>
        <v>2.8799999999999997E-3</v>
      </c>
      <c r="Q34" s="10">
        <f>_xll.qlRateHelperEarliestDate(O34,Trigger)</f>
        <v>42502</v>
      </c>
      <c r="R34" s="10">
        <f>_xll.qlRateHelperPillarDate(O34,Trigger)</f>
        <v>45789</v>
      </c>
      <c r="S34" s="96">
        <v>2.8931362202422491E-3</v>
      </c>
    </row>
    <row r="35" spans="1:19" ht="11.25" customHeight="1" x14ac:dyDescent="0.2">
      <c r="A35" s="91" t="str">
        <v>Sw</v>
      </c>
      <c r="B35" s="91" t="str">
        <v>10Y</v>
      </c>
      <c r="C35" s="91" t="str">
        <f>IF(A35="Sf",_xll.qlIMMNextCode(B35,Trigger),IF(LEFT(B35,1)="#",_xll.qlCalendarBusinessDaysBetween(Calendar,Settlementdate,DATE(LEFT(SUBSTITUTE(B35,"#",""),4),LEFT(RIGHT(SUBSTITUTE(B35,"#",""),4),2),RIGHT(SUBSTITUTE(B35,"#",""),2)),,,Trigger)-1&amp;"D",SUBSTITUTE(B35,"/","")))</f>
        <v>10Y</v>
      </c>
      <c r="D35" s="101">
        <f t="shared" si="2"/>
        <v>2</v>
      </c>
      <c r="E35" s="101" t="str">
        <f t="shared" si="3"/>
        <v>Annual</v>
      </c>
      <c r="F35" s="97" t="str">
        <f t="shared" si="7"/>
        <v>Modified Following</v>
      </c>
      <c r="G35" s="100" t="str">
        <f t="shared" si="4"/>
        <v>TRUE</v>
      </c>
      <c r="H35" s="97" t="str">
        <f t="shared" si="5"/>
        <v>30/360 (Bond Basis)</v>
      </c>
      <c r="I35" s="102">
        <v>3.9500000000000004E-3</v>
      </c>
      <c r="J35" s="89" t="str">
        <f>IF(LEFT(A35,1)="D",_xll.qlDepositRateHelper2(,I35,IF(RIGHT(C35,1)="N","1D",C35),D35,Calendar,F35,G35,H35,,Trigger),IF(A35="Sw",_xll.qlSwapRateHelper2(,I35,D35,C35,Calendar,"Annual",F35,H35,"Euribor"&amp;$H$1,0,"0D",Discounting,,,,Trigger),IF(A35="Fr",_xll.qlFraRateHelper(,I35,SUBSTITUTE(LEFT(C35,2),"M","")&amp;"M","Euribor"&amp;$H$1,,,,Trigger),IF(A35="Sf",_xll.qlFuturesRateHelper(,I35,,C35,"Euribor"&amp;$H$1,0,,Trigger),"--"))))</f>
        <v>obj_0006e#0006</v>
      </c>
      <c r="K35" s="98" t="b">
        <f t="shared" si="6"/>
        <v>1</v>
      </c>
      <c r="M35" s="9" t="str">
        <v>Sw</v>
      </c>
      <c r="N35" s="9" t="str">
        <v>10Y</v>
      </c>
      <c r="O35" s="9" t="str">
        <v>obj_0006e#0006</v>
      </c>
      <c r="P35" s="96">
        <f>_xll.qlRateHelperRate(O35,Trigger)</f>
        <v>3.9500000000000004E-3</v>
      </c>
      <c r="Q35" s="10">
        <f>_xll.qlRateHelperEarliestDate(O35,Trigger)</f>
        <v>42502</v>
      </c>
      <c r="R35" s="10">
        <f>_xll.qlRateHelperPillarDate(O35,Trigger)</f>
        <v>46154</v>
      </c>
      <c r="S35" s="96">
        <v>3.9838580717788891E-3</v>
      </c>
    </row>
    <row r="36" spans="1:19" ht="11.25" customHeight="1" x14ac:dyDescent="0.2">
      <c r="A36" s="91" t="str">
        <v>Sw</v>
      </c>
      <c r="B36" s="91" t="str">
        <v>11Y</v>
      </c>
      <c r="C36" s="91" t="str">
        <f>IF(A36="Sf",_xll.qlIMMNextCode(B36,Trigger),IF(LEFT(B36,1)="#",_xll.qlCalendarBusinessDaysBetween(Calendar,Settlementdate,DATE(LEFT(SUBSTITUTE(B36,"#",""),4),LEFT(RIGHT(SUBSTITUTE(B36,"#",""),4),2),RIGHT(SUBSTITUTE(B36,"#",""),2)),,,Trigger)-1&amp;"D",SUBSTITUTE(B36,"/","")))</f>
        <v>11Y</v>
      </c>
      <c r="D36" s="101">
        <f t="shared" si="2"/>
        <v>2</v>
      </c>
      <c r="E36" s="101" t="str">
        <f t="shared" si="3"/>
        <v>Annual</v>
      </c>
      <c r="F36" s="97" t="str">
        <f t="shared" si="7"/>
        <v>Modified Following</v>
      </c>
      <c r="G36" s="100" t="str">
        <f t="shared" si="4"/>
        <v>TRUE</v>
      </c>
      <c r="H36" s="97" t="str">
        <f t="shared" si="5"/>
        <v>30/360 (Bond Basis)</v>
      </c>
      <c r="I36" s="102">
        <v>4.9281857400000004E-3</v>
      </c>
      <c r="J36" s="89" t="str">
        <f>IF(LEFT(A36,1)="D",_xll.qlDepositRateHelper2(,I36,IF(RIGHT(C36,1)="N","1D",C36),D36,Calendar,F36,G36,H36,,Trigger),IF(A36="Sw",_xll.qlSwapRateHelper2(,I36,D36,C36,Calendar,"Annual",F36,H36,"Euribor"&amp;$H$1,0,"0D",Discounting,,,,Trigger),IF(A36="Fr",_xll.qlFraRateHelper(,I36,SUBSTITUTE(LEFT(C36,2),"M","")&amp;"M","Euribor"&amp;$H$1,,,,Trigger),IF(A36="Sf",_xll.qlFuturesRateHelper(,I36,,C36,"Euribor"&amp;$H$1,0,,Trigger),"--"))))</f>
        <v>obj_0007d#0006</v>
      </c>
      <c r="K36" s="98" t="b">
        <f t="shared" si="6"/>
        <v>1</v>
      </c>
      <c r="M36" s="9" t="str">
        <v>Sw</v>
      </c>
      <c r="N36" s="9" t="str">
        <v>11Y</v>
      </c>
      <c r="O36" s="9" t="str">
        <v>obj_0007d#0006</v>
      </c>
      <c r="P36" s="96">
        <f>_xll.qlRateHelperRate(O36,Trigger)</f>
        <v>4.9281857400000004E-3</v>
      </c>
      <c r="Q36" s="10">
        <f>_xll.qlRateHelperEarliestDate(O36,Trigger)</f>
        <v>42502</v>
      </c>
      <c r="R36" s="10">
        <f>_xll.qlRateHelperPillarDate(O36,Trigger)</f>
        <v>46519</v>
      </c>
      <c r="S36" s="96">
        <v>4.9879270722495593E-3</v>
      </c>
    </row>
    <row r="37" spans="1:19" ht="11.25" customHeight="1" x14ac:dyDescent="0.2">
      <c r="A37" s="91" t="str">
        <v>Sw</v>
      </c>
      <c r="B37" s="91" t="str">
        <v>12Y</v>
      </c>
      <c r="C37" s="91" t="str">
        <f>IF(A37="Sf",_xll.qlIMMNextCode(B37,Trigger),IF(LEFT(B37,1)="#",_xll.qlCalendarBusinessDaysBetween(Calendar,Settlementdate,DATE(LEFT(SUBSTITUTE(B37,"#",""),4),LEFT(RIGHT(SUBSTITUTE(B37,"#",""),4),2),RIGHT(SUBSTITUTE(B37,"#",""),2)),,,Trigger)-1&amp;"D",SUBSTITUTE(B37,"/","")))</f>
        <v>12Y</v>
      </c>
      <c r="D37" s="101">
        <f t="shared" si="2"/>
        <v>2</v>
      </c>
      <c r="E37" s="101" t="str">
        <f t="shared" si="3"/>
        <v>Annual</v>
      </c>
      <c r="F37" s="97" t="str">
        <f t="shared" si="7"/>
        <v>Modified Following</v>
      </c>
      <c r="G37" s="100" t="str">
        <f t="shared" si="4"/>
        <v>TRUE</v>
      </c>
      <c r="H37" s="97" t="str">
        <f t="shared" si="5"/>
        <v>30/360 (Bond Basis)</v>
      </c>
      <c r="I37" s="102">
        <v>5.8099999999999992E-3</v>
      </c>
      <c r="J37" s="89" t="str">
        <f>IF(LEFT(A37,1)="D",_xll.qlDepositRateHelper2(,I37,IF(RIGHT(C37,1)="N","1D",C37),D37,Calendar,F37,G37,H37,,Trigger),IF(A37="Sw",_xll.qlSwapRateHelper2(,I37,D37,C37,Calendar,"Annual",F37,H37,"Euribor"&amp;$H$1,0,"0D",Discounting,,,,Trigger),IF(A37="Fr",_xll.qlFraRateHelper(,I37,SUBSTITUTE(LEFT(C37,2),"M","")&amp;"M","Euribor"&amp;$H$1,,,,Trigger),IF(A37="Sf",_xll.qlFuturesRateHelper(,I37,,C37,"Euribor"&amp;$H$1,0,,Trigger),"--"))))</f>
        <v>obj_00073#0006</v>
      </c>
      <c r="K37" s="98" t="b">
        <f t="shared" si="6"/>
        <v>1</v>
      </c>
      <c r="M37" s="9" t="str">
        <v>Sw</v>
      </c>
      <c r="N37" s="9" t="str">
        <v>12Y</v>
      </c>
      <c r="O37" s="9" t="str">
        <v>obj_00073#0006</v>
      </c>
      <c r="P37" s="96">
        <f>_xll.qlRateHelperRate(O37,Trigger)</f>
        <v>5.8099999999999992E-3</v>
      </c>
      <c r="Q37" s="10">
        <f>_xll.qlRateHelperEarliestDate(O37,Trigger)</f>
        <v>42502</v>
      </c>
      <c r="R37" s="10">
        <f>_xll.qlRateHelperPillarDate(O37,Trigger)</f>
        <v>46885</v>
      </c>
      <c r="S37" s="96">
        <v>5.8980004045193482E-3</v>
      </c>
    </row>
    <row r="38" spans="1:19" ht="11.25" customHeight="1" x14ac:dyDescent="0.2">
      <c r="A38" s="91" t="str">
        <v>Sw</v>
      </c>
      <c r="B38" s="91" t="str">
        <v>13Y</v>
      </c>
      <c r="C38" s="91" t="str">
        <f>IF(A38="Sf",_xll.qlIMMNextCode(B38,Trigger),IF(LEFT(B38,1)="#",_xll.qlCalendarBusinessDaysBetween(Calendar,Settlementdate,DATE(LEFT(SUBSTITUTE(B38,"#",""),4),LEFT(RIGHT(SUBSTITUTE(B38,"#",""),4),2),RIGHT(SUBSTITUTE(B38,"#",""),2)),,,Trigger)-1&amp;"D",SUBSTITUTE(B38,"/","")))</f>
        <v>13Y</v>
      </c>
      <c r="D38" s="101">
        <f t="shared" si="2"/>
        <v>2</v>
      </c>
      <c r="E38" s="101" t="str">
        <f t="shared" si="3"/>
        <v>Annual</v>
      </c>
      <c r="F38" s="97" t="str">
        <f t="shared" si="7"/>
        <v>Modified Following</v>
      </c>
      <c r="G38" s="100" t="str">
        <f t="shared" si="4"/>
        <v>TRUE</v>
      </c>
      <c r="H38" s="97" t="str">
        <f t="shared" si="5"/>
        <v>30/360 (Bond Basis)</v>
      </c>
      <c r="I38" s="102">
        <v>6.58493459E-3</v>
      </c>
      <c r="J38" s="89" t="str">
        <f>IF(LEFT(A38,1)="D",_xll.qlDepositRateHelper2(,I38,IF(RIGHT(C38,1)="N","1D",C38),D38,Calendar,F38,G38,H38,,Trigger),IF(A38="Sw",_xll.qlSwapRateHelper2(,I38,D38,C38,Calendar,"Annual",F38,H38,"Euribor"&amp;$H$1,0,"0D",Discounting,,,,Trigger),IF(A38="Fr",_xll.qlFraRateHelper(,I38,SUBSTITUTE(LEFT(C38,2),"M","")&amp;"M","Euribor"&amp;$H$1,,,,Trigger),IF(A38="Sf",_xll.qlFuturesRateHelper(,I38,,C38,"Euribor"&amp;$H$1,0,,Trigger),"--"))))</f>
        <v>obj_0004e#0006</v>
      </c>
      <c r="K38" s="98" t="b">
        <f t="shared" si="6"/>
        <v>1</v>
      </c>
      <c r="M38" s="9" t="str">
        <v>Sw</v>
      </c>
      <c r="N38" s="9" t="str">
        <v>13Y</v>
      </c>
      <c r="O38" s="9" t="str">
        <v>obj_0004e#0006</v>
      </c>
      <c r="P38" s="96">
        <f>_xll.qlRateHelperRate(O38,Trigger)</f>
        <v>6.58493459E-3</v>
      </c>
      <c r="Q38" s="10">
        <f>_xll.qlRateHelperEarliestDate(O38,Trigger)</f>
        <v>42502</v>
      </c>
      <c r="R38" s="10">
        <f>_xll.qlRateHelperPillarDate(O38,Trigger)</f>
        <v>47252</v>
      </c>
      <c r="S38" s="96">
        <v>6.7038956829507165E-3</v>
      </c>
    </row>
    <row r="39" spans="1:19" ht="11.25" customHeight="1" x14ac:dyDescent="0.2">
      <c r="A39" s="91" t="str">
        <v>Sw</v>
      </c>
      <c r="B39" s="91" t="str">
        <v>14Y</v>
      </c>
      <c r="C39" s="91" t="str">
        <f>IF(A39="Sf",_xll.qlIMMNextCode(B39,Trigger),IF(LEFT(B39,1)="#",_xll.qlCalendarBusinessDaysBetween(Calendar,Settlementdate,DATE(LEFT(SUBSTITUTE(B39,"#",""),4),LEFT(RIGHT(SUBSTITUTE(B39,"#",""),4),2),RIGHT(SUBSTITUTE(B39,"#",""),2)),,,Trigger)-1&amp;"D",SUBSTITUTE(B39,"/","")))</f>
        <v>14Y</v>
      </c>
      <c r="D39" s="101">
        <f t="shared" si="2"/>
        <v>2</v>
      </c>
      <c r="E39" s="101" t="str">
        <f t="shared" si="3"/>
        <v>Annual</v>
      </c>
      <c r="F39" s="97" t="str">
        <f t="shared" si="7"/>
        <v>Modified Following</v>
      </c>
      <c r="G39" s="100" t="str">
        <f t="shared" si="4"/>
        <v>TRUE</v>
      </c>
      <c r="H39" s="97" t="str">
        <f t="shared" si="5"/>
        <v>30/360 (Bond Basis)</v>
      </c>
      <c r="I39" s="102">
        <v>7.2606599400000006E-3</v>
      </c>
      <c r="J39" s="89" t="str">
        <f>IF(LEFT(A39,1)="D",_xll.qlDepositRateHelper2(,I39,IF(RIGHT(C39,1)="N","1D",C39),D39,Calendar,F39,G39,H39,,Trigger),IF(A39="Sw",_xll.qlSwapRateHelper2(,I39,D39,C39,Calendar,"Annual",F39,H39,"Euribor"&amp;$H$1,0,"0D",Discounting,,,,Trigger),IF(A39="Fr",_xll.qlFraRateHelper(,I39,SUBSTITUTE(LEFT(C39,2),"M","")&amp;"M","Euribor"&amp;$H$1,,,,Trigger),IF(A39="Sf",_xll.qlFuturesRateHelper(,I39,,C39,"Euribor"&amp;$H$1,0,,Trigger),"--"))))</f>
        <v>obj_0004d#0006</v>
      </c>
      <c r="K39" s="98" t="b">
        <f t="shared" si="6"/>
        <v>1</v>
      </c>
      <c r="M39" s="9" t="str">
        <v>Sw</v>
      </c>
      <c r="N39" s="9" t="str">
        <v>14Y</v>
      </c>
      <c r="O39" s="9" t="str">
        <v>obj_0004d#0006</v>
      </c>
      <c r="P39" s="96">
        <f>_xll.qlRateHelperRate(O39,Trigger)</f>
        <v>7.2606599400000006E-3</v>
      </c>
      <c r="Q39" s="10">
        <f>_xll.qlRateHelperEarliestDate(O39,Trigger)</f>
        <v>42502</v>
      </c>
      <c r="R39" s="10">
        <f>_xll.qlRateHelperPillarDate(O39,Trigger)</f>
        <v>47616</v>
      </c>
      <c r="S39" s="96">
        <v>7.4107313200618774E-3</v>
      </c>
    </row>
    <row r="40" spans="1:19" ht="11.25" customHeight="1" x14ac:dyDescent="0.2">
      <c r="A40" s="91" t="str">
        <v>Sw</v>
      </c>
      <c r="B40" s="91" t="str">
        <v>15Y</v>
      </c>
      <c r="C40" s="91" t="str">
        <f>IF(A40="Sf",_xll.qlIMMNextCode(B40,Trigger),IF(LEFT(B40,1)="#",_xll.qlCalendarBusinessDaysBetween(Calendar,Settlementdate,DATE(LEFT(SUBSTITUTE(B40,"#",""),4),LEFT(RIGHT(SUBSTITUTE(B40,"#",""),4),2),RIGHT(SUBSTITUTE(B40,"#",""),2)),,,Trigger)-1&amp;"D",SUBSTITUTE(B40,"/","")))</f>
        <v>15Y</v>
      </c>
      <c r="D40" s="101">
        <f t="shared" si="2"/>
        <v>2</v>
      </c>
      <c r="E40" s="101" t="str">
        <f t="shared" si="3"/>
        <v>Annual</v>
      </c>
      <c r="F40" s="97" t="str">
        <f t="shared" si="7"/>
        <v>Modified Following</v>
      </c>
      <c r="G40" s="100" t="str">
        <f t="shared" si="4"/>
        <v>TRUE</v>
      </c>
      <c r="H40" s="97" t="str">
        <f t="shared" si="5"/>
        <v>30/360 (Bond Basis)</v>
      </c>
      <c r="I40" s="102">
        <v>7.8300000000000002E-3</v>
      </c>
      <c r="J40" s="89" t="str">
        <f>IF(LEFT(A40,1)="D",_xll.qlDepositRateHelper2(,I40,IF(RIGHT(C40,1)="N","1D",C40),D40,Calendar,F40,G40,H40,,Trigger),IF(A40="Sw",_xll.qlSwapRateHelper2(,I40,D40,C40,Calendar,"Annual",F40,H40,"Euribor"&amp;$H$1,0,"0D",Discounting,,,,Trigger),IF(A40="Fr",_xll.qlFraRateHelper(,I40,SUBSTITUTE(LEFT(C40,2),"M","")&amp;"M","Euribor"&amp;$H$1,,,,Trigger),IF(A40="Sf",_xll.qlFuturesRateHelper(,I40,,C40,"Euribor"&amp;$H$1,0,,Trigger),"--"))))</f>
        <v>obj_0006b#0006</v>
      </c>
      <c r="K40" s="98" t="b">
        <f t="shared" si="6"/>
        <v>1</v>
      </c>
      <c r="M40" s="9" t="str">
        <v>Sw</v>
      </c>
      <c r="N40" s="9" t="str">
        <v>15Y</v>
      </c>
      <c r="O40" s="9" t="str">
        <v>obj_0006b#0006</v>
      </c>
      <c r="P40" s="96">
        <f>_xll.qlRateHelperRate(O40,Trigger)</f>
        <v>7.8300000000000002E-3</v>
      </c>
      <c r="Q40" s="10">
        <f>_xll.qlRateHelperEarliestDate(O40,Trigger)</f>
        <v>42502</v>
      </c>
      <c r="R40" s="10">
        <f>_xll.qlRateHelperPillarDate(O40,Trigger)</f>
        <v>47980</v>
      </c>
      <c r="S40" s="96">
        <v>8.0089373269120034E-3</v>
      </c>
    </row>
    <row r="41" spans="1:19" ht="11.25" customHeight="1" x14ac:dyDescent="0.2">
      <c r="A41" s="91" t="str">
        <v>Sw</v>
      </c>
      <c r="B41" s="91" t="str">
        <v>16Y</v>
      </c>
      <c r="C41" s="91" t="str">
        <f>IF(A41="Sf",_xll.qlIMMNextCode(B41,Trigger),IF(LEFT(B41,1)="#",_xll.qlCalendarBusinessDaysBetween(Calendar,Settlementdate,DATE(LEFT(SUBSTITUTE(B41,"#",""),4),LEFT(RIGHT(SUBSTITUTE(B41,"#",""),4),2),RIGHT(SUBSTITUTE(B41,"#",""),2)),,,Trigger)-1&amp;"D",SUBSTITUTE(B41,"/","")))</f>
        <v>16Y</v>
      </c>
      <c r="D41" s="101">
        <f t="shared" si="2"/>
        <v>2</v>
      </c>
      <c r="E41" s="101" t="str">
        <f t="shared" si="3"/>
        <v>Annual</v>
      </c>
      <c r="F41" s="97" t="str">
        <f t="shared" si="7"/>
        <v>Modified Following</v>
      </c>
      <c r="G41" s="100" t="str">
        <f t="shared" si="4"/>
        <v>TRUE</v>
      </c>
      <c r="H41" s="97" t="str">
        <f t="shared" si="5"/>
        <v>30/360 (Bond Basis)</v>
      </c>
      <c r="I41" s="102">
        <v>8.3048275499999994E-3</v>
      </c>
      <c r="J41" s="89" t="str">
        <f>IF(LEFT(A41,1)="D",_xll.qlDepositRateHelper2(,I41,IF(RIGHT(C41,1)="N","1D",C41),D41,Calendar,F41,G41,H41,,Trigger),IF(A41="Sw",_xll.qlSwapRateHelper2(,I41,D41,C41,Calendar,"Annual",F41,H41,"Euribor"&amp;$H$1,0,"0D",Discounting,,,,Trigger),IF(A41="Fr",_xll.qlFraRateHelper(,I41,SUBSTITUTE(LEFT(C41,2),"M","")&amp;"M","Euribor"&amp;$H$1,,,,Trigger),IF(A41="Sf",_xll.qlFuturesRateHelper(,I41,,C41,"Euribor"&amp;$H$1,0,,Trigger),"--"))))</f>
        <v>obj_00081#0006</v>
      </c>
      <c r="K41" s="98" t="b">
        <f t="shared" si="6"/>
        <v>1</v>
      </c>
      <c r="M41" s="9" t="str">
        <v>Sw</v>
      </c>
      <c r="N41" s="9" t="str">
        <v>16Y</v>
      </c>
      <c r="O41" s="9" t="str">
        <v>obj_00081#0006</v>
      </c>
      <c r="P41" s="96">
        <f>_xll.qlRateHelperRate(O41,Trigger)</f>
        <v>8.3048275499999994E-3</v>
      </c>
      <c r="Q41" s="10">
        <f>_xll.qlRateHelperEarliestDate(O41,Trigger)</f>
        <v>42502</v>
      </c>
      <c r="R41" s="10">
        <f>_xll.qlRateHelperPillarDate(O41,Trigger)</f>
        <v>48346</v>
      </c>
      <c r="S41" s="96">
        <v>8.5079001849788262E-3</v>
      </c>
    </row>
    <row r="42" spans="1:19" ht="11.25" customHeight="1" x14ac:dyDescent="0.2">
      <c r="A42" s="91" t="str">
        <v>Sw</v>
      </c>
      <c r="B42" s="91" t="str">
        <v>17Y</v>
      </c>
      <c r="C42" s="91" t="str">
        <f>IF(A42="Sf",_xll.qlIMMNextCode(B42,Trigger),IF(LEFT(B42,1)="#",_xll.qlCalendarBusinessDaysBetween(Calendar,Settlementdate,DATE(LEFT(SUBSTITUTE(B42,"#",""),4),LEFT(RIGHT(SUBSTITUTE(B42,"#",""),4),2),RIGHT(SUBSTITUTE(B42,"#",""),2)),,,Trigger)-1&amp;"D",SUBSTITUTE(B42,"/","")))</f>
        <v>17Y</v>
      </c>
      <c r="D42" s="101">
        <f t="shared" si="2"/>
        <v>2</v>
      </c>
      <c r="E42" s="101" t="str">
        <f t="shared" si="3"/>
        <v>Annual</v>
      </c>
      <c r="F42" s="97" t="str">
        <f t="shared" si="7"/>
        <v>Modified Following</v>
      </c>
      <c r="G42" s="100" t="str">
        <f t="shared" si="4"/>
        <v>TRUE</v>
      </c>
      <c r="H42" s="97" t="str">
        <f t="shared" si="5"/>
        <v>30/360 (Bond Basis)</v>
      </c>
      <c r="I42" s="102">
        <v>8.6918320900000005E-3</v>
      </c>
      <c r="J42" s="89" t="str">
        <f>IF(LEFT(A42,1)="D",_xll.qlDepositRateHelper2(,I42,IF(RIGHT(C42,1)="N","1D",C42),D42,Calendar,F42,G42,H42,,Trigger),IF(A42="Sw",_xll.qlSwapRateHelper2(,I42,D42,C42,Calendar,"Annual",F42,H42,"Euribor"&amp;$H$1,0,"0D",Discounting,,,,Trigger),IF(A42="Fr",_xll.qlFraRateHelper(,I42,SUBSTITUTE(LEFT(C42,2),"M","")&amp;"M","Euribor"&amp;$H$1,,,,Trigger),IF(A42="Sf",_xll.qlFuturesRateHelper(,I42,,C42,"Euribor"&amp;$H$1,0,,Trigger),"--"))))</f>
        <v>obj_0006c#0006</v>
      </c>
      <c r="K42" s="98" t="b">
        <f t="shared" si="6"/>
        <v>1</v>
      </c>
      <c r="M42" s="9" t="str">
        <v>Sw</v>
      </c>
      <c r="N42" s="9" t="str">
        <v>17Y</v>
      </c>
      <c r="O42" s="9" t="str">
        <v>obj_0006c#0006</v>
      </c>
      <c r="P42" s="96">
        <f>_xll.qlRateHelperRate(O42,Trigger)</f>
        <v>8.6918320900000005E-3</v>
      </c>
      <c r="Q42" s="10">
        <f>_xll.qlRateHelperEarliestDate(O42,Trigger)</f>
        <v>42502</v>
      </c>
      <c r="R42" s="10">
        <f>_xll.qlRateHelperPillarDate(O42,Trigger)</f>
        <v>48711</v>
      </c>
      <c r="S42" s="96">
        <v>8.9161819619311463E-3</v>
      </c>
    </row>
    <row r="43" spans="1:19" ht="11.25" customHeight="1" x14ac:dyDescent="0.2">
      <c r="A43" s="91" t="str">
        <v>Sw</v>
      </c>
      <c r="B43" s="91" t="str">
        <v>18Y</v>
      </c>
      <c r="C43" s="91" t="str">
        <f>IF(A43="Sf",_xll.qlIMMNextCode(B43,Trigger),IF(LEFT(B43,1)="#",_xll.qlCalendarBusinessDaysBetween(Calendar,Settlementdate,DATE(LEFT(SUBSTITUTE(B43,"#",""),4),LEFT(RIGHT(SUBSTITUTE(B43,"#",""),4),2),RIGHT(SUBSTITUTE(B43,"#",""),2)),,,Trigger)-1&amp;"D",SUBSTITUTE(B43,"/","")))</f>
        <v>18Y</v>
      </c>
      <c r="D43" s="101">
        <f t="shared" si="2"/>
        <v>2</v>
      </c>
      <c r="E43" s="101" t="str">
        <f t="shared" si="3"/>
        <v>Annual</v>
      </c>
      <c r="F43" s="97" t="str">
        <f t="shared" si="7"/>
        <v>Modified Following</v>
      </c>
      <c r="G43" s="100" t="str">
        <f t="shared" si="4"/>
        <v>TRUE</v>
      </c>
      <c r="H43" s="97" t="str">
        <f t="shared" si="5"/>
        <v>30/360 (Bond Basis)</v>
      </c>
      <c r="I43" s="102">
        <v>9.0049142400000001E-3</v>
      </c>
      <c r="J43" s="89" t="str">
        <f>IF(LEFT(A43,1)="D",_xll.qlDepositRateHelper2(,I43,IF(RIGHT(C43,1)="N","1D",C43),D43,Calendar,F43,G43,H43,,Trigger),IF(A43="Sw",_xll.qlSwapRateHelper2(,I43,D43,C43,Calendar,"Annual",F43,H43,"Euribor"&amp;$H$1,0,"0D",Discounting,,,,Trigger),IF(A43="Fr",_xll.qlFraRateHelper(,I43,SUBSTITUTE(LEFT(C43,2),"M","")&amp;"M","Euribor"&amp;$H$1,,,,Trigger),IF(A43="Sf",_xll.qlFuturesRateHelper(,I43,,C43,"Euribor"&amp;$H$1,0,,Trigger),"--"))))</f>
        <v>obj_00074#0006</v>
      </c>
      <c r="K43" s="98" t="b">
        <f t="shared" si="6"/>
        <v>1</v>
      </c>
      <c r="M43" s="9" t="str">
        <v>Sw</v>
      </c>
      <c r="N43" s="9" t="str">
        <v>18Y</v>
      </c>
      <c r="O43" s="9" t="str">
        <v>obj_00074#0006</v>
      </c>
      <c r="P43" s="96">
        <f>_xll.qlRateHelperRate(O43,Trigger)</f>
        <v>9.0049142400000001E-3</v>
      </c>
      <c r="Q43" s="10">
        <f>_xll.qlRateHelperEarliestDate(O43,Trigger)</f>
        <v>42502</v>
      </c>
      <c r="R43" s="10">
        <f>_xll.qlRateHelperPillarDate(O43,Trigger)</f>
        <v>49076</v>
      </c>
      <c r="S43" s="96">
        <v>9.2461283784837419E-3</v>
      </c>
    </row>
    <row r="44" spans="1:19" ht="11.25" customHeight="1" x14ac:dyDescent="0.2">
      <c r="A44" s="91" t="str">
        <v>Sw</v>
      </c>
      <c r="B44" s="91" t="str">
        <v>19Y</v>
      </c>
      <c r="C44" s="91" t="str">
        <f>IF(A44="Sf",_xll.qlIMMNextCode(B44,Trigger),IF(LEFT(B44,1)="#",_xll.qlCalendarBusinessDaysBetween(Calendar,Settlementdate,DATE(LEFT(SUBSTITUTE(B44,"#",""),4),LEFT(RIGHT(SUBSTITUTE(B44,"#",""),4),2),RIGHT(SUBSTITUTE(B44,"#",""),2)),,,Trigger)-1&amp;"D",SUBSTITUTE(B44,"/","")))</f>
        <v>19Y</v>
      </c>
      <c r="D44" s="101">
        <f t="shared" si="2"/>
        <v>2</v>
      </c>
      <c r="E44" s="101" t="str">
        <f t="shared" si="3"/>
        <v>Annual</v>
      </c>
      <c r="F44" s="97" t="str">
        <f t="shared" si="7"/>
        <v>Modified Following</v>
      </c>
      <c r="G44" s="100" t="str">
        <f t="shared" si="4"/>
        <v>TRUE</v>
      </c>
      <c r="H44" s="97" t="str">
        <f t="shared" si="5"/>
        <v>30/360 (Bond Basis)</v>
      </c>
      <c r="I44" s="102">
        <v>9.2562932599999995E-3</v>
      </c>
      <c r="J44" s="89" t="str">
        <f>IF(LEFT(A44,1)="D",_xll.qlDepositRateHelper2(,I44,IF(RIGHT(C44,1)="N","1D",C44),D44,Calendar,F44,G44,H44,,Trigger),IF(A44="Sw",_xll.qlSwapRateHelper2(,I44,D44,C44,Calendar,"Annual",F44,H44,"Euribor"&amp;$H$1,0,"0D",Discounting,,,,Trigger),IF(A44="Fr",_xll.qlFraRateHelper(,I44,SUBSTITUTE(LEFT(C44,2),"M","")&amp;"M","Euribor"&amp;$H$1,,,,Trigger),IF(A44="Sf",_xll.qlFuturesRateHelper(,I44,,C44,"Euribor"&amp;$H$1,0,,Trigger),"--"))))</f>
        <v>obj_00076#0006</v>
      </c>
      <c r="K44" s="98" t="b">
        <f t="shared" si="6"/>
        <v>1</v>
      </c>
      <c r="M44" s="9" t="str">
        <v>Sw</v>
      </c>
      <c r="N44" s="9" t="str">
        <v>19Y</v>
      </c>
      <c r="O44" s="9" t="str">
        <v>obj_00076#0006</v>
      </c>
      <c r="P44" s="96">
        <f>_xll.qlRateHelperRate(O44,Trigger)</f>
        <v>9.2562932599999995E-3</v>
      </c>
      <c r="Q44" s="10">
        <f>_xll.qlRateHelperEarliestDate(O44,Trigger)</f>
        <v>42502</v>
      </c>
      <c r="R44" s="10">
        <f>_xll.qlRateHelperPillarDate(O44,Trigger)</f>
        <v>49443</v>
      </c>
      <c r="S44" s="96">
        <v>9.5100594434283457E-3</v>
      </c>
    </row>
    <row r="45" spans="1:19" ht="11.25" customHeight="1" x14ac:dyDescent="0.2">
      <c r="A45" s="91" t="str">
        <v>Sw</v>
      </c>
      <c r="B45" s="91" t="str">
        <v>20Y</v>
      </c>
      <c r="C45" s="91" t="str">
        <f>IF(A45="Sf",_xll.qlIMMNextCode(B45,Trigger),IF(LEFT(B45,1)="#",_xll.qlCalendarBusinessDaysBetween(Calendar,Settlementdate,DATE(LEFT(SUBSTITUTE(B45,"#",""),4),LEFT(RIGHT(SUBSTITUTE(B45,"#",""),4),2),RIGHT(SUBSTITUTE(B45,"#",""),2)),,,Trigger)-1&amp;"D",SUBSTITUTE(B45,"/","")))</f>
        <v>20Y</v>
      </c>
      <c r="D45" s="101">
        <f t="shared" si="2"/>
        <v>2</v>
      </c>
      <c r="E45" s="101" t="str">
        <f t="shared" si="3"/>
        <v>Annual</v>
      </c>
      <c r="F45" s="97" t="str">
        <f t="shared" si="7"/>
        <v>Modified Following</v>
      </c>
      <c r="G45" s="100" t="str">
        <f t="shared" si="4"/>
        <v>TRUE</v>
      </c>
      <c r="H45" s="97" t="str">
        <f t="shared" si="5"/>
        <v>30/360 (Bond Basis)</v>
      </c>
      <c r="I45" s="102">
        <v>9.4599999999999997E-3</v>
      </c>
      <c r="J45" s="89" t="str">
        <f>IF(LEFT(A45,1)="D",_xll.qlDepositRateHelper2(,I45,IF(RIGHT(C45,1)="N","1D",C45),D45,Calendar,F45,G45,H45,,Trigger),IF(A45="Sw",_xll.qlSwapRateHelper2(,I45,D45,C45,Calendar,"Annual",F45,H45,"Euribor"&amp;$H$1,0,"0D",Discounting,,,,Trigger),IF(A45="Fr",_xll.qlFraRateHelper(,I45,SUBSTITUTE(LEFT(C45,2),"M","")&amp;"M","Euribor"&amp;$H$1,,,,Trigger),IF(A45="Sf",_xll.qlFuturesRateHelper(,I45,,C45,"Euribor"&amp;$H$1,0,,Trigger),"--"))))</f>
        <v>obj_00071#0006</v>
      </c>
      <c r="K45" s="98" t="b">
        <f t="shared" si="6"/>
        <v>1</v>
      </c>
      <c r="M45" s="9" t="str">
        <v>Sw</v>
      </c>
      <c r="N45" s="9" t="str">
        <v>20Y</v>
      </c>
      <c r="O45" s="9" t="str">
        <v>obj_00071#0006</v>
      </c>
      <c r="P45" s="96">
        <f>_xll.qlRateHelperRate(O45,Trigger)</f>
        <v>9.4599999999999997E-3</v>
      </c>
      <c r="Q45" s="10">
        <f>_xll.qlRateHelperEarliestDate(O45,Trigger)</f>
        <v>42502</v>
      </c>
      <c r="R45" s="10">
        <f>_xll.qlRateHelperPillarDate(O45,Trigger)</f>
        <v>49807</v>
      </c>
      <c r="S45" s="96">
        <v>9.7216081113944072E-3</v>
      </c>
    </row>
    <row r="46" spans="1:19" ht="11.25" customHeight="1" x14ac:dyDescent="0.2">
      <c r="A46" s="91" t="str">
        <v>Sw</v>
      </c>
      <c r="B46" s="91" t="str">
        <v>21Y</v>
      </c>
      <c r="C46" s="91" t="str">
        <f>IF(A46="Sf",_xll.qlIMMNextCode(B46,Trigger),IF(LEFT(B46,1)="#",_xll.qlCalendarBusinessDaysBetween(Calendar,Settlementdate,DATE(LEFT(SUBSTITUTE(B46,"#",""),4),LEFT(RIGHT(SUBSTITUTE(B46,"#",""),4),2),RIGHT(SUBSTITUTE(B46,"#",""),2)),,,Trigger)-1&amp;"D",SUBSTITUTE(B46,"/","")))</f>
        <v>21Y</v>
      </c>
      <c r="D46" s="101">
        <f t="shared" si="2"/>
        <v>2</v>
      </c>
      <c r="E46" s="101" t="str">
        <f t="shared" si="3"/>
        <v>Annual</v>
      </c>
      <c r="F46" s="97" t="str">
        <f t="shared" si="7"/>
        <v>Modified Following</v>
      </c>
      <c r="G46" s="100" t="str">
        <f t="shared" si="4"/>
        <v>TRUE</v>
      </c>
      <c r="H46" s="97" t="str">
        <f t="shared" si="5"/>
        <v>30/360 (Bond Basis)</v>
      </c>
      <c r="I46" s="102">
        <v>9.6228138399999993E-3</v>
      </c>
      <c r="J46" s="89" t="str">
        <f>IF(LEFT(A46,1)="D",_xll.qlDepositRateHelper2(,I46,IF(RIGHT(C46,1)="N","1D",C46),D46,Calendar,F46,G46,H46,,Trigger),IF(A46="Sw",_xll.qlSwapRateHelper2(,I46,D46,C46,Calendar,"Annual",F46,H46,"Euribor"&amp;$H$1,0,"0D",Discounting,,,,Trigger),IF(A46="Fr",_xll.qlFraRateHelper(,I46,SUBSTITUTE(LEFT(C46,2),"M","")&amp;"M","Euribor"&amp;$H$1,,,,Trigger),IF(A46="Sf",_xll.qlFuturesRateHelper(,I46,,C46,"Euribor"&amp;$H$1,0,,Trigger),"--"))))</f>
        <v>obj_00059#0006</v>
      </c>
      <c r="K46" s="98" t="b">
        <f t="shared" si="6"/>
        <v>1</v>
      </c>
      <c r="M46" s="9" t="str">
        <v>Sw</v>
      </c>
      <c r="N46" s="9" t="str">
        <v>21Y</v>
      </c>
      <c r="O46" s="9" t="str">
        <v>obj_00059#0006</v>
      </c>
      <c r="P46" s="96">
        <f>_xll.qlRateHelperRate(O46,Trigger)</f>
        <v>9.6228138399999993E-3</v>
      </c>
      <c r="Q46" s="10">
        <f>_xll.qlRateHelperEarliestDate(O46,Trigger)</f>
        <v>42502</v>
      </c>
      <c r="R46" s="10">
        <f>_xll.qlRateHelperPillarDate(O46,Trigger)</f>
        <v>50172</v>
      </c>
      <c r="S46" s="96">
        <v>9.8902343166039682E-3</v>
      </c>
    </row>
    <row r="47" spans="1:19" ht="11.25" customHeight="1" x14ac:dyDescent="0.2">
      <c r="A47" s="91" t="str">
        <v>Sw</v>
      </c>
      <c r="B47" s="91" t="str">
        <v>22Y</v>
      </c>
      <c r="C47" s="91" t="str">
        <f>IF(A47="Sf",_xll.qlIMMNextCode(B47,Trigger),IF(LEFT(B47,1)="#",_xll.qlCalendarBusinessDaysBetween(Calendar,Settlementdate,DATE(LEFT(SUBSTITUTE(B47,"#",""),4),LEFT(RIGHT(SUBSTITUTE(B47,"#",""),4),2),RIGHT(SUBSTITUTE(B47,"#",""),2)),,,Trigger)-1&amp;"D",SUBSTITUTE(B47,"/","")))</f>
        <v>22Y</v>
      </c>
      <c r="D47" s="101">
        <f t="shared" si="2"/>
        <v>2</v>
      </c>
      <c r="E47" s="101" t="str">
        <f t="shared" si="3"/>
        <v>Annual</v>
      </c>
      <c r="F47" s="97" t="str">
        <f t="shared" si="7"/>
        <v>Modified Following</v>
      </c>
      <c r="G47" s="100" t="str">
        <f t="shared" si="4"/>
        <v>TRUE</v>
      </c>
      <c r="H47" s="97" t="str">
        <f t="shared" si="5"/>
        <v>30/360 (Bond Basis)</v>
      </c>
      <c r="I47" s="102">
        <v>9.7537130400000005E-3</v>
      </c>
      <c r="J47" s="89" t="str">
        <f>IF(LEFT(A47,1)="D",_xll.qlDepositRateHelper2(,I47,IF(RIGHT(C47,1)="N","1D",C47),D47,Calendar,F47,G47,H47,,Trigger),IF(A47="Sw",_xll.qlSwapRateHelper2(,I47,D47,C47,Calendar,"Annual",F47,H47,"Euribor"&amp;$H$1,0,"0D",Discounting,,,,Trigger),IF(A47="Fr",_xll.qlFraRateHelper(,I47,SUBSTITUTE(LEFT(C47,2),"M","")&amp;"M","Euribor"&amp;$H$1,,,,Trigger),IF(A47="Sf",_xll.qlFuturesRateHelper(,I47,,C47,"Euribor"&amp;$H$1,0,,Trigger),"--"))))</f>
        <v>obj_00062#0006</v>
      </c>
      <c r="K47" s="98" t="b">
        <f t="shared" si="6"/>
        <v>1</v>
      </c>
      <c r="M47" s="9" t="str">
        <v>Sw</v>
      </c>
      <c r="N47" s="9" t="str">
        <v>22Y</v>
      </c>
      <c r="O47" s="9" t="str">
        <v>obj_00062#0006</v>
      </c>
      <c r="P47" s="96">
        <f>_xll.qlRateHelperRate(O47,Trigger)</f>
        <v>9.7537130400000005E-3</v>
      </c>
      <c r="Q47" s="10">
        <f>_xll.qlRateHelperEarliestDate(O47,Trigger)</f>
        <v>42502</v>
      </c>
      <c r="R47" s="10">
        <f>_xll.qlRateHelperPillarDate(O47,Trigger)</f>
        <v>50537</v>
      </c>
      <c r="S47" s="96">
        <v>1.0024257531517271E-2</v>
      </c>
    </row>
    <row r="48" spans="1:19" ht="11.25" customHeight="1" x14ac:dyDescent="0.2">
      <c r="A48" s="91" t="str">
        <v>Sw</v>
      </c>
      <c r="B48" s="91" t="str">
        <v>23Y</v>
      </c>
      <c r="C48" s="91" t="str">
        <f>IF(A48="Sf",_xll.qlIMMNextCode(B48,Trigger),IF(LEFT(B48,1)="#",_xll.qlCalendarBusinessDaysBetween(Calendar,Settlementdate,DATE(LEFT(SUBSTITUTE(B48,"#",""),4),LEFT(RIGHT(SUBSTITUTE(B48,"#",""),4),2),RIGHT(SUBSTITUTE(B48,"#",""),2)),,,Trigger)-1&amp;"D",SUBSTITUTE(B48,"/","")))</f>
        <v>23Y</v>
      </c>
      <c r="D48" s="101">
        <f t="shared" si="2"/>
        <v>2</v>
      </c>
      <c r="E48" s="101" t="str">
        <f t="shared" si="3"/>
        <v>Annual</v>
      </c>
      <c r="F48" s="97" t="str">
        <f t="shared" si="7"/>
        <v>Modified Following</v>
      </c>
      <c r="G48" s="100" t="str">
        <f t="shared" si="4"/>
        <v>TRUE</v>
      </c>
      <c r="H48" s="97" t="str">
        <f t="shared" si="5"/>
        <v>30/360 (Bond Basis)</v>
      </c>
      <c r="I48" s="102">
        <v>9.8549205500000001E-3</v>
      </c>
      <c r="J48" s="89" t="str">
        <f>IF(LEFT(A48,1)="D",_xll.qlDepositRateHelper2(,I48,IF(RIGHT(C48,1)="N","1D",C48),D48,Calendar,F48,G48,H48,,Trigger),IF(A48="Sw",_xll.qlSwapRateHelper2(,I48,D48,C48,Calendar,"Annual",F48,H48,"Euribor"&amp;$H$1,0,"0D",Discounting,,,,Trigger),IF(A48="Fr",_xll.qlFraRateHelper(,I48,SUBSTITUTE(LEFT(C48,2),"M","")&amp;"M","Euribor"&amp;$H$1,,,,Trigger),IF(A48="Sf",_xll.qlFuturesRateHelper(,I48,,C48,"Euribor"&amp;$H$1,0,,Trigger),"--"))))</f>
        <v>obj_00060#0006</v>
      </c>
      <c r="K48" s="98" t="b">
        <f t="shared" si="6"/>
        <v>1</v>
      </c>
      <c r="M48" s="9" t="str">
        <v>Sw</v>
      </c>
      <c r="N48" s="9" t="str">
        <v>23Y</v>
      </c>
      <c r="O48" s="9" t="str">
        <v>obj_00060#0006</v>
      </c>
      <c r="P48" s="96">
        <f>_xll.qlRateHelperRate(O48,Trigger)</f>
        <v>9.8549205500000001E-3</v>
      </c>
      <c r="Q48" s="10">
        <f>_xll.qlRateHelperEarliestDate(O48,Trigger)</f>
        <v>42502</v>
      </c>
      <c r="R48" s="10">
        <f>_xll.qlRateHelperPillarDate(O48,Trigger)</f>
        <v>50902</v>
      </c>
      <c r="S48" s="96">
        <v>1.0125792884674285E-2</v>
      </c>
    </row>
    <row r="49" spans="1:19" ht="11.25" customHeight="1" x14ac:dyDescent="0.2">
      <c r="A49" s="91" t="str">
        <v>Sw</v>
      </c>
      <c r="B49" s="91" t="str">
        <v>24Y</v>
      </c>
      <c r="C49" s="91" t="str">
        <f>IF(A49="Sf",_xll.qlIMMNextCode(B49,Trigger),IF(LEFT(B49,1)="#",_xll.qlCalendarBusinessDaysBetween(Calendar,Settlementdate,DATE(LEFT(SUBSTITUTE(B49,"#",""),4),LEFT(RIGHT(SUBSTITUTE(B49,"#",""),4),2),RIGHT(SUBSTITUTE(B49,"#",""),2)),,,Trigger)-1&amp;"D",SUBSTITUTE(B49,"/","")))</f>
        <v>24Y</v>
      </c>
      <c r="D49" s="101">
        <f t="shared" si="2"/>
        <v>2</v>
      </c>
      <c r="E49" s="101" t="str">
        <f t="shared" si="3"/>
        <v>Annual</v>
      </c>
      <c r="F49" s="97" t="str">
        <f t="shared" si="7"/>
        <v>Modified Following</v>
      </c>
      <c r="G49" s="100" t="str">
        <f t="shared" si="4"/>
        <v>TRUE</v>
      </c>
      <c r="H49" s="97" t="str">
        <f t="shared" si="5"/>
        <v>30/360 (Bond Basis)</v>
      </c>
      <c r="I49" s="102">
        <v>9.9302257700000004E-3</v>
      </c>
      <c r="J49" s="89" t="str">
        <f>IF(LEFT(A49,1)="D",_xll.qlDepositRateHelper2(,I49,IF(RIGHT(C49,1)="N","1D",C49),D49,Calendar,F49,G49,H49,,Trigger),IF(A49="Sw",_xll.qlSwapRateHelper2(,I49,D49,C49,Calendar,"Annual",F49,H49,"Euribor"&amp;$H$1,0,"0D",Discounting,,,,Trigger),IF(A49="Fr",_xll.qlFraRateHelper(,I49,SUBSTITUTE(LEFT(C49,2),"M","")&amp;"M","Euribor"&amp;$H$1,,,,Trigger),IF(A49="Sf",_xll.qlFuturesRateHelper(,I49,,C49,"Euribor"&amp;$H$1,0,,Trigger),"--"))))</f>
        <v>obj_00058#0006</v>
      </c>
      <c r="K49" s="98" t="b">
        <f t="shared" si="6"/>
        <v>1</v>
      </c>
      <c r="M49" s="9" t="str">
        <v>Sw</v>
      </c>
      <c r="N49" s="9" t="str">
        <v>24Y</v>
      </c>
      <c r="O49" s="9" t="str">
        <v>obj_00058#0006</v>
      </c>
      <c r="P49" s="96">
        <f>_xll.qlRateHelperRate(O49,Trigger)</f>
        <v>9.9302257700000004E-3</v>
      </c>
      <c r="Q49" s="10">
        <f>_xll.qlRateHelperEarliestDate(O49,Trigger)</f>
        <v>42502</v>
      </c>
      <c r="R49" s="10">
        <f>_xll.qlRateHelperPillarDate(O49,Trigger)</f>
        <v>51270</v>
      </c>
      <c r="S49" s="96">
        <v>1.0197610522719782E-2</v>
      </c>
    </row>
    <row r="50" spans="1:19" ht="11.25" customHeight="1" x14ac:dyDescent="0.2">
      <c r="A50" s="91" t="str">
        <v>Sw</v>
      </c>
      <c r="B50" s="91" t="str">
        <v>25Y</v>
      </c>
      <c r="C50" s="91" t="str">
        <f>IF(A50="Sf",_xll.qlIMMNextCode(B50,Trigger),IF(LEFT(B50,1)="#",_xll.qlCalendarBusinessDaysBetween(Calendar,Settlementdate,DATE(LEFT(SUBSTITUTE(B50,"#",""),4),LEFT(RIGHT(SUBSTITUTE(B50,"#",""),4),2),RIGHT(SUBSTITUTE(B50,"#",""),2)),,,Trigger)-1&amp;"D",SUBSTITUTE(B50,"/","")))</f>
        <v>25Y</v>
      </c>
      <c r="D50" s="101">
        <f t="shared" si="2"/>
        <v>2</v>
      </c>
      <c r="E50" s="101" t="str">
        <f t="shared" si="3"/>
        <v>Annual</v>
      </c>
      <c r="F50" s="97" t="str">
        <f t="shared" si="7"/>
        <v>Modified Following</v>
      </c>
      <c r="G50" s="100" t="str">
        <f t="shared" si="4"/>
        <v>TRUE</v>
      </c>
      <c r="H50" s="97" t="str">
        <f t="shared" si="5"/>
        <v>30/360 (Bond Basis)</v>
      </c>
      <c r="I50" s="102">
        <v>9.9799999999999993E-3</v>
      </c>
      <c r="J50" s="89" t="str">
        <f>IF(LEFT(A50,1)="D",_xll.qlDepositRateHelper2(,I50,IF(RIGHT(C50,1)="N","1D",C50),D50,Calendar,F50,G50,H50,,Trigger),IF(A50="Sw",_xll.qlSwapRateHelper2(,I50,D50,C50,Calendar,"Annual",F50,H50,"Euribor"&amp;$H$1,0,"0D",Discounting,,,,Trigger),IF(A50="Fr",_xll.qlFraRateHelper(,I50,SUBSTITUTE(LEFT(C50,2),"M","")&amp;"M","Euribor"&amp;$H$1,,,,Trigger),IF(A50="Sf",_xll.qlFuturesRateHelper(,I50,,C50,"Euribor"&amp;$H$1,0,,Trigger),"--"))))</f>
        <v>obj_00050#0006</v>
      </c>
      <c r="K50" s="98" t="b">
        <f t="shared" si="6"/>
        <v>1</v>
      </c>
      <c r="M50" s="9" t="str">
        <v>Sw</v>
      </c>
      <c r="N50" s="9" t="str">
        <v>25Y</v>
      </c>
      <c r="O50" s="9" t="str">
        <v>obj_00050#0006</v>
      </c>
      <c r="P50" s="96">
        <f>_xll.qlRateHelperRate(O50,Trigger)</f>
        <v>9.9799999999999993E-3</v>
      </c>
      <c r="Q50" s="10">
        <f>_xll.qlRateHelperEarliestDate(O50,Trigger)</f>
        <v>42502</v>
      </c>
      <c r="R50" s="10">
        <f>_xll.qlRateHelperPillarDate(O50,Trigger)</f>
        <v>51634</v>
      </c>
      <c r="S50" s="96">
        <v>1.0242346933291799E-2</v>
      </c>
    </row>
    <row r="51" spans="1:19" ht="11.25" customHeight="1" x14ac:dyDescent="0.2">
      <c r="A51" s="91" t="str">
        <v>Sw</v>
      </c>
      <c r="B51" s="91" t="str">
        <v>26Y</v>
      </c>
      <c r="C51" s="91" t="str">
        <f>IF(A51="Sf",_xll.qlIMMNextCode(B51,Trigger),IF(LEFT(B51,1)="#",_xll.qlCalendarBusinessDaysBetween(Calendar,Settlementdate,DATE(LEFT(SUBSTITUTE(B51,"#",""),4),LEFT(RIGHT(SUBSTITUTE(B51,"#",""),4),2),RIGHT(SUBSTITUTE(B51,"#",""),2)),,,Trigger)-1&amp;"D",SUBSTITUTE(B51,"/","")))</f>
        <v>26Y</v>
      </c>
      <c r="D51" s="101">
        <f t="shared" si="2"/>
        <v>2</v>
      </c>
      <c r="E51" s="101" t="str">
        <f t="shared" si="3"/>
        <v>Annual</v>
      </c>
      <c r="F51" s="97" t="str">
        <f t="shared" si="7"/>
        <v>Modified Following</v>
      </c>
      <c r="G51" s="100" t="str">
        <f t="shared" si="4"/>
        <v>TRUE</v>
      </c>
      <c r="H51" s="97" t="str">
        <f t="shared" si="5"/>
        <v>30/360 (Bond Basis)</v>
      </c>
      <c r="I51" s="102">
        <v>1.00126795E-2</v>
      </c>
      <c r="J51" s="89" t="str">
        <f>IF(LEFT(A51,1)="D",_xll.qlDepositRateHelper2(,I51,IF(RIGHT(C51,1)="N","1D",C51),D51,Calendar,F51,G51,H51,,Trigger),IF(A51="Sw",_xll.qlSwapRateHelper2(,I51,D51,C51,Calendar,"Annual",F51,H51,"Euribor"&amp;$H$1,0,"0D",Discounting,,,,Trigger),IF(A51="Fr",_xll.qlFraRateHelper(,I51,SUBSTITUTE(LEFT(C51,2),"M","")&amp;"M","Euribor"&amp;$H$1,,,,Trigger),IF(A51="Sf",_xll.qlFuturesRateHelper(,I51,,C51,"Euribor"&amp;$H$1,0,,Trigger),"--"))))</f>
        <v>obj_0007b#0006</v>
      </c>
      <c r="K51" s="98" t="b">
        <f t="shared" si="6"/>
        <v>1</v>
      </c>
      <c r="M51" s="9" t="str">
        <v>Sw</v>
      </c>
      <c r="N51" s="9" t="str">
        <v>26Y</v>
      </c>
      <c r="O51" s="9" t="str">
        <v>obj_0007b#0006</v>
      </c>
      <c r="P51" s="96">
        <f>_xll.qlRateHelperRate(O51,Trigger)</f>
        <v>1.00126795E-2</v>
      </c>
      <c r="Q51" s="10">
        <f>_xll.qlRateHelperEarliestDate(O51,Trigger)</f>
        <v>42502</v>
      </c>
      <c r="R51" s="10">
        <f>_xll.qlRateHelperPillarDate(O51,Trigger)</f>
        <v>51998</v>
      </c>
      <c r="S51" s="96">
        <v>1.0268241340534048E-2</v>
      </c>
    </row>
    <row r="52" spans="1:19" ht="11.25" customHeight="1" x14ac:dyDescent="0.2">
      <c r="A52" s="91" t="str">
        <v>Sw</v>
      </c>
      <c r="B52" s="91" t="str">
        <v>27Y</v>
      </c>
      <c r="C52" s="91" t="str">
        <f>IF(A52="Sf",_xll.qlIMMNextCode(B52,Trigger),IF(LEFT(B52,1)="#",_xll.qlCalendarBusinessDaysBetween(Calendar,Settlementdate,DATE(LEFT(SUBSTITUTE(B52,"#",""),4),LEFT(RIGHT(SUBSTITUTE(B52,"#",""),4),2),RIGHT(SUBSTITUTE(B52,"#",""),2)),,,Trigger)-1&amp;"D",SUBSTITUTE(B52,"/","")))</f>
        <v>27Y</v>
      </c>
      <c r="D52" s="101">
        <f t="shared" si="2"/>
        <v>2</v>
      </c>
      <c r="E52" s="101" t="str">
        <f t="shared" si="3"/>
        <v>Annual</v>
      </c>
      <c r="F52" s="97" t="str">
        <f t="shared" si="7"/>
        <v>Modified Following</v>
      </c>
      <c r="G52" s="100" t="str">
        <f t="shared" si="4"/>
        <v>TRUE</v>
      </c>
      <c r="H52" s="97" t="str">
        <f t="shared" si="5"/>
        <v>30/360 (Bond Basis)</v>
      </c>
      <c r="I52" s="102">
        <v>1.00360507E-2</v>
      </c>
      <c r="J52" s="89" t="str">
        <f>IF(LEFT(A52,1)="D",_xll.qlDepositRateHelper2(,I52,IF(RIGHT(C52,1)="N","1D",C52),D52,Calendar,F52,G52,H52,,Trigger),IF(A52="Sw",_xll.qlSwapRateHelper2(,I52,D52,C52,Calendar,"Annual",F52,H52,"Euribor"&amp;$H$1,0,"0D",Discounting,,,,Trigger),IF(A52="Fr",_xll.qlFraRateHelper(,I52,SUBSTITUTE(LEFT(C52,2),"M","")&amp;"M","Euribor"&amp;$H$1,,,,Trigger),IF(A52="Sf",_xll.qlFuturesRateHelper(,I52,,C52,"Euribor"&amp;$H$1,0,,Trigger),"--"))))</f>
        <v>obj_00070#0006</v>
      </c>
      <c r="K52" s="98" t="b">
        <f t="shared" si="6"/>
        <v>1</v>
      </c>
      <c r="M52" s="9" t="str">
        <v>Sw</v>
      </c>
      <c r="N52" s="9" t="str">
        <v>27Y</v>
      </c>
      <c r="O52" s="9" t="str">
        <v>obj_00070#0006</v>
      </c>
      <c r="P52" s="96">
        <f>_xll.qlRateHelperRate(O52,Trigger)</f>
        <v>1.00360507E-2</v>
      </c>
      <c r="Q52" s="10">
        <f>_xll.qlRateHelperEarliestDate(O52,Trigger)</f>
        <v>42502</v>
      </c>
      <c r="R52" s="10">
        <f>_xll.qlRateHelperPillarDate(O52,Trigger)</f>
        <v>52363</v>
      </c>
      <c r="S52" s="96">
        <v>1.0284159713772736E-2</v>
      </c>
    </row>
    <row r="53" spans="1:19" ht="11.25" customHeight="1" x14ac:dyDescent="0.2">
      <c r="A53" s="91" t="str">
        <v>Sw</v>
      </c>
      <c r="B53" s="91" t="str">
        <v>28Y</v>
      </c>
      <c r="C53" s="91" t="str">
        <f>IF(A53="Sf",_xll.qlIMMNextCode(B53,Trigger),IF(LEFT(B53,1)="#",_xll.qlCalendarBusinessDaysBetween(Calendar,Settlementdate,DATE(LEFT(SUBSTITUTE(B53,"#",""),4),LEFT(RIGHT(SUBSTITUTE(B53,"#",""),4),2),RIGHT(SUBSTITUTE(B53,"#",""),2)),,,Trigger)-1&amp;"D",SUBSTITUTE(B53,"/","")))</f>
        <v>28Y</v>
      </c>
      <c r="D53" s="101">
        <f t="shared" si="2"/>
        <v>2</v>
      </c>
      <c r="E53" s="101" t="str">
        <f t="shared" si="3"/>
        <v>Annual</v>
      </c>
      <c r="F53" s="97" t="str">
        <f t="shared" si="7"/>
        <v>Modified Following</v>
      </c>
      <c r="G53" s="100" t="str">
        <f t="shared" si="4"/>
        <v>TRUE</v>
      </c>
      <c r="H53" s="97" t="str">
        <f t="shared" si="5"/>
        <v>30/360 (Bond Basis)</v>
      </c>
      <c r="I53" s="102">
        <v>1.0052911920000001E-2</v>
      </c>
      <c r="J53" s="89" t="str">
        <f>IF(LEFT(A53,1)="D",_xll.qlDepositRateHelper2(,I53,IF(RIGHT(C53,1)="N","1D",C53),D53,Calendar,F53,G53,H53,,Trigger),IF(A53="Sw",_xll.qlSwapRateHelper2(,I53,D53,C53,Calendar,"Annual",F53,H53,"Euribor"&amp;$H$1,0,"0D",Discounting,,,,Trigger),IF(A53="Fr",_xll.qlFraRateHelper(,I53,SUBSTITUTE(LEFT(C53,2),"M","")&amp;"M","Euribor"&amp;$H$1,,,,Trigger),IF(A53="Sf",_xll.qlFuturesRateHelper(,I53,,C53,"Euribor"&amp;$H$1,0,,Trigger),"--"))))</f>
        <v>obj_0007e#0006</v>
      </c>
      <c r="K53" s="98" t="b">
        <f t="shared" si="6"/>
        <v>1</v>
      </c>
      <c r="M53" s="9" t="str">
        <v>Sw</v>
      </c>
      <c r="N53" s="9" t="str">
        <v>28Y</v>
      </c>
      <c r="O53" s="9" t="str">
        <v>obj_0007e#0006</v>
      </c>
      <c r="P53" s="96">
        <f>_xll.qlRateHelperRate(O53,Trigger)</f>
        <v>1.0052911920000001E-2</v>
      </c>
      <c r="Q53" s="10">
        <f>_xll.qlRateHelperEarliestDate(O53,Trigger)</f>
        <v>42502</v>
      </c>
      <c r="R53" s="10">
        <f>_xll.qlRateHelperPillarDate(O53,Trigger)</f>
        <v>52729</v>
      </c>
      <c r="S53" s="96">
        <v>1.0292255941275461E-2</v>
      </c>
    </row>
    <row r="54" spans="1:19" ht="11.25" customHeight="1" x14ac:dyDescent="0.2">
      <c r="A54" s="91" t="str">
        <v>Sw</v>
      </c>
      <c r="B54" s="91" t="str">
        <v>29Y</v>
      </c>
      <c r="C54" s="91" t="str">
        <f>IF(A54="Sf",_xll.qlIMMNextCode(B54,Trigger),IF(LEFT(B54,1)="#",_xll.qlCalendarBusinessDaysBetween(Calendar,Settlementdate,DATE(LEFT(SUBSTITUTE(B54,"#",""),4),LEFT(RIGHT(SUBSTITUTE(B54,"#",""),4),2),RIGHT(SUBSTITUTE(B54,"#",""),2)),,,Trigger)-1&amp;"D",SUBSTITUTE(B54,"/","")))</f>
        <v>29Y</v>
      </c>
      <c r="D54" s="101">
        <f t="shared" si="2"/>
        <v>2</v>
      </c>
      <c r="E54" s="101" t="str">
        <f t="shared" si="3"/>
        <v>Annual</v>
      </c>
      <c r="F54" s="97" t="str">
        <f t="shared" si="7"/>
        <v>Modified Following</v>
      </c>
      <c r="G54" s="100" t="str">
        <f t="shared" si="4"/>
        <v>TRUE</v>
      </c>
      <c r="H54" s="97" t="str">
        <f t="shared" si="5"/>
        <v>30/360 (Bond Basis)</v>
      </c>
      <c r="I54" s="102">
        <v>1.0063302199999999E-2</v>
      </c>
      <c r="J54" s="89" t="str">
        <f>IF(LEFT(A54,1)="D",_xll.qlDepositRateHelper2(,I54,IF(RIGHT(C54,1)="N","1D",C54),D54,Calendar,F54,G54,H54,,Trigger),IF(A54="Sw",_xll.qlSwapRateHelper2(,I54,D54,C54,Calendar,"Annual",F54,H54,"Euribor"&amp;$H$1,0,"0D",Discounting,,,,Trigger),IF(A54="Fr",_xll.qlFraRateHelper(,I54,SUBSTITUTE(LEFT(C54,2),"M","")&amp;"M","Euribor"&amp;$H$1,,,,Trigger),IF(A54="Sf",_xll.qlFuturesRateHelper(,I54,,C54,"Euribor"&amp;$H$1,0,,Trigger),"--"))))</f>
        <v>obj_0007c#0006</v>
      </c>
      <c r="K54" s="98" t="b">
        <f t="shared" si="6"/>
        <v>1</v>
      </c>
      <c r="M54" s="9" t="str">
        <v>Sw</v>
      </c>
      <c r="N54" s="9" t="str">
        <v>29Y</v>
      </c>
      <c r="O54" s="9" t="str">
        <v>obj_0007c#0006</v>
      </c>
      <c r="P54" s="96">
        <f>_xll.qlRateHelperRate(O54,Trigger)</f>
        <v>1.0063302199999999E-2</v>
      </c>
      <c r="Q54" s="10">
        <f>_xll.qlRateHelperEarliestDate(O54,Trigger)</f>
        <v>42502</v>
      </c>
      <c r="R54" s="10">
        <f>_xll.qlRateHelperPillarDate(O54,Trigger)</f>
        <v>53094</v>
      </c>
      <c r="S54" s="96">
        <v>1.0294515132256769E-2</v>
      </c>
    </row>
    <row r="55" spans="1:19" ht="11.25" customHeight="1" x14ac:dyDescent="0.2">
      <c r="A55" s="91" t="str">
        <v>Sw</v>
      </c>
      <c r="B55" s="91" t="str">
        <v>30Y</v>
      </c>
      <c r="C55" s="91" t="str">
        <f>IF(A55="Sf",_xll.qlIMMNextCode(B55,Trigger),IF(LEFT(B55,1)="#",_xll.qlCalendarBusinessDaysBetween(Calendar,Settlementdate,DATE(LEFT(SUBSTITUTE(B55,"#",""),4),LEFT(RIGHT(SUBSTITUTE(B55,"#",""),4),2),RIGHT(SUBSTITUTE(B55,"#",""),2)),,,Trigger)-1&amp;"D",SUBSTITUTE(B55,"/","")))</f>
        <v>30Y</v>
      </c>
      <c r="D55" s="101">
        <f t="shared" si="2"/>
        <v>2</v>
      </c>
      <c r="E55" s="101" t="str">
        <f t="shared" si="3"/>
        <v>Annual</v>
      </c>
      <c r="F55" s="97" t="str">
        <f t="shared" si="7"/>
        <v>Modified Following</v>
      </c>
      <c r="G55" s="100" t="str">
        <f t="shared" si="4"/>
        <v>TRUE</v>
      </c>
      <c r="H55" s="97" t="str">
        <f t="shared" si="5"/>
        <v>30/360 (Bond Basis)</v>
      </c>
      <c r="I55" s="102">
        <v>1.0069999999999999E-2</v>
      </c>
      <c r="J55" s="89" t="str">
        <f>IF(LEFT(A55,1)="D",_xll.qlDepositRateHelper2(,I55,IF(RIGHT(C55,1)="N","1D",C55),D55,Calendar,F55,G55,H55,,Trigger),IF(A55="Sw",_xll.qlSwapRateHelper2(,I55,D55,C55,Calendar,"Annual",F55,H55,"Euribor"&amp;$H$1,0,"0D",Discounting,,,,Trigger),IF(A55="Fr",_xll.qlFraRateHelper(,I55,SUBSTITUTE(LEFT(C55,2),"M","")&amp;"M","Euribor"&amp;$H$1,,,,Trigger),IF(A55="Sf",_xll.qlFuturesRateHelper(,I55,,C55,"Euribor"&amp;$H$1,0,,Trigger),"--"))))</f>
        <v>obj_00086#0006</v>
      </c>
      <c r="K55" s="98" t="b">
        <f t="shared" si="6"/>
        <v>1</v>
      </c>
      <c r="M55" s="9" t="str">
        <v>Sw</v>
      </c>
      <c r="N55" s="9" t="str">
        <v>30Y</v>
      </c>
      <c r="O55" s="9" t="str">
        <v>obj_00086#0006</v>
      </c>
      <c r="P55" s="96">
        <f>_xll.qlRateHelperRate(O55,Trigger)</f>
        <v>1.0069999999999999E-2</v>
      </c>
      <c r="Q55" s="10">
        <f>_xll.qlRateHelperEarliestDate(O55,Trigger)</f>
        <v>42502</v>
      </c>
      <c r="R55" s="10">
        <f>_xll.qlRateHelperPillarDate(O55,Trigger)</f>
        <v>53461</v>
      </c>
      <c r="S55" s="96">
        <v>1.0293041016028886E-2</v>
      </c>
    </row>
    <row r="56" spans="1:19" ht="11.25" customHeight="1" x14ac:dyDescent="0.2">
      <c r="A56" s="91" t="str">
        <v>Sw</v>
      </c>
      <c r="B56" s="91" t="str">
        <v>31Y</v>
      </c>
      <c r="C56" s="91" t="str">
        <f>IF(A56="Sf",_xll.qlIMMNextCode(B56,Trigger),IF(LEFT(B56,1)="#",_xll.qlCalendarBusinessDaysBetween(Calendar,Settlementdate,DATE(LEFT(SUBSTITUTE(B56,"#",""),4),LEFT(RIGHT(SUBSTITUTE(B56,"#",""),4),2),RIGHT(SUBSTITUTE(B56,"#",""),2)),,,Trigger)-1&amp;"D",SUBSTITUTE(B56,"/","")))</f>
        <v>31Y</v>
      </c>
      <c r="D56" s="101">
        <f t="shared" si="2"/>
        <v>2</v>
      </c>
      <c r="E56" s="101" t="str">
        <f t="shared" si="3"/>
        <v>Annual</v>
      </c>
      <c r="F56" s="97" t="str">
        <f t="shared" si="7"/>
        <v>Modified Following</v>
      </c>
      <c r="G56" s="100" t="str">
        <f t="shared" si="4"/>
        <v>TRUE</v>
      </c>
      <c r="H56" s="97" t="str">
        <f t="shared" si="5"/>
        <v>30/360 (Bond Basis)</v>
      </c>
      <c r="I56" s="102">
        <v>1.007469186E-2</v>
      </c>
      <c r="J56" s="89" t="str">
        <f>IF(LEFT(A56,1)="D",_xll.qlDepositRateHelper2(,I56,IF(RIGHT(C56,1)="N","1D",C56),D56,Calendar,F56,G56,H56,,Trigger),IF(A56="Sw",_xll.qlSwapRateHelper2(,I56,D56,C56,Calendar,"Annual",F56,H56,"Euribor"&amp;$H$1,0,"0D",Discounting,,,,Trigger),IF(A56="Fr",_xll.qlFraRateHelper(,I56,SUBSTITUTE(LEFT(C56,2),"M","")&amp;"M","Euribor"&amp;$H$1,,,,Trigger),IF(A56="Sf",_xll.qlFuturesRateHelper(,I56,,C56,"Euribor"&amp;$H$1,0,,Trigger),"--"))))</f>
        <v>obj_00082#0006</v>
      </c>
      <c r="K56" s="98" t="b">
        <f t="shared" si="6"/>
        <v>1</v>
      </c>
      <c r="M56" s="9" t="str">
        <v>Sw</v>
      </c>
      <c r="N56" s="9" t="str">
        <v>31Y</v>
      </c>
      <c r="O56" s="9" t="str">
        <v>obj_00082#0006</v>
      </c>
      <c r="P56" s="96">
        <f>_xll.qlRateHelperRate(O56,Trigger)</f>
        <v>1.007469186E-2</v>
      </c>
      <c r="Q56" s="10">
        <f>_xll.qlRateHelperEarliestDate(O56,Trigger)</f>
        <v>42502</v>
      </c>
      <c r="R56" s="10">
        <f>_xll.qlRateHelperPillarDate(O56,Trigger)</f>
        <v>53825</v>
      </c>
      <c r="S56" s="96">
        <v>1.0289840723682827E-2</v>
      </c>
    </row>
    <row r="57" spans="1:19" ht="11.25" customHeight="1" x14ac:dyDescent="0.2">
      <c r="A57" s="91" t="str">
        <v>Sw</v>
      </c>
      <c r="B57" s="91" t="str">
        <v>32Y</v>
      </c>
      <c r="C57" s="91" t="str">
        <f>IF(A57="Sf",_xll.qlIMMNextCode(B57,Trigger),IF(LEFT(B57,1)="#",_xll.qlCalendarBusinessDaysBetween(Calendar,Settlementdate,DATE(LEFT(SUBSTITUTE(B57,"#",""),4),LEFT(RIGHT(SUBSTITUTE(B57,"#",""),4),2),RIGHT(SUBSTITUTE(B57,"#",""),2)),,,Trigger)-1&amp;"D",SUBSTITUTE(B57,"/","")))</f>
        <v>32Y</v>
      </c>
      <c r="D57" s="101">
        <f t="shared" si="2"/>
        <v>2</v>
      </c>
      <c r="E57" s="101" t="str">
        <f t="shared" si="3"/>
        <v>Annual</v>
      </c>
      <c r="F57" s="97" t="str">
        <f t="shared" si="7"/>
        <v>Modified Following</v>
      </c>
      <c r="G57" s="100" t="str">
        <f t="shared" si="4"/>
        <v>TRUE</v>
      </c>
      <c r="H57" s="97" t="str">
        <f t="shared" si="5"/>
        <v>30/360 (Bond Basis)</v>
      </c>
      <c r="I57" s="102">
        <v>1.0078045899999999E-2</v>
      </c>
      <c r="J57" s="89" t="str">
        <f>IF(LEFT(A57,1)="D",_xll.qlDepositRateHelper2(,I57,IF(RIGHT(C57,1)="N","1D",C57),D57,Calendar,F57,G57,H57,,Trigger),IF(A57="Sw",_xll.qlSwapRateHelper2(,I57,D57,C57,Calendar,"Annual",F57,H57,"Euribor"&amp;$H$1,0,"0D",Discounting,,,,Trigger),IF(A57="Fr",_xll.qlFraRateHelper(,I57,SUBSTITUTE(LEFT(C57,2),"M","")&amp;"M","Euribor"&amp;$H$1,,,,Trigger),IF(A57="Sf",_xll.qlFuturesRateHelper(,I57,,C57,"Euribor"&amp;$H$1,0,,Trigger),"--"))))</f>
        <v>obj_00053#0006</v>
      </c>
      <c r="K57" s="98" t="b">
        <f t="shared" si="6"/>
        <v>1</v>
      </c>
      <c r="M57" s="9" t="str">
        <v>Sw</v>
      </c>
      <c r="N57" s="9" t="str">
        <v>32Y</v>
      </c>
      <c r="O57" s="9" t="str">
        <v>obj_00053#0006</v>
      </c>
      <c r="P57" s="96">
        <f>_xll.qlRateHelperRate(O57,Trigger)</f>
        <v>1.0078045899999999E-2</v>
      </c>
      <c r="Q57" s="10">
        <f>_xll.qlRateHelperEarliestDate(O57,Trigger)</f>
        <v>42502</v>
      </c>
      <c r="R57" s="10">
        <f>_xll.qlRateHelperPillarDate(O57,Trigger)</f>
        <v>54190</v>
      </c>
      <c r="S57" s="96">
        <v>1.0284701234012924E-2</v>
      </c>
    </row>
    <row r="58" spans="1:19" ht="11.25" customHeight="1" x14ac:dyDescent="0.2">
      <c r="A58" s="91" t="str">
        <v>Sw</v>
      </c>
      <c r="B58" s="91" t="str">
        <v>33Y</v>
      </c>
      <c r="C58" s="91" t="str">
        <f>IF(A58="Sf",_xll.qlIMMNextCode(B58,Trigger),IF(LEFT(B58,1)="#",_xll.qlCalendarBusinessDaysBetween(Calendar,Settlementdate,DATE(LEFT(SUBSTITUTE(B58,"#",""),4),LEFT(RIGHT(SUBSTITUTE(B58,"#",""),4),2),RIGHT(SUBSTITUTE(B58,"#",""),2)),,,Trigger)-1&amp;"D",SUBSTITUTE(B58,"/","")))</f>
        <v>33Y</v>
      </c>
      <c r="D58" s="101">
        <f t="shared" si="2"/>
        <v>2</v>
      </c>
      <c r="E58" s="101" t="str">
        <f t="shared" si="3"/>
        <v>Annual</v>
      </c>
      <c r="F58" s="97" t="str">
        <f t="shared" si="7"/>
        <v>Modified Following</v>
      </c>
      <c r="G58" s="100" t="str">
        <f t="shared" si="4"/>
        <v>TRUE</v>
      </c>
      <c r="H58" s="97" t="str">
        <f t="shared" si="5"/>
        <v>30/360 (Bond Basis)</v>
      </c>
      <c r="I58" s="102">
        <v>1.0077889079999999E-2</v>
      </c>
      <c r="J58" s="89" t="str">
        <f>IF(LEFT(A58,1)="D",_xll.qlDepositRateHelper2(,I58,IF(RIGHT(C58,1)="N","1D",C58),D58,Calendar,F58,G58,H58,,Trigger),IF(A58="Sw",_xll.qlSwapRateHelper2(,I58,D58,C58,Calendar,"Annual",F58,H58,"Euribor"&amp;$H$1,0,"0D",Discounting,,,,Trigger),IF(A58="Fr",_xll.qlFraRateHelper(,I58,SUBSTITUTE(LEFT(C58,2),"M","")&amp;"M","Euribor"&amp;$H$1,,,,Trigger),IF(A58="Sf",_xll.qlFuturesRateHelper(,I58,,C58,"Euribor"&amp;$H$1,0,,Trigger),"--"))))</f>
        <v>obj_0005c#0006</v>
      </c>
      <c r="K58" s="98" t="b">
        <f t="shared" si="6"/>
        <v>1</v>
      </c>
      <c r="M58" s="9" t="str">
        <v>Sw</v>
      </c>
      <c r="N58" s="9" t="str">
        <v>33Y</v>
      </c>
      <c r="O58" s="9" t="str">
        <v>obj_0005c#0006</v>
      </c>
      <c r="P58" s="96">
        <f>_xll.qlRateHelperRate(O58,Trigger)</f>
        <v>1.0077889079999999E-2</v>
      </c>
      <c r="Q58" s="10">
        <f>_xll.qlRateHelperEarliestDate(O58,Trigger)</f>
        <v>42502</v>
      </c>
      <c r="R58" s="10">
        <f>_xll.qlRateHelperPillarDate(O58,Trigger)</f>
        <v>54555</v>
      </c>
      <c r="S58" s="96">
        <v>1.0276746747517133E-2</v>
      </c>
    </row>
    <row r="59" spans="1:19" ht="11.25" customHeight="1" x14ac:dyDescent="0.2">
      <c r="A59" s="91" t="str">
        <v>Sw</v>
      </c>
      <c r="B59" s="91" t="str">
        <v>34Y</v>
      </c>
      <c r="C59" s="91" t="str">
        <f>IF(A59="Sf",_xll.qlIMMNextCode(B59,Trigger),IF(LEFT(B59,1)="#",_xll.qlCalendarBusinessDaysBetween(Calendar,Settlementdate,DATE(LEFT(SUBSTITUTE(B59,"#",""),4),LEFT(RIGHT(SUBSTITUTE(B59,"#",""),4),2),RIGHT(SUBSTITUTE(B59,"#",""),2)),,,Trigger)-1&amp;"D",SUBSTITUTE(B59,"/","")))</f>
        <v>34Y</v>
      </c>
      <c r="D59" s="101">
        <f t="shared" si="2"/>
        <v>2</v>
      </c>
      <c r="E59" s="101" t="str">
        <f t="shared" si="3"/>
        <v>Annual</v>
      </c>
      <c r="F59" s="97" t="str">
        <f t="shared" si="7"/>
        <v>Modified Following</v>
      </c>
      <c r="G59" s="100" t="str">
        <f t="shared" si="4"/>
        <v>TRUE</v>
      </c>
      <c r="H59" s="97" t="str">
        <f t="shared" si="5"/>
        <v>30/360 (Bond Basis)</v>
      </c>
      <c r="I59" s="102">
        <v>1.0074245779999999E-2</v>
      </c>
      <c r="J59" s="89" t="str">
        <f>IF(LEFT(A59,1)="D",_xll.qlDepositRateHelper2(,I59,IF(RIGHT(C59,1)="N","1D",C59),D59,Calendar,F59,G59,H59,,Trigger),IF(A59="Sw",_xll.qlSwapRateHelper2(,I59,D59,C59,Calendar,"Annual",F59,H59,"Euribor"&amp;$H$1,0,"0D",Discounting,,,,Trigger),IF(A59="Fr",_xll.qlFraRateHelper(,I59,SUBSTITUTE(LEFT(C59,2),"M","")&amp;"M","Euribor"&amp;$H$1,,,,Trigger),IF(A59="Sf",_xll.qlFuturesRateHelper(,I59,,C59,"Euribor"&amp;$H$1,0,,Trigger),"--"))))</f>
        <v>obj_0007a#0006</v>
      </c>
      <c r="K59" s="98" t="b">
        <f t="shared" si="6"/>
        <v>1</v>
      </c>
      <c r="M59" s="9" t="str">
        <v>Sw</v>
      </c>
      <c r="N59" s="9" t="str">
        <v>34Y</v>
      </c>
      <c r="O59" s="9" t="str">
        <v>obj_0007a#0006</v>
      </c>
      <c r="P59" s="96">
        <f>_xll.qlRateHelperRate(O59,Trigger)</f>
        <v>1.0074245779999999E-2</v>
      </c>
      <c r="Q59" s="10">
        <f>_xll.qlRateHelperEarliestDate(O59,Trigger)</f>
        <v>42502</v>
      </c>
      <c r="R59" s="10">
        <f>_xll.qlRateHelperPillarDate(O59,Trigger)</f>
        <v>54920</v>
      </c>
      <c r="S59" s="96">
        <v>1.0265056263682796E-2</v>
      </c>
    </row>
    <row r="60" spans="1:19" ht="11.25" customHeight="1" x14ac:dyDescent="0.2">
      <c r="A60" s="91" t="str">
        <v>Sw</v>
      </c>
      <c r="B60" s="91" t="str">
        <v>35Y</v>
      </c>
      <c r="C60" s="91" t="str">
        <f>IF(A60="Sf",_xll.qlIMMNextCode(B60,Trigger),IF(LEFT(B60,1)="#",_xll.qlCalendarBusinessDaysBetween(Calendar,Settlementdate,DATE(LEFT(SUBSTITUTE(B60,"#",""),4),LEFT(RIGHT(SUBSTITUTE(B60,"#",""),4),2),RIGHT(SUBSTITUTE(B60,"#",""),2)),,,Trigger)-1&amp;"D",SUBSTITUTE(B60,"/","")))</f>
        <v>35Y</v>
      </c>
      <c r="D60" s="101">
        <f t="shared" si="2"/>
        <v>2</v>
      </c>
      <c r="E60" s="101" t="str">
        <f t="shared" si="3"/>
        <v>Annual</v>
      </c>
      <c r="F60" s="97" t="str">
        <f t="shared" si="7"/>
        <v>Modified Following</v>
      </c>
      <c r="G60" s="100" t="str">
        <f t="shared" si="4"/>
        <v>TRUE</v>
      </c>
      <c r="H60" s="97" t="str">
        <f t="shared" si="5"/>
        <v>30/360 (Bond Basis)</v>
      </c>
      <c r="I60" s="102">
        <v>1.0066399930000001E-2</v>
      </c>
      <c r="J60" s="89" t="str">
        <f>IF(LEFT(A60,1)="D",_xll.qlDepositRateHelper2(,I60,IF(RIGHT(C60,1)="N","1D",C60),D60,Calendar,F60,G60,H60,,Trigger),IF(A60="Sw",_xll.qlSwapRateHelper2(,I60,D60,C60,Calendar,"Annual",F60,H60,"Euribor"&amp;$H$1,0,"0D",Discounting,,,,Trigger),IF(A60="Fr",_xll.qlFraRateHelper(,I60,SUBSTITUTE(LEFT(C60,2),"M","")&amp;"M","Euribor"&amp;$H$1,,,,Trigger),IF(A60="Sf",_xll.qlFuturesRateHelper(,I60,,C60,"Euribor"&amp;$H$1,0,,Trigger),"--"))))</f>
        <v>obj_0007f#0006</v>
      </c>
      <c r="K60" s="98" t="b">
        <f t="shared" si="6"/>
        <v>1</v>
      </c>
      <c r="M60" s="9" t="str">
        <v>Sw</v>
      </c>
      <c r="N60" s="9" t="str">
        <v>35Y</v>
      </c>
      <c r="O60" s="9" t="str">
        <v>obj_0007f#0006</v>
      </c>
      <c r="P60" s="96">
        <f>_xll.qlRateHelperRate(O60,Trigger)</f>
        <v>1.0066399930000001E-2</v>
      </c>
      <c r="Q60" s="10">
        <f>_xll.qlRateHelperEarliestDate(O60,Trigger)</f>
        <v>42502</v>
      </c>
      <c r="R60" s="10">
        <f>_xll.qlRateHelperPillarDate(O60,Trigger)</f>
        <v>55285</v>
      </c>
      <c r="S60" s="96">
        <v>1.0248712802933924E-2</v>
      </c>
    </row>
    <row r="61" spans="1:19" ht="11.25" customHeight="1" x14ac:dyDescent="0.2">
      <c r="A61" s="91" t="str">
        <v>Sw</v>
      </c>
      <c r="B61" s="91" t="str">
        <v>36Y</v>
      </c>
      <c r="C61" s="91" t="str">
        <f>IF(A61="Sf",_xll.qlIMMNextCode(B61,Trigger),IF(LEFT(B61,1)="#",_xll.qlCalendarBusinessDaysBetween(Calendar,Settlementdate,DATE(LEFT(SUBSTITUTE(B61,"#",""),4),LEFT(RIGHT(SUBSTITUTE(B61,"#",""),4),2),RIGHT(SUBSTITUTE(B61,"#",""),2)),,,Trigger)-1&amp;"D",SUBSTITUTE(B61,"/","")))</f>
        <v>36Y</v>
      </c>
      <c r="D61" s="101">
        <f t="shared" si="2"/>
        <v>2</v>
      </c>
      <c r="E61" s="101" t="str">
        <f t="shared" si="3"/>
        <v>Annual</v>
      </c>
      <c r="F61" s="97" t="str">
        <f t="shared" si="7"/>
        <v>Modified Following</v>
      </c>
      <c r="G61" s="100" t="str">
        <f t="shared" si="4"/>
        <v>TRUE</v>
      </c>
      <c r="H61" s="97" t="str">
        <f t="shared" si="5"/>
        <v>30/360 (Bond Basis)</v>
      </c>
      <c r="I61" s="102">
        <v>1.005412625E-2</v>
      </c>
      <c r="J61" s="89" t="str">
        <f>IF(LEFT(A61,1)="D",_xll.qlDepositRateHelper2(,I61,IF(RIGHT(C61,1)="N","1D",C61),D61,Calendar,F61,G61,H61,,Trigger),IF(A61="Sw",_xll.qlSwapRateHelper2(,I61,D61,C61,Calendar,"Annual",F61,H61,"Euribor"&amp;$H$1,0,"0D",Discounting,,,,Trigger),IF(A61="Fr",_xll.qlFraRateHelper(,I61,SUBSTITUTE(LEFT(C61,2),"M","")&amp;"M","Euribor"&amp;$H$1,,,,Trigger),IF(A61="Sf",_xll.qlFuturesRateHelper(,I61,,C61,"Euribor"&amp;$H$1,0,,Trigger),"--"))))</f>
        <v>obj_00079#0006</v>
      </c>
      <c r="K61" s="98" t="b">
        <f t="shared" si="6"/>
        <v>1</v>
      </c>
      <c r="M61" s="9" t="str">
        <v>Sw</v>
      </c>
      <c r="N61" s="9" t="str">
        <v>36Y</v>
      </c>
      <c r="O61" s="9" t="str">
        <v>obj_00079#0006</v>
      </c>
      <c r="P61" s="96">
        <f>_xll.qlRateHelperRate(O61,Trigger)</f>
        <v>1.005412625E-2</v>
      </c>
      <c r="Q61" s="10">
        <f>_xll.qlRateHelperEarliestDate(O61,Trigger)</f>
        <v>42502</v>
      </c>
      <c r="R61" s="10">
        <f>_xll.qlRateHelperPillarDate(O61,Trigger)</f>
        <v>55652</v>
      </c>
      <c r="S61" s="96">
        <v>1.022662131803515E-2</v>
      </c>
    </row>
    <row r="62" spans="1:19" ht="11.25" customHeight="1" x14ac:dyDescent="0.2">
      <c r="A62" s="91" t="str">
        <v>Sw</v>
      </c>
      <c r="B62" s="91" t="str">
        <v>37Y</v>
      </c>
      <c r="C62" s="91" t="str">
        <f>IF(A62="Sf",_xll.qlIMMNextCode(B62,Trigger),IF(LEFT(B62,1)="#",_xll.qlCalendarBusinessDaysBetween(Calendar,Settlementdate,DATE(LEFT(SUBSTITUTE(B62,"#",""),4),LEFT(RIGHT(SUBSTITUTE(B62,"#",""),4),2),RIGHT(SUBSTITUTE(B62,"#",""),2)),,,Trigger)-1&amp;"D",SUBSTITUTE(B62,"/","")))</f>
        <v>37Y</v>
      </c>
      <c r="D62" s="101">
        <f t="shared" si="2"/>
        <v>2</v>
      </c>
      <c r="E62" s="101" t="str">
        <f t="shared" si="3"/>
        <v>Annual</v>
      </c>
      <c r="F62" s="97" t="str">
        <f t="shared" si="7"/>
        <v>Modified Following</v>
      </c>
      <c r="G62" s="100" t="str">
        <f t="shared" si="4"/>
        <v>TRUE</v>
      </c>
      <c r="H62" s="97" t="str">
        <f t="shared" si="5"/>
        <v>30/360 (Bond Basis)</v>
      </c>
      <c r="I62" s="102">
        <v>1.00357335E-2</v>
      </c>
      <c r="J62" s="89" t="str">
        <f>IF(LEFT(A62,1)="D",_xll.qlDepositRateHelper2(,I62,IF(RIGHT(C62,1)="N","1D",C62),D62,Calendar,F62,G62,H62,,Trigger),IF(A62="Sw",_xll.qlSwapRateHelper2(,I62,D62,C62,Calendar,"Annual",F62,H62,"Euribor"&amp;$H$1,0,"0D",Discounting,,,,Trigger),IF(A62="Fr",_xll.qlFraRateHelper(,I62,SUBSTITUTE(LEFT(C62,2),"M","")&amp;"M","Euribor"&amp;$H$1,,,,Trigger),IF(A62="Sf",_xll.qlFuturesRateHelper(,I62,,C62,"Euribor"&amp;$H$1,0,,Trigger),"--"))))</f>
        <v>obj_0005d#0006</v>
      </c>
      <c r="K62" s="98" t="b">
        <f t="shared" si="6"/>
        <v>1</v>
      </c>
      <c r="M62" s="9" t="str">
        <v>Sw</v>
      </c>
      <c r="N62" s="9" t="str">
        <v>37Y</v>
      </c>
      <c r="O62" s="9" t="str">
        <v>obj_0005d#0006</v>
      </c>
      <c r="P62" s="96">
        <f>_xll.qlRateHelperRate(O62,Trigger)</f>
        <v>1.00357335E-2</v>
      </c>
      <c r="Q62" s="10">
        <f>_xll.qlRateHelperEarliestDate(O62,Trigger)</f>
        <v>42502</v>
      </c>
      <c r="R62" s="10">
        <f>_xll.qlRateHelperPillarDate(O62,Trigger)</f>
        <v>56016</v>
      </c>
      <c r="S62" s="96">
        <v>1.0198283013709231E-2</v>
      </c>
    </row>
    <row r="63" spans="1:19" ht="11.25" customHeight="1" x14ac:dyDescent="0.2">
      <c r="A63" s="91" t="str">
        <v>Sw</v>
      </c>
      <c r="B63" s="91" t="str">
        <v>38Y</v>
      </c>
      <c r="C63" s="91" t="str">
        <f>IF(A63="Sf",_xll.qlIMMNextCode(B63,Trigger),IF(LEFT(B63,1)="#",_xll.qlCalendarBusinessDaysBetween(Calendar,Settlementdate,DATE(LEFT(SUBSTITUTE(B63,"#",""),4),LEFT(RIGHT(SUBSTITUTE(B63,"#",""),4),2),RIGHT(SUBSTITUTE(B63,"#",""),2)),,,Trigger)-1&amp;"D",SUBSTITUTE(B63,"/","")))</f>
        <v>38Y</v>
      </c>
      <c r="D63" s="101">
        <f t="shared" si="2"/>
        <v>2</v>
      </c>
      <c r="E63" s="101" t="str">
        <f t="shared" si="3"/>
        <v>Annual</v>
      </c>
      <c r="F63" s="97" t="str">
        <f t="shared" si="7"/>
        <v>Modified Following</v>
      </c>
      <c r="G63" s="100" t="str">
        <f t="shared" si="4"/>
        <v>TRUE</v>
      </c>
      <c r="H63" s="97" t="str">
        <f t="shared" si="5"/>
        <v>30/360 (Bond Basis)</v>
      </c>
      <c r="I63" s="102">
        <v>1.001102664E-2</v>
      </c>
      <c r="J63" s="89" t="str">
        <f>IF(LEFT(A63,1)="D",_xll.qlDepositRateHelper2(,I63,IF(RIGHT(C63,1)="N","1D",C63),D63,Calendar,F63,G63,H63,,Trigger),IF(A63="Sw",_xll.qlSwapRateHelper2(,I63,D63,C63,Calendar,"Annual",F63,H63,"Euribor"&amp;$H$1,0,"0D",Discounting,,,,Trigger),IF(A63="Fr",_xll.qlFraRateHelper(,I63,SUBSTITUTE(LEFT(C63,2),"M","")&amp;"M","Euribor"&amp;$H$1,,,,Trigger),IF(A63="Sf",_xll.qlFuturesRateHelper(,I63,,C63,"Euribor"&amp;$H$1,0,,Trigger),"--"))))</f>
        <v>obj_00063#0006</v>
      </c>
      <c r="K63" s="98" t="b">
        <f t="shared" si="6"/>
        <v>1</v>
      </c>
      <c r="M63" s="9" t="str">
        <v>Sw</v>
      </c>
      <c r="N63" s="9" t="str">
        <v>38Y</v>
      </c>
      <c r="O63" s="9" t="str">
        <v>obj_00063#0006</v>
      </c>
      <c r="P63" s="96">
        <f>_xll.qlRateHelperRate(O63,Trigger)</f>
        <v>1.001102664E-2</v>
      </c>
      <c r="Q63" s="10">
        <f>_xll.qlRateHelperEarliestDate(O63,Trigger)</f>
        <v>42502</v>
      </c>
      <c r="R63" s="10">
        <f>_xll.qlRateHelperPillarDate(O63,Trigger)</f>
        <v>56381</v>
      </c>
      <c r="S63" s="96">
        <v>1.0162570994972919E-2</v>
      </c>
    </row>
    <row r="64" spans="1:19" ht="11.25" customHeight="1" x14ac:dyDescent="0.2">
      <c r="A64" s="91" t="str">
        <v>Sw</v>
      </c>
      <c r="B64" s="91" t="str">
        <v>39Y</v>
      </c>
      <c r="C64" s="91" t="str">
        <f>IF(A64="Sf",_xll.qlIMMNextCode(B64,Trigger),IF(LEFT(B64,1)="#",_xll.qlCalendarBusinessDaysBetween(Calendar,Settlementdate,DATE(LEFT(SUBSTITUTE(B64,"#",""),4),LEFT(RIGHT(SUBSTITUTE(B64,"#",""),4),2),RIGHT(SUBSTITUTE(B64,"#",""),2)),,,Trigger)-1&amp;"D",SUBSTITUTE(B64,"/","")))</f>
        <v>39Y</v>
      </c>
      <c r="D64" s="101">
        <f t="shared" si="2"/>
        <v>2</v>
      </c>
      <c r="E64" s="101" t="str">
        <f t="shared" si="3"/>
        <v>Annual</v>
      </c>
      <c r="F64" s="97" t="str">
        <f t="shared" si="7"/>
        <v>Modified Following</v>
      </c>
      <c r="G64" s="100" t="str">
        <f t="shared" si="4"/>
        <v>TRUE</v>
      </c>
      <c r="H64" s="97" t="str">
        <f t="shared" si="5"/>
        <v>30/360 (Bond Basis)</v>
      </c>
      <c r="I64" s="102">
        <v>9.9791911799999994E-3</v>
      </c>
      <c r="J64" s="89" t="str">
        <f>IF(LEFT(A64,1)="D",_xll.qlDepositRateHelper2(,I64,IF(RIGHT(C64,1)="N","1D",C64),D64,Calendar,F64,G64,H64,,Trigger),IF(A64="Sw",_xll.qlSwapRateHelper2(,I64,D64,C64,Calendar,"Annual",F64,H64,"Euribor"&amp;$H$1,0,"0D",Discounting,,,,Trigger),IF(A64="Fr",_xll.qlFraRateHelper(,I64,SUBSTITUTE(LEFT(C64,2),"M","")&amp;"M","Euribor"&amp;$H$1,,,,Trigger),IF(A64="Sf",_xll.qlFuturesRateHelper(,I64,,C64,"Euribor"&amp;$H$1,0,,Trigger),"--"))))</f>
        <v>obj_00055#0006</v>
      </c>
      <c r="K64" s="98" t="b">
        <f t="shared" si="6"/>
        <v>1</v>
      </c>
      <c r="M64" s="9" t="str">
        <v>Sw</v>
      </c>
      <c r="N64" s="9" t="str">
        <v>39Y</v>
      </c>
      <c r="O64" s="9" t="str">
        <v>obj_00055#0006</v>
      </c>
      <c r="P64" s="96">
        <f>_xll.qlRateHelperRate(O64,Trigger)</f>
        <v>9.9791911799999994E-3</v>
      </c>
      <c r="Q64" s="10">
        <f>_xll.qlRateHelperEarliestDate(O64,Trigger)</f>
        <v>42502</v>
      </c>
      <c r="R64" s="10">
        <f>_xll.qlRateHelperPillarDate(O64,Trigger)</f>
        <v>56746</v>
      </c>
      <c r="S64" s="96">
        <v>1.0118441617974443E-2</v>
      </c>
    </row>
    <row r="65" spans="1:19" ht="11.25" customHeight="1" x14ac:dyDescent="0.2">
      <c r="A65" s="91" t="str">
        <v>Sw</v>
      </c>
      <c r="B65" s="91" t="str">
        <v>40Y</v>
      </c>
      <c r="C65" s="91" t="str">
        <f>IF(A65="Sf",_xll.qlIMMNextCode(B65,Trigger),IF(LEFT(B65,1)="#",_xll.qlCalendarBusinessDaysBetween(Calendar,Settlementdate,DATE(LEFT(SUBSTITUTE(B65,"#",""),4),LEFT(RIGHT(SUBSTITUTE(B65,"#",""),4),2),RIGHT(SUBSTITUTE(B65,"#",""),2)),,,Trigger)-1&amp;"D",SUBSTITUTE(B65,"/","")))</f>
        <v>40Y</v>
      </c>
      <c r="D65" s="101">
        <f t="shared" si="2"/>
        <v>2</v>
      </c>
      <c r="E65" s="101" t="str">
        <f t="shared" si="3"/>
        <v>Annual</v>
      </c>
      <c r="F65" s="97" t="str">
        <f t="shared" si="7"/>
        <v>Modified Following</v>
      </c>
      <c r="G65" s="100" t="str">
        <f t="shared" si="4"/>
        <v>TRUE</v>
      </c>
      <c r="H65" s="97" t="str">
        <f t="shared" si="5"/>
        <v>30/360 (Bond Basis)</v>
      </c>
      <c r="I65" s="102">
        <v>9.9399999999999992E-3</v>
      </c>
      <c r="J65" s="89" t="str">
        <f>IF(LEFT(A65,1)="D",_xll.qlDepositRateHelper2(,I65,IF(RIGHT(C65,1)="N","1D",C65),D65,Calendar,F65,G65,H65,,Trigger),IF(A65="Sw",_xll.qlSwapRateHelper2(,I65,D65,C65,Calendar,"Annual",F65,H65,"Euribor"&amp;$H$1,0,"0D",Discounting,,,,Trigger),IF(A65="Fr",_xll.qlFraRateHelper(,I65,SUBSTITUTE(LEFT(C65,2),"M","")&amp;"M","Euribor"&amp;$H$1,,,,Trigger),IF(A65="Sf",_xll.qlFuturesRateHelper(,I65,,C65,"Euribor"&amp;$H$1,0,,Trigger),"--"))))</f>
        <v>obj_00080#0006</v>
      </c>
      <c r="K65" s="98" t="b">
        <f t="shared" si="6"/>
        <v>1</v>
      </c>
      <c r="M65" s="9" t="str">
        <v>Sw</v>
      </c>
      <c r="N65" s="9" t="str">
        <v>40Y</v>
      </c>
      <c r="O65" s="9" t="str">
        <v>obj_00080#0006</v>
      </c>
      <c r="P65" s="96">
        <f>_xll.qlRateHelperRate(O65,Trigger)</f>
        <v>9.9399999999999992E-3</v>
      </c>
      <c r="Q65" s="10">
        <f>_xll.qlRateHelperEarliestDate(O65,Trigger)</f>
        <v>42502</v>
      </c>
      <c r="R65" s="10">
        <f>_xll.qlRateHelperPillarDate(O65,Trigger)</f>
        <v>57112</v>
      </c>
      <c r="S65" s="96">
        <v>1.0064868404940319E-2</v>
      </c>
    </row>
    <row r="66" spans="1:19" ht="11.25" customHeight="1" x14ac:dyDescent="0.2">
      <c r="A66" s="91" t="str">
        <v>Sw</v>
      </c>
      <c r="B66" s="91" t="str">
        <v>50Y</v>
      </c>
      <c r="C66" s="91" t="str">
        <f>IF(A66="Sf",_xll.qlIMMNextCode(B66,Trigger),IF(LEFT(B66,1)="#",_xll.qlCalendarBusinessDaysBetween(Calendar,Settlementdate,DATE(LEFT(SUBSTITUTE(B66,"#",""),4),LEFT(RIGHT(SUBSTITUTE(B66,"#",""),4),2),RIGHT(SUBSTITUTE(B66,"#",""),2)),,,Trigger)-1&amp;"D",SUBSTITUTE(B66,"/","")))</f>
        <v>50Y</v>
      </c>
      <c r="D66" s="101">
        <f t="shared" si="2"/>
        <v>2</v>
      </c>
      <c r="E66" s="101" t="str">
        <f t="shared" si="3"/>
        <v>Annual</v>
      </c>
      <c r="F66" s="97" t="str">
        <f t="shared" si="7"/>
        <v>Modified Following</v>
      </c>
      <c r="G66" s="100" t="str">
        <f t="shared" si="4"/>
        <v>TRUE</v>
      </c>
      <c r="H66" s="97" t="str">
        <f t="shared" si="5"/>
        <v>30/360 (Bond Basis)</v>
      </c>
      <c r="I66" s="102">
        <v>9.3400000000000011E-3</v>
      </c>
      <c r="J66" s="89" t="str">
        <f>IF(LEFT(A66,1)="D",_xll.qlDepositRateHelper2(,I66,IF(RIGHT(C66,1)="N","1D",C66),D66,Calendar,F66,G66,H66,,Trigger),IF(A66="Sw",_xll.qlSwapRateHelper2(,I66,D66,C66,Calendar,"Annual",F66,H66,"Euribor"&amp;$H$1,0,"0D",Discounting,,,,Trigger),IF(A66="Fr",_xll.qlFraRateHelper(,I66,SUBSTITUTE(LEFT(C66,2),"M","")&amp;"M","Euribor"&amp;$H$1,,,,Trigger),IF(A66="Sf",_xll.qlFuturesRateHelper(,I66,,C66,"Euribor"&amp;$H$1,0,,Trigger),"--"))))</f>
        <v>obj_00078#0006</v>
      </c>
      <c r="K66" s="98" t="b">
        <f t="shared" si="6"/>
        <v>1</v>
      </c>
      <c r="M66" s="9" t="str">
        <v>Sw</v>
      </c>
      <c r="N66" s="9" t="str">
        <v>50Y</v>
      </c>
      <c r="O66" s="9" t="str">
        <v>obj_00078#0006</v>
      </c>
      <c r="P66" s="96">
        <f>_xll.qlRateHelperRate(O66,Trigger)</f>
        <v>9.3400000000000011E-3</v>
      </c>
      <c r="Q66" s="10">
        <f>_xll.qlRateHelperEarliestDate(O66,Trigger)</f>
        <v>42502</v>
      </c>
      <c r="R66" s="10">
        <f>_xll.qlRateHelperPillarDate(O66,Trigger)</f>
        <v>60764</v>
      </c>
      <c r="S66" s="96">
        <v>9.2992911844717672E-3</v>
      </c>
    </row>
    <row r="67" spans="1:19" ht="11.25" customHeight="1" x14ac:dyDescent="0.2">
      <c r="A67" s="91" t="str">
        <v>Sw</v>
      </c>
      <c r="B67" s="91" t="str">
        <v>60Y</v>
      </c>
      <c r="C67" s="91" t="str">
        <f>IF(A67="Sf",_xll.qlIMMNextCode(B67,Trigger),IF(LEFT(B67,1)="#",_xll.qlCalendarBusinessDaysBetween(Calendar,Settlementdate,DATE(LEFT(SUBSTITUTE(B67,"#",""),4),LEFT(RIGHT(SUBSTITUTE(B67,"#",""),4),2),RIGHT(SUBSTITUTE(B67,"#",""),2)),,,Trigger)-1&amp;"D",SUBSTITUTE(B67,"/","")))</f>
        <v>60Y</v>
      </c>
      <c r="D67" s="101">
        <f t="shared" si="2"/>
        <v>2</v>
      </c>
      <c r="E67" s="101" t="str">
        <f t="shared" si="3"/>
        <v>Annual</v>
      </c>
      <c r="F67" s="97" t="str">
        <f t="shared" si="7"/>
        <v>Modified Following</v>
      </c>
      <c r="G67" s="100" t="str">
        <f t="shared" si="4"/>
        <v>TRUE</v>
      </c>
      <c r="H67" s="97" t="str">
        <f t="shared" si="5"/>
        <v>30/360 (Bond Basis)</v>
      </c>
      <c r="I67" s="102">
        <v>9.130000000000001E-3</v>
      </c>
      <c r="J67" s="89" t="str">
        <f>IF(LEFT(A67,1)="D",_xll.qlDepositRateHelper2(,I67,IF(RIGHT(C67,1)="N","1D",C67),D67,Calendar,F67,G67,H67,,Trigger),IF(A67="Sw",_xll.qlSwapRateHelper2(,I67,D67,C67,Calendar,"Annual",F67,H67,"Euribor"&amp;$H$1,0,"0D",Discounting,,,,Trigger),IF(A67="Fr",_xll.qlFraRateHelper(,I67,SUBSTITUTE(LEFT(C67,2),"M","")&amp;"M","Euribor"&amp;$H$1,,,,Trigger),IF(A67="Sf",_xll.qlFuturesRateHelper(,I67,,C67,"Euribor"&amp;$H$1,0,,Trigger),"--"))))</f>
        <v>obj_00077#0006</v>
      </c>
      <c r="K67" s="98" t="b">
        <f t="shared" si="6"/>
        <v>1</v>
      </c>
      <c r="M67" s="9" t="str">
        <v>Sw</v>
      </c>
      <c r="N67" s="9" t="str">
        <v>60Y</v>
      </c>
      <c r="O67" s="9" t="str">
        <v>obj_00077#0006</v>
      </c>
      <c r="P67" s="96">
        <f>_xll.qlRateHelperRate(O67,Trigger)</f>
        <v>9.130000000000001E-3</v>
      </c>
      <c r="Q67" s="10">
        <f>_xll.qlRateHelperEarliestDate(O67,Trigger)</f>
        <v>42502</v>
      </c>
      <c r="R67" s="10">
        <f>_xll.qlRateHelperPillarDate(O67,Trigger)</f>
        <v>64417</v>
      </c>
      <c r="S67" s="96">
        <v>9.0360677614213028E-3</v>
      </c>
    </row>
    <row r="68" spans="1:19" ht="11.25" customHeight="1" x14ac:dyDescent="0.2">
      <c r="A68" s="91" t="e">
        <v>#N/A</v>
      </c>
      <c r="B68" s="91" t="e">
        <v>#N/A</v>
      </c>
      <c r="C68" s="91" t="e">
        <f>IF(A68="Sf",_xll.qlIMMNextCode(B68,Trigger),IF(LEFT(B68,1)="#",_xll.qlCalendarBusinessDaysBetween(Calendar,Settlementdate,DATE(LEFT(SUBSTITUTE(B68,"#",""),4),LEFT(RIGHT(SUBSTITUTE(B68,"#",""),4),2),RIGHT(SUBSTITUTE(B68,"#",""),2)),,,Trigger)-1&amp;"D",SUBSTITUTE(B68,"/","")))</f>
        <v>#N/A</v>
      </c>
      <c r="D68" s="101" t="e">
        <f t="shared" ref="D68:D82" si="8">IF(C68="ON",0,IF(C68="TN",1,2))</f>
        <v>#N/A</v>
      </c>
      <c r="E68" s="101" t="e">
        <f t="shared" ref="E68:E82" si="9">IF(A68="Sw","Annual","--")</f>
        <v>#N/A</v>
      </c>
      <c r="F68" s="97" t="e">
        <f t="shared" si="7"/>
        <v>#N/A</v>
      </c>
      <c r="G68" s="100" t="e">
        <f t="shared" ref="G68:G82" si="10">IF(OR(RIGHT(C68,1)="M",RIGHT(C68,1)="Y"),"TRUE","FALSE")</f>
        <v>#N/A</v>
      </c>
      <c r="H68" s="97" t="e">
        <f t="shared" ref="H68:H82" si="11">IF(A68="Sw","30/360 (Bond Basis)","Actual/360")</f>
        <v>#N/A</v>
      </c>
      <c r="I68" s="102" t="e">
        <v>#N/A</v>
      </c>
      <c r="J68" s="89" t="e">
        <f>IF(LEFT(A68,1)="D",_xll.qlDepositRateHelper2(,I68,IF(RIGHT(C68,1)="N","1D",C68),D68,Calendar,F68,G68,H68,,Trigger),IF(A68="Sw",_xll.qlSwapRateHelper2(,I68,D68,C68,Calendar,"Annual",F68,H68,"Euribor"&amp;$H$1,0,"0D",Discounting,,,,Trigger),IF(A68="Fr",_xll.qlFraRateHelper(,I68,SUBSTITUTE(LEFT(C68,2),"M","")&amp;"M","Euribor"&amp;$H$1,,,,Trigger),IF(A68="Sf",_xll.qlFuturesRateHelper(,I68,,C68,"Euribor"&amp;$H$1,0,,Trigger),"--"))))</f>
        <v>#N/A</v>
      </c>
      <c r="K68" s="98" t="b">
        <f t="shared" si="6"/>
        <v>0</v>
      </c>
      <c r="M68" s="9" t="e">
        <v>#N/A</v>
      </c>
      <c r="N68" s="9" t="e">
        <v>#N/A</v>
      </c>
      <c r="O68" s="9" t="e">
        <v>#N/A</v>
      </c>
      <c r="P68" s="96" t="e">
        <f>_xll.qlRateHelperRate(O68,Trigger)</f>
        <v>#VALUE!</v>
      </c>
      <c r="Q68" s="10" t="e">
        <f>_xll.qlRateHelperEarliestDate(O68,Trigger)</f>
        <v>#VALUE!</v>
      </c>
      <c r="R68" s="10" t="e">
        <f>_xll.qlRateHelperPillarDate(O68,Trigger)</f>
        <v>#VALUE!</v>
      </c>
      <c r="S68" s="96" t="e">
        <v>#N/A</v>
      </c>
    </row>
    <row r="69" spans="1:19" ht="11.25" customHeight="1" x14ac:dyDescent="0.2">
      <c r="A69" s="91" t="e">
        <v>#N/A</v>
      </c>
      <c r="B69" s="91" t="e">
        <v>#N/A</v>
      </c>
      <c r="C69" s="91" t="e">
        <f>IF(A69="Sf",_xll.qlIMMNextCode(B69,Trigger),IF(LEFT(B69,1)="#",_xll.qlCalendarBusinessDaysBetween(Calendar,Settlementdate,DATE(LEFT(SUBSTITUTE(B69,"#",""),4),LEFT(RIGHT(SUBSTITUTE(B69,"#",""),4),2),RIGHT(SUBSTITUTE(B69,"#",""),2)),,,Trigger)-1&amp;"D",SUBSTITUTE(B69,"/","")))</f>
        <v>#N/A</v>
      </c>
      <c r="D69" s="101" t="e">
        <f t="shared" si="8"/>
        <v>#N/A</v>
      </c>
      <c r="E69" s="101" t="e">
        <f t="shared" si="9"/>
        <v>#N/A</v>
      </c>
      <c r="F69" s="97" t="e">
        <f t="shared" si="7"/>
        <v>#N/A</v>
      </c>
      <c r="G69" s="100" t="e">
        <f t="shared" si="10"/>
        <v>#N/A</v>
      </c>
      <c r="H69" s="97" t="e">
        <f t="shared" si="11"/>
        <v>#N/A</v>
      </c>
      <c r="I69" s="102" t="e">
        <v>#N/A</v>
      </c>
      <c r="J69" s="89" t="e">
        <f>IF(LEFT(A69,1)="D",_xll.qlDepositRateHelper2(,I69,IF(RIGHT(C69,1)="N","1D",C69),D69,Calendar,F69,G69,H69,,Trigger),IF(A69="Sw",_xll.qlSwapRateHelper2(,I69,D69,C69,Calendar,"Annual",F69,H69,"Euribor"&amp;$H$1,0,"0D",Discounting,,,,Trigger),IF(A69="Fr",_xll.qlFraRateHelper(,I69,SUBSTITUTE(LEFT(C69,2),"M","")&amp;"M","Euribor"&amp;$H$1,,,,Trigger),IF(A69="Sf",_xll.qlFuturesRateHelper(,I69,,C69,"Euribor"&amp;$H$1,0,,Trigger),"--"))))</f>
        <v>#N/A</v>
      </c>
      <c r="K69" s="98" t="b">
        <f t="shared" si="6"/>
        <v>0</v>
      </c>
      <c r="M69" s="9" t="e">
        <v>#N/A</v>
      </c>
      <c r="N69" s="9" t="e">
        <v>#N/A</v>
      </c>
      <c r="O69" s="9" t="e">
        <v>#N/A</v>
      </c>
      <c r="P69" s="96" t="e">
        <f>_xll.qlRateHelperRate(O69,Trigger)</f>
        <v>#VALUE!</v>
      </c>
      <c r="Q69" s="10" t="e">
        <f>_xll.qlRateHelperEarliestDate(O69,Trigger)</f>
        <v>#VALUE!</v>
      </c>
      <c r="R69" s="10" t="e">
        <f>_xll.qlRateHelperPillarDate(O69,Trigger)</f>
        <v>#VALUE!</v>
      </c>
      <c r="S69" s="96" t="e">
        <v>#N/A</v>
      </c>
    </row>
    <row r="70" spans="1:19" ht="11.25" customHeight="1" x14ac:dyDescent="0.2">
      <c r="A70" s="91" t="e">
        <v>#N/A</v>
      </c>
      <c r="B70" s="91" t="e">
        <v>#N/A</v>
      </c>
      <c r="C70" s="91" t="e">
        <f>IF(A70="Sf",_xll.qlIMMNextCode(B70,Trigger),IF(LEFT(B70,1)="#",_xll.qlCalendarBusinessDaysBetween(Calendar,Settlementdate,DATE(LEFT(SUBSTITUTE(B70,"#",""),4),LEFT(RIGHT(SUBSTITUTE(B70,"#",""),4),2),RIGHT(SUBSTITUTE(B70,"#",""),2)),,,Trigger)-1&amp;"D",SUBSTITUTE(B70,"/","")))</f>
        <v>#N/A</v>
      </c>
      <c r="D70" s="101" t="e">
        <f t="shared" si="8"/>
        <v>#N/A</v>
      </c>
      <c r="E70" s="101" t="e">
        <f t="shared" si="9"/>
        <v>#N/A</v>
      </c>
      <c r="F70" s="97" t="e">
        <f t="shared" si="7"/>
        <v>#N/A</v>
      </c>
      <c r="G70" s="100" t="e">
        <f t="shared" si="10"/>
        <v>#N/A</v>
      </c>
      <c r="H70" s="97" t="e">
        <f t="shared" si="11"/>
        <v>#N/A</v>
      </c>
      <c r="I70" s="102" t="e">
        <v>#N/A</v>
      </c>
      <c r="J70" s="89" t="e">
        <f>IF(LEFT(A70,1)="D",_xll.qlDepositRateHelper2(,I70,IF(RIGHT(C70,1)="N","1D",C70),D70,Calendar,F70,G70,H70,,Trigger),IF(A70="Sw",_xll.qlSwapRateHelper2(,I70,D70,C70,Calendar,"Annual",F70,H70,"Euribor"&amp;$H$1,0,"0D",Discounting,,,,Trigger),IF(A70="Fr",_xll.qlFraRateHelper(,I70,SUBSTITUTE(LEFT(C70,2),"M","")&amp;"M","Euribor"&amp;$H$1,,,,Trigger),IF(A70="Sf",_xll.qlFuturesRateHelper(,I70,,C70,"Euribor"&amp;$H$1,0,,Trigger),"--"))))</f>
        <v>#N/A</v>
      </c>
      <c r="K70" s="98" t="b">
        <f t="shared" si="6"/>
        <v>0</v>
      </c>
      <c r="M70" s="9" t="e">
        <v>#N/A</v>
      </c>
      <c r="N70" s="9" t="e">
        <v>#N/A</v>
      </c>
      <c r="O70" s="9" t="e">
        <v>#N/A</v>
      </c>
      <c r="P70" s="96" t="e">
        <f>_xll.qlRateHelperRate(O70,Trigger)</f>
        <v>#VALUE!</v>
      </c>
      <c r="Q70" s="10" t="e">
        <f>_xll.qlRateHelperEarliestDate(O70,Trigger)</f>
        <v>#VALUE!</v>
      </c>
      <c r="R70" s="10" t="e">
        <f>_xll.qlRateHelperPillarDate(O70,Trigger)</f>
        <v>#VALUE!</v>
      </c>
      <c r="S70" s="96" t="e">
        <v>#N/A</v>
      </c>
    </row>
    <row r="71" spans="1:19" ht="11.25" customHeight="1" x14ac:dyDescent="0.2">
      <c r="A71" s="91" t="e">
        <v>#N/A</v>
      </c>
      <c r="B71" s="91" t="e">
        <v>#N/A</v>
      </c>
      <c r="C71" s="91" t="e">
        <f>IF(A71="Sf",_xll.qlIMMNextCode(B71,Trigger),IF(LEFT(B71,1)="#",_xll.qlCalendarBusinessDaysBetween(Calendar,Settlementdate,DATE(LEFT(SUBSTITUTE(B71,"#",""),4),LEFT(RIGHT(SUBSTITUTE(B71,"#",""),4),2),RIGHT(SUBSTITUTE(B71,"#",""),2)),,,Trigger)-1&amp;"D",SUBSTITUTE(B71,"/","")))</f>
        <v>#N/A</v>
      </c>
      <c r="D71" s="101" t="e">
        <f t="shared" si="8"/>
        <v>#N/A</v>
      </c>
      <c r="E71" s="101" t="e">
        <f t="shared" si="9"/>
        <v>#N/A</v>
      </c>
      <c r="F71" s="97" t="e">
        <f t="shared" si="7"/>
        <v>#N/A</v>
      </c>
      <c r="G71" s="100" t="e">
        <f t="shared" si="10"/>
        <v>#N/A</v>
      </c>
      <c r="H71" s="97" t="e">
        <f t="shared" si="11"/>
        <v>#N/A</v>
      </c>
      <c r="I71" s="102" t="e">
        <v>#N/A</v>
      </c>
      <c r="J71" s="89" t="e">
        <f>IF(LEFT(A71,1)="D",_xll.qlDepositRateHelper2(,I71,IF(RIGHT(C71,1)="N","1D",C71),D71,Calendar,F71,G71,H71,,Trigger),IF(A71="Sw",_xll.qlSwapRateHelper2(,I71,D71,C71,Calendar,"Annual",F71,H71,"Euribor"&amp;$H$1,0,"0D",Discounting,,,,Trigger),IF(A71="Fr",_xll.qlFraRateHelper(,I71,SUBSTITUTE(LEFT(C71,2),"M","")&amp;"M","Euribor"&amp;$H$1,,,,Trigger),IF(A71="Sf",_xll.qlFuturesRateHelper(,I71,,C71,"Euribor"&amp;$H$1,0,,Trigger),"--"))))</f>
        <v>#N/A</v>
      </c>
      <c r="K71" s="98" t="b">
        <f t="shared" si="6"/>
        <v>0</v>
      </c>
      <c r="M71" s="9" t="e">
        <v>#N/A</v>
      </c>
      <c r="N71" s="9" t="e">
        <v>#N/A</v>
      </c>
      <c r="O71" s="9" t="e">
        <v>#N/A</v>
      </c>
      <c r="P71" s="96" t="e">
        <f>_xll.qlRateHelperRate(O71,Trigger)</f>
        <v>#VALUE!</v>
      </c>
      <c r="Q71" s="10" t="e">
        <f>_xll.qlRateHelperEarliestDate(O71,Trigger)</f>
        <v>#VALUE!</v>
      </c>
      <c r="R71" s="10" t="e">
        <f>_xll.qlRateHelperPillarDate(O71,Trigger)</f>
        <v>#VALUE!</v>
      </c>
      <c r="S71" s="96" t="e">
        <v>#N/A</v>
      </c>
    </row>
    <row r="72" spans="1:19" ht="11.25" customHeight="1" x14ac:dyDescent="0.2">
      <c r="A72" s="91" t="e">
        <v>#N/A</v>
      </c>
      <c r="B72" s="91" t="e">
        <v>#N/A</v>
      </c>
      <c r="C72" s="91" t="e">
        <f>IF(A72="Sf",_xll.qlIMMNextCode(B72,Trigger),IF(LEFT(B72,1)="#",_xll.qlCalendarBusinessDaysBetween(Calendar,Settlementdate,DATE(LEFT(SUBSTITUTE(B72,"#",""),4),LEFT(RIGHT(SUBSTITUTE(B72,"#",""),4),2),RIGHT(SUBSTITUTE(B72,"#",""),2)),,,Trigger)-1&amp;"D",SUBSTITUTE(B72,"/","")))</f>
        <v>#N/A</v>
      </c>
      <c r="D72" s="101" t="e">
        <f t="shared" si="8"/>
        <v>#N/A</v>
      </c>
      <c r="E72" s="101" t="e">
        <f t="shared" si="9"/>
        <v>#N/A</v>
      </c>
      <c r="F72" s="97" t="e">
        <f t="shared" si="7"/>
        <v>#N/A</v>
      </c>
      <c r="G72" s="100" t="e">
        <f t="shared" si="10"/>
        <v>#N/A</v>
      </c>
      <c r="H72" s="97" t="e">
        <f t="shared" si="11"/>
        <v>#N/A</v>
      </c>
      <c r="I72" s="102" t="e">
        <v>#N/A</v>
      </c>
      <c r="J72" s="89" t="e">
        <f>IF(LEFT(A72,1)="D",_xll.qlDepositRateHelper2(,I72,IF(RIGHT(C72,1)="N","1D",C72),D72,Calendar,F72,G72,H72,,Trigger),IF(A72="Sw",_xll.qlSwapRateHelper2(,I72,D72,C72,Calendar,"Annual",F72,H72,"Euribor"&amp;$H$1,0,"0D",Discounting,,,,Trigger),IF(A72="Fr",_xll.qlFraRateHelper(,I72,SUBSTITUTE(LEFT(C72,2),"M","")&amp;"M","Euribor"&amp;$H$1,,,,Trigger),IF(A72="Sf",_xll.qlFuturesRateHelper(,I72,,C72,"Euribor"&amp;$H$1,0,,Trigger),"--"))))</f>
        <v>#N/A</v>
      </c>
      <c r="K72" s="98" t="b">
        <f t="shared" si="6"/>
        <v>0</v>
      </c>
      <c r="M72" s="9" t="e">
        <v>#N/A</v>
      </c>
      <c r="N72" s="9" t="e">
        <v>#N/A</v>
      </c>
      <c r="O72" s="9" t="e">
        <v>#N/A</v>
      </c>
      <c r="P72" s="96" t="e">
        <f>_xll.qlRateHelperRate(O72,Trigger)</f>
        <v>#VALUE!</v>
      </c>
      <c r="Q72" s="10" t="e">
        <f>_xll.qlRateHelperEarliestDate(O72,Trigger)</f>
        <v>#VALUE!</v>
      </c>
      <c r="R72" s="10" t="e">
        <f>_xll.qlRateHelperPillarDate(O72,Trigger)</f>
        <v>#VALUE!</v>
      </c>
      <c r="S72" s="96" t="e">
        <v>#N/A</v>
      </c>
    </row>
    <row r="73" spans="1:19" ht="11.25" customHeight="1" x14ac:dyDescent="0.2">
      <c r="A73" s="91" t="e">
        <v>#N/A</v>
      </c>
      <c r="B73" s="91" t="e">
        <v>#N/A</v>
      </c>
      <c r="C73" s="91" t="e">
        <f>IF(A73="Sf",_xll.qlIMMNextCode(B73,Trigger),IF(LEFT(B73,1)="#",_xll.qlCalendarBusinessDaysBetween(Calendar,Settlementdate,DATE(LEFT(SUBSTITUTE(B73,"#",""),4),LEFT(RIGHT(SUBSTITUTE(B73,"#",""),4),2),RIGHT(SUBSTITUTE(B73,"#",""),2)),,,Trigger)-1&amp;"D",SUBSTITUTE(B73,"/","")))</f>
        <v>#N/A</v>
      </c>
      <c r="D73" s="101" t="e">
        <f t="shared" si="8"/>
        <v>#N/A</v>
      </c>
      <c r="E73" s="101" t="e">
        <f t="shared" si="9"/>
        <v>#N/A</v>
      </c>
      <c r="F73" s="97" t="e">
        <f t="shared" si="7"/>
        <v>#N/A</v>
      </c>
      <c r="G73" s="100" t="e">
        <f t="shared" si="10"/>
        <v>#N/A</v>
      </c>
      <c r="H73" s="97" t="e">
        <f t="shared" si="11"/>
        <v>#N/A</v>
      </c>
      <c r="I73" s="102" t="e">
        <v>#N/A</v>
      </c>
      <c r="J73" s="89" t="e">
        <f>IF(LEFT(A73,1)="D",_xll.qlDepositRateHelper2(,I73,IF(RIGHT(C73,1)="N","1D",C73),D73,Calendar,F73,G73,H73,,Trigger),IF(A73="Sw",_xll.qlSwapRateHelper2(,I73,D73,C73,Calendar,"Annual",F73,H73,"Euribor"&amp;$H$1,0,"0D",Discounting,,,,Trigger),IF(A73="Fr",_xll.qlFraRateHelper(,I73,SUBSTITUTE(LEFT(C73,2),"M","")&amp;"M","Euribor"&amp;$H$1,,,,Trigger),IF(A73="Sf",_xll.qlFuturesRateHelper(,I73,,C73,"Euribor"&amp;$H$1,0,,Trigger),"--"))))</f>
        <v>#N/A</v>
      </c>
      <c r="K73" s="98" t="b">
        <f t="shared" si="6"/>
        <v>0</v>
      </c>
      <c r="M73" s="9" t="e">
        <v>#N/A</v>
      </c>
      <c r="N73" s="9" t="e">
        <v>#N/A</v>
      </c>
      <c r="O73" s="9" t="e">
        <v>#N/A</v>
      </c>
      <c r="P73" s="96" t="e">
        <f>_xll.qlRateHelperRate(O73,Trigger)</f>
        <v>#VALUE!</v>
      </c>
      <c r="Q73" s="10" t="e">
        <f>_xll.qlRateHelperEarliestDate(O73,Trigger)</f>
        <v>#VALUE!</v>
      </c>
      <c r="R73" s="10" t="e">
        <f>_xll.qlRateHelperPillarDate(O73,Trigger)</f>
        <v>#VALUE!</v>
      </c>
      <c r="S73" s="96" t="e">
        <v>#N/A</v>
      </c>
    </row>
    <row r="74" spans="1:19" ht="11.25" customHeight="1" x14ac:dyDescent="0.2">
      <c r="A74" s="91" t="e">
        <v>#N/A</v>
      </c>
      <c r="B74" s="91" t="e">
        <v>#N/A</v>
      </c>
      <c r="C74" s="91" t="e">
        <f>IF(A74="Sf",_xll.qlIMMNextCode(B74,Trigger),IF(LEFT(B74,1)="#",_xll.qlCalendarBusinessDaysBetween(Calendar,Settlementdate,DATE(LEFT(SUBSTITUTE(B74,"#",""),4),LEFT(RIGHT(SUBSTITUTE(B74,"#",""),4),2),RIGHT(SUBSTITUTE(B74,"#",""),2)),,,Trigger)-1&amp;"D",SUBSTITUTE(B74,"/","")))</f>
        <v>#N/A</v>
      </c>
      <c r="D74" s="101" t="e">
        <f t="shared" si="8"/>
        <v>#N/A</v>
      </c>
      <c r="E74" s="101" t="e">
        <f t="shared" si="9"/>
        <v>#N/A</v>
      </c>
      <c r="F74" s="97" t="e">
        <f t="shared" si="7"/>
        <v>#N/A</v>
      </c>
      <c r="G74" s="100" t="e">
        <f t="shared" si="10"/>
        <v>#N/A</v>
      </c>
      <c r="H74" s="97" t="e">
        <f t="shared" si="11"/>
        <v>#N/A</v>
      </c>
      <c r="I74" s="102" t="e">
        <v>#N/A</v>
      </c>
      <c r="J74" s="89" t="e">
        <f>IF(LEFT(A74,1)="D",_xll.qlDepositRateHelper2(,I74,IF(RIGHT(C74,1)="N","1D",C74),D74,Calendar,F74,G74,H74,,Trigger),IF(A74="Sw",_xll.qlSwapRateHelper2(,I74,D74,C74,Calendar,"Annual",F74,H74,"Euribor"&amp;$H$1,0,"0D",Discounting,,,,Trigger),IF(A74="Fr",_xll.qlFraRateHelper(,I74,SUBSTITUTE(LEFT(C74,2),"M","")&amp;"M","Euribor"&amp;$H$1,,,,Trigger),IF(A74="Sf",_xll.qlFuturesRateHelper(,I74,,C74,"Euribor"&amp;$H$1,0,,Trigger),"--"))))</f>
        <v>#N/A</v>
      </c>
      <c r="K74" s="98" t="b">
        <f t="shared" si="6"/>
        <v>0</v>
      </c>
      <c r="M74" s="9" t="e">
        <v>#N/A</v>
      </c>
      <c r="N74" s="9" t="e">
        <v>#N/A</v>
      </c>
      <c r="O74" s="9" t="e">
        <v>#N/A</v>
      </c>
      <c r="P74" s="96" t="e">
        <f>_xll.qlRateHelperRate(O74,Trigger)</f>
        <v>#VALUE!</v>
      </c>
      <c r="Q74" s="10" t="e">
        <f>_xll.qlRateHelperEarliestDate(O74,Trigger)</f>
        <v>#VALUE!</v>
      </c>
      <c r="R74" s="10" t="e">
        <f>_xll.qlRateHelperPillarDate(O74,Trigger)</f>
        <v>#VALUE!</v>
      </c>
      <c r="S74" s="96" t="e">
        <v>#N/A</v>
      </c>
    </row>
    <row r="75" spans="1:19" ht="11.25" customHeight="1" x14ac:dyDescent="0.2">
      <c r="A75" s="91" t="e">
        <v>#N/A</v>
      </c>
      <c r="B75" s="91" t="e">
        <v>#N/A</v>
      </c>
      <c r="C75" s="91" t="e">
        <f>IF(A75="Sf",_xll.qlIMMNextCode(B75,Trigger),IF(LEFT(B75,1)="#",_xll.qlCalendarBusinessDaysBetween(Calendar,Settlementdate,DATE(LEFT(SUBSTITUTE(B75,"#",""),4),LEFT(RIGHT(SUBSTITUTE(B75,"#",""),4),2),RIGHT(SUBSTITUTE(B75,"#",""),2)),,,Trigger)-1&amp;"D",SUBSTITUTE(B75,"/","")))</f>
        <v>#N/A</v>
      </c>
      <c r="D75" s="101" t="e">
        <f t="shared" si="8"/>
        <v>#N/A</v>
      </c>
      <c r="E75" s="101" t="e">
        <f t="shared" si="9"/>
        <v>#N/A</v>
      </c>
      <c r="F75" s="97" t="e">
        <f t="shared" si="7"/>
        <v>#N/A</v>
      </c>
      <c r="G75" s="100" t="e">
        <f t="shared" si="10"/>
        <v>#N/A</v>
      </c>
      <c r="H75" s="97" t="e">
        <f t="shared" si="11"/>
        <v>#N/A</v>
      </c>
      <c r="I75" s="102" t="e">
        <v>#N/A</v>
      </c>
      <c r="J75" s="89" t="e">
        <f>IF(LEFT(A75,1)="D",_xll.qlDepositRateHelper2(,I75,IF(RIGHT(C75,1)="N","1D",C75),D75,Calendar,F75,G75,H75,,Trigger),IF(A75="Sw",_xll.qlSwapRateHelper2(,I75,D75,C75,Calendar,"Annual",F75,H75,"Euribor"&amp;$H$1,0,"0D",Discounting,,,,Trigger),IF(A75="Fr",_xll.qlFraRateHelper(,I75,SUBSTITUTE(LEFT(C75,2),"M","")&amp;"M","Euribor"&amp;$H$1,,,,Trigger),IF(A75="Sf",_xll.qlFuturesRateHelper(,I75,,C75,"Euribor"&amp;$H$1,0,,Trigger),"--"))))</f>
        <v>#N/A</v>
      </c>
      <c r="K75" s="98" t="b">
        <f t="shared" si="6"/>
        <v>0</v>
      </c>
      <c r="M75" s="9" t="e">
        <v>#N/A</v>
      </c>
      <c r="N75" s="9" t="e">
        <v>#N/A</v>
      </c>
      <c r="O75" s="9" t="e">
        <v>#N/A</v>
      </c>
      <c r="P75" s="96" t="e">
        <f>_xll.qlRateHelperRate(O75,Trigger)</f>
        <v>#VALUE!</v>
      </c>
      <c r="Q75" s="10" t="e">
        <f>_xll.qlRateHelperEarliestDate(O75,Trigger)</f>
        <v>#VALUE!</v>
      </c>
      <c r="R75" s="10" t="e">
        <f>_xll.qlRateHelperPillarDate(O75,Trigger)</f>
        <v>#VALUE!</v>
      </c>
      <c r="S75" s="96" t="e">
        <v>#N/A</v>
      </c>
    </row>
    <row r="76" spans="1:19" ht="11.25" customHeight="1" x14ac:dyDescent="0.2">
      <c r="A76" s="91" t="e">
        <v>#N/A</v>
      </c>
      <c r="B76" s="91" t="e">
        <v>#N/A</v>
      </c>
      <c r="C76" s="91" t="e">
        <f>IF(A76="Sf",_xll.qlIMMNextCode(B76,Trigger),IF(LEFT(B76,1)="#",_xll.qlCalendarBusinessDaysBetween(Calendar,Settlementdate,DATE(LEFT(SUBSTITUTE(B76,"#",""),4),LEFT(RIGHT(SUBSTITUTE(B76,"#",""),4),2),RIGHT(SUBSTITUTE(B76,"#",""),2)),,,Trigger)-1&amp;"D",SUBSTITUTE(B76,"/","")))</f>
        <v>#N/A</v>
      </c>
      <c r="D76" s="101" t="e">
        <f t="shared" si="8"/>
        <v>#N/A</v>
      </c>
      <c r="E76" s="101" t="e">
        <f t="shared" si="9"/>
        <v>#N/A</v>
      </c>
      <c r="F76" s="97" t="e">
        <f t="shared" si="7"/>
        <v>#N/A</v>
      </c>
      <c r="G76" s="100" t="e">
        <f t="shared" si="10"/>
        <v>#N/A</v>
      </c>
      <c r="H76" s="97" t="e">
        <f t="shared" si="11"/>
        <v>#N/A</v>
      </c>
      <c r="I76" s="102" t="e">
        <v>#N/A</v>
      </c>
      <c r="J76" s="89" t="e">
        <f>IF(LEFT(A76,1)="D",_xll.qlDepositRateHelper2(,I76,IF(RIGHT(C76,1)="N","1D",C76),D76,Calendar,F76,G76,H76,,Trigger),IF(A76="Sw",_xll.qlSwapRateHelper2(,I76,D76,C76,Calendar,"Annual",F76,H76,"Euribor"&amp;$H$1,0,"0D",Discounting,,,,Trigger),IF(A76="Fr",_xll.qlFraRateHelper(,I76,SUBSTITUTE(LEFT(C76,2),"M","")&amp;"M","Euribor"&amp;$H$1,,,,Trigger),IF(A76="Sf",_xll.qlFuturesRateHelper(,I76,,C76,"Euribor"&amp;$H$1,0,,Trigger),"--"))))</f>
        <v>#N/A</v>
      </c>
      <c r="K76" s="98" t="b">
        <f t="shared" si="6"/>
        <v>0</v>
      </c>
      <c r="M76" s="9" t="e">
        <v>#N/A</v>
      </c>
      <c r="N76" s="9" t="e">
        <v>#N/A</v>
      </c>
      <c r="O76" s="9" t="e">
        <v>#N/A</v>
      </c>
      <c r="P76" s="96" t="e">
        <f>_xll.qlRateHelperRate(O76,Trigger)</f>
        <v>#VALUE!</v>
      </c>
      <c r="Q76" s="10" t="e">
        <f>_xll.qlRateHelperEarliestDate(O76,Trigger)</f>
        <v>#VALUE!</v>
      </c>
      <c r="R76" s="10" t="e">
        <f>_xll.qlRateHelperPillarDate(O76,Trigger)</f>
        <v>#VALUE!</v>
      </c>
      <c r="S76" s="96" t="e">
        <v>#N/A</v>
      </c>
    </row>
    <row r="77" spans="1:19" ht="11.25" customHeight="1" x14ac:dyDescent="0.2">
      <c r="A77" s="91" t="e">
        <v>#N/A</v>
      </c>
      <c r="B77" s="91" t="e">
        <v>#N/A</v>
      </c>
      <c r="C77" s="91" t="e">
        <f>IF(A77="Sf",_xll.qlIMMNextCode(B77,Trigger),IF(LEFT(B77,1)="#",_xll.qlCalendarBusinessDaysBetween(Calendar,Settlementdate,DATE(LEFT(SUBSTITUTE(B77,"#",""),4),LEFT(RIGHT(SUBSTITUTE(B77,"#",""),4),2),RIGHT(SUBSTITUTE(B77,"#",""),2)),,,Trigger)-1&amp;"D",SUBSTITUTE(B77,"/","")))</f>
        <v>#N/A</v>
      </c>
      <c r="D77" s="101" t="e">
        <f t="shared" si="8"/>
        <v>#N/A</v>
      </c>
      <c r="E77" s="101" t="e">
        <f t="shared" si="9"/>
        <v>#N/A</v>
      </c>
      <c r="F77" s="97" t="e">
        <f t="shared" si="7"/>
        <v>#N/A</v>
      </c>
      <c r="G77" s="100" t="e">
        <f t="shared" si="10"/>
        <v>#N/A</v>
      </c>
      <c r="H77" s="97" t="e">
        <f t="shared" si="11"/>
        <v>#N/A</v>
      </c>
      <c r="I77" s="102" t="e">
        <v>#N/A</v>
      </c>
      <c r="J77" s="89" t="e">
        <f>IF(LEFT(A77,1)="D",_xll.qlDepositRateHelper2(,I77,IF(RIGHT(C77,1)="N","1D",C77),D77,Calendar,F77,G77,H77,,Trigger),IF(A77="Sw",_xll.qlSwapRateHelper2(,I77,D77,C77,Calendar,"Annual",F77,H77,"Euribor"&amp;$H$1,0,"0D",Discounting,,,,Trigger),IF(A77="Fr",_xll.qlFraRateHelper(,I77,SUBSTITUTE(LEFT(C77,2),"M","")&amp;"M","Euribor"&amp;$H$1,,,,Trigger),IF(A77="Sf",_xll.qlFuturesRateHelper(,I77,,C77,"Euribor"&amp;$H$1,0,,Trigger),"--"))))</f>
        <v>#N/A</v>
      </c>
      <c r="K77" s="98" t="b">
        <f t="shared" si="6"/>
        <v>0</v>
      </c>
      <c r="M77" s="9" t="e">
        <v>#N/A</v>
      </c>
      <c r="N77" s="9" t="e">
        <v>#N/A</v>
      </c>
      <c r="O77" s="9" t="e">
        <v>#N/A</v>
      </c>
      <c r="P77" s="96" t="e">
        <f>_xll.qlRateHelperRate(O77,Trigger)</f>
        <v>#VALUE!</v>
      </c>
      <c r="Q77" s="10" t="e">
        <f>_xll.qlRateHelperEarliestDate(O77,Trigger)</f>
        <v>#VALUE!</v>
      </c>
      <c r="R77" s="10" t="e">
        <f>_xll.qlRateHelperPillarDate(O77,Trigger)</f>
        <v>#VALUE!</v>
      </c>
      <c r="S77" s="96" t="e">
        <v>#N/A</v>
      </c>
    </row>
    <row r="78" spans="1:19" ht="11.25" customHeight="1" x14ac:dyDescent="0.2">
      <c r="A78" s="91" t="e">
        <v>#N/A</v>
      </c>
      <c r="B78" s="91" t="e">
        <v>#N/A</v>
      </c>
      <c r="C78" s="91" t="e">
        <f>IF(A78="Sf",_xll.qlIMMNextCode(B78,Trigger),IF(LEFT(B78,1)="#",_xll.qlCalendarBusinessDaysBetween(Calendar,Settlementdate,DATE(LEFT(SUBSTITUTE(B78,"#",""),4),LEFT(RIGHT(SUBSTITUTE(B78,"#",""),4),2),RIGHT(SUBSTITUTE(B78,"#",""),2)),,,Trigger)-1&amp;"D",SUBSTITUTE(B78,"/","")))</f>
        <v>#N/A</v>
      </c>
      <c r="D78" s="101" t="e">
        <f t="shared" si="8"/>
        <v>#N/A</v>
      </c>
      <c r="E78" s="101" t="e">
        <f t="shared" si="9"/>
        <v>#N/A</v>
      </c>
      <c r="F78" s="97" t="e">
        <f t="shared" si="7"/>
        <v>#N/A</v>
      </c>
      <c r="G78" s="100" t="e">
        <f t="shared" si="10"/>
        <v>#N/A</v>
      </c>
      <c r="H78" s="97" t="e">
        <f t="shared" si="11"/>
        <v>#N/A</v>
      </c>
      <c r="I78" s="102" t="e">
        <v>#N/A</v>
      </c>
      <c r="J78" s="89" t="e">
        <f>IF(LEFT(A78,1)="D",_xll.qlDepositRateHelper2(,I78,IF(RIGHT(C78,1)="N","1D",C78),D78,Calendar,F78,G78,H78,,Trigger),IF(A78="Sw",_xll.qlSwapRateHelper2(,I78,D78,C78,Calendar,"Annual",F78,H78,"Euribor"&amp;$H$1,0,"0D",Discounting,,,,Trigger),IF(A78="Fr",_xll.qlFraRateHelper(,I78,SUBSTITUTE(LEFT(C78,2),"M","")&amp;"M","Euribor"&amp;$H$1,,,,Trigger),IF(A78="Sf",_xll.qlFuturesRateHelper(,I78,,C78,"Euribor"&amp;$H$1,0,,Trigger),"--"))))</f>
        <v>#N/A</v>
      </c>
      <c r="K78" s="98" t="b">
        <f t="shared" si="6"/>
        <v>0</v>
      </c>
      <c r="M78" s="9" t="e">
        <v>#N/A</v>
      </c>
      <c r="N78" s="9" t="e">
        <v>#N/A</v>
      </c>
      <c r="O78" s="9" t="e">
        <v>#N/A</v>
      </c>
      <c r="P78" s="96" t="e">
        <f>_xll.qlRateHelperRate(O78,Trigger)</f>
        <v>#VALUE!</v>
      </c>
      <c r="Q78" s="10" t="e">
        <f>_xll.qlRateHelperEarliestDate(O78,Trigger)</f>
        <v>#VALUE!</v>
      </c>
      <c r="R78" s="10" t="e">
        <f>_xll.qlRateHelperPillarDate(O78,Trigger)</f>
        <v>#VALUE!</v>
      </c>
      <c r="S78" s="96" t="e">
        <v>#N/A</v>
      </c>
    </row>
    <row r="79" spans="1:19" ht="11.25" customHeight="1" x14ac:dyDescent="0.2">
      <c r="A79" s="91" t="e">
        <v>#N/A</v>
      </c>
      <c r="B79" s="91" t="e">
        <v>#N/A</v>
      </c>
      <c r="C79" s="91" t="e">
        <f>IF(A79="Sf",_xll.qlIMMNextCode(B79,Trigger),IF(LEFT(B79,1)="#",_xll.qlCalendarBusinessDaysBetween(Calendar,Settlementdate,DATE(LEFT(SUBSTITUTE(B79,"#",""),4),LEFT(RIGHT(SUBSTITUTE(B79,"#",""),4),2),RIGHT(SUBSTITUTE(B79,"#",""),2)),,,Trigger)-1&amp;"D",SUBSTITUTE(B79,"/","")))</f>
        <v>#N/A</v>
      </c>
      <c r="D79" s="101" t="e">
        <f t="shared" si="8"/>
        <v>#N/A</v>
      </c>
      <c r="E79" s="101" t="e">
        <f t="shared" si="9"/>
        <v>#N/A</v>
      </c>
      <c r="F79" s="97" t="e">
        <f t="shared" si="7"/>
        <v>#N/A</v>
      </c>
      <c r="G79" s="100" t="e">
        <f t="shared" si="10"/>
        <v>#N/A</v>
      </c>
      <c r="H79" s="97" t="e">
        <f t="shared" si="11"/>
        <v>#N/A</v>
      </c>
      <c r="I79" s="102" t="e">
        <v>#N/A</v>
      </c>
      <c r="J79" s="89" t="e">
        <f>IF(LEFT(A79,1)="D",_xll.qlDepositRateHelper2(,I79,IF(RIGHT(C79,1)="N","1D",C79),D79,Calendar,F79,G79,H79,,Trigger),IF(A79="Sw",_xll.qlSwapRateHelper2(,I79,D79,C79,Calendar,"Annual",F79,H79,"Euribor"&amp;$H$1,0,"0D",Discounting,,,,Trigger),IF(A79="Fr",_xll.qlFraRateHelper(,I79,SUBSTITUTE(LEFT(C79,2),"M","")&amp;"M","Euribor"&amp;$H$1,,,,Trigger),IF(A79="Sf",_xll.qlFuturesRateHelper(,I79,,C79,"Euribor"&amp;$H$1,0,,Trigger),"--"))))</f>
        <v>#N/A</v>
      </c>
      <c r="K79" s="98" t="b">
        <f t="shared" si="6"/>
        <v>0</v>
      </c>
      <c r="M79" s="9" t="e">
        <v>#N/A</v>
      </c>
      <c r="N79" s="9" t="e">
        <v>#N/A</v>
      </c>
      <c r="O79" s="9" t="e">
        <v>#N/A</v>
      </c>
      <c r="P79" s="96" t="e">
        <f>_xll.qlRateHelperRate(O79,Trigger)</f>
        <v>#VALUE!</v>
      </c>
      <c r="Q79" s="10" t="e">
        <f>_xll.qlRateHelperEarliestDate(O79,Trigger)</f>
        <v>#VALUE!</v>
      </c>
      <c r="R79" s="10" t="e">
        <f>_xll.qlRateHelperPillarDate(O79,Trigger)</f>
        <v>#VALUE!</v>
      </c>
      <c r="S79" s="96" t="e">
        <v>#N/A</v>
      </c>
    </row>
    <row r="80" spans="1:19" ht="11.25" customHeight="1" x14ac:dyDescent="0.2">
      <c r="A80" s="91" t="e">
        <v>#N/A</v>
      </c>
      <c r="B80" s="91" t="e">
        <v>#N/A</v>
      </c>
      <c r="C80" s="91" t="e">
        <f>IF(A80="Sf",_xll.qlIMMNextCode(B80,Trigger),IF(LEFT(B80,1)="#",_xll.qlCalendarBusinessDaysBetween(Calendar,Settlementdate,DATE(LEFT(SUBSTITUTE(B80,"#",""),4),LEFT(RIGHT(SUBSTITUTE(B80,"#",""),4),2),RIGHT(SUBSTITUTE(B80,"#",""),2)),,,Trigger)-1&amp;"D",SUBSTITUTE(B80,"/","")))</f>
        <v>#N/A</v>
      </c>
      <c r="D80" s="101" t="e">
        <f t="shared" si="8"/>
        <v>#N/A</v>
      </c>
      <c r="E80" s="101" t="e">
        <f t="shared" si="9"/>
        <v>#N/A</v>
      </c>
      <c r="F80" s="97" t="e">
        <f t="shared" si="7"/>
        <v>#N/A</v>
      </c>
      <c r="G80" s="100" t="e">
        <f t="shared" si="10"/>
        <v>#N/A</v>
      </c>
      <c r="H80" s="97" t="e">
        <f t="shared" si="11"/>
        <v>#N/A</v>
      </c>
      <c r="I80" s="102" t="e">
        <v>#N/A</v>
      </c>
      <c r="J80" s="89" t="e">
        <f>IF(LEFT(A80,1)="D",_xll.qlDepositRateHelper2(,I80,IF(RIGHT(C80,1)="N","1D",C80),D80,Calendar,F80,G80,H80,,Trigger),IF(A80="Sw",_xll.qlSwapRateHelper2(,I80,D80,C80,Calendar,"Annual",F80,H80,"Euribor"&amp;$H$1,0,"0D",Discounting,,,,Trigger),IF(A80="Fr",_xll.qlFraRateHelper(,I80,SUBSTITUTE(LEFT(C80,2),"M","")&amp;"M","Euribor"&amp;$H$1,,,,Trigger),IF(A80="Sf",_xll.qlFuturesRateHelper(,I80,,C80,"Euribor"&amp;$H$1,0,,Trigger),"--"))))</f>
        <v>#N/A</v>
      </c>
      <c r="K80" s="98" t="b">
        <f t="shared" si="6"/>
        <v>0</v>
      </c>
      <c r="M80" s="9" t="e">
        <v>#N/A</v>
      </c>
      <c r="N80" s="9" t="e">
        <v>#N/A</v>
      </c>
      <c r="O80" s="9" t="e">
        <v>#N/A</v>
      </c>
      <c r="P80" s="96" t="e">
        <f>_xll.qlRateHelperRate(O80,Trigger)</f>
        <v>#VALUE!</v>
      </c>
      <c r="Q80" s="10" t="e">
        <f>_xll.qlRateHelperEarliestDate(O80,Trigger)</f>
        <v>#VALUE!</v>
      </c>
      <c r="R80" s="10" t="e">
        <f>_xll.qlRateHelperPillarDate(O80,Trigger)</f>
        <v>#VALUE!</v>
      </c>
      <c r="S80" s="96" t="e">
        <v>#N/A</v>
      </c>
    </row>
    <row r="81" spans="1:19" ht="11.25" customHeight="1" x14ac:dyDescent="0.2">
      <c r="A81" s="91" t="e">
        <v>#N/A</v>
      </c>
      <c r="B81" s="91" t="e">
        <v>#N/A</v>
      </c>
      <c r="C81" s="91" t="e">
        <f>IF(A81="Sf",_xll.qlIMMNextCode(B81,Trigger),IF(LEFT(B81,1)="#",_xll.qlCalendarBusinessDaysBetween(Calendar,Settlementdate,DATE(LEFT(SUBSTITUTE(B81,"#",""),4),LEFT(RIGHT(SUBSTITUTE(B81,"#",""),4),2),RIGHT(SUBSTITUTE(B81,"#",""),2)),,,Trigger)-1&amp;"D",SUBSTITUTE(B81,"/","")))</f>
        <v>#N/A</v>
      </c>
      <c r="D81" s="101" t="e">
        <f t="shared" si="8"/>
        <v>#N/A</v>
      </c>
      <c r="E81" s="101" t="e">
        <f t="shared" si="9"/>
        <v>#N/A</v>
      </c>
      <c r="F81" s="97" t="e">
        <f t="shared" si="7"/>
        <v>#N/A</v>
      </c>
      <c r="G81" s="100" t="e">
        <f t="shared" si="10"/>
        <v>#N/A</v>
      </c>
      <c r="H81" s="97" t="e">
        <f t="shared" si="11"/>
        <v>#N/A</v>
      </c>
      <c r="I81" s="102" t="e">
        <v>#N/A</v>
      </c>
      <c r="J81" s="89" t="e">
        <f>IF(LEFT(A81,1)="D",_xll.qlDepositRateHelper2(,I81,IF(RIGHT(C81,1)="N","1D",C81),D81,Calendar,F81,G81,H81,,Trigger),IF(A81="Sw",_xll.qlSwapRateHelper2(,I81,D81,C81,Calendar,"Annual",F81,H81,"Euribor"&amp;$H$1,0,"0D",Discounting,,,,Trigger),IF(A81="Fr",_xll.qlFraRateHelper(,I81,SUBSTITUTE(LEFT(C81,2),"M","")&amp;"M","Euribor"&amp;$H$1,,,,Trigger),IF(A81="Sf",_xll.qlFuturesRateHelper(,I81,,C81,"Euribor"&amp;$H$1,0,,Trigger),"--"))))</f>
        <v>#N/A</v>
      </c>
      <c r="K81" s="98" t="b">
        <f t="shared" si="6"/>
        <v>0</v>
      </c>
      <c r="M81" s="9" t="e">
        <v>#N/A</v>
      </c>
      <c r="N81" s="9" t="e">
        <v>#N/A</v>
      </c>
      <c r="O81" s="9" t="e">
        <v>#N/A</v>
      </c>
      <c r="P81" s="96" t="e">
        <f>_xll.qlRateHelperRate(O81,Trigger)</f>
        <v>#VALUE!</v>
      </c>
      <c r="Q81" s="10" t="e">
        <f>_xll.qlRateHelperEarliestDate(O81,Trigger)</f>
        <v>#VALUE!</v>
      </c>
      <c r="R81" s="10" t="e">
        <f>_xll.qlRateHelperPillarDate(O81,Trigger)</f>
        <v>#VALUE!</v>
      </c>
      <c r="S81" s="96" t="e">
        <v>#N/A</v>
      </c>
    </row>
    <row r="82" spans="1:19" ht="11.25" customHeight="1" x14ac:dyDescent="0.2">
      <c r="A82" s="6" t="e">
        <v>#N/A</v>
      </c>
      <c r="B82" s="6" t="e">
        <v>#N/A</v>
      </c>
      <c r="C82" s="6" t="e">
        <f>IF(A82="Sf",_xll.qlIMMNextCode(B82,Trigger),IF(LEFT(B82,1)="#",_xll.qlCalendarBusinessDaysBetween(Calendar,Settlementdate,DATE(LEFT(SUBSTITUTE(B82,"#",""),4),LEFT(RIGHT(SUBSTITUTE(B82,"#",""),4),2),RIGHT(SUBSTITUTE(B82,"#",""),2)),,,Trigger)-1&amp;"D",SUBSTITUTE(B82,"/","")))</f>
        <v>#N/A</v>
      </c>
      <c r="D82" s="104" t="e">
        <f t="shared" si="8"/>
        <v>#N/A</v>
      </c>
      <c r="E82" s="104" t="e">
        <f t="shared" si="9"/>
        <v>#N/A</v>
      </c>
      <c r="F82" s="2" t="e">
        <f t="shared" si="7"/>
        <v>#N/A</v>
      </c>
      <c r="G82" s="103" t="e">
        <f t="shared" si="10"/>
        <v>#N/A</v>
      </c>
      <c r="H82" s="2" t="e">
        <f t="shared" si="11"/>
        <v>#N/A</v>
      </c>
      <c r="I82" s="105" t="e">
        <v>#N/A</v>
      </c>
      <c r="J82" s="4" t="e">
        <f>IF(LEFT(A82,1)="D",_xll.qlDepositRateHelper2(,I82,IF(RIGHT(C82,1)="N","1D",C82),D82,Calendar,F82,G82,H82,,Trigger),IF(A82="Sw",_xll.qlSwapRateHelper2(,I82,D82,C82,Calendar,"Annual",F82,H82,"Euribor"&amp;$H$1,0,"0D",Discounting,,,,Trigger),IF(A82="Fr",_xll.qlFraRateHelper(,I82,SUBSTITUTE(LEFT(C82,2),"M","")&amp;"M","Euribor"&amp;$H$1,,,,Trigger),IF(A82="Sf",_xll.qlFuturesRateHelper(,I82,,C82,"Euribor"&amp;$H$1,0,,Trigger),"--"))))</f>
        <v>#N/A</v>
      </c>
      <c r="K82" s="8" t="b">
        <f t="shared" si="6"/>
        <v>0</v>
      </c>
      <c r="M82" s="11" t="e">
        <v>#N/A</v>
      </c>
      <c r="N82" s="11" t="e">
        <v>#N/A</v>
      </c>
      <c r="O82" s="11" t="e">
        <v>#N/A</v>
      </c>
      <c r="P82" s="174" t="e">
        <f>_xll.qlRateHelperRate(O82,Trigger)</f>
        <v>#VALUE!</v>
      </c>
      <c r="Q82" s="19" t="e">
        <f>_xll.qlRateHelperEarliestDate(O82,Trigger)</f>
        <v>#VALUE!</v>
      </c>
      <c r="R82" s="19" t="e">
        <f>_xll.qlRateHelperPillarDate(O82,Trigger)</f>
        <v>#VALUE!</v>
      </c>
      <c r="S82" s="174" t="e">
        <v>#N/A</v>
      </c>
    </row>
    <row r="83" spans="1:19" ht="11.25" customHeight="1" x14ac:dyDescent="0.2"/>
    <row r="84" spans="1:19" ht="11.25" customHeight="1" x14ac:dyDescent="0.2"/>
    <row r="85" spans="1:19" ht="11.25" customHeight="1" x14ac:dyDescent="0.2"/>
    <row r="86" spans="1:19" ht="11.25" customHeight="1" x14ac:dyDescent="0.2"/>
    <row r="87" spans="1:19" ht="11.25" customHeight="1" x14ac:dyDescent="0.2"/>
    <row r="88" spans="1:19" ht="11.25" customHeight="1" x14ac:dyDescent="0.2"/>
    <row r="89" spans="1:19" ht="11.25" customHeight="1" x14ac:dyDescent="0.2"/>
  </sheetData>
  <dataValidations count="3">
    <dataValidation type="list" allowBlank="1" showInputMessage="1" showErrorMessage="1" sqref="F19:F82">
      <formula1>"Following,Modified Following,Preceding,Modified Preceding,Month End Reference,Unadjusted Month End,Unadjusted"</formula1>
    </dataValidation>
    <dataValidation type="list" allowBlank="1" showInputMessage="1" showErrorMessage="1" sqref="G19:G82">
      <formula1>"Annual,Semiannual,EveryFourthMonth,Quarterly,Bimonthly,Monthly,Biweekly,Weekly,Daily,Once,NoFrequency"</formula1>
    </dataValidation>
    <dataValidation type="list" allowBlank="1" showInputMessage="1" showErrorMessage="1" sqref="H3:H82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89"/>
  <sheetViews>
    <sheetView showGridLines="0" topLeftCell="L1" zoomScaleNormal="100" workbookViewId="0">
      <selection activeCell="S1" sqref="S1"/>
    </sheetView>
  </sheetViews>
  <sheetFormatPr defaultRowHeight="11.25" outlineLevelCol="1" x14ac:dyDescent="0.2"/>
  <cols>
    <col min="1" max="1" width="6.7109375" style="61" hidden="1" customWidth="1" outlineLevel="1"/>
    <col min="2" max="2" width="6.7109375" style="180" hidden="1" customWidth="1" outlineLevel="1"/>
    <col min="3" max="3" width="6.7109375" style="73" hidden="1" customWidth="1" outlineLevel="1"/>
    <col min="4" max="4" width="6.7109375" style="72" hidden="1" customWidth="1" outlineLevel="1"/>
    <col min="5" max="5" width="10" style="72" hidden="1" customWidth="1" outlineLevel="1"/>
    <col min="6" max="6" width="19.42578125" style="74" hidden="1" customWidth="1" outlineLevel="1"/>
    <col min="7" max="7" width="7" style="61" hidden="1" customWidth="1" outlineLevel="1"/>
    <col min="8" max="8" width="20.28515625" style="61" hidden="1" customWidth="1" outlineLevel="1"/>
    <col min="9" max="9" width="11.28515625" style="61" hidden="1" customWidth="1" outlineLevel="1"/>
    <col min="10" max="10" width="15.140625" style="61" hidden="1" customWidth="1" outlineLevel="1"/>
    <col min="11" max="11" width="9" style="72" hidden="1" customWidth="1" outlineLevel="1"/>
    <col min="12" max="12" width="2.7109375" style="61" customWidth="1" collapsed="1"/>
    <col min="13" max="13" width="5" style="61" bestFit="1" customWidth="1"/>
    <col min="14" max="14" width="8" style="61" bestFit="1" customWidth="1"/>
    <col min="15" max="15" width="15.140625" style="61" hidden="1" customWidth="1" outlineLevel="1"/>
    <col min="16" max="16" width="9" style="61" bestFit="1" customWidth="1" collapsed="1"/>
    <col min="17" max="18" width="17.28515625" style="61" bestFit="1" customWidth="1"/>
    <col min="19" max="19" width="12.7109375" style="61" customWidth="1"/>
    <col min="20" max="20" width="15.140625" style="61" bestFit="1" customWidth="1"/>
    <col min="21" max="21" width="9" style="61" bestFit="1" customWidth="1"/>
    <col min="22" max="16384" width="9.140625" style="61"/>
  </cols>
  <sheetData>
    <row r="1" spans="1:19" ht="18" customHeight="1" x14ac:dyDescent="0.2">
      <c r="B1" s="176"/>
      <c r="C1" s="68"/>
      <c r="D1" s="69"/>
      <c r="E1" s="69"/>
      <c r="F1" s="70"/>
      <c r="G1" s="71"/>
      <c r="H1" s="75" t="s">
        <v>7</v>
      </c>
      <c r="K1" s="69"/>
      <c r="M1" s="110" t="s">
        <v>146</v>
      </c>
      <c r="N1" s="93"/>
      <c r="O1" s="93"/>
      <c r="P1" s="94"/>
      <c r="Q1" s="93"/>
      <c r="R1" s="93"/>
      <c r="S1" s="109" t="s">
        <v>229</v>
      </c>
    </row>
    <row r="2" spans="1:19" ht="21" customHeight="1" x14ac:dyDescent="0.2">
      <c r="A2" s="92" t="s">
        <v>9</v>
      </c>
      <c r="B2" s="177"/>
      <c r="C2" s="92" t="s">
        <v>1</v>
      </c>
      <c r="D2" s="92" t="s">
        <v>2</v>
      </c>
      <c r="E2" s="92" t="s">
        <v>227</v>
      </c>
      <c r="F2" s="92" t="s">
        <v>8</v>
      </c>
      <c r="G2" s="92" t="s">
        <v>3</v>
      </c>
      <c r="H2" s="92" t="s">
        <v>4</v>
      </c>
      <c r="I2" s="92" t="s">
        <v>5</v>
      </c>
      <c r="J2" s="92" t="s">
        <v>32</v>
      </c>
      <c r="K2" s="92" t="s">
        <v>36</v>
      </c>
      <c r="M2" s="106" t="s">
        <v>9</v>
      </c>
      <c r="N2" s="106" t="s">
        <v>44</v>
      </c>
      <c r="O2" s="106" t="s">
        <v>32</v>
      </c>
      <c r="P2" s="107" t="s">
        <v>28</v>
      </c>
      <c r="Q2" s="106" t="s">
        <v>26</v>
      </c>
      <c r="R2" s="106" t="s">
        <v>27</v>
      </c>
      <c r="S2" s="95">
        <f t="array" ref="S2:S82">_xll.qlPiecewiseYieldCurveData(YieldCurve_6M,Trigger)</f>
        <v>-1.5391904212176042E-3</v>
      </c>
    </row>
    <row r="3" spans="1:19" ht="11.25" customHeight="1" x14ac:dyDescent="0.2">
      <c r="A3" s="76" t="str">
        <f t="array" ref="A3:A82">_xll.ohFilter(PastedValue!U2:U74,NOT(ISBLANK(PastedValue!U2:U74)))</f>
        <v>Dg</v>
      </c>
      <c r="B3" s="178" t="str">
        <f t="array" ref="B3:B82">_xll.ohFilter(PastedValue!Y2:Y74,NOT(ISBLANK(PastedValue!Y2:Y74)))</f>
        <v>S/N</v>
      </c>
      <c r="C3" s="183" t="str">
        <f>IF(A3="Sf",_xll.qlIMMNextCode(B3,Trigger),IF(LEFT(B3,1)="#",_xll.qlCalendarBusinessDaysBetween(Calendar,Settlementdate,DATE(LEFT(SUBSTITUTE(B3,"#",""),4),LEFT(RIGHT(SUBSTITUTE(B3,"#",""),4),2),RIGHT(SUBSTITUTE(B3,"#",""),2)),,,Trigger)-1&amp;"D",SUBSTITUTE(B3,"/","")))</f>
        <v>SN</v>
      </c>
      <c r="D3" s="78">
        <f>IF(C3="ON",0,IF(C3="TN",1,2))</f>
        <v>2</v>
      </c>
      <c r="E3" s="78" t="str">
        <f>IF(A3="Sw","Annual","--")</f>
        <v>--</v>
      </c>
      <c r="F3" s="77" t="str">
        <f>IF(OR(RIGHT(C3,1)="N",RIGHT(C3,1)="W"),"Following","Modified Following")</f>
        <v>Following</v>
      </c>
      <c r="G3" s="80" t="str">
        <f>IF(OR(RIGHT(C3,1)="M",RIGHT(C3,1)="Y"),"TRUE","FALSE")</f>
        <v>FALSE</v>
      </c>
      <c r="H3" s="99" t="str">
        <f>IF(A3="Sw","30/360 (Bond Basis)","Actual/360")</f>
        <v>Actual/360</v>
      </c>
      <c r="I3" s="181">
        <f t="array" ref="I3:I82">_xll.ohFilter(PastedValue!AB2:AB74,NOT(ISBLANK(PastedValue!AB2:AB74)))/IF(A3:A82="Sf",1,100)</f>
        <v>-1.5181024200000002E-3</v>
      </c>
      <c r="J3" s="83" t="str">
        <f>IF(LEFT(A3,1)="D",_xll.qlDepositRateHelper2(,I3,IF(RIGHT(C3,1)="N","1D",C3),D3,Calendar,F3,G3,H3,,Trigger),IF(A3="Sw",_xll.qlSwapRateHelper2(,I3,D3,C3,Calendar,"Annual",F3,H3,"Euribor"&amp;$H$1,0,"0D",Discounting,,,,Trigger),IF(A3="Fr",_xll.qlFraRateHelper(,I3,SUBSTITUTE(LEFT(C3,2),"M","")&amp;"M","Euribor"&amp;$H$1,,,,Trigger),IF(A3="Sf",_xll.qlFuturesRateHelper(,I3,,C3,"Euribor"&amp;$H$1,0,,Trigger),"--"))))</f>
        <v>obj_0001e#0010</v>
      </c>
      <c r="K3" s="78" t="b">
        <f t="shared" ref="K3:K17" si="0">IF(ISERROR(J3),FALSE,TRUE)</f>
        <v>1</v>
      </c>
      <c r="M3" s="9" t="str">
        <f t="array" ref="M3:M82">_xll.ohPack(_xll.ohFilter(A3:A82,K3:K82),Trigger)</f>
        <v>Dg</v>
      </c>
      <c r="N3" s="9" t="str">
        <f t="array" ref="N3:N82">_xll.ohPack(_xll.ohFilter(C3:C82,K3:K82),Trigger)</f>
        <v>SN</v>
      </c>
      <c r="O3" s="9" t="str">
        <f t="array" ref="O3:O82">_xll.ohPack(_xll.ohFilter(J3:J82,K3:K82))</f>
        <v>obj_0001e#0010</v>
      </c>
      <c r="P3" s="96">
        <f>_xll.qlRateHelperRate(O3,Trigger)</f>
        <v>-1.5181024200000002E-3</v>
      </c>
      <c r="Q3" s="10">
        <f>_xll.qlRateHelperEarliestDate(O3,Trigger)</f>
        <v>42502</v>
      </c>
      <c r="R3" s="10">
        <f>_xll.qlRateHelperPillarDate(O3,Trigger)</f>
        <v>42503</v>
      </c>
      <c r="S3" s="96">
        <v>-1.5391904212176042E-3</v>
      </c>
    </row>
    <row r="4" spans="1:19" ht="11.25" customHeight="1" x14ac:dyDescent="0.2">
      <c r="A4" s="84" t="str">
        <v>Dg</v>
      </c>
      <c r="B4" s="179" t="str">
        <v>1W</v>
      </c>
      <c r="C4" s="184" t="str">
        <f>IF(A4="Sf",_xll.qlIMMNextCode(B4,Trigger),IF(LEFT(B4,1)="#",_xll.qlCalendarBusinessDaysBetween(Calendar,Settlementdate,DATE(LEFT(SUBSTITUTE(B4,"#",""),4),LEFT(RIGHT(SUBSTITUTE(B4,"#",""),4),2),RIGHT(SUBSTITUTE(B4,"#",""),2)),,,Trigger)-1&amp;"D",SUBSTITUTE(B4,"/","")))</f>
        <v>1W</v>
      </c>
      <c r="D4" s="86">
        <f t="shared" ref="D4:D67" si="1">IF(C4="ON",0,IF(C4="TN",1,2))</f>
        <v>2</v>
      </c>
      <c r="E4" s="86" t="str">
        <f t="shared" ref="E4:E67" si="2">IF(A4="Sw","Annual","--")</f>
        <v>--</v>
      </c>
      <c r="F4" s="85" t="str">
        <f t="shared" ref="F4:F67" si="3">IF(OR(RIGHT(C4,1)="N",RIGHT(C4,1)="W"),"Following","Modified Following")</f>
        <v>Following</v>
      </c>
      <c r="G4" s="88" t="str">
        <f t="shared" ref="G4:G67" si="4">IF(OR(RIGHT(C4,1)="M",RIGHT(C4,1)="Y"),"TRUE","FALSE")</f>
        <v>FALSE</v>
      </c>
      <c r="H4" s="100" t="str">
        <f t="shared" ref="H4:H67" si="5">IF(A4="Sw","30/360 (Bond Basis)","Actual/360")</f>
        <v>Actual/360</v>
      </c>
      <c r="I4" s="182">
        <v>-1.5180832199999999E-3</v>
      </c>
      <c r="J4" s="91" t="str">
        <f>IF(LEFT(A4,1)="D",_xll.qlDepositRateHelper2(,I4,IF(RIGHT(C4,1)="N","1D",C4),D4,Calendar,F4,G4,H4,,Trigger),IF(A4="Sw",_xll.qlSwapRateHelper2(,I4,D4,C4,Calendar,"Annual",F4,H4,"Euribor"&amp;$H$1,0,"0D",Discounting,,,,Trigger),IF(A4="Fr",_xll.qlFraRateHelper(,I4,SUBSTITUTE(LEFT(C4,2),"M","")&amp;"M","Euribor"&amp;$H$1,,,,Trigger),IF(A4="Sf",_xll.qlFuturesRateHelper(,I4,,C4,"Euribor"&amp;$H$1,0,,Trigger),"--"))))</f>
        <v>obj_00009#0009</v>
      </c>
      <c r="K4" s="86" t="b">
        <f t="shared" si="0"/>
        <v>1</v>
      </c>
      <c r="M4" s="9" t="str">
        <v>Dg</v>
      </c>
      <c r="N4" s="9" t="str">
        <v>1W</v>
      </c>
      <c r="O4" s="9" t="str">
        <v>obj_00009#0009</v>
      </c>
      <c r="P4" s="96">
        <f>_xll.qlRateHelperRate(O4,Trigger)</f>
        <v>-1.5180832199999999E-3</v>
      </c>
      <c r="Q4" s="10">
        <f>_xll.qlRateHelperEarliestDate(O4,Trigger)</f>
        <v>42502</v>
      </c>
      <c r="R4" s="10">
        <f>_xll.qlRateHelperPillarDate(O4,Trigger)</f>
        <v>42509</v>
      </c>
      <c r="S4" s="96">
        <v>-1.5391904253030163E-3</v>
      </c>
    </row>
    <row r="5" spans="1:19" ht="11.25" customHeight="1" x14ac:dyDescent="0.2">
      <c r="A5" s="84" t="str">
        <v>Dg</v>
      </c>
      <c r="B5" s="179" t="str">
        <v>2W</v>
      </c>
      <c r="C5" s="184" t="str">
        <f>IF(A5="Sf",_xll.qlIMMNextCode(B5,Trigger),IF(LEFT(B5,1)="#",_xll.qlCalendarBusinessDaysBetween(Calendar,Settlementdate,DATE(LEFT(SUBSTITUTE(B5,"#",""),4),LEFT(RIGHT(SUBSTITUTE(B5,"#",""),4),2),RIGHT(SUBSTITUTE(B5,"#",""),2)),,,Trigger)-1&amp;"D",SUBSTITUTE(B5,"/","")))</f>
        <v>2W</v>
      </c>
      <c r="D5" s="86">
        <f t="shared" si="1"/>
        <v>2</v>
      </c>
      <c r="E5" s="86" t="str">
        <f t="shared" si="2"/>
        <v>--</v>
      </c>
      <c r="F5" s="85" t="str">
        <f t="shared" si="3"/>
        <v>Following</v>
      </c>
      <c r="G5" s="88" t="str">
        <f t="shared" si="4"/>
        <v>FALSE</v>
      </c>
      <c r="H5" s="100" t="str">
        <f t="shared" si="5"/>
        <v>Actual/360</v>
      </c>
      <c r="I5" s="182">
        <v>-1.5180608100000001E-3</v>
      </c>
      <c r="J5" s="91" t="str">
        <f>IF(LEFT(A5,1)="D",_xll.qlDepositRateHelper2(,I5,IF(RIGHT(C5,1)="N","1D",C5),D5,Calendar,F5,G5,H5,,Trigger),IF(A5="Sw",_xll.qlSwapRateHelper2(,I5,D5,C5,Calendar,"Annual",F5,H5,"Euribor"&amp;$H$1,0,"0D",Discounting,,,,Trigger),IF(A5="Fr",_xll.qlFraRateHelper(,I5,SUBSTITUTE(LEFT(C5,2),"M","")&amp;"M","Euribor"&amp;$H$1,,,,Trigger),IF(A5="Sf",_xll.qlFuturesRateHelper(,I5,,C5,"Euribor"&amp;$H$1,0,,Trigger),"--"))))</f>
        <v>obj_00004#0009</v>
      </c>
      <c r="K5" s="86" t="b">
        <f t="shared" si="0"/>
        <v>1</v>
      </c>
      <c r="M5" s="9" t="str">
        <v>Dg</v>
      </c>
      <c r="N5" s="9" t="str">
        <v>2W</v>
      </c>
      <c r="O5" s="9" t="str">
        <v>obj_00004#0009</v>
      </c>
      <c r="P5" s="96">
        <f>_xll.qlRateHelperRate(O5,Trigger)</f>
        <v>-1.5180608100000001E-3</v>
      </c>
      <c r="Q5" s="10">
        <f>_xll.qlRateHelperEarliestDate(O5,Trigger)</f>
        <v>42502</v>
      </c>
      <c r="R5" s="10">
        <f>_xll.qlRateHelperPillarDate(O5,Trigger)</f>
        <v>42516</v>
      </c>
      <c r="S5" s="96">
        <v>-1.5391904220219599E-3</v>
      </c>
    </row>
    <row r="6" spans="1:19" ht="11.25" customHeight="1" x14ac:dyDescent="0.2">
      <c r="A6" s="84" t="str">
        <v>Dg</v>
      </c>
      <c r="B6" s="179" t="str">
        <v>3W</v>
      </c>
      <c r="C6" s="184" t="str">
        <f>IF(A6="Sf",_xll.qlIMMNextCode(B6,Trigger),IF(LEFT(B6,1)="#",_xll.qlCalendarBusinessDaysBetween(Calendar,Settlementdate,DATE(LEFT(SUBSTITUTE(B6,"#",""),4),LEFT(RIGHT(SUBSTITUTE(B6,"#",""),4),2),RIGHT(SUBSTITUTE(B6,"#",""),2)),,,Trigger)-1&amp;"D",SUBSTITUTE(B6,"/","")))</f>
        <v>3W</v>
      </c>
      <c r="D6" s="86">
        <f t="shared" si="1"/>
        <v>2</v>
      </c>
      <c r="E6" s="86" t="str">
        <f t="shared" si="2"/>
        <v>--</v>
      </c>
      <c r="F6" s="85" t="str">
        <f t="shared" si="3"/>
        <v>Following</v>
      </c>
      <c r="G6" s="88" t="str">
        <f t="shared" si="4"/>
        <v>FALSE</v>
      </c>
      <c r="H6" s="100" t="str">
        <f t="shared" si="5"/>
        <v>Actual/360</v>
      </c>
      <c r="I6" s="182">
        <v>-1.5180384099999999E-3</v>
      </c>
      <c r="J6" s="91" t="str">
        <f>IF(LEFT(A6,1)="D",_xll.qlDepositRateHelper2(,I6,IF(RIGHT(C6,1)="N","1D",C6),D6,Calendar,F6,G6,H6,,Trigger),IF(A6="Sw",_xll.qlSwapRateHelper2(,I6,D6,C6,Calendar,"Annual",F6,H6,"Euribor"&amp;$H$1,0,"0D",Discounting,,,,Trigger),IF(A6="Fr",_xll.qlFraRateHelper(,I6,SUBSTITUTE(LEFT(C6,2),"M","")&amp;"M","Euribor"&amp;$H$1,,,,Trigger),IF(A6="Sf",_xll.qlFuturesRateHelper(,I6,,C6,"Euribor"&amp;$H$1,0,,Trigger),"--"))))</f>
        <v>obj_00000#0009</v>
      </c>
      <c r="K6" s="86" t="b">
        <f t="shared" si="0"/>
        <v>1</v>
      </c>
      <c r="M6" s="9" t="str">
        <v>Dg</v>
      </c>
      <c r="N6" s="9" t="str">
        <v>3W</v>
      </c>
      <c r="O6" s="9" t="str">
        <v>obj_00000#0009</v>
      </c>
      <c r="P6" s="96">
        <f>_xll.qlRateHelperRate(O6,Trigger)</f>
        <v>-1.5180384099999999E-3</v>
      </c>
      <c r="Q6" s="10">
        <f>_xll.qlRateHelperEarliestDate(O6,Trigger)</f>
        <v>42502</v>
      </c>
      <c r="R6" s="10">
        <f>_xll.qlRateHelperPillarDate(O6,Trigger)</f>
        <v>42523</v>
      </c>
      <c r="S6" s="96">
        <v>-1.5391904264226209E-3</v>
      </c>
    </row>
    <row r="7" spans="1:19" ht="11.25" customHeight="1" x14ac:dyDescent="0.2">
      <c r="A7" s="84" t="str">
        <v>Dp</v>
      </c>
      <c r="B7" s="179" t="str">
        <v>1M</v>
      </c>
      <c r="C7" s="184" t="str">
        <f>IF(A7="Sf",_xll.qlIMMNextCode(B7,Trigger),IF(LEFT(B7,1)="#",_xll.qlCalendarBusinessDaysBetween(Calendar,Settlementdate,DATE(LEFT(SUBSTITUTE(B7,"#",""),4),LEFT(RIGHT(SUBSTITUTE(B7,"#",""),4),2),RIGHT(SUBSTITUTE(B7,"#",""),2)),,,Trigger)-1&amp;"D",SUBSTITUTE(B7,"/","")))</f>
        <v>1M</v>
      </c>
      <c r="D7" s="86">
        <f t="shared" si="1"/>
        <v>2</v>
      </c>
      <c r="E7" s="86" t="str">
        <f t="shared" si="2"/>
        <v>--</v>
      </c>
      <c r="F7" s="85" t="str">
        <f t="shared" si="3"/>
        <v>Modified Following</v>
      </c>
      <c r="G7" s="88" t="str">
        <f t="shared" si="4"/>
        <v>TRUE</v>
      </c>
      <c r="H7" s="100" t="str">
        <f t="shared" si="5"/>
        <v>Actual/360</v>
      </c>
      <c r="I7" s="182">
        <v>-1.5179999999999998E-3</v>
      </c>
      <c r="J7" s="91" t="str">
        <f>IF(LEFT(A7,1)="D",_xll.qlDepositRateHelper2(,I7,IF(RIGHT(C7,1)="N","1D",C7),D7,Calendar,F7,G7,H7,,Trigger),IF(A7="Sw",_xll.qlSwapRateHelper2(,I7,D7,C7,Calendar,"Annual",F7,H7,"Euribor"&amp;$H$1,0,"0D",Discounting,,,,Trigger),IF(A7="Fr",_xll.qlFraRateHelper(,I7,SUBSTITUTE(LEFT(C7,2),"M","")&amp;"M","Euribor"&amp;$H$1,,,,Trigger),IF(A7="Sf",_xll.qlFuturesRateHelper(,I7,,C7,"Euribor"&amp;$H$1,0,,Trigger),"--"))))</f>
        <v>obj_00002#0009</v>
      </c>
      <c r="K7" s="86" t="b">
        <f t="shared" si="0"/>
        <v>1</v>
      </c>
      <c r="M7" s="9" t="str">
        <v>Dp</v>
      </c>
      <c r="N7" s="9" t="str">
        <v>1M</v>
      </c>
      <c r="O7" s="9" t="str">
        <v>obj_00002#0009</v>
      </c>
      <c r="P7" s="96">
        <f>_xll.qlRateHelperRate(O7,Trigger)</f>
        <v>-1.5179999999999998E-3</v>
      </c>
      <c r="Q7" s="10">
        <f>_xll.qlRateHelperEarliestDate(O7,Trigger)</f>
        <v>42502</v>
      </c>
      <c r="R7" s="10">
        <f>_xll.qlRateHelperPillarDate(O7,Trigger)</f>
        <v>42534</v>
      </c>
      <c r="S7" s="96">
        <v>-1.5391873701854719E-3</v>
      </c>
    </row>
    <row r="8" spans="1:19" ht="11.25" customHeight="1" x14ac:dyDescent="0.2">
      <c r="A8" s="84" t="str">
        <v>Dp</v>
      </c>
      <c r="B8" s="179" t="str">
        <v>2M</v>
      </c>
      <c r="C8" s="184" t="str">
        <f>IF(A8="Sf",_xll.qlIMMNextCode(B8,Trigger),IF(LEFT(B8,1)="#",_xll.qlCalendarBusinessDaysBetween(Calendar,Settlementdate,DATE(LEFT(SUBSTITUTE(B8,"#",""),4),LEFT(RIGHT(SUBSTITUTE(B8,"#",""),4),2),RIGHT(SUBSTITUTE(B8,"#",""),2)),,,Trigger)-1&amp;"D",SUBSTITUTE(B8,"/","")))</f>
        <v>2M</v>
      </c>
      <c r="D8" s="86">
        <f t="shared" si="1"/>
        <v>2</v>
      </c>
      <c r="E8" s="86" t="str">
        <f t="shared" si="2"/>
        <v>--</v>
      </c>
      <c r="F8" s="85" t="str">
        <f t="shared" si="3"/>
        <v>Modified Following</v>
      </c>
      <c r="G8" s="88" t="str">
        <f t="shared" si="4"/>
        <v>TRUE</v>
      </c>
      <c r="H8" s="100" t="str">
        <f t="shared" si="5"/>
        <v>Actual/360</v>
      </c>
      <c r="I8" s="182">
        <v>-1.4829999999999999E-3</v>
      </c>
      <c r="J8" s="91" t="str">
        <f>IF(LEFT(A8,1)="D",_xll.qlDepositRateHelper2(,I8,IF(RIGHT(C8,1)="N","1D",C8),D8,Calendar,F8,G8,H8,,Trigger),IF(A8="Sw",_xll.qlSwapRateHelper2(,I8,D8,C8,Calendar,"Annual",F8,H8,"Euribor"&amp;$H$1,0,"0D",Discounting,,,,Trigger),IF(A8="Fr",_xll.qlFraRateHelper(,I8,SUBSTITUTE(LEFT(C8,2),"M","")&amp;"M","Euribor"&amp;$H$1,,,,Trigger),IF(A8="Sf",_xll.qlFuturesRateHelper(,I8,,C8,"Euribor"&amp;$H$1,0,,Trigger),"--"))))</f>
        <v>obj_00003#0009</v>
      </c>
      <c r="K8" s="86" t="b">
        <f t="shared" si="0"/>
        <v>1</v>
      </c>
      <c r="M8" s="9" t="str">
        <v>Dp</v>
      </c>
      <c r="N8" s="9" t="str">
        <v>2M</v>
      </c>
      <c r="O8" s="9" t="str">
        <v>obj_00003#0009</v>
      </c>
      <c r="P8" s="96">
        <f>_xll.qlRateHelperRate(O8,Trigger)</f>
        <v>-1.4829999999999999E-3</v>
      </c>
      <c r="Q8" s="10">
        <f>_xll.qlRateHelperEarliestDate(O8,Trigger)</f>
        <v>42502</v>
      </c>
      <c r="R8" s="10">
        <f>_xll.qlRateHelperPillarDate(O8,Trigger)</f>
        <v>42563</v>
      </c>
      <c r="S8" s="96">
        <v>-1.5049101148952623E-3</v>
      </c>
    </row>
    <row r="9" spans="1:19" ht="11.25" customHeight="1" x14ac:dyDescent="0.2">
      <c r="A9" s="84" t="str">
        <v>Dp</v>
      </c>
      <c r="B9" s="179" t="str">
        <v>3M</v>
      </c>
      <c r="C9" s="184" t="str">
        <f>IF(A9="Sf",_xll.qlIMMNextCode(B9,Trigger),IF(LEFT(B9,1)="#",_xll.qlCalendarBusinessDaysBetween(Calendar,Settlementdate,DATE(LEFT(SUBSTITUTE(B9,"#",""),4),LEFT(RIGHT(SUBSTITUTE(B9,"#",""),4),2),RIGHT(SUBSTITUTE(B9,"#",""),2)),,,Trigger)-1&amp;"D",SUBSTITUTE(B9,"/","")))</f>
        <v>3M</v>
      </c>
      <c r="D9" s="86">
        <f t="shared" si="1"/>
        <v>2</v>
      </c>
      <c r="E9" s="86" t="str">
        <f t="shared" si="2"/>
        <v>--</v>
      </c>
      <c r="F9" s="85" t="str">
        <f t="shared" si="3"/>
        <v>Modified Following</v>
      </c>
      <c r="G9" s="88" t="str">
        <f t="shared" si="4"/>
        <v>TRUE</v>
      </c>
      <c r="H9" s="100" t="str">
        <f t="shared" si="5"/>
        <v>Actual/360</v>
      </c>
      <c r="I9" s="182">
        <v>-1.477E-3</v>
      </c>
      <c r="J9" s="91" t="str">
        <f>IF(LEFT(A9,1)="D",_xll.qlDepositRateHelper2(,I9,IF(RIGHT(C9,1)="N","1D",C9),D9,Calendar,F9,G9,H9,,Trigger),IF(A9="Sw",_xll.qlSwapRateHelper2(,I9,D9,C9,Calendar,"Annual",F9,H9,"Euribor"&amp;$H$1,0,"0D",Discounting,,,,Trigger),IF(A9="Fr",_xll.qlFraRateHelper(,I9,SUBSTITUTE(LEFT(C9,2),"M","")&amp;"M","Euribor"&amp;$H$1,,,,Trigger),IF(A9="Sf",_xll.qlFuturesRateHelper(,I9,,C9,"Euribor"&amp;$H$1,0,,Trigger),"--"))))</f>
        <v>obj_00005#0009</v>
      </c>
      <c r="K9" s="86" t="b">
        <f t="shared" si="0"/>
        <v>1</v>
      </c>
      <c r="M9" s="9" t="str">
        <v>Dp</v>
      </c>
      <c r="N9" s="9" t="str">
        <v>3M</v>
      </c>
      <c r="O9" s="9" t="str">
        <v>obj_00005#0009</v>
      </c>
      <c r="P9" s="96">
        <f>_xll.qlRateHelperRate(O9,Trigger)</f>
        <v>-1.477E-3</v>
      </c>
      <c r="Q9" s="10">
        <f>_xll.qlRateHelperEarliestDate(O9,Trigger)</f>
        <v>42502</v>
      </c>
      <c r="R9" s="10">
        <f>_xll.qlRateHelperPillarDate(O9,Trigger)</f>
        <v>42594</v>
      </c>
      <c r="S9" s="96">
        <v>-1.4986773024686618E-3</v>
      </c>
    </row>
    <row r="10" spans="1:19" ht="11.25" customHeight="1" x14ac:dyDescent="0.2">
      <c r="A10" s="84" t="str">
        <v>Dp</v>
      </c>
      <c r="B10" s="179" t="str">
        <v>4M</v>
      </c>
      <c r="C10" s="184" t="str">
        <f>IF(A10="Sf",_xll.qlIMMNextCode(B10,Trigger),IF(LEFT(B10,1)="#",_xll.qlCalendarBusinessDaysBetween(Calendar,Settlementdate,DATE(LEFT(SUBSTITUTE(B10,"#",""),4),LEFT(RIGHT(SUBSTITUTE(B10,"#",""),4),2),RIGHT(SUBSTITUTE(B10,"#",""),2)),,,Trigger)-1&amp;"D",SUBSTITUTE(B10,"/","")))</f>
        <v>4M</v>
      </c>
      <c r="D10" s="86">
        <f t="shared" si="1"/>
        <v>2</v>
      </c>
      <c r="E10" s="86" t="str">
        <f t="shared" si="2"/>
        <v>--</v>
      </c>
      <c r="F10" s="85" t="str">
        <f t="shared" si="3"/>
        <v>Modified Following</v>
      </c>
      <c r="G10" s="88" t="str">
        <f t="shared" si="4"/>
        <v>TRUE</v>
      </c>
      <c r="H10" s="100" t="str">
        <f t="shared" si="5"/>
        <v>Actual/360</v>
      </c>
      <c r="I10" s="182">
        <v>-1.4519999999999999E-3</v>
      </c>
      <c r="J10" s="91" t="str">
        <f>IF(LEFT(A10,1)="D",_xll.qlDepositRateHelper2(,I10,IF(RIGHT(C10,1)="N","1D",C10),D10,Calendar,F10,G10,H10,,Trigger),IF(A10="Sw",_xll.qlSwapRateHelper2(,I10,D10,C10,Calendar,"Annual",F10,H10,"Euribor"&amp;$H$1,0,"0D",Discounting,,,,Trigger),IF(A10="Fr",_xll.qlFraRateHelper(,I10,SUBSTITUTE(LEFT(C10,2),"M","")&amp;"M","Euribor"&amp;$H$1,,,,Trigger),IF(A10="Sf",_xll.qlFuturesRateHelper(,I10,,C10,"Euribor"&amp;$H$1,0,,Trigger),"--"))))</f>
        <v>obj_0001d#0009</v>
      </c>
      <c r="K10" s="86" t="b">
        <f t="shared" si="0"/>
        <v>1</v>
      </c>
      <c r="M10" s="9" t="str">
        <v>Dp</v>
      </c>
      <c r="N10" s="9" t="str">
        <v>4M</v>
      </c>
      <c r="O10" s="9" t="str">
        <v>obj_0001d#0009</v>
      </c>
      <c r="P10" s="96">
        <f>_xll.qlRateHelperRate(O10,Trigger)</f>
        <v>-1.4519999999999999E-3</v>
      </c>
      <c r="Q10" s="10">
        <f>_xll.qlRateHelperEarliestDate(O10,Trigger)</f>
        <v>42502</v>
      </c>
      <c r="R10" s="10">
        <f>_xll.qlRateHelperPillarDate(O10,Trigger)</f>
        <v>42625</v>
      </c>
      <c r="S10" s="96">
        <v>-1.4735984938321503E-3</v>
      </c>
    </row>
    <row r="11" spans="1:19" ht="11.25" customHeight="1" x14ac:dyDescent="0.2">
      <c r="A11" s="84" t="str">
        <v>Dp</v>
      </c>
      <c r="B11" s="179" t="str">
        <v>5M</v>
      </c>
      <c r="C11" s="184" t="str">
        <f>IF(A11="Sf",_xll.qlIMMNextCode(B11,Trigger),IF(LEFT(B11,1)="#",_xll.qlCalendarBusinessDaysBetween(Calendar,Settlementdate,DATE(LEFT(SUBSTITUTE(B11,"#",""),4),LEFT(RIGHT(SUBSTITUTE(B11,"#",""),4),2),RIGHT(SUBSTITUTE(B11,"#",""),2)),,,Trigger)-1&amp;"D",SUBSTITUTE(B11,"/","")))</f>
        <v>5M</v>
      </c>
      <c r="D11" s="86">
        <f t="shared" si="1"/>
        <v>2</v>
      </c>
      <c r="E11" s="86" t="str">
        <f t="shared" si="2"/>
        <v>--</v>
      </c>
      <c r="F11" s="85" t="str">
        <f t="shared" si="3"/>
        <v>Modified Following</v>
      </c>
      <c r="G11" s="88" t="str">
        <f t="shared" si="4"/>
        <v>TRUE</v>
      </c>
      <c r="H11" s="100" t="str">
        <f t="shared" si="5"/>
        <v>Actual/360</v>
      </c>
      <c r="I11" s="182">
        <v>-1.462E-3</v>
      </c>
      <c r="J11" s="91" t="str">
        <f>IF(LEFT(A11,1)="D",_xll.qlDepositRateHelper2(,I11,IF(RIGHT(C11,1)="N","1D",C11),D11,Calendar,F11,G11,H11,,Trigger),IF(A11="Sw",_xll.qlSwapRateHelper2(,I11,D11,C11,Calendar,"Annual",F11,H11,"Euribor"&amp;$H$1,0,"0D",Discounting,,,,Trigger),IF(A11="Fr",_xll.qlFraRateHelper(,I11,SUBSTITUTE(LEFT(C11,2),"M","")&amp;"M","Euribor"&amp;$H$1,,,,Trigger),IF(A11="Sf",_xll.qlFuturesRateHelper(,I11,,C11,"Euribor"&amp;$H$1,0,,Trigger),"--"))))</f>
        <v>obj_0001b#0009</v>
      </c>
      <c r="K11" s="86" t="b">
        <f t="shared" si="0"/>
        <v>1</v>
      </c>
      <c r="M11" s="9" t="str">
        <v>Dp</v>
      </c>
      <c r="N11" s="9" t="str">
        <v>5M</v>
      </c>
      <c r="O11" s="9" t="str">
        <v>obj_0001b#0009</v>
      </c>
      <c r="P11" s="96">
        <f>_xll.qlRateHelperRate(O11,Trigger)</f>
        <v>-1.462E-3</v>
      </c>
      <c r="Q11" s="10">
        <f>_xll.qlRateHelperEarliestDate(O11,Trigger)</f>
        <v>42502</v>
      </c>
      <c r="R11" s="10">
        <f>_xll.qlRateHelperPillarDate(O11,Trigger)</f>
        <v>42655</v>
      </c>
      <c r="S11" s="96">
        <v>-1.4834943153551865E-3</v>
      </c>
    </row>
    <row r="12" spans="1:19" ht="11.25" customHeight="1" x14ac:dyDescent="0.2">
      <c r="A12" s="84" t="str">
        <v>Dp</v>
      </c>
      <c r="B12" s="179" t="str">
        <v>6M</v>
      </c>
      <c r="C12" s="184" t="str">
        <f>IF(A12="Sf",_xll.qlIMMNextCode(B12,Trigger),IF(LEFT(B12,1)="#",_xll.qlCalendarBusinessDaysBetween(Calendar,Settlementdate,DATE(LEFT(SUBSTITUTE(B12,"#",""),4),LEFT(RIGHT(SUBSTITUTE(B12,"#",""),4),2),RIGHT(SUBSTITUTE(B12,"#",""),2)),,,Trigger)-1&amp;"D",SUBSTITUTE(B12,"/","")))</f>
        <v>6M</v>
      </c>
      <c r="D12" s="86">
        <f t="shared" si="1"/>
        <v>2</v>
      </c>
      <c r="E12" s="86" t="str">
        <f t="shared" si="2"/>
        <v>--</v>
      </c>
      <c r="F12" s="85" t="str">
        <f t="shared" si="3"/>
        <v>Modified Following</v>
      </c>
      <c r="G12" s="88" t="str">
        <f t="shared" si="4"/>
        <v>TRUE</v>
      </c>
      <c r="H12" s="100" t="str">
        <f t="shared" si="5"/>
        <v>Actual/360</v>
      </c>
      <c r="I12" s="182">
        <v>-1.4729999999999999E-3</v>
      </c>
      <c r="J12" s="91" t="str">
        <f>IF(LEFT(A12,1)="D",_xll.qlDepositRateHelper2(,I12,IF(RIGHT(C12,1)="N","1D",C12),D12,Calendar,F12,G12,H12,,Trigger),IF(A12="Sw",_xll.qlSwapRateHelper2(,I12,D12,C12,Calendar,"Annual",F12,H12,"Euribor"&amp;$H$1,0,"0D",Discounting,,,,Trigger),IF(A12="Fr",_xll.qlFraRateHelper(,I12,SUBSTITUTE(LEFT(C12,2),"M","")&amp;"M","Euribor"&amp;$H$1,,,,Trigger),IF(A12="Sf",_xll.qlFuturesRateHelper(,I12,,C12,"Euribor"&amp;$H$1,0,,Trigger),"--"))))</f>
        <v>obj_00006#0009</v>
      </c>
      <c r="K12" s="86" t="b">
        <f t="shared" si="0"/>
        <v>1</v>
      </c>
      <c r="M12" s="9" t="str">
        <v>Dp</v>
      </c>
      <c r="N12" s="9" t="str">
        <v>6M</v>
      </c>
      <c r="O12" s="9" t="str">
        <v>obj_00006#0009</v>
      </c>
      <c r="P12" s="96">
        <f>_xll.qlRateHelperRate(O12,Trigger)</f>
        <v>-1.4729999999999999E-3</v>
      </c>
      <c r="Q12" s="10">
        <f>_xll.qlRateHelperEarliestDate(O12,Trigger)</f>
        <v>42502</v>
      </c>
      <c r="R12" s="10">
        <f>_xll.qlRateHelperPillarDate(O12,Trigger)</f>
        <v>42688</v>
      </c>
      <c r="S12" s="96">
        <v>-1.4945073829599584E-3</v>
      </c>
    </row>
    <row r="13" spans="1:19" ht="11.25" customHeight="1" x14ac:dyDescent="0.2">
      <c r="A13" s="84" t="str">
        <v>Fr</v>
      </c>
      <c r="B13" s="179" t="str">
        <v>1M-7M</v>
      </c>
      <c r="C13" s="184" t="str">
        <f>IF(A13="Sf",_xll.qlIMMNextCode(B13,Trigger),IF(LEFT(B13,1)="#",_xll.qlCalendarBusinessDaysBetween(Calendar,Settlementdate,DATE(LEFT(SUBSTITUTE(B13,"#",""),4),LEFT(RIGHT(SUBSTITUTE(B13,"#",""),4),2),RIGHT(SUBSTITUTE(B13,"#",""),2)),,,Trigger)-1&amp;"D",SUBSTITUTE(B13,"/","")))</f>
        <v>1M-7M</v>
      </c>
      <c r="D13" s="86">
        <f t="shared" si="1"/>
        <v>2</v>
      </c>
      <c r="E13" s="86" t="str">
        <f t="shared" si="2"/>
        <v>--</v>
      </c>
      <c r="F13" s="85" t="str">
        <f t="shared" si="3"/>
        <v>Modified Following</v>
      </c>
      <c r="G13" s="88" t="str">
        <f t="shared" si="4"/>
        <v>TRUE</v>
      </c>
      <c r="H13" s="100" t="str">
        <f t="shared" si="5"/>
        <v>Actual/360</v>
      </c>
      <c r="I13" s="182">
        <v>-1.4599999999999999E-3</v>
      </c>
      <c r="J13" s="91" t="str">
        <f>IF(LEFT(A13,1)="D",_xll.qlDepositRateHelper2(,I13,IF(RIGHT(C13,1)="N","1D",C13),D13,Calendar,F13,G13,H13,,Trigger),IF(A13="Sw",_xll.qlSwapRateHelper2(,I13,D13,C13,Calendar,"Annual",F13,H13,"Euribor"&amp;$H$1,0,"0D",Discounting,,,,Trigger),IF(A13="Fr",_xll.qlFraRateHelper(,I13,SUBSTITUTE(LEFT(C13,2),"M","")&amp;"M","Euribor"&amp;$H$1,,,,Trigger),IF(A13="Sf",_xll.qlFuturesRateHelper(,I13,,C13,"Euribor"&amp;$H$1,0,,Trigger),"--"))))</f>
        <v>obj_000e0#0007</v>
      </c>
      <c r="K13" s="86" t="b">
        <f t="shared" si="0"/>
        <v>1</v>
      </c>
      <c r="M13" s="9" t="str">
        <v>Fr</v>
      </c>
      <c r="N13" s="9" t="str">
        <v>1M-7M</v>
      </c>
      <c r="O13" s="9" t="str">
        <v>obj_000e0#0007</v>
      </c>
      <c r="P13" s="96">
        <f>_xll.qlRateHelperRate(O13,Trigger)</f>
        <v>-1.4599999999999999E-3</v>
      </c>
      <c r="Q13" s="10">
        <f>_xll.qlRateHelperEarliestDate(O13,Trigger)</f>
        <v>42534</v>
      </c>
      <c r="R13" s="10">
        <f>_xll.qlRateHelperPillarDate(O13,Trigger)</f>
        <v>42716</v>
      </c>
      <c r="S13" s="96">
        <v>-1.4899651576191703E-3</v>
      </c>
    </row>
    <row r="14" spans="1:19" ht="11.25" customHeight="1" x14ac:dyDescent="0.2">
      <c r="A14" s="84" t="str">
        <v>Fr</v>
      </c>
      <c r="B14" s="179" t="str">
        <v>2M-8M</v>
      </c>
      <c r="C14" s="184" t="str">
        <f>IF(A14="Sf",_xll.qlIMMNextCode(B14,Trigger),IF(LEFT(B14,1)="#",_xll.qlCalendarBusinessDaysBetween(Calendar,Settlementdate,DATE(LEFT(SUBSTITUTE(B14,"#",""),4),LEFT(RIGHT(SUBSTITUTE(B14,"#",""),4),2),RIGHT(SUBSTITUTE(B14,"#",""),2)),,,Trigger)-1&amp;"D",SUBSTITUTE(B14,"/","")))</f>
        <v>2M-8M</v>
      </c>
      <c r="D14" s="86">
        <f t="shared" si="1"/>
        <v>2</v>
      </c>
      <c r="E14" s="86" t="str">
        <f t="shared" si="2"/>
        <v>--</v>
      </c>
      <c r="F14" s="85" t="str">
        <f t="shared" si="3"/>
        <v>Modified Following</v>
      </c>
      <c r="G14" s="88" t="str">
        <f t="shared" si="4"/>
        <v>TRUE</v>
      </c>
      <c r="H14" s="100" t="str">
        <f t="shared" si="5"/>
        <v>Actual/360</v>
      </c>
      <c r="I14" s="182">
        <v>-1.47E-3</v>
      </c>
      <c r="J14" s="91" t="str">
        <f>IF(LEFT(A14,1)="D",_xll.qlDepositRateHelper2(,I14,IF(RIGHT(C14,1)="N","1D",C14),D14,Calendar,F14,G14,H14,,Trigger),IF(A14="Sw",_xll.qlSwapRateHelper2(,I14,D14,C14,Calendar,"Annual",F14,H14,"Euribor"&amp;$H$1,0,"0D",Discounting,,,,Trigger),IF(A14="Fr",_xll.qlFraRateHelper(,I14,SUBSTITUTE(LEFT(C14,2),"M","")&amp;"M","Euribor"&amp;$H$1,,,,Trigger),IF(A14="Sf",_xll.qlFuturesRateHelper(,I14,,C14,"Euribor"&amp;$H$1,0,,Trigger),"--"))))</f>
        <v>obj_000c6#0006</v>
      </c>
      <c r="K14" s="86" t="b">
        <f t="shared" si="0"/>
        <v>1</v>
      </c>
      <c r="M14" s="9" t="str">
        <v>Fr</v>
      </c>
      <c r="N14" s="9" t="str">
        <v>2M-8M</v>
      </c>
      <c r="O14" s="9" t="str">
        <v>obj_000c6#0006</v>
      </c>
      <c r="P14" s="96">
        <f>_xll.qlRateHelperRate(O14,Trigger)</f>
        <v>-1.47E-3</v>
      </c>
      <c r="Q14" s="10">
        <f>_xll.qlRateHelperEarliestDate(O14,Trigger)</f>
        <v>42563</v>
      </c>
      <c r="R14" s="10">
        <f>_xll.qlRateHelperPillarDate(O14,Trigger)</f>
        <v>42747</v>
      </c>
      <c r="S14" s="96">
        <v>-1.4945306765626486E-3</v>
      </c>
    </row>
    <row r="15" spans="1:19" ht="11.25" customHeight="1" x14ac:dyDescent="0.2">
      <c r="A15" s="84" t="str">
        <v>Fr</v>
      </c>
      <c r="B15" s="179" t="str">
        <v>3M-9M</v>
      </c>
      <c r="C15" s="184" t="str">
        <f>IF(A15="Sf",_xll.qlIMMNextCode(B15,Trigger),IF(LEFT(B15,1)="#",_xll.qlCalendarBusinessDaysBetween(Calendar,Settlementdate,DATE(LEFT(SUBSTITUTE(B15,"#",""),4),LEFT(RIGHT(SUBSTITUTE(B15,"#",""),4),2),RIGHT(SUBSTITUTE(B15,"#",""),2)),,,Trigger)-1&amp;"D",SUBSTITUTE(B15,"/","")))</f>
        <v>3M-9M</v>
      </c>
      <c r="D15" s="86">
        <f t="shared" si="1"/>
        <v>2</v>
      </c>
      <c r="E15" s="86" t="str">
        <f t="shared" si="2"/>
        <v>--</v>
      </c>
      <c r="F15" s="85" t="str">
        <f t="shared" si="3"/>
        <v>Modified Following</v>
      </c>
      <c r="G15" s="88" t="str">
        <f t="shared" si="4"/>
        <v>TRUE</v>
      </c>
      <c r="H15" s="100" t="str">
        <f t="shared" si="5"/>
        <v>Actual/360</v>
      </c>
      <c r="I15" s="182">
        <v>-1.5100000000000001E-3</v>
      </c>
      <c r="J15" s="91" t="str">
        <f>IF(LEFT(A15,1)="D",_xll.qlDepositRateHelper2(,I15,IF(RIGHT(C15,1)="N","1D",C15),D15,Calendar,F15,G15,H15,,Trigger),IF(A15="Sw",_xll.qlSwapRateHelper2(,I15,D15,C15,Calendar,"Annual",F15,H15,"Euribor"&amp;$H$1,0,"0D",Discounting,,,,Trigger),IF(A15="Fr",_xll.qlFraRateHelper(,I15,SUBSTITUTE(LEFT(C15,2),"M","")&amp;"M","Euribor"&amp;$H$1,,,,Trigger),IF(A15="Sf",_xll.qlFuturesRateHelper(,I15,,C15,"Euribor"&amp;$H$1,0,,Trigger),"--"))))</f>
        <v>obj_000c9#0006</v>
      </c>
      <c r="K15" s="86" t="b">
        <f t="shared" si="0"/>
        <v>1</v>
      </c>
      <c r="M15" s="9" t="str">
        <v>Fr</v>
      </c>
      <c r="N15" s="9" t="str">
        <v>3M-9M</v>
      </c>
      <c r="O15" s="9" t="str">
        <v>obj_000c9#0006</v>
      </c>
      <c r="P15" s="96">
        <f>_xll.qlRateHelperRate(O15,Trigger)</f>
        <v>-1.5100000000000001E-3</v>
      </c>
      <c r="Q15" s="10">
        <f>_xll.qlRateHelperEarliestDate(O15,Trigger)</f>
        <v>42594</v>
      </c>
      <c r="R15" s="10">
        <f>_xll.qlRateHelperPillarDate(O15,Trigger)</f>
        <v>42779</v>
      </c>
      <c r="S15" s="96">
        <v>-1.5204855687311822E-3</v>
      </c>
    </row>
    <row r="16" spans="1:19" ht="11.25" customHeight="1" x14ac:dyDescent="0.2">
      <c r="A16" s="84" t="str">
        <v>Fr</v>
      </c>
      <c r="B16" s="179" t="str">
        <v>4M-10M</v>
      </c>
      <c r="C16" s="184" t="str">
        <f>IF(A16="Sf",_xll.qlIMMNextCode(B16,Trigger),IF(LEFT(B16,1)="#",_xll.qlCalendarBusinessDaysBetween(Calendar,Settlementdate,DATE(LEFT(SUBSTITUTE(B16,"#",""),4),LEFT(RIGHT(SUBSTITUTE(B16,"#",""),4),2),RIGHT(SUBSTITUTE(B16,"#",""),2)),,,Trigger)-1&amp;"D",SUBSTITUTE(B16,"/","")))</f>
        <v>4M-10M</v>
      </c>
      <c r="D16" s="86">
        <f t="shared" si="1"/>
        <v>2</v>
      </c>
      <c r="E16" s="86" t="str">
        <f t="shared" si="2"/>
        <v>--</v>
      </c>
      <c r="F16" s="85" t="str">
        <f t="shared" si="3"/>
        <v>Modified Following</v>
      </c>
      <c r="G16" s="88" t="str">
        <f t="shared" si="4"/>
        <v>TRUE</v>
      </c>
      <c r="H16" s="100" t="str">
        <f t="shared" si="5"/>
        <v>Actual/360</v>
      </c>
      <c r="I16" s="182">
        <v>-1.56E-3</v>
      </c>
      <c r="J16" s="91" t="str">
        <f>IF(LEFT(A16,1)="D",_xll.qlDepositRateHelper2(,I16,IF(RIGHT(C16,1)="N","1D",C16),D16,Calendar,F16,G16,H16,,Trigger),IF(A16="Sw",_xll.qlSwapRateHelper2(,I16,D16,C16,Calendar,"Annual",F16,H16,"Euribor"&amp;$H$1,0,"0D",Discounting,,,,Trigger),IF(A16="Fr",_xll.qlFraRateHelper(,I16,SUBSTITUTE(LEFT(C16,2),"M","")&amp;"M","Euribor"&amp;$H$1,,,,Trigger),IF(A16="Sf",_xll.qlFuturesRateHelper(,I16,,C16,"Euribor"&amp;$H$1,0,,Trigger),"--"))))</f>
        <v>obj_000ca#0006</v>
      </c>
      <c r="K16" s="86" t="b">
        <f t="shared" si="0"/>
        <v>1</v>
      </c>
      <c r="M16" s="9" t="str">
        <v>Fr</v>
      </c>
      <c r="N16" s="9" t="str">
        <v>4M-10M</v>
      </c>
      <c r="O16" s="9" t="str">
        <v>obj_000ca#0006</v>
      </c>
      <c r="P16" s="96">
        <f>_xll.qlRateHelperRate(O16,Trigger)</f>
        <v>-1.56E-3</v>
      </c>
      <c r="Q16" s="10">
        <f>_xll.qlRateHelperEarliestDate(O16,Trigger)</f>
        <v>42625</v>
      </c>
      <c r="R16" s="10">
        <f>_xll.qlRateHelperPillarDate(O16,Trigger)</f>
        <v>42807</v>
      </c>
      <c r="S16" s="96">
        <v>-1.5380349149466963E-3</v>
      </c>
    </row>
    <row r="17" spans="1:19" ht="11.25" customHeight="1" x14ac:dyDescent="0.2">
      <c r="A17" s="84" t="str">
        <v>Fr</v>
      </c>
      <c r="B17" s="179" t="str">
        <v>5M-11M</v>
      </c>
      <c r="C17" s="184" t="str">
        <f>IF(A17="Sf",_xll.qlIMMNextCode(B17,Trigger),IF(LEFT(B17,1)="#",_xll.qlCalendarBusinessDaysBetween(Calendar,Settlementdate,DATE(LEFT(SUBSTITUTE(B17,"#",""),4),LEFT(RIGHT(SUBSTITUTE(B17,"#",""),4),2),RIGHT(SUBSTITUTE(B17,"#",""),2)),,,Trigger)-1&amp;"D",SUBSTITUTE(B17,"/","")))</f>
        <v>5M-11M</v>
      </c>
      <c r="D17" s="86">
        <f t="shared" si="1"/>
        <v>2</v>
      </c>
      <c r="E17" s="86" t="str">
        <f t="shared" si="2"/>
        <v>--</v>
      </c>
      <c r="F17" s="85" t="str">
        <f t="shared" si="3"/>
        <v>Modified Following</v>
      </c>
      <c r="G17" s="88" t="str">
        <f t="shared" si="4"/>
        <v>TRUE</v>
      </c>
      <c r="H17" s="100" t="str">
        <f t="shared" si="5"/>
        <v>Actual/360</v>
      </c>
      <c r="I17" s="182">
        <v>-1.58E-3</v>
      </c>
      <c r="J17" s="91" t="str">
        <f>IF(LEFT(A17,1)="D",_xll.qlDepositRateHelper2(,I17,IF(RIGHT(C17,1)="N","1D",C17),D17,Calendar,F17,G17,H17,,Trigger),IF(A17="Sw",_xll.qlSwapRateHelper2(,I17,D17,C17,Calendar,"Annual",F17,H17,"Euribor"&amp;$H$1,0,"0D",Discounting,,,,Trigger),IF(A17="Fr",_xll.qlFraRateHelper(,I17,SUBSTITUTE(LEFT(C17,2),"M","")&amp;"M","Euribor"&amp;$H$1,,,,Trigger),IF(A17="Sf",_xll.qlFuturesRateHelper(,I17,,C17,"Euribor"&amp;$H$1,0,,Trigger),"--"))))</f>
        <v>obj_000e4#0006</v>
      </c>
      <c r="K17" s="86" t="b">
        <f t="shared" si="0"/>
        <v>1</v>
      </c>
      <c r="M17" s="9" t="str">
        <v>Fr</v>
      </c>
      <c r="N17" s="9" t="str">
        <v>5M-11M</v>
      </c>
      <c r="O17" s="9" t="str">
        <v>obj_000e4#0006</v>
      </c>
      <c r="P17" s="96">
        <f>_xll.qlRateHelperRate(O17,Trigger)</f>
        <v>-1.58E-3</v>
      </c>
      <c r="Q17" s="10">
        <f>_xll.qlRateHelperEarliestDate(O17,Trigger)</f>
        <v>42655</v>
      </c>
      <c r="R17" s="10">
        <f>_xll.qlRateHelperPillarDate(O17,Trigger)</f>
        <v>42837</v>
      </c>
      <c r="S17" s="96">
        <v>-1.5478101281843216E-3</v>
      </c>
    </row>
    <row r="18" spans="1:19" ht="11.25" customHeight="1" x14ac:dyDescent="0.2">
      <c r="A18" s="84" t="str">
        <v>Fr</v>
      </c>
      <c r="B18" s="179" t="str">
        <v>6M-12M</v>
      </c>
      <c r="C18" s="184" t="str">
        <f>IF(A18="Sf",_xll.qlIMMNextCode(B18,Trigger),IF(LEFT(B18,1)="#",_xll.qlCalendarBusinessDaysBetween(Calendar,Settlementdate,DATE(LEFT(SUBSTITUTE(B18,"#",""),4),LEFT(RIGHT(SUBSTITUTE(B18,"#",""),4),2),RIGHT(SUBSTITUTE(B18,"#",""),2)),,,Trigger)-1&amp;"D",SUBSTITUTE(B18,"/","")))</f>
        <v>6M-12M</v>
      </c>
      <c r="D18" s="86">
        <f t="shared" si="1"/>
        <v>2</v>
      </c>
      <c r="E18" s="86" t="str">
        <f t="shared" si="2"/>
        <v>--</v>
      </c>
      <c r="F18" s="85" t="str">
        <f t="shared" si="3"/>
        <v>Modified Following</v>
      </c>
      <c r="G18" s="88" t="str">
        <f t="shared" si="4"/>
        <v>TRUE</v>
      </c>
      <c r="H18" s="100" t="str">
        <f t="shared" si="5"/>
        <v>Actual/360</v>
      </c>
      <c r="I18" s="182">
        <v>-1.6100000000000001E-3</v>
      </c>
      <c r="J18" s="91" t="str">
        <f>IF(LEFT(A18,1)="D",_xll.qlDepositRateHelper2(,I18,IF(RIGHT(C18,1)="N","1D",C18),D18,Calendar,F18,G18,H18,,Trigger),IF(A18="Sw",_xll.qlSwapRateHelper2(,I18,D18,C18,Calendar,"Annual",F18,H18,"Euribor"&amp;$H$1,0,"0D",Discounting,,,,Trigger),IF(A18="Fr",_xll.qlFraRateHelper(,I18,SUBSTITUTE(LEFT(C18,2),"M","")&amp;"M","Euribor"&amp;$H$1,,,,Trigger),IF(A18="Sf",_xll.qlFuturesRateHelper(,I18,,C18,"Euribor"&amp;$H$1,0,,Trigger),"--"))))</f>
        <v>obj_000e7#0006</v>
      </c>
      <c r="K18" s="86" t="b">
        <f>IF(ISERROR(J18),FALSE,TRUE)</f>
        <v>1</v>
      </c>
      <c r="M18" s="9" t="str">
        <v>Fr</v>
      </c>
      <c r="N18" s="9" t="str">
        <v>6M-12M</v>
      </c>
      <c r="O18" s="9" t="str">
        <v>obj_000e7#0006</v>
      </c>
      <c r="P18" s="96">
        <f>_xll.qlRateHelperRate(O18,Trigger)</f>
        <v>-1.6100000000000001E-3</v>
      </c>
      <c r="Q18" s="10">
        <f>_xll.qlRateHelperEarliestDate(O18,Trigger)</f>
        <v>42688</v>
      </c>
      <c r="R18" s="10">
        <f>_xll.qlRateHelperPillarDate(O18,Trigger)</f>
        <v>42867</v>
      </c>
      <c r="S18" s="96">
        <v>-1.5613576286519566E-3</v>
      </c>
    </row>
    <row r="19" spans="1:19" ht="11.25" customHeight="1" x14ac:dyDescent="0.2">
      <c r="A19" s="91" t="str">
        <v>Fr</v>
      </c>
      <c r="B19" s="91" t="str">
        <v>7M-13M</v>
      </c>
      <c r="C19" s="91" t="str">
        <f>IF(A19="Sf",_xll.qlIMMNextCode(B19,Trigger),IF(LEFT(B19,1)="#",_xll.qlCalendarBusinessDaysBetween(Calendar,Settlementdate,DATE(LEFT(SUBSTITUTE(B19,"#",""),4),LEFT(RIGHT(SUBSTITUTE(B19,"#",""),4),2),RIGHT(SUBSTITUTE(B19,"#",""),2)),,,Trigger)-1&amp;"D",SUBSTITUTE(B19,"/","")))</f>
        <v>7M-13M</v>
      </c>
      <c r="D19" s="101">
        <f t="shared" si="1"/>
        <v>2</v>
      </c>
      <c r="E19" s="101" t="str">
        <f t="shared" si="2"/>
        <v>--</v>
      </c>
      <c r="F19" s="97" t="str">
        <f t="shared" si="3"/>
        <v>Modified Following</v>
      </c>
      <c r="G19" s="100" t="str">
        <f t="shared" si="4"/>
        <v>TRUE</v>
      </c>
      <c r="H19" s="97" t="str">
        <f t="shared" si="5"/>
        <v>Actual/360</v>
      </c>
      <c r="I19" s="102">
        <v>-1.65E-3</v>
      </c>
      <c r="J19" s="89" t="str">
        <f>IF(LEFT(A19,1)="D",_xll.qlDepositRateHelper2(,I19,IF(RIGHT(C19,1)="N","1D",C19),D19,Calendar,F19,G19,H19,,Trigger),IF(A19="Sw",_xll.qlSwapRateHelper2(,I19,D19,C19,Calendar,"Annual",F19,H19,"Euribor"&amp;$H$1,0,"0D",Discounting,,,,Trigger),IF(A19="Fr",_xll.qlFraRateHelper(,I19,SUBSTITUTE(LEFT(C19,2),"M","")&amp;"M","Euribor"&amp;$H$1,,,,Trigger),IF(A19="Sf",_xll.qlFuturesRateHelper(,I19,,C19,"Euribor"&amp;$H$1,0,,Trigger),"--"))))</f>
        <v>obj_000c3#0006</v>
      </c>
      <c r="K19" s="98" t="b">
        <f t="shared" ref="K19:K82" si="6">IF(ISERROR(J19),FALSE,TRUE)</f>
        <v>1</v>
      </c>
      <c r="M19" s="9" t="str">
        <v>Fr</v>
      </c>
      <c r="N19" s="9" t="str">
        <v>7M-13M</v>
      </c>
      <c r="O19" s="9" t="str">
        <v>obj_000c3#0006</v>
      </c>
      <c r="P19" s="96">
        <f>_xll.qlRateHelperRate(O19,Trigger)</f>
        <v>-1.65E-3</v>
      </c>
      <c r="Q19" s="10">
        <f>_xll.qlRateHelperEarliestDate(O19,Trigger)</f>
        <v>42716</v>
      </c>
      <c r="R19" s="10">
        <f>_xll.qlRateHelperPillarDate(O19,Trigger)</f>
        <v>42898</v>
      </c>
      <c r="S19" s="96">
        <v>-1.5739456476225476E-3</v>
      </c>
    </row>
    <row r="20" spans="1:19" ht="11.25" customHeight="1" x14ac:dyDescent="0.2">
      <c r="A20" s="91" t="str">
        <v>Fr</v>
      </c>
      <c r="B20" s="91" t="str">
        <v>8M-14M</v>
      </c>
      <c r="C20" s="91" t="str">
        <f>IF(A20="Sf",_xll.qlIMMNextCode(B20,Trigger),IF(LEFT(B20,1)="#",_xll.qlCalendarBusinessDaysBetween(Calendar,Settlementdate,DATE(LEFT(SUBSTITUTE(B20,"#",""),4),LEFT(RIGHT(SUBSTITUTE(B20,"#",""),4),2),RIGHT(SUBSTITUTE(B20,"#",""),2)),,,Trigger)-1&amp;"D",SUBSTITUTE(B20,"/","")))</f>
        <v>8M-14M</v>
      </c>
      <c r="D20" s="101">
        <f t="shared" si="1"/>
        <v>2</v>
      </c>
      <c r="E20" s="101" t="str">
        <f t="shared" si="2"/>
        <v>--</v>
      </c>
      <c r="F20" s="97" t="str">
        <f t="shared" si="3"/>
        <v>Modified Following</v>
      </c>
      <c r="G20" s="100" t="str">
        <f t="shared" si="4"/>
        <v>TRUE</v>
      </c>
      <c r="H20" s="97" t="str">
        <f t="shared" si="5"/>
        <v>Actual/360</v>
      </c>
      <c r="I20" s="102">
        <v>-1.6800000000000001E-3</v>
      </c>
      <c r="J20" s="89" t="str">
        <f>IF(LEFT(A20,1)="D",_xll.qlDepositRateHelper2(,I20,IF(RIGHT(C20,1)="N","1D",C20),D20,Calendar,F20,G20,H20,,Trigger),IF(A20="Sw",_xll.qlSwapRateHelper2(,I20,D20,C20,Calendar,"Annual",F20,H20,"Euribor"&amp;$H$1,0,"0D",Discounting,,,,Trigger),IF(A20="Fr",_xll.qlFraRateHelper(,I20,SUBSTITUTE(LEFT(C20,2),"M","")&amp;"M","Euribor"&amp;$H$1,,,,Trigger),IF(A20="Sf",_xll.qlFuturesRateHelper(,I20,,C20,"Euribor"&amp;$H$1,0,,Trigger),"--"))))</f>
        <v>obj_000d8#0006</v>
      </c>
      <c r="K20" s="98" t="b">
        <f t="shared" si="6"/>
        <v>1</v>
      </c>
      <c r="M20" s="9" t="str">
        <v>Fr</v>
      </c>
      <c r="N20" s="9" t="str">
        <v>8M-14M</v>
      </c>
      <c r="O20" s="9" t="str">
        <v>obj_000d8#0006</v>
      </c>
      <c r="P20" s="96">
        <f>_xll.qlRateHelperRate(O20,Trigger)</f>
        <v>-1.6800000000000001E-3</v>
      </c>
      <c r="Q20" s="10">
        <f>_xll.qlRateHelperEarliestDate(O20,Trigger)</f>
        <v>42747</v>
      </c>
      <c r="R20" s="10">
        <f>_xll.qlRateHelperPillarDate(O20,Trigger)</f>
        <v>42928</v>
      </c>
      <c r="S20" s="96">
        <v>-1.5831371275377534E-3</v>
      </c>
    </row>
    <row r="21" spans="1:19" ht="11.25" customHeight="1" x14ac:dyDescent="0.2">
      <c r="A21" s="91" t="str">
        <v>Fr</v>
      </c>
      <c r="B21" s="91" t="str">
        <v>9M-15M</v>
      </c>
      <c r="C21" s="91" t="str">
        <f>IF(A21="Sf",_xll.qlIMMNextCode(B21,Trigger),IF(LEFT(B21,1)="#",_xll.qlCalendarBusinessDaysBetween(Calendar,Settlementdate,DATE(LEFT(SUBSTITUTE(B21,"#",""),4),LEFT(RIGHT(SUBSTITUTE(B21,"#",""),4),2),RIGHT(SUBSTITUTE(B21,"#",""),2)),,,Trigger)-1&amp;"D",SUBSTITUTE(B21,"/","")))</f>
        <v>9M-15M</v>
      </c>
      <c r="D21" s="101">
        <f t="shared" si="1"/>
        <v>2</v>
      </c>
      <c r="E21" s="101" t="str">
        <f t="shared" si="2"/>
        <v>--</v>
      </c>
      <c r="F21" s="97" t="str">
        <f t="shared" si="3"/>
        <v>Modified Following</v>
      </c>
      <c r="G21" s="100" t="str">
        <f t="shared" si="4"/>
        <v>TRUE</v>
      </c>
      <c r="H21" s="97" t="str">
        <f t="shared" si="5"/>
        <v>Actual/360</v>
      </c>
      <c r="I21" s="102">
        <v>-1.7000000000000001E-3</v>
      </c>
      <c r="J21" s="89" t="str">
        <f>IF(LEFT(A21,1)="D",_xll.qlDepositRateHelper2(,I21,IF(RIGHT(C21,1)="N","1D",C21),D21,Calendar,F21,G21,H21,,Trigger),IF(A21="Sw",_xll.qlSwapRateHelper2(,I21,D21,C21,Calendar,"Annual",F21,H21,"Euribor"&amp;$H$1,0,"0D",Discounting,,,,Trigger),IF(A21="Fr",_xll.qlFraRateHelper(,I21,SUBSTITUTE(LEFT(C21,2),"M","")&amp;"M","Euribor"&amp;$H$1,,,,Trigger),IF(A21="Sf",_xll.qlFuturesRateHelper(,I21,,C21,"Euribor"&amp;$H$1,0,,Trigger),"--"))))</f>
        <v>obj_000d4#0006</v>
      </c>
      <c r="K21" s="98" t="b">
        <f t="shared" si="6"/>
        <v>1</v>
      </c>
      <c r="M21" s="9" t="str">
        <v>Fr</v>
      </c>
      <c r="N21" s="9" t="str">
        <v>9M-15M</v>
      </c>
      <c r="O21" s="9" t="str">
        <v>obj_000d4#0006</v>
      </c>
      <c r="P21" s="96">
        <f>_xll.qlRateHelperRate(O21,Trigger)</f>
        <v>-1.7000000000000001E-3</v>
      </c>
      <c r="Q21" s="10">
        <f>_xll.qlRateHelperEarliestDate(O21,Trigger)</f>
        <v>42779</v>
      </c>
      <c r="R21" s="10">
        <f>_xll.qlRateHelperPillarDate(O21,Trigger)</f>
        <v>42961</v>
      </c>
      <c r="S21" s="96">
        <v>-1.6009708803738816E-3</v>
      </c>
    </row>
    <row r="22" spans="1:19" ht="11.25" customHeight="1" x14ac:dyDescent="0.2">
      <c r="A22" s="91" t="str">
        <v>Fr</v>
      </c>
      <c r="B22" s="91" t="str">
        <v>10M-16M</v>
      </c>
      <c r="C22" s="91" t="str">
        <f>IF(A22="Sf",_xll.qlIMMNextCode(B22,Trigger),IF(LEFT(B22,1)="#",_xll.qlCalendarBusinessDaysBetween(Calendar,Settlementdate,DATE(LEFT(SUBSTITUTE(B22,"#",""),4),LEFT(RIGHT(SUBSTITUTE(B22,"#",""),4),2),RIGHT(SUBSTITUTE(B22,"#",""),2)),,,Trigger)-1&amp;"D",SUBSTITUTE(B22,"/","")))</f>
        <v>10M-16M</v>
      </c>
      <c r="D22" s="101">
        <f t="shared" si="1"/>
        <v>2</v>
      </c>
      <c r="E22" s="101" t="str">
        <f t="shared" si="2"/>
        <v>--</v>
      </c>
      <c r="F22" s="97" t="str">
        <f t="shared" si="3"/>
        <v>Modified Following</v>
      </c>
      <c r="G22" s="100" t="str">
        <f t="shared" si="4"/>
        <v>TRUE</v>
      </c>
      <c r="H22" s="97" t="str">
        <f t="shared" si="5"/>
        <v>Actual/360</v>
      </c>
      <c r="I22" s="102">
        <v>-1.72E-3</v>
      </c>
      <c r="J22" s="89" t="str">
        <f>IF(LEFT(A22,1)="D",_xll.qlDepositRateHelper2(,I22,IF(RIGHT(C22,1)="N","1D",C22),D22,Calendar,F22,G22,H22,,Trigger),IF(A22="Sw",_xll.qlSwapRateHelper2(,I22,D22,C22,Calendar,"Annual",F22,H22,"Euribor"&amp;$H$1,0,"0D",Discounting,,,,Trigger),IF(A22="Fr",_xll.qlFraRateHelper(,I22,SUBSTITUTE(LEFT(C22,2),"M","")&amp;"M","Euribor"&amp;$H$1,,,,Trigger),IF(A22="Sf",_xll.qlFuturesRateHelper(,I22,,C22,"Euribor"&amp;$H$1,0,,Trigger),"--"))))</f>
        <v>obj_000d1#0006</v>
      </c>
      <c r="K22" s="98" t="b">
        <f t="shared" si="6"/>
        <v>1</v>
      </c>
      <c r="M22" s="9" t="str">
        <v>Fr</v>
      </c>
      <c r="N22" s="9" t="str">
        <v>10M-16M</v>
      </c>
      <c r="O22" s="9" t="str">
        <v>obj_000d1#0006</v>
      </c>
      <c r="P22" s="96">
        <f>_xll.qlRateHelperRate(O22,Trigger)</f>
        <v>-1.72E-3</v>
      </c>
      <c r="Q22" s="10">
        <f>_xll.qlRateHelperEarliestDate(O22,Trigger)</f>
        <v>42807</v>
      </c>
      <c r="R22" s="10">
        <f>_xll.qlRateHelperPillarDate(O22,Trigger)</f>
        <v>42990</v>
      </c>
      <c r="S22" s="96">
        <v>-1.6153667698892784E-3</v>
      </c>
    </row>
    <row r="23" spans="1:19" ht="11.25" customHeight="1" x14ac:dyDescent="0.2">
      <c r="A23" s="91" t="str">
        <v>Fr</v>
      </c>
      <c r="B23" s="91" t="str">
        <v>11M-17M</v>
      </c>
      <c r="C23" s="91" t="str">
        <f>IF(A23="Sf",_xll.qlIMMNextCode(B23,Trigger),IF(LEFT(B23,1)="#",_xll.qlCalendarBusinessDaysBetween(Calendar,Settlementdate,DATE(LEFT(SUBSTITUTE(B23,"#",""),4),LEFT(RIGHT(SUBSTITUTE(B23,"#",""),4),2),RIGHT(SUBSTITUTE(B23,"#",""),2)),,,Trigger)-1&amp;"D",SUBSTITUTE(B23,"/","")))</f>
        <v>11M-17M</v>
      </c>
      <c r="D23" s="101">
        <f t="shared" si="1"/>
        <v>2</v>
      </c>
      <c r="E23" s="101" t="str">
        <f t="shared" si="2"/>
        <v>--</v>
      </c>
      <c r="F23" s="97" t="str">
        <f t="shared" si="3"/>
        <v>Modified Following</v>
      </c>
      <c r="G23" s="100" t="str">
        <f t="shared" si="4"/>
        <v>TRUE</v>
      </c>
      <c r="H23" s="97" t="str">
        <f t="shared" si="5"/>
        <v>Actual/360</v>
      </c>
      <c r="I23" s="102">
        <v>-1.72E-3</v>
      </c>
      <c r="J23" s="89" t="str">
        <f>IF(LEFT(A23,1)="D",_xll.qlDepositRateHelper2(,I23,IF(RIGHT(C23,1)="N","1D",C23),D23,Calendar,F23,G23,H23,,Trigger),IF(A23="Sw",_xll.qlSwapRateHelper2(,I23,D23,C23,Calendar,"Annual",F23,H23,"Euribor"&amp;$H$1,0,"0D",Discounting,,,,Trigger),IF(A23="Fr",_xll.qlFraRateHelper(,I23,SUBSTITUTE(LEFT(C23,2),"M","")&amp;"M","Euribor"&amp;$H$1,,,,Trigger),IF(A23="Sf",_xll.qlFuturesRateHelper(,I23,,C23,"Euribor"&amp;$H$1,0,,Trigger),"--"))))</f>
        <v>obj_000b5#0006</v>
      </c>
      <c r="K23" s="98" t="b">
        <f t="shared" si="6"/>
        <v>1</v>
      </c>
      <c r="M23" s="9" t="str">
        <v>Fr</v>
      </c>
      <c r="N23" s="9" t="str">
        <v>11M-17M</v>
      </c>
      <c r="O23" s="9" t="str">
        <v>obj_000b5#0006</v>
      </c>
      <c r="P23" s="96">
        <f>_xll.qlRateHelperRate(O23,Trigger)</f>
        <v>-1.72E-3</v>
      </c>
      <c r="Q23" s="10">
        <f>_xll.qlRateHelperEarliestDate(O23,Trigger)</f>
        <v>42837</v>
      </c>
      <c r="R23" s="10">
        <f>_xll.qlRateHelperPillarDate(O23,Trigger)</f>
        <v>43020</v>
      </c>
      <c r="S23" s="96">
        <v>-1.6170832210888168E-3</v>
      </c>
    </row>
    <row r="24" spans="1:19" ht="11.25" customHeight="1" x14ac:dyDescent="0.2">
      <c r="A24" s="91" t="str">
        <v>Fr</v>
      </c>
      <c r="B24" s="91" t="str">
        <v>12M-18M</v>
      </c>
      <c r="C24" s="91" t="str">
        <f>IF(A24="Sf",_xll.qlIMMNextCode(B24,Trigger),IF(LEFT(B24,1)="#",_xll.qlCalendarBusinessDaysBetween(Calendar,Settlementdate,DATE(LEFT(SUBSTITUTE(B24,"#",""),4),LEFT(RIGHT(SUBSTITUTE(B24,"#",""),4),2),RIGHT(SUBSTITUTE(B24,"#",""),2)),,,Trigger)-1&amp;"D",SUBSTITUTE(B24,"/","")))</f>
        <v>12M-18M</v>
      </c>
      <c r="D24" s="101">
        <f t="shared" si="1"/>
        <v>2</v>
      </c>
      <c r="E24" s="101" t="str">
        <f t="shared" si="2"/>
        <v>--</v>
      </c>
      <c r="F24" s="97" t="str">
        <f t="shared" si="3"/>
        <v>Modified Following</v>
      </c>
      <c r="G24" s="100" t="str">
        <f t="shared" si="4"/>
        <v>TRUE</v>
      </c>
      <c r="H24" s="97" t="str">
        <f t="shared" si="5"/>
        <v>Actual/360</v>
      </c>
      <c r="I24" s="102">
        <v>-1.7299999999999998E-3</v>
      </c>
      <c r="J24" s="89" t="str">
        <f>IF(LEFT(A24,1)="D",_xll.qlDepositRateHelper2(,I24,IF(RIGHT(C24,1)="N","1D",C24),D24,Calendar,F24,G24,H24,,Trigger),IF(A24="Sw",_xll.qlSwapRateHelper2(,I24,D24,C24,Calendar,"Annual",F24,H24,"Euribor"&amp;$H$1,0,"0D",Discounting,,,,Trigger),IF(A24="Fr",_xll.qlFraRateHelper(,I24,SUBSTITUTE(LEFT(C24,2),"M","")&amp;"M","Euribor"&amp;$H$1,,,,Trigger),IF(A24="Sf",_xll.qlFuturesRateHelper(,I24,,C24,"Euribor"&amp;$H$1,0,,Trigger),"--"))))</f>
        <v>obj_000b9#0006</v>
      </c>
      <c r="K24" s="98" t="b">
        <f t="shared" si="6"/>
        <v>1</v>
      </c>
      <c r="M24" s="9" t="str">
        <v>Fr</v>
      </c>
      <c r="N24" s="9" t="str">
        <v>12M-18M</v>
      </c>
      <c r="O24" s="9" t="str">
        <v>obj_000b9#0006</v>
      </c>
      <c r="P24" s="96">
        <f>_xll.qlRateHelperRate(O24,Trigger)</f>
        <v>-1.7299999999999998E-3</v>
      </c>
      <c r="Q24" s="10">
        <f>_xll.qlRateHelperEarliestDate(O24,Trigger)</f>
        <v>42867</v>
      </c>
      <c r="R24" s="10">
        <f>_xll.qlRateHelperPillarDate(O24,Trigger)</f>
        <v>43052</v>
      </c>
      <c r="S24" s="96">
        <v>-1.6261915158473765E-3</v>
      </c>
    </row>
    <row r="25" spans="1:19" ht="11.25" customHeight="1" x14ac:dyDescent="0.2">
      <c r="A25" s="91" t="str">
        <v>Fr</v>
      </c>
      <c r="B25" s="91" t="str">
        <v>13M-19M</v>
      </c>
      <c r="C25" s="91" t="str">
        <f>IF(A25="Sf",_xll.qlIMMNextCode(B25,Trigger),IF(LEFT(B25,1)="#",_xll.qlCalendarBusinessDaysBetween(Calendar,Settlementdate,DATE(LEFT(SUBSTITUTE(B25,"#",""),4),LEFT(RIGHT(SUBSTITUTE(B25,"#",""),4),2),RIGHT(SUBSTITUTE(B25,"#",""),2)),,,Trigger)-1&amp;"D",SUBSTITUTE(B25,"/","")))</f>
        <v>13M-19M</v>
      </c>
      <c r="D25" s="101">
        <f t="shared" si="1"/>
        <v>2</v>
      </c>
      <c r="E25" s="101" t="str">
        <f t="shared" si="2"/>
        <v>--</v>
      </c>
      <c r="F25" s="97" t="str">
        <f t="shared" si="3"/>
        <v>Modified Following</v>
      </c>
      <c r="G25" s="100" t="str">
        <f t="shared" si="4"/>
        <v>TRUE</v>
      </c>
      <c r="H25" s="97" t="str">
        <f t="shared" si="5"/>
        <v>Actual/360</v>
      </c>
      <c r="I25" s="102">
        <v>-1.7399999999999998E-3</v>
      </c>
      <c r="J25" s="89" t="str">
        <f>IF(LEFT(A25,1)="D",_xll.qlDepositRateHelper2(,I25,IF(RIGHT(C25,1)="N","1D",C25),D25,Calendar,F25,G25,H25,,Trigger),IF(A25="Sw",_xll.qlSwapRateHelper2(,I25,D25,C25,Calendar,"Annual",F25,H25,"Euribor"&amp;$H$1,0,"0D",Discounting,,,,Trigger),IF(A25="Fr",_xll.qlFraRateHelper(,I25,SUBSTITUTE(LEFT(C25,2),"M","")&amp;"M","Euribor"&amp;$H$1,,,,Trigger),IF(A25="Sf",_xll.qlFuturesRateHelper(,I25,,C25,"Euribor"&amp;$H$1,0,,Trigger),"--"))))</f>
        <v>obj_000bc#0006</v>
      </c>
      <c r="K25" s="98" t="b">
        <f t="shared" si="6"/>
        <v>1</v>
      </c>
      <c r="M25" s="9" t="str">
        <v>Fr</v>
      </c>
      <c r="N25" s="9" t="str">
        <v>13M-19M</v>
      </c>
      <c r="O25" s="9" t="str">
        <v>obj_000bc#0006</v>
      </c>
      <c r="P25" s="96">
        <f>_xll.qlRateHelperRate(O25,Trigger)</f>
        <v>-1.7399999999999998E-3</v>
      </c>
      <c r="Q25" s="10">
        <f>_xll.qlRateHelperEarliestDate(O25,Trigger)</f>
        <v>42898</v>
      </c>
      <c r="R25" s="10">
        <f>_xll.qlRateHelperPillarDate(O25,Trigger)</f>
        <v>43081</v>
      </c>
      <c r="S25" s="96">
        <v>-1.6341062462928945E-3</v>
      </c>
    </row>
    <row r="26" spans="1:19" ht="11.25" customHeight="1" x14ac:dyDescent="0.2">
      <c r="A26" s="91" t="str">
        <v>Fr</v>
      </c>
      <c r="B26" s="91" t="str">
        <v>14M-20M</v>
      </c>
      <c r="C26" s="91" t="str">
        <f>IF(A26="Sf",_xll.qlIMMNextCode(B26,Trigger),IF(LEFT(B26,1)="#",_xll.qlCalendarBusinessDaysBetween(Calendar,Settlementdate,DATE(LEFT(SUBSTITUTE(B26,"#",""),4),LEFT(RIGHT(SUBSTITUTE(B26,"#",""),4),2),RIGHT(SUBSTITUTE(B26,"#",""),2)),,,Trigger)-1&amp;"D",SUBSTITUTE(B26,"/","")))</f>
        <v>14M-20M</v>
      </c>
      <c r="D26" s="101">
        <f t="shared" si="1"/>
        <v>2</v>
      </c>
      <c r="E26" s="101" t="str">
        <f t="shared" si="2"/>
        <v>--</v>
      </c>
      <c r="F26" s="97" t="str">
        <f t="shared" si="3"/>
        <v>Modified Following</v>
      </c>
      <c r="G26" s="100" t="str">
        <f t="shared" si="4"/>
        <v>TRUE</v>
      </c>
      <c r="H26" s="97" t="str">
        <f t="shared" si="5"/>
        <v>Actual/360</v>
      </c>
      <c r="I26" s="102">
        <v>-1.72E-3</v>
      </c>
      <c r="J26" s="89" t="str">
        <f>IF(LEFT(A26,1)="D",_xll.qlDepositRateHelper2(,I26,IF(RIGHT(C26,1)="N","1D",C26),D26,Calendar,F26,G26,H26,,Trigger),IF(A26="Sw",_xll.qlSwapRateHelper2(,I26,D26,C26,Calendar,"Annual",F26,H26,"Euribor"&amp;$H$1,0,"0D",Discounting,,,,Trigger),IF(A26="Fr",_xll.qlFraRateHelper(,I26,SUBSTITUTE(LEFT(C26,2),"M","")&amp;"M","Euribor"&amp;$H$1,,,,Trigger),IF(A26="Sf",_xll.qlFuturesRateHelper(,I26,,C26,"Euribor"&amp;$H$1,0,,Trigger),"--"))))</f>
        <v>obj_000d9#0006</v>
      </c>
      <c r="K26" s="98" t="b">
        <f t="shared" si="6"/>
        <v>1</v>
      </c>
      <c r="M26" s="9" t="str">
        <v>Fr</v>
      </c>
      <c r="N26" s="9" t="str">
        <v>14M-20M</v>
      </c>
      <c r="O26" s="9" t="str">
        <v>obj_000d9#0006</v>
      </c>
      <c r="P26" s="96">
        <f>_xll.qlRateHelperRate(O26,Trigger)</f>
        <v>-1.72E-3</v>
      </c>
      <c r="Q26" s="10">
        <f>_xll.qlRateHelperEarliestDate(O26,Trigger)</f>
        <v>42928</v>
      </c>
      <c r="R26" s="10">
        <f>_xll.qlRateHelperPillarDate(O26,Trigger)</f>
        <v>43112</v>
      </c>
      <c r="S26" s="96">
        <v>-1.6316983194297656E-3</v>
      </c>
    </row>
    <row r="27" spans="1:19" ht="11.25" customHeight="1" x14ac:dyDescent="0.2">
      <c r="A27" s="91" t="str">
        <v>Fr</v>
      </c>
      <c r="B27" s="91" t="str">
        <v>15M-21M</v>
      </c>
      <c r="C27" s="91" t="str">
        <f>IF(A27="Sf",_xll.qlIMMNextCode(B27,Trigger),IF(LEFT(B27,1)="#",_xll.qlCalendarBusinessDaysBetween(Calendar,Settlementdate,DATE(LEFT(SUBSTITUTE(B27,"#",""),4),LEFT(RIGHT(SUBSTITUTE(B27,"#",""),4),2),RIGHT(SUBSTITUTE(B27,"#",""),2)),,,Trigger)-1&amp;"D",SUBSTITUTE(B27,"/","")))</f>
        <v>15M-21M</v>
      </c>
      <c r="D27" s="101">
        <f t="shared" si="1"/>
        <v>2</v>
      </c>
      <c r="E27" s="101" t="str">
        <f t="shared" si="2"/>
        <v>--</v>
      </c>
      <c r="F27" s="97" t="str">
        <f t="shared" si="3"/>
        <v>Modified Following</v>
      </c>
      <c r="G27" s="100" t="str">
        <f t="shared" si="4"/>
        <v>TRUE</v>
      </c>
      <c r="H27" s="97" t="str">
        <f t="shared" si="5"/>
        <v>Actual/360</v>
      </c>
      <c r="I27" s="102">
        <v>-1.72E-3</v>
      </c>
      <c r="J27" s="89" t="str">
        <f>IF(LEFT(A27,1)="D",_xll.qlDepositRateHelper2(,I27,IF(RIGHT(C27,1)="N","1D",C27),D27,Calendar,F27,G27,H27,,Trigger),IF(A27="Sw",_xll.qlSwapRateHelper2(,I27,D27,C27,Calendar,"Annual",F27,H27,"Euribor"&amp;$H$1,0,"0D",Discounting,,,,Trigger),IF(A27="Fr",_xll.qlFraRateHelper(,I27,SUBSTITUTE(LEFT(C27,2),"M","")&amp;"M","Euribor"&amp;$H$1,,,,Trigger),IF(A27="Sf",_xll.qlFuturesRateHelper(,I27,,C27,"Euribor"&amp;$H$1,0,,Trigger),"--"))))</f>
        <v>obj_000d2#0006</v>
      </c>
      <c r="K27" s="98" t="b">
        <f t="shared" si="6"/>
        <v>1</v>
      </c>
      <c r="M27" s="9" t="str">
        <v>Fr</v>
      </c>
      <c r="N27" s="9" t="str">
        <v>15M-21M</v>
      </c>
      <c r="O27" s="9" t="str">
        <v>obj_000d2#0006</v>
      </c>
      <c r="P27" s="96">
        <f>_xll.qlRateHelperRate(O27,Trigger)</f>
        <v>-1.72E-3</v>
      </c>
      <c r="Q27" s="10">
        <f>_xll.qlRateHelperEarliestDate(O27,Trigger)</f>
        <v>42961</v>
      </c>
      <c r="R27" s="10">
        <f>_xll.qlRateHelperPillarDate(O27,Trigger)</f>
        <v>43143</v>
      </c>
      <c r="S27" s="96">
        <v>-1.641429220700415E-3</v>
      </c>
    </row>
    <row r="28" spans="1:19" ht="11.25" customHeight="1" x14ac:dyDescent="0.2">
      <c r="A28" s="91" t="str">
        <v>Fr</v>
      </c>
      <c r="B28" s="91" t="str">
        <v>16M-22M</v>
      </c>
      <c r="C28" s="91" t="str">
        <f>IF(A28="Sf",_xll.qlIMMNextCode(B28,Trigger),IF(LEFT(B28,1)="#",_xll.qlCalendarBusinessDaysBetween(Calendar,Settlementdate,DATE(LEFT(SUBSTITUTE(B28,"#",""),4),LEFT(RIGHT(SUBSTITUTE(B28,"#",""),4),2),RIGHT(SUBSTITUTE(B28,"#",""),2)),,,Trigger)-1&amp;"D",SUBSTITUTE(B28,"/","")))</f>
        <v>16M-22M</v>
      </c>
      <c r="D28" s="101">
        <f t="shared" si="1"/>
        <v>2</v>
      </c>
      <c r="E28" s="101" t="str">
        <f t="shared" si="2"/>
        <v>--</v>
      </c>
      <c r="F28" s="97" t="str">
        <f t="shared" si="3"/>
        <v>Modified Following</v>
      </c>
      <c r="G28" s="100" t="str">
        <f t="shared" si="4"/>
        <v>TRUE</v>
      </c>
      <c r="H28" s="97" t="str">
        <f t="shared" si="5"/>
        <v>Actual/360</v>
      </c>
      <c r="I28" s="102">
        <v>-1.7100000000000001E-3</v>
      </c>
      <c r="J28" s="89" t="str">
        <f>IF(LEFT(A28,1)="D",_xll.qlDepositRateHelper2(,I28,IF(RIGHT(C28,1)="N","1D",C28),D28,Calendar,F28,G28,H28,,Trigger),IF(A28="Sw",_xll.qlSwapRateHelper2(,I28,D28,C28,Calendar,"Annual",F28,H28,"Euribor"&amp;$H$1,0,"0D",Discounting,,,,Trigger),IF(A28="Fr",_xll.qlFraRateHelper(,I28,SUBSTITUTE(LEFT(C28,2),"M","")&amp;"M","Euribor"&amp;$H$1,,,,Trigger),IF(A28="Sf",_xll.qlFuturesRateHelper(,I28,,C28,"Euribor"&amp;$H$1,0,,Trigger),"--"))))</f>
        <v>obj_000bd#0006</v>
      </c>
      <c r="K28" s="98" t="b">
        <f t="shared" si="6"/>
        <v>1</v>
      </c>
      <c r="M28" s="9" t="str">
        <v>Fr</v>
      </c>
      <c r="N28" s="9" t="str">
        <v>16M-22M</v>
      </c>
      <c r="O28" s="9" t="str">
        <v>obj_000bd#0006</v>
      </c>
      <c r="P28" s="96">
        <f>_xll.qlRateHelperRate(O28,Trigger)</f>
        <v>-1.7100000000000001E-3</v>
      </c>
      <c r="Q28" s="10">
        <f>_xll.qlRateHelperEarliestDate(O28,Trigger)</f>
        <v>42990</v>
      </c>
      <c r="R28" s="10">
        <f>_xll.qlRateHelperPillarDate(O28,Trigger)</f>
        <v>43171</v>
      </c>
      <c r="S28" s="96">
        <v>-1.6475014055969666E-3</v>
      </c>
    </row>
    <row r="29" spans="1:19" ht="11.25" customHeight="1" x14ac:dyDescent="0.2">
      <c r="A29" s="91" t="str">
        <v>Fr</v>
      </c>
      <c r="B29" s="91" t="str">
        <v>17M-23M</v>
      </c>
      <c r="C29" s="91" t="str">
        <f>IF(A29="Sf",_xll.qlIMMNextCode(B29,Trigger),IF(LEFT(B29,1)="#",_xll.qlCalendarBusinessDaysBetween(Calendar,Settlementdate,DATE(LEFT(SUBSTITUTE(B29,"#",""),4),LEFT(RIGHT(SUBSTITUTE(B29,"#",""),4),2),RIGHT(SUBSTITUTE(B29,"#",""),2)),,,Trigger)-1&amp;"D",SUBSTITUTE(B29,"/","")))</f>
        <v>17M-23M</v>
      </c>
      <c r="D29" s="101">
        <f t="shared" si="1"/>
        <v>2</v>
      </c>
      <c r="E29" s="101" t="str">
        <f t="shared" si="2"/>
        <v>--</v>
      </c>
      <c r="F29" s="97" t="str">
        <f t="shared" si="3"/>
        <v>Modified Following</v>
      </c>
      <c r="G29" s="100" t="str">
        <f t="shared" si="4"/>
        <v>TRUE</v>
      </c>
      <c r="H29" s="97" t="str">
        <f t="shared" si="5"/>
        <v>Actual/360</v>
      </c>
      <c r="I29" s="102">
        <v>-1.6800000000000001E-3</v>
      </c>
      <c r="J29" s="89" t="str">
        <f>IF(LEFT(A29,1)="D",_xll.qlDepositRateHelper2(,I29,IF(RIGHT(C29,1)="N","1D",C29),D29,Calendar,F29,G29,H29,,Trigger),IF(A29="Sw",_xll.qlSwapRateHelper2(,I29,D29,C29,Calendar,"Annual",F29,H29,"Euribor"&amp;$H$1,0,"0D",Discounting,,,,Trigger),IF(A29="Fr",_xll.qlFraRateHelper(,I29,SUBSTITUTE(LEFT(C29,2),"M","")&amp;"M","Euribor"&amp;$H$1,,,,Trigger),IF(A29="Sf",_xll.qlFuturesRateHelper(,I29,,C29,"Euribor"&amp;$H$1,0,,Trigger),"--"))))</f>
        <v>obj_000db#0006</v>
      </c>
      <c r="K29" s="98" t="b">
        <f t="shared" si="6"/>
        <v>1</v>
      </c>
      <c r="M29" s="9" t="str">
        <v>Fr</v>
      </c>
      <c r="N29" s="9" t="str">
        <v>17M-23M</v>
      </c>
      <c r="O29" s="9" t="str">
        <v>obj_000db#0006</v>
      </c>
      <c r="P29" s="96">
        <f>_xll.qlRateHelperRate(O29,Trigger)</f>
        <v>-1.6800000000000001E-3</v>
      </c>
      <c r="Q29" s="10">
        <f>_xll.qlRateHelperEarliestDate(O29,Trigger)</f>
        <v>43020</v>
      </c>
      <c r="R29" s="10">
        <f>_xll.qlRateHelperPillarDate(O29,Trigger)</f>
        <v>43202</v>
      </c>
      <c r="S29" s="96">
        <v>-1.639632002452561E-3</v>
      </c>
    </row>
    <row r="30" spans="1:19" ht="11.25" customHeight="1" x14ac:dyDescent="0.2">
      <c r="A30" s="91" t="str">
        <v>Fr</v>
      </c>
      <c r="B30" s="91" t="str">
        <v>18M-24M</v>
      </c>
      <c r="C30" s="91" t="str">
        <f>IF(A30="Sf",_xll.qlIMMNextCode(B30,Trigger),IF(LEFT(B30,1)="#",_xll.qlCalendarBusinessDaysBetween(Calendar,Settlementdate,DATE(LEFT(SUBSTITUTE(B30,"#",""),4),LEFT(RIGHT(SUBSTITUTE(B30,"#",""),4),2),RIGHT(SUBSTITUTE(B30,"#",""),2)),,,Trigger)-1&amp;"D",SUBSTITUTE(B30,"/","")))</f>
        <v>18M-24M</v>
      </c>
      <c r="D30" s="101">
        <f t="shared" si="1"/>
        <v>2</v>
      </c>
      <c r="E30" s="101" t="str">
        <f t="shared" si="2"/>
        <v>--</v>
      </c>
      <c r="F30" s="97" t="str">
        <f t="shared" si="3"/>
        <v>Modified Following</v>
      </c>
      <c r="G30" s="100" t="str">
        <f t="shared" si="4"/>
        <v>TRUE</v>
      </c>
      <c r="H30" s="97" t="str">
        <f t="shared" si="5"/>
        <v>Actual/360</v>
      </c>
      <c r="I30" s="102">
        <v>-1.64E-3</v>
      </c>
      <c r="J30" s="89" t="str">
        <f>IF(LEFT(A30,1)="D",_xll.qlDepositRateHelper2(,I30,IF(RIGHT(C30,1)="N","1D",C30),D30,Calendar,F30,G30,H30,,Trigger),IF(A30="Sw",_xll.qlSwapRateHelper2(,I30,D30,C30,Calendar,"Annual",F30,H30,"Euribor"&amp;$H$1,0,"0D",Discounting,,,,Trigger),IF(A30="Fr",_xll.qlFraRateHelper(,I30,SUBSTITUTE(LEFT(C30,2),"M","")&amp;"M","Euribor"&amp;$H$1,,,,Trigger),IF(A30="Sf",_xll.qlFuturesRateHelper(,I30,,C30,"Euribor"&amp;$H$1,0,,Trigger),"--"))))</f>
        <v>obj_000c4#0006</v>
      </c>
      <c r="K30" s="98" t="b">
        <f t="shared" si="6"/>
        <v>1</v>
      </c>
      <c r="M30" s="9" t="str">
        <v>Fr</v>
      </c>
      <c r="N30" s="9" t="str">
        <v>18M-24M</v>
      </c>
      <c r="O30" s="9" t="str">
        <v>obj_000c4#0006</v>
      </c>
      <c r="P30" s="96">
        <f>_xll.qlRateHelperRate(O30,Trigger)</f>
        <v>-1.64E-3</v>
      </c>
      <c r="Q30" s="10">
        <f>_xll.qlRateHelperEarliestDate(O30,Trigger)</f>
        <v>43052</v>
      </c>
      <c r="R30" s="10">
        <f>_xll.qlRateHelperPillarDate(O30,Trigger)</f>
        <v>43234</v>
      </c>
      <c r="S30" s="96">
        <v>-1.6354343280598654E-3</v>
      </c>
    </row>
    <row r="31" spans="1:19" ht="11.25" customHeight="1" x14ac:dyDescent="0.2">
      <c r="A31" s="91" t="str">
        <v>Fr</v>
      </c>
      <c r="B31" s="91" t="str">
        <v>24M-30M</v>
      </c>
      <c r="C31" s="91" t="str">
        <f>IF(A31="Sf",_xll.qlIMMNextCode(B31,Trigger),IF(LEFT(B31,1)="#",_xll.qlCalendarBusinessDaysBetween(Calendar,Settlementdate,DATE(LEFT(SUBSTITUTE(B31,"#",""),4),LEFT(RIGHT(SUBSTITUTE(B31,"#",""),4),2),RIGHT(SUBSTITUTE(B31,"#",""),2)),,,Trigger)-1&amp;"D",SUBSTITUTE(B31,"/","")))</f>
        <v>24M-30M</v>
      </c>
      <c r="D31" s="101">
        <f t="shared" si="1"/>
        <v>2</v>
      </c>
      <c r="E31" s="101" t="str">
        <f t="shared" si="2"/>
        <v>--</v>
      </c>
      <c r="F31" s="97" t="str">
        <f t="shared" si="3"/>
        <v>Modified Following</v>
      </c>
      <c r="G31" s="100" t="str">
        <f t="shared" si="4"/>
        <v>TRUE</v>
      </c>
      <c r="H31" s="97" t="str">
        <f t="shared" si="5"/>
        <v>Actual/360</v>
      </c>
      <c r="I31" s="102">
        <v>-1.2302382399999999E-3</v>
      </c>
      <c r="J31" s="89" t="str">
        <f>IF(LEFT(A31,1)="D",_xll.qlDepositRateHelper2(,I31,IF(RIGHT(C31,1)="N","1D",C31),D31,Calendar,F31,G31,H31,,Trigger),IF(A31="Sw",_xll.qlSwapRateHelper2(,I31,D31,C31,Calendar,"Annual",F31,H31,"Euribor"&amp;$H$1,0,"0D",Discounting,,,,Trigger),IF(A31="Fr",_xll.qlFraRateHelper(,I31,SUBSTITUTE(LEFT(C31,2),"M","")&amp;"M","Euribor"&amp;$H$1,,,,Trigger),IF(A31="Sf",_xll.qlFuturesRateHelper(,I31,,C31,"Euribor"&amp;$H$1,0,,Trigger),"--"))))</f>
        <v>obj_000c0#0006</v>
      </c>
      <c r="K31" s="98" t="b">
        <f t="shared" si="6"/>
        <v>1</v>
      </c>
      <c r="M31" s="9" t="str">
        <v>Fr</v>
      </c>
      <c r="N31" s="9" t="str">
        <v>24M-30M</v>
      </c>
      <c r="O31" s="9" t="str">
        <v>obj_000c0#0006</v>
      </c>
      <c r="P31" s="96">
        <f>_xll.qlRateHelperRate(O31,Trigger)</f>
        <v>-1.2302382399999999E-3</v>
      </c>
      <c r="Q31" s="10">
        <f>_xll.qlRateHelperEarliestDate(O31,Trigger)</f>
        <v>43234</v>
      </c>
      <c r="R31" s="10">
        <f>_xll.qlRateHelperPillarDate(O31,Trigger)</f>
        <v>43416</v>
      </c>
      <c r="S31" s="96">
        <v>-1.5589151124862071E-3</v>
      </c>
    </row>
    <row r="32" spans="1:19" ht="11.25" customHeight="1" x14ac:dyDescent="0.2">
      <c r="A32" s="91" t="str">
        <v>Sw</v>
      </c>
      <c r="B32" s="91" t="str">
        <v>3Y</v>
      </c>
      <c r="C32" s="91" t="str">
        <f>IF(A32="Sf",_xll.qlIMMNextCode(B32,Trigger),IF(LEFT(B32,1)="#",_xll.qlCalendarBusinessDaysBetween(Calendar,Settlementdate,DATE(LEFT(SUBSTITUTE(B32,"#",""),4),LEFT(RIGHT(SUBSTITUTE(B32,"#",""),4),2),RIGHT(SUBSTITUTE(B32,"#",""),2)),,,Trigger)-1&amp;"D",SUBSTITUTE(B32,"/","")))</f>
        <v>3Y</v>
      </c>
      <c r="D32" s="101">
        <f t="shared" si="1"/>
        <v>2</v>
      </c>
      <c r="E32" s="101" t="str">
        <f t="shared" si="2"/>
        <v>Annual</v>
      </c>
      <c r="F32" s="97" t="str">
        <f t="shared" si="3"/>
        <v>Modified Following</v>
      </c>
      <c r="G32" s="100" t="str">
        <f t="shared" si="4"/>
        <v>TRUE</v>
      </c>
      <c r="H32" s="97" t="str">
        <f t="shared" si="5"/>
        <v>30/360 (Bond Basis)</v>
      </c>
      <c r="I32" s="102">
        <v>-1.3700000000000001E-3</v>
      </c>
      <c r="J32" s="89" t="str">
        <f>IF(LEFT(A32,1)="D",_xll.qlDepositRateHelper2(,I32,IF(RIGHT(C32,1)="N","1D",C32),D32,Calendar,F32,G32,H32,,Trigger),IF(A32="Sw",_xll.qlSwapRateHelper2(,I32,D32,C32,Calendar,"Annual",F32,H32,"Euribor"&amp;$H$1,0,"0D",Discounting,,,,Trigger),IF(A32="Fr",_xll.qlFraRateHelper(,I32,SUBSTITUTE(LEFT(C32,2),"M","")&amp;"M","Euribor"&amp;$H$1,,,,Trigger),IF(A32="Sf",_xll.qlFuturesRateHelper(,I32,,C32,"Euribor"&amp;$H$1,0,,Trigger),"--"))))</f>
        <v>obj_000b7#0006</v>
      </c>
      <c r="K32" s="98" t="b">
        <f t="shared" si="6"/>
        <v>1</v>
      </c>
      <c r="M32" s="9" t="str">
        <v>Sw</v>
      </c>
      <c r="N32" s="9" t="str">
        <v>3Y</v>
      </c>
      <c r="O32" s="9" t="str">
        <v>obj_000b7#0006</v>
      </c>
      <c r="P32" s="96">
        <f>_xll.qlRateHelperRate(O32,Trigger)</f>
        <v>-1.3700000000000001E-3</v>
      </c>
      <c r="Q32" s="10">
        <f>_xll.qlRateHelperEarliestDate(O32,Trigger)</f>
        <v>42502</v>
      </c>
      <c r="R32" s="10">
        <f>_xll.qlRateHelperPillarDate(O32,Trigger)</f>
        <v>43598</v>
      </c>
      <c r="S32" s="96">
        <v>-1.3789655486060232E-3</v>
      </c>
    </row>
    <row r="33" spans="1:19" ht="11.25" customHeight="1" x14ac:dyDescent="0.2">
      <c r="A33" s="91" t="str">
        <v>Sw</v>
      </c>
      <c r="B33" s="91" t="str">
        <v>4Y</v>
      </c>
      <c r="C33" s="91" t="str">
        <f>IF(A33="Sf",_xll.qlIMMNextCode(B33,Trigger),IF(LEFT(B33,1)="#",_xll.qlCalendarBusinessDaysBetween(Calendar,Settlementdate,DATE(LEFT(SUBSTITUTE(B33,"#",""),4),LEFT(RIGHT(SUBSTITUTE(B33,"#",""),4),2),RIGHT(SUBSTITUTE(B33,"#",""),2)),,,Trigger)-1&amp;"D",SUBSTITUTE(B33,"/","")))</f>
        <v>4Y</v>
      </c>
      <c r="D33" s="101">
        <f t="shared" si="1"/>
        <v>2</v>
      </c>
      <c r="E33" s="101" t="str">
        <f t="shared" si="2"/>
        <v>Annual</v>
      </c>
      <c r="F33" s="97" t="str">
        <f t="shared" si="3"/>
        <v>Modified Following</v>
      </c>
      <c r="G33" s="100" t="str">
        <f t="shared" si="4"/>
        <v>TRUE</v>
      </c>
      <c r="H33" s="97" t="str">
        <f t="shared" si="5"/>
        <v>30/360 (Bond Basis)</v>
      </c>
      <c r="I33" s="102">
        <v>-8.3000000000000001E-4</v>
      </c>
      <c r="J33" s="89" t="str">
        <f>IF(LEFT(A33,1)="D",_xll.qlDepositRateHelper2(,I33,IF(RIGHT(C33,1)="N","1D",C33),D33,Calendar,F33,G33,H33,,Trigger),IF(A33="Sw",_xll.qlSwapRateHelper2(,I33,D33,C33,Calendar,"Annual",F33,H33,"Euribor"&amp;$H$1,0,"0D",Discounting,,,,Trigger),IF(A33="Fr",_xll.qlFraRateHelper(,I33,SUBSTITUTE(LEFT(C33,2),"M","")&amp;"M","Euribor"&amp;$H$1,,,,Trigger),IF(A33="Sf",_xll.qlFuturesRateHelper(,I33,,C33,"Euribor"&amp;$H$1,0,,Trigger),"--"))))</f>
        <v>obj_000d0#0006</v>
      </c>
      <c r="K33" s="98" t="b">
        <f t="shared" si="6"/>
        <v>1</v>
      </c>
      <c r="M33" s="9" t="str">
        <v>Sw</v>
      </c>
      <c r="N33" s="9" t="str">
        <v>4Y</v>
      </c>
      <c r="O33" s="9" t="str">
        <v>obj_000d0#0006</v>
      </c>
      <c r="P33" s="96">
        <f>_xll.qlRateHelperRate(O33,Trigger)</f>
        <v>-8.3000000000000001E-4</v>
      </c>
      <c r="Q33" s="10">
        <f>_xll.qlRateHelperEarliestDate(O33,Trigger)</f>
        <v>42502</v>
      </c>
      <c r="R33" s="10">
        <f>_xll.qlRateHelperPillarDate(O33,Trigger)</f>
        <v>43963</v>
      </c>
      <c r="S33" s="96">
        <v>-8.3949923559111851E-4</v>
      </c>
    </row>
    <row r="34" spans="1:19" ht="11.25" customHeight="1" x14ac:dyDescent="0.2">
      <c r="A34" s="91" t="str">
        <v>Sw</v>
      </c>
      <c r="B34" s="91" t="str">
        <v>5Y</v>
      </c>
      <c r="C34" s="91" t="str">
        <f>IF(A34="Sf",_xll.qlIMMNextCode(B34,Trigger),IF(LEFT(B34,1)="#",_xll.qlCalendarBusinessDaysBetween(Calendar,Settlementdate,DATE(LEFT(SUBSTITUTE(B34,"#",""),4),LEFT(RIGHT(SUBSTITUTE(B34,"#",""),4),2),RIGHT(SUBSTITUTE(B34,"#",""),2)),,,Trigger)-1&amp;"D",SUBSTITUTE(B34,"/","")))</f>
        <v>5Y</v>
      </c>
      <c r="D34" s="101">
        <f t="shared" si="1"/>
        <v>2</v>
      </c>
      <c r="E34" s="101" t="str">
        <f t="shared" si="2"/>
        <v>Annual</v>
      </c>
      <c r="F34" s="97" t="str">
        <f t="shared" si="3"/>
        <v>Modified Following</v>
      </c>
      <c r="G34" s="100" t="str">
        <f t="shared" si="4"/>
        <v>TRUE</v>
      </c>
      <c r="H34" s="97" t="str">
        <f t="shared" si="5"/>
        <v>30/360 (Bond Basis)</v>
      </c>
      <c r="I34" s="102">
        <v>-6.0000000000000002E-5</v>
      </c>
      <c r="J34" s="89" t="str">
        <f>IF(LEFT(A34,1)="D",_xll.qlDepositRateHelper2(,I34,IF(RIGHT(C34,1)="N","1D",C34),D34,Calendar,F34,G34,H34,,Trigger),IF(A34="Sw",_xll.qlSwapRateHelper2(,I34,D34,C34,Calendar,"Annual",F34,H34,"Euribor"&amp;$H$1,0,"0D",Discounting,,,,Trigger),IF(A34="Fr",_xll.qlFraRateHelper(,I34,SUBSTITUTE(LEFT(C34,2),"M","")&amp;"M","Euribor"&amp;$H$1,,,,Trigger),IF(A34="Sf",_xll.qlFuturesRateHelper(,I34,,C34,"Euribor"&amp;$H$1,0,,Trigger),"--"))))</f>
        <v>obj_000e9#0006</v>
      </c>
      <c r="K34" s="98" t="b">
        <f t="shared" si="6"/>
        <v>1</v>
      </c>
      <c r="M34" s="9" t="str">
        <v>Sw</v>
      </c>
      <c r="N34" s="9" t="str">
        <v>5Y</v>
      </c>
      <c r="O34" s="9" t="str">
        <v>obj_000e9#0006</v>
      </c>
      <c r="P34" s="96">
        <f>_xll.qlRateHelperRate(O34,Trigger)</f>
        <v>-6.0000000000000002E-5</v>
      </c>
      <c r="Q34" s="10">
        <f>_xll.qlRateHelperEarliestDate(O34,Trigger)</f>
        <v>42502</v>
      </c>
      <c r="R34" s="10">
        <f>_xll.qlRateHelperPillarDate(O34,Trigger)</f>
        <v>44328</v>
      </c>
      <c r="S34" s="96">
        <v>-7.2473486437258213E-5</v>
      </c>
    </row>
    <row r="35" spans="1:19" ht="11.25" customHeight="1" x14ac:dyDescent="0.2">
      <c r="A35" s="91" t="str">
        <v>Sw</v>
      </c>
      <c r="B35" s="91" t="str">
        <v>6Y</v>
      </c>
      <c r="C35" s="91" t="str">
        <f>IF(A35="Sf",_xll.qlIMMNextCode(B35,Trigger),IF(LEFT(B35,1)="#",_xll.qlCalendarBusinessDaysBetween(Calendar,Settlementdate,DATE(LEFT(SUBSTITUTE(B35,"#",""),4),LEFT(RIGHT(SUBSTITUTE(B35,"#",""),4),2),RIGHT(SUBSTITUTE(B35,"#",""),2)),,,Trigger)-1&amp;"D",SUBSTITUTE(B35,"/","")))</f>
        <v>6Y</v>
      </c>
      <c r="D35" s="101">
        <f t="shared" si="1"/>
        <v>2</v>
      </c>
      <c r="E35" s="101" t="str">
        <f t="shared" si="2"/>
        <v>Annual</v>
      </c>
      <c r="F35" s="97" t="str">
        <f t="shared" si="3"/>
        <v>Modified Following</v>
      </c>
      <c r="G35" s="100" t="str">
        <f t="shared" si="4"/>
        <v>TRUE</v>
      </c>
      <c r="H35" s="97" t="str">
        <f t="shared" si="5"/>
        <v>30/360 (Bond Basis)</v>
      </c>
      <c r="I35" s="102">
        <v>9.1E-4</v>
      </c>
      <c r="J35" s="89" t="str">
        <f>IF(LEFT(A35,1)="D",_xll.qlDepositRateHelper2(,I35,IF(RIGHT(C35,1)="N","1D",C35),D35,Calendar,F35,G35,H35,,Trigger),IF(A35="Sw",_xll.qlSwapRateHelper2(,I35,D35,C35,Calendar,"Annual",F35,H35,"Euribor"&amp;$H$1,0,"0D",Discounting,,,,Trigger),IF(A35="Fr",_xll.qlFraRateHelper(,I35,SUBSTITUTE(LEFT(C35,2),"M","")&amp;"M","Euribor"&amp;$H$1,,,,Trigger),IF(A35="Sf",_xll.qlFuturesRateHelper(,I35,,C35,"Euribor"&amp;$H$1,0,,Trigger),"--"))))</f>
        <v>obj_000ee#0006</v>
      </c>
      <c r="K35" s="98" t="b">
        <f t="shared" si="6"/>
        <v>1</v>
      </c>
      <c r="M35" s="9" t="str">
        <v>Sw</v>
      </c>
      <c r="N35" s="9" t="str">
        <v>6Y</v>
      </c>
      <c r="O35" s="9" t="str">
        <v>obj_000ee#0006</v>
      </c>
      <c r="P35" s="96">
        <f>_xll.qlRateHelperRate(O35,Trigger)</f>
        <v>9.1E-4</v>
      </c>
      <c r="Q35" s="10">
        <f>_xll.qlRateHelperEarliestDate(O35,Trigger)</f>
        <v>42502</v>
      </c>
      <c r="R35" s="10">
        <f>_xll.qlRateHelperPillarDate(O35,Trigger)</f>
        <v>44693</v>
      </c>
      <c r="S35" s="96">
        <v>8.9526023984471315E-4</v>
      </c>
    </row>
    <row r="36" spans="1:19" ht="11.25" customHeight="1" x14ac:dyDescent="0.2">
      <c r="A36" s="91" t="str">
        <v>Sw</v>
      </c>
      <c r="B36" s="91" t="str">
        <v>7Y</v>
      </c>
      <c r="C36" s="91" t="str">
        <f>IF(A36="Sf",_xll.qlIMMNextCode(B36,Trigger),IF(LEFT(B36,1)="#",_xll.qlCalendarBusinessDaysBetween(Calendar,Settlementdate,DATE(LEFT(SUBSTITUTE(B36,"#",""),4),LEFT(RIGHT(SUBSTITUTE(B36,"#",""),4),2),RIGHT(SUBSTITUTE(B36,"#",""),2)),,,Trigger)-1&amp;"D",SUBSTITUTE(B36,"/","")))</f>
        <v>7Y</v>
      </c>
      <c r="D36" s="101">
        <f t="shared" si="1"/>
        <v>2</v>
      </c>
      <c r="E36" s="101" t="str">
        <f t="shared" si="2"/>
        <v>Annual</v>
      </c>
      <c r="F36" s="97" t="str">
        <f t="shared" si="3"/>
        <v>Modified Following</v>
      </c>
      <c r="G36" s="100" t="str">
        <f t="shared" si="4"/>
        <v>TRUE</v>
      </c>
      <c r="H36" s="97" t="str">
        <f t="shared" si="5"/>
        <v>30/360 (Bond Basis)</v>
      </c>
      <c r="I36" s="102">
        <v>2E-3</v>
      </c>
      <c r="J36" s="89" t="str">
        <f>IF(LEFT(A36,1)="D",_xll.qlDepositRateHelper2(,I36,IF(RIGHT(C36,1)="N","1D",C36),D36,Calendar,F36,G36,H36,,Trigger),IF(A36="Sw",_xll.qlSwapRateHelper2(,I36,D36,C36,Calendar,"Annual",F36,H36,"Euribor"&amp;$H$1,0,"0D",Discounting,,,,Trigger),IF(A36="Fr",_xll.qlFraRateHelper(,I36,SUBSTITUTE(LEFT(C36,2),"M","")&amp;"M","Euribor"&amp;$H$1,,,,Trigger),IF(A36="Sf",_xll.qlFuturesRateHelper(,I36,,C36,"Euribor"&amp;$H$1,0,,Trigger),"--"))))</f>
        <v>obj_000bf#0006</v>
      </c>
      <c r="K36" s="98" t="b">
        <f t="shared" si="6"/>
        <v>1</v>
      </c>
      <c r="M36" s="9" t="str">
        <v>Sw</v>
      </c>
      <c r="N36" s="9" t="str">
        <v>7Y</v>
      </c>
      <c r="O36" s="9" t="str">
        <v>obj_000bf#0006</v>
      </c>
      <c r="P36" s="96">
        <f>_xll.qlRateHelperRate(O36,Trigger)</f>
        <v>2E-3</v>
      </c>
      <c r="Q36" s="10">
        <f>_xll.qlRateHelperEarliestDate(O36,Trigger)</f>
        <v>42502</v>
      </c>
      <c r="R36" s="10">
        <f>_xll.qlRateHelperPillarDate(O36,Trigger)</f>
        <v>45058</v>
      </c>
      <c r="S36" s="96">
        <v>1.9863857268262548E-3</v>
      </c>
    </row>
    <row r="37" spans="1:19" ht="11.25" customHeight="1" x14ac:dyDescent="0.2">
      <c r="A37" s="91" t="str">
        <v>Sw</v>
      </c>
      <c r="B37" s="91" t="str">
        <v>8Y</v>
      </c>
      <c r="C37" s="91" t="str">
        <f>IF(A37="Sf",_xll.qlIMMNextCode(B37,Trigger),IF(LEFT(B37,1)="#",_xll.qlCalendarBusinessDaysBetween(Calendar,Settlementdate,DATE(LEFT(SUBSTITUTE(B37,"#",""),4),LEFT(RIGHT(SUBSTITUTE(B37,"#",""),4),2),RIGHT(SUBSTITUTE(B37,"#",""),2)),,,Trigger)-1&amp;"D",SUBSTITUTE(B37,"/","")))</f>
        <v>8Y</v>
      </c>
      <c r="D37" s="101">
        <f t="shared" si="1"/>
        <v>2</v>
      </c>
      <c r="E37" s="101" t="str">
        <f t="shared" si="2"/>
        <v>Annual</v>
      </c>
      <c r="F37" s="97" t="str">
        <f t="shared" si="3"/>
        <v>Modified Following</v>
      </c>
      <c r="G37" s="100" t="str">
        <f t="shared" si="4"/>
        <v>TRUE</v>
      </c>
      <c r="H37" s="97" t="str">
        <f t="shared" si="5"/>
        <v>30/360 (Bond Basis)</v>
      </c>
      <c r="I37" s="102">
        <v>3.15E-3</v>
      </c>
      <c r="J37" s="89" t="str">
        <f>IF(LEFT(A37,1)="D",_xll.qlDepositRateHelper2(,I37,IF(RIGHT(C37,1)="N","1D",C37),D37,Calendar,F37,G37,H37,,Trigger),IF(A37="Sw",_xll.qlSwapRateHelper2(,I37,D37,C37,Calendar,"Annual",F37,H37,"Euribor"&amp;$H$1,0,"0D",Discounting,,,,Trigger),IF(A37="Fr",_xll.qlFraRateHelper(,I37,SUBSTITUTE(LEFT(C37,2),"M","")&amp;"M","Euribor"&amp;$H$1,,,,Trigger),IF(A37="Sf",_xll.qlFuturesRateHelper(,I37,,C37,"Euribor"&amp;$H$1,0,,Trigger),"--"))))</f>
        <v>obj_000df#0006</v>
      </c>
      <c r="K37" s="98" t="b">
        <f t="shared" si="6"/>
        <v>1</v>
      </c>
      <c r="M37" s="9" t="str">
        <v>Sw</v>
      </c>
      <c r="N37" s="9" t="str">
        <v>8Y</v>
      </c>
      <c r="O37" s="9" t="str">
        <v>obj_000df#0006</v>
      </c>
      <c r="P37" s="96">
        <f>_xll.qlRateHelperRate(O37,Trigger)</f>
        <v>3.15E-3</v>
      </c>
      <c r="Q37" s="10">
        <f>_xll.qlRateHelperEarliestDate(O37,Trigger)</f>
        <v>42502</v>
      </c>
      <c r="R37" s="10">
        <f>_xll.qlRateHelperPillarDate(O37,Trigger)</f>
        <v>45425</v>
      </c>
      <c r="S37" s="96">
        <v>3.1422075037276557E-3</v>
      </c>
    </row>
    <row r="38" spans="1:19" ht="11.25" customHeight="1" x14ac:dyDescent="0.2">
      <c r="A38" s="91" t="str">
        <v>Sw</v>
      </c>
      <c r="B38" s="91" t="str">
        <v>9Y</v>
      </c>
      <c r="C38" s="91" t="str">
        <f>IF(A38="Sf",_xll.qlIMMNextCode(B38,Trigger),IF(LEFT(B38,1)="#",_xll.qlCalendarBusinessDaysBetween(Calendar,Settlementdate,DATE(LEFT(SUBSTITUTE(B38,"#",""),4),LEFT(RIGHT(SUBSTITUTE(B38,"#",""),4),2),RIGHT(SUBSTITUTE(B38,"#",""),2)),,,Trigger)-1&amp;"D",SUBSTITUTE(B38,"/","")))</f>
        <v>9Y</v>
      </c>
      <c r="D38" s="101">
        <f t="shared" si="1"/>
        <v>2</v>
      </c>
      <c r="E38" s="101" t="str">
        <f t="shared" si="2"/>
        <v>Annual</v>
      </c>
      <c r="F38" s="97" t="str">
        <f t="shared" si="3"/>
        <v>Modified Following</v>
      </c>
      <c r="G38" s="100" t="str">
        <f t="shared" si="4"/>
        <v>TRUE</v>
      </c>
      <c r="H38" s="97" t="str">
        <f t="shared" si="5"/>
        <v>30/360 (Bond Basis)</v>
      </c>
      <c r="I38" s="102">
        <v>4.2399999999999998E-3</v>
      </c>
      <c r="J38" s="89" t="str">
        <f>IF(LEFT(A38,1)="D",_xll.qlDepositRateHelper2(,I38,IF(RIGHT(C38,1)="N","1D",C38),D38,Calendar,F38,G38,H38,,Trigger),IF(A38="Sw",_xll.qlSwapRateHelper2(,I38,D38,C38,Calendar,"Annual",F38,H38,"Euribor"&amp;$H$1,0,"0D",Discounting,,,,Trigger),IF(A38="Fr",_xll.qlFraRateHelper(,I38,SUBSTITUTE(LEFT(C38,2),"M","")&amp;"M","Euribor"&amp;$H$1,,,,Trigger),IF(A38="Sf",_xll.qlFuturesRateHelper(,I38,,C38,"Euribor"&amp;$H$1,0,,Trigger),"--"))))</f>
        <v>obj_000cb#0006</v>
      </c>
      <c r="K38" s="98" t="b">
        <f t="shared" si="6"/>
        <v>1</v>
      </c>
      <c r="M38" s="9" t="str">
        <v>Sw</v>
      </c>
      <c r="N38" s="9" t="str">
        <v>9Y</v>
      </c>
      <c r="O38" s="9" t="str">
        <v>obj_000cb#0006</v>
      </c>
      <c r="P38" s="96">
        <f>_xll.qlRateHelperRate(O38,Trigger)</f>
        <v>4.2399999999999998E-3</v>
      </c>
      <c r="Q38" s="10">
        <f>_xll.qlRateHelperEarliestDate(O38,Trigger)</f>
        <v>42502</v>
      </c>
      <c r="R38" s="10">
        <f>_xll.qlRateHelperPillarDate(O38,Trigger)</f>
        <v>45789</v>
      </c>
      <c r="S38" s="96">
        <v>4.2452034072962812E-3</v>
      </c>
    </row>
    <row r="39" spans="1:19" ht="11.25" customHeight="1" x14ac:dyDescent="0.2">
      <c r="A39" s="91" t="str">
        <v>Sw</v>
      </c>
      <c r="B39" s="91" t="str">
        <v>10Y</v>
      </c>
      <c r="C39" s="91" t="str">
        <f>IF(A39="Sf",_xll.qlIMMNextCode(B39,Trigger),IF(LEFT(B39,1)="#",_xll.qlCalendarBusinessDaysBetween(Calendar,Settlementdate,DATE(LEFT(SUBSTITUTE(B39,"#",""),4),LEFT(RIGHT(SUBSTITUTE(B39,"#",""),4),2),RIGHT(SUBSTITUTE(B39,"#",""),2)),,,Trigger)-1&amp;"D",SUBSTITUTE(B39,"/","")))</f>
        <v>10Y</v>
      </c>
      <c r="D39" s="101">
        <f t="shared" si="1"/>
        <v>2</v>
      </c>
      <c r="E39" s="101" t="str">
        <f t="shared" si="2"/>
        <v>Annual</v>
      </c>
      <c r="F39" s="97" t="str">
        <f t="shared" si="3"/>
        <v>Modified Following</v>
      </c>
      <c r="G39" s="100" t="str">
        <f t="shared" si="4"/>
        <v>TRUE</v>
      </c>
      <c r="H39" s="97" t="str">
        <f t="shared" si="5"/>
        <v>30/360 (Bond Basis)</v>
      </c>
      <c r="I39" s="102">
        <v>5.2399999999999999E-3</v>
      </c>
      <c r="J39" s="89" t="str">
        <f>IF(LEFT(A39,1)="D",_xll.qlDepositRateHelper2(,I39,IF(RIGHT(C39,1)="N","1D",C39),D39,Calendar,F39,G39,H39,,Trigger),IF(A39="Sw",_xll.qlSwapRateHelper2(,I39,D39,C39,Calendar,"Annual",F39,H39,"Euribor"&amp;$H$1,0,"0D",Discounting,,,,Trigger),IF(A39="Fr",_xll.qlFraRateHelper(,I39,SUBSTITUTE(LEFT(C39,2),"M","")&amp;"M","Euribor"&amp;$H$1,,,,Trigger),IF(A39="Sf",_xll.qlFuturesRateHelper(,I39,,C39,"Euribor"&amp;$H$1,0,,Trigger),"--"))))</f>
        <v>obj_000c2#0006</v>
      </c>
      <c r="K39" s="98" t="b">
        <f t="shared" si="6"/>
        <v>1</v>
      </c>
      <c r="M39" s="9" t="str">
        <v>Sw</v>
      </c>
      <c r="N39" s="9" t="str">
        <v>10Y</v>
      </c>
      <c r="O39" s="9" t="str">
        <v>obj_000c2#0006</v>
      </c>
      <c r="P39" s="96">
        <f>_xll.qlRateHelperRate(O39,Trigger)</f>
        <v>5.2399999999999999E-3</v>
      </c>
      <c r="Q39" s="10">
        <f>_xll.qlRateHelperEarliestDate(O39,Trigger)</f>
        <v>42502</v>
      </c>
      <c r="R39" s="10">
        <f>_xll.qlRateHelperPillarDate(O39,Trigger)</f>
        <v>46154</v>
      </c>
      <c r="S39" s="96">
        <v>5.2638260637906534E-3</v>
      </c>
    </row>
    <row r="40" spans="1:19" ht="11.25" customHeight="1" x14ac:dyDescent="0.2">
      <c r="A40" s="91" t="str">
        <v>Sw</v>
      </c>
      <c r="B40" s="91" t="str">
        <v>11Y</v>
      </c>
      <c r="C40" s="91" t="str">
        <f>IF(A40="Sf",_xll.qlIMMNextCode(B40,Trigger),IF(LEFT(B40,1)="#",_xll.qlCalendarBusinessDaysBetween(Calendar,Settlementdate,DATE(LEFT(SUBSTITUTE(B40,"#",""),4),LEFT(RIGHT(SUBSTITUTE(B40,"#",""),4),2),RIGHT(SUBSTITUTE(B40,"#",""),2)),,,Trigger)-1&amp;"D",SUBSTITUTE(B40,"/","")))</f>
        <v>11Y</v>
      </c>
      <c r="D40" s="101">
        <f t="shared" si="1"/>
        <v>2</v>
      </c>
      <c r="E40" s="101" t="str">
        <f t="shared" si="2"/>
        <v>Annual</v>
      </c>
      <c r="F40" s="97" t="str">
        <f t="shared" si="3"/>
        <v>Modified Following</v>
      </c>
      <c r="G40" s="100" t="str">
        <f t="shared" si="4"/>
        <v>TRUE</v>
      </c>
      <c r="H40" s="97" t="str">
        <f t="shared" si="5"/>
        <v>30/360 (Bond Basis)</v>
      </c>
      <c r="I40" s="102">
        <v>6.1550472700000001E-3</v>
      </c>
      <c r="J40" s="89" t="str">
        <f>IF(LEFT(A40,1)="D",_xll.qlDepositRateHelper2(,I40,IF(RIGHT(C40,1)="N","1D",C40),D40,Calendar,F40,G40,H40,,Trigger),IF(A40="Sw",_xll.qlSwapRateHelper2(,I40,D40,C40,Calendar,"Annual",F40,H40,"Euribor"&amp;$H$1,0,"0D",Discounting,,,,Trigger),IF(A40="Fr",_xll.qlFraRateHelper(,I40,SUBSTITUTE(LEFT(C40,2),"M","")&amp;"M","Euribor"&amp;$H$1,,,,Trigger),IF(A40="Sf",_xll.qlFuturesRateHelper(,I40,,C40,"Euribor"&amp;$H$1,0,,Trigger),"--"))))</f>
        <v>obj_000d7#0006</v>
      </c>
      <c r="K40" s="98" t="b">
        <f t="shared" si="6"/>
        <v>1</v>
      </c>
      <c r="M40" s="9" t="str">
        <v>Sw</v>
      </c>
      <c r="N40" s="9" t="str">
        <v>11Y</v>
      </c>
      <c r="O40" s="9" t="str">
        <v>obj_000d7#0006</v>
      </c>
      <c r="P40" s="96">
        <f>_xll.qlRateHelperRate(O40,Trigger)</f>
        <v>6.1550472700000001E-3</v>
      </c>
      <c r="Q40" s="10">
        <f>_xll.qlRateHelperEarliestDate(O40,Trigger)</f>
        <v>42502</v>
      </c>
      <c r="R40" s="10">
        <f>_xll.qlRateHelperPillarDate(O40,Trigger)</f>
        <v>46519</v>
      </c>
      <c r="S40" s="96">
        <v>6.202428924160272E-3</v>
      </c>
    </row>
    <row r="41" spans="1:19" ht="11.25" customHeight="1" x14ac:dyDescent="0.2">
      <c r="A41" s="91" t="str">
        <v>Sw</v>
      </c>
      <c r="B41" s="91" t="str">
        <v>12Y</v>
      </c>
      <c r="C41" s="91" t="str">
        <f>IF(A41="Sf",_xll.qlIMMNextCode(B41,Trigger),IF(LEFT(B41,1)="#",_xll.qlCalendarBusinessDaysBetween(Calendar,Settlementdate,DATE(LEFT(SUBSTITUTE(B41,"#",""),4),LEFT(RIGHT(SUBSTITUTE(B41,"#",""),4),2),RIGHT(SUBSTITUTE(B41,"#",""),2)),,,Trigger)-1&amp;"D",SUBSTITUTE(B41,"/","")))</f>
        <v>12Y</v>
      </c>
      <c r="D41" s="101">
        <f t="shared" si="1"/>
        <v>2</v>
      </c>
      <c r="E41" s="101" t="str">
        <f t="shared" si="2"/>
        <v>Annual</v>
      </c>
      <c r="F41" s="97" t="str">
        <f t="shared" si="3"/>
        <v>Modified Following</v>
      </c>
      <c r="G41" s="100" t="str">
        <f t="shared" si="4"/>
        <v>TRUE</v>
      </c>
      <c r="H41" s="97" t="str">
        <f t="shared" si="5"/>
        <v>30/360 (Bond Basis)</v>
      </c>
      <c r="I41" s="102">
        <v>6.9799999999999992E-3</v>
      </c>
      <c r="J41" s="89" t="str">
        <f>IF(LEFT(A41,1)="D",_xll.qlDepositRateHelper2(,I41,IF(RIGHT(C41,1)="N","1D",C41),D41,Calendar,F41,G41,H41,,Trigger),IF(A41="Sw",_xll.qlSwapRateHelper2(,I41,D41,C41,Calendar,"Annual",F41,H41,"Euribor"&amp;$H$1,0,"0D",Discounting,,,,Trigger),IF(A41="Fr",_xll.qlFraRateHelper(,I41,SUBSTITUTE(LEFT(C41,2),"M","")&amp;"M","Euribor"&amp;$H$1,,,,Trigger),IF(A41="Sf",_xll.qlFuturesRateHelper(,I41,,C41,"Euribor"&amp;$H$1,0,,Trigger),"--"))))</f>
        <v>obj_000b8#0006</v>
      </c>
      <c r="K41" s="98" t="b">
        <f t="shared" si="6"/>
        <v>1</v>
      </c>
      <c r="M41" s="9" t="str">
        <v>Sw</v>
      </c>
      <c r="N41" s="9" t="str">
        <v>12Y</v>
      </c>
      <c r="O41" s="9" t="str">
        <v>obj_000b8#0006</v>
      </c>
      <c r="P41" s="96">
        <f>_xll.qlRateHelperRate(O41,Trigger)</f>
        <v>6.9799999999999992E-3</v>
      </c>
      <c r="Q41" s="10">
        <f>_xll.qlRateHelperEarliestDate(O41,Trigger)</f>
        <v>42502</v>
      </c>
      <c r="R41" s="10">
        <f>_xll.qlRateHelperPillarDate(O41,Trigger)</f>
        <v>46885</v>
      </c>
      <c r="S41" s="96">
        <v>7.0528367091347273E-3</v>
      </c>
    </row>
    <row r="42" spans="1:19" ht="11.25" customHeight="1" x14ac:dyDescent="0.2">
      <c r="A42" s="91" t="str">
        <v>Sw</v>
      </c>
      <c r="B42" s="91" t="str">
        <v>13Y</v>
      </c>
      <c r="C42" s="91" t="str">
        <f>IF(A42="Sf",_xll.qlIMMNextCode(B42,Trigger),IF(LEFT(B42,1)="#",_xll.qlCalendarBusinessDaysBetween(Calendar,Settlementdate,DATE(LEFT(SUBSTITUTE(B42,"#",""),4),LEFT(RIGHT(SUBSTITUTE(B42,"#",""),4),2),RIGHT(SUBSTITUTE(B42,"#",""),2)),,,Trigger)-1&amp;"D",SUBSTITUTE(B42,"/","")))</f>
        <v>13Y</v>
      </c>
      <c r="D42" s="101">
        <f t="shared" si="1"/>
        <v>2</v>
      </c>
      <c r="E42" s="101" t="str">
        <f t="shared" si="2"/>
        <v>Annual</v>
      </c>
      <c r="F42" s="97" t="str">
        <f t="shared" si="3"/>
        <v>Modified Following</v>
      </c>
      <c r="G42" s="100" t="str">
        <f t="shared" si="4"/>
        <v>TRUE</v>
      </c>
      <c r="H42" s="97" t="str">
        <f t="shared" si="5"/>
        <v>30/360 (Bond Basis)</v>
      </c>
      <c r="I42" s="102">
        <v>7.6994708000000002E-3</v>
      </c>
      <c r="J42" s="89" t="str">
        <f>IF(LEFT(A42,1)="D",_xll.qlDepositRateHelper2(,I42,IF(RIGHT(C42,1)="N","1D",C42),D42,Calendar,F42,G42,H42,,Trigger),IF(A42="Sw",_xll.qlSwapRateHelper2(,I42,D42,C42,Calendar,"Annual",F42,H42,"Euribor"&amp;$H$1,0,"0D",Discounting,,,,Trigger),IF(A42="Fr",_xll.qlFraRateHelper(,I42,SUBSTITUTE(LEFT(C42,2),"M","")&amp;"M","Euribor"&amp;$H$1,,,,Trigger),IF(A42="Sf",_xll.qlFuturesRateHelper(,I42,,C42,"Euribor"&amp;$H$1,0,,Trigger),"--"))))</f>
        <v>obj_000e6#0006</v>
      </c>
      <c r="K42" s="98" t="b">
        <f t="shared" si="6"/>
        <v>1</v>
      </c>
      <c r="M42" s="9" t="str">
        <v>Sw</v>
      </c>
      <c r="N42" s="9" t="str">
        <v>13Y</v>
      </c>
      <c r="O42" s="9" t="str">
        <v>obj_000e6#0006</v>
      </c>
      <c r="P42" s="96">
        <f>_xll.qlRateHelperRate(O42,Trigger)</f>
        <v>7.6994708000000002E-3</v>
      </c>
      <c r="Q42" s="10">
        <f>_xll.qlRateHelperEarliestDate(O42,Trigger)</f>
        <v>42502</v>
      </c>
      <c r="R42" s="10">
        <f>_xll.qlRateHelperPillarDate(O42,Trigger)</f>
        <v>47252</v>
      </c>
      <c r="S42" s="96">
        <v>7.8004751125069728E-3</v>
      </c>
    </row>
    <row r="43" spans="1:19" ht="11.25" customHeight="1" x14ac:dyDescent="0.2">
      <c r="A43" s="91" t="str">
        <v>Sw</v>
      </c>
      <c r="B43" s="91" t="str">
        <v>14Y</v>
      </c>
      <c r="C43" s="91" t="str">
        <f>IF(A43="Sf",_xll.qlIMMNextCode(B43,Trigger),IF(LEFT(B43,1)="#",_xll.qlCalendarBusinessDaysBetween(Calendar,Settlementdate,DATE(LEFT(SUBSTITUTE(B43,"#",""),4),LEFT(RIGHT(SUBSTITUTE(B43,"#",""),4),2),RIGHT(SUBSTITUTE(B43,"#",""),2)),,,Trigger)-1&amp;"D",SUBSTITUTE(B43,"/","")))</f>
        <v>14Y</v>
      </c>
      <c r="D43" s="101">
        <f t="shared" si="1"/>
        <v>2</v>
      </c>
      <c r="E43" s="101" t="str">
        <f t="shared" si="2"/>
        <v>Annual</v>
      </c>
      <c r="F43" s="97" t="str">
        <f t="shared" si="3"/>
        <v>Modified Following</v>
      </c>
      <c r="G43" s="100" t="str">
        <f t="shared" si="4"/>
        <v>TRUE</v>
      </c>
      <c r="H43" s="97" t="str">
        <f t="shared" si="5"/>
        <v>30/360 (Bond Basis)</v>
      </c>
      <c r="I43" s="102">
        <v>8.3211671299999995E-3</v>
      </c>
      <c r="J43" s="89" t="str">
        <f>IF(LEFT(A43,1)="D",_xll.qlDepositRateHelper2(,I43,IF(RIGHT(C43,1)="N","1D",C43),D43,Calendar,F43,G43,H43,,Trigger),IF(A43="Sw",_xll.qlSwapRateHelper2(,I43,D43,C43,Calendar,"Annual",F43,H43,"Euribor"&amp;$H$1,0,"0D",Discounting,,,,Trigger),IF(A43="Fr",_xll.qlFraRateHelper(,I43,SUBSTITUTE(LEFT(C43,2),"M","")&amp;"M","Euribor"&amp;$H$1,,,,Trigger),IF(A43="Sf",_xll.qlFuturesRateHelper(,I43,,C43,"Euribor"&amp;$H$1,0,,Trigger),"--"))))</f>
        <v>obj_000ec#0006</v>
      </c>
      <c r="K43" s="98" t="b">
        <f t="shared" si="6"/>
        <v>1</v>
      </c>
      <c r="M43" s="9" t="str">
        <v>Sw</v>
      </c>
      <c r="N43" s="9" t="str">
        <v>14Y</v>
      </c>
      <c r="O43" s="9" t="str">
        <v>obj_000ec#0006</v>
      </c>
      <c r="P43" s="96">
        <f>_xll.qlRateHelperRate(O43,Trigger)</f>
        <v>8.3211671299999995E-3</v>
      </c>
      <c r="Q43" s="10">
        <f>_xll.qlRateHelperEarliestDate(O43,Trigger)</f>
        <v>42502</v>
      </c>
      <c r="R43" s="10">
        <f>_xll.qlRateHelperPillarDate(O43,Trigger)</f>
        <v>47616</v>
      </c>
      <c r="S43" s="96">
        <v>8.4502253540275317E-3</v>
      </c>
    </row>
    <row r="44" spans="1:19" ht="11.25" customHeight="1" x14ac:dyDescent="0.2">
      <c r="A44" s="91" t="str">
        <v>Sw</v>
      </c>
      <c r="B44" s="91" t="str">
        <v>15Y</v>
      </c>
      <c r="C44" s="91" t="str">
        <f>IF(A44="Sf",_xll.qlIMMNextCode(B44,Trigger),IF(LEFT(B44,1)="#",_xll.qlCalendarBusinessDaysBetween(Calendar,Settlementdate,DATE(LEFT(SUBSTITUTE(B44,"#",""),4),LEFT(RIGHT(SUBSTITUTE(B44,"#",""),4),2),RIGHT(SUBSTITUTE(B44,"#",""),2)),,,Trigger)-1&amp;"D",SUBSTITUTE(B44,"/","")))</f>
        <v>15Y</v>
      </c>
      <c r="D44" s="101">
        <f t="shared" si="1"/>
        <v>2</v>
      </c>
      <c r="E44" s="101" t="str">
        <f t="shared" si="2"/>
        <v>Annual</v>
      </c>
      <c r="F44" s="97" t="str">
        <f t="shared" si="3"/>
        <v>Modified Following</v>
      </c>
      <c r="G44" s="100" t="str">
        <f t="shared" si="4"/>
        <v>TRUE</v>
      </c>
      <c r="H44" s="97" t="str">
        <f t="shared" si="5"/>
        <v>30/360 (Bond Basis)</v>
      </c>
      <c r="I44" s="102">
        <v>8.8400000000000006E-3</v>
      </c>
      <c r="J44" s="89" t="str">
        <f>IF(LEFT(A44,1)="D",_xll.qlDepositRateHelper2(,I44,IF(RIGHT(C44,1)="N","1D",C44),D44,Calendar,F44,G44,H44,,Trigger),IF(A44="Sw",_xll.qlSwapRateHelper2(,I44,D44,C44,Calendar,"Annual",F44,H44,"Euribor"&amp;$H$1,0,"0D",Discounting,,,,Trigger),IF(A44="Fr",_xll.qlFraRateHelper(,I44,SUBSTITUTE(LEFT(C44,2),"M","")&amp;"M","Euribor"&amp;$H$1,,,,Trigger),IF(A44="Sf",_xll.qlFuturesRateHelper(,I44,,C44,"Euribor"&amp;$H$1,0,,Trigger),"--"))))</f>
        <v>obj_000c5#0006</v>
      </c>
      <c r="K44" s="98" t="b">
        <f t="shared" si="6"/>
        <v>1</v>
      </c>
      <c r="M44" s="9" t="str">
        <v>Sw</v>
      </c>
      <c r="N44" s="9" t="str">
        <v>15Y</v>
      </c>
      <c r="O44" s="9" t="str">
        <v>obj_000c5#0006</v>
      </c>
      <c r="P44" s="96">
        <f>_xll.qlRateHelperRate(O44,Trigger)</f>
        <v>8.8400000000000006E-3</v>
      </c>
      <c r="Q44" s="10">
        <f>_xll.qlRateHelperEarliestDate(O44,Trigger)</f>
        <v>42502</v>
      </c>
      <c r="R44" s="10">
        <f>_xll.qlRateHelperPillarDate(O44,Trigger)</f>
        <v>47980</v>
      </c>
      <c r="S44" s="96">
        <v>8.9947966224912922E-3</v>
      </c>
    </row>
    <row r="45" spans="1:19" ht="11.25" customHeight="1" x14ac:dyDescent="0.2">
      <c r="A45" s="91" t="str">
        <v>Sw</v>
      </c>
      <c r="B45" s="91" t="str">
        <v>16Y</v>
      </c>
      <c r="C45" s="91" t="str">
        <f>IF(A45="Sf",_xll.qlIMMNextCode(B45,Trigger),IF(LEFT(B45,1)="#",_xll.qlCalendarBusinessDaysBetween(Calendar,Settlementdate,DATE(LEFT(SUBSTITUTE(B45,"#",""),4),LEFT(RIGHT(SUBSTITUTE(B45,"#",""),4),2),RIGHT(SUBSTITUTE(B45,"#",""),2)),,,Trigger)-1&amp;"D",SUBSTITUTE(B45,"/","")))</f>
        <v>16Y</v>
      </c>
      <c r="D45" s="101">
        <f t="shared" si="1"/>
        <v>2</v>
      </c>
      <c r="E45" s="101" t="str">
        <f t="shared" si="2"/>
        <v>Annual</v>
      </c>
      <c r="F45" s="97" t="str">
        <f t="shared" si="3"/>
        <v>Modified Following</v>
      </c>
      <c r="G45" s="100" t="str">
        <f t="shared" si="4"/>
        <v>TRUE</v>
      </c>
      <c r="H45" s="97" t="str">
        <f t="shared" si="5"/>
        <v>30/360 (Bond Basis)</v>
      </c>
      <c r="I45" s="102">
        <v>9.2684162600000005E-3</v>
      </c>
      <c r="J45" s="89" t="str">
        <f>IF(LEFT(A45,1)="D",_xll.qlDepositRateHelper2(,I45,IF(RIGHT(C45,1)="N","1D",C45),D45,Calendar,F45,G45,H45,,Trigger),IF(A45="Sw",_xll.qlSwapRateHelper2(,I45,D45,C45,Calendar,"Annual",F45,H45,"Euribor"&amp;$H$1,0,"0D",Discounting,,,,Trigger),IF(A45="Fr",_xll.qlFraRateHelper(,I45,SUBSTITUTE(LEFT(C45,2),"M","")&amp;"M","Euribor"&amp;$H$1,,,,Trigger),IF(A45="Sf",_xll.qlFuturesRateHelper(,I45,,C45,"Euribor"&amp;$H$1,0,,Trigger),"--"))))</f>
        <v>obj_000dd#0006</v>
      </c>
      <c r="K45" s="98" t="b">
        <f t="shared" si="6"/>
        <v>1</v>
      </c>
      <c r="M45" s="9" t="str">
        <v>Sw</v>
      </c>
      <c r="N45" s="9" t="str">
        <v>16Y</v>
      </c>
      <c r="O45" s="9" t="str">
        <v>obj_000dd#0006</v>
      </c>
      <c r="P45" s="96">
        <f>_xll.qlRateHelperRate(O45,Trigger)</f>
        <v>9.2684162600000005E-3</v>
      </c>
      <c r="Q45" s="10">
        <f>_xll.qlRateHelperEarliestDate(O45,Trigger)</f>
        <v>42502</v>
      </c>
      <c r="R45" s="10">
        <f>_xll.qlRateHelperPillarDate(O45,Trigger)</f>
        <v>48346</v>
      </c>
      <c r="S45" s="96">
        <v>9.4441018358849167E-3</v>
      </c>
    </row>
    <row r="46" spans="1:19" ht="11.25" customHeight="1" x14ac:dyDescent="0.2">
      <c r="A46" s="91" t="str">
        <v>Sw</v>
      </c>
      <c r="B46" s="91" t="str">
        <v>17Y</v>
      </c>
      <c r="C46" s="91" t="str">
        <f>IF(A46="Sf",_xll.qlIMMNextCode(B46,Trigger),IF(LEFT(B46,1)="#",_xll.qlCalendarBusinessDaysBetween(Calendar,Settlementdate,DATE(LEFT(SUBSTITUTE(B46,"#",""),4),LEFT(RIGHT(SUBSTITUTE(B46,"#",""),4),2),RIGHT(SUBSTITUTE(B46,"#",""),2)),,,Trigger)-1&amp;"D",SUBSTITUTE(B46,"/","")))</f>
        <v>17Y</v>
      </c>
      <c r="D46" s="101">
        <f t="shared" si="1"/>
        <v>2</v>
      </c>
      <c r="E46" s="101" t="str">
        <f t="shared" si="2"/>
        <v>Annual</v>
      </c>
      <c r="F46" s="97" t="str">
        <f t="shared" si="3"/>
        <v>Modified Following</v>
      </c>
      <c r="G46" s="100" t="str">
        <f t="shared" si="4"/>
        <v>TRUE</v>
      </c>
      <c r="H46" s="97" t="str">
        <f t="shared" si="5"/>
        <v>30/360 (Bond Basis)</v>
      </c>
      <c r="I46" s="102">
        <v>9.6126716999999987E-3</v>
      </c>
      <c r="J46" s="89" t="str">
        <f>IF(LEFT(A46,1)="D",_xll.qlDepositRateHelper2(,I46,IF(RIGHT(C46,1)="N","1D",C46),D46,Calendar,F46,G46,H46,,Trigger),IF(A46="Sw",_xll.qlSwapRateHelper2(,I46,D46,C46,Calendar,"Annual",F46,H46,"Euribor"&amp;$H$1,0,"0D",Discounting,,,,Trigger),IF(A46="Fr",_xll.qlFraRateHelper(,I46,SUBSTITUTE(LEFT(C46,2),"M","")&amp;"M","Euribor"&amp;$H$1,,,,Trigger),IF(A46="Sf",_xll.qlFuturesRateHelper(,I46,,C46,"Euribor"&amp;$H$1,0,,Trigger),"--"))))</f>
        <v>obj_000cf#0006</v>
      </c>
      <c r="K46" s="98" t="b">
        <f t="shared" si="6"/>
        <v>1</v>
      </c>
      <c r="M46" s="9" t="str">
        <v>Sw</v>
      </c>
      <c r="N46" s="9" t="str">
        <v>17Y</v>
      </c>
      <c r="O46" s="9" t="str">
        <v>obj_000cf#0006</v>
      </c>
      <c r="P46" s="96">
        <f>_xll.qlRateHelperRate(O46,Trigger)</f>
        <v>9.6126716999999987E-3</v>
      </c>
      <c r="Q46" s="10">
        <f>_xll.qlRateHelperEarliestDate(O46,Trigger)</f>
        <v>42502</v>
      </c>
      <c r="R46" s="10">
        <f>_xll.qlRateHelperPillarDate(O46,Trigger)</f>
        <v>48711</v>
      </c>
      <c r="S46" s="96">
        <v>9.8066393639203216E-3</v>
      </c>
    </row>
    <row r="47" spans="1:19" ht="11.25" customHeight="1" x14ac:dyDescent="0.2">
      <c r="A47" s="91" t="str">
        <v>Sw</v>
      </c>
      <c r="B47" s="91" t="str">
        <v>18Y</v>
      </c>
      <c r="C47" s="91" t="str">
        <f>IF(A47="Sf",_xll.qlIMMNextCode(B47,Trigger),IF(LEFT(B47,1)="#",_xll.qlCalendarBusinessDaysBetween(Calendar,Settlementdate,DATE(LEFT(SUBSTITUTE(B47,"#",""),4),LEFT(RIGHT(SUBSTITUTE(B47,"#",""),4),2),RIGHT(SUBSTITUTE(B47,"#",""),2)),,,Trigger)-1&amp;"D",SUBSTITUTE(B47,"/","")))</f>
        <v>18Y</v>
      </c>
      <c r="D47" s="101">
        <f t="shared" si="1"/>
        <v>2</v>
      </c>
      <c r="E47" s="101" t="str">
        <f t="shared" si="2"/>
        <v>Annual</v>
      </c>
      <c r="F47" s="97" t="str">
        <f t="shared" si="3"/>
        <v>Modified Following</v>
      </c>
      <c r="G47" s="100" t="str">
        <f t="shared" si="4"/>
        <v>TRUE</v>
      </c>
      <c r="H47" s="97" t="str">
        <f t="shared" si="5"/>
        <v>30/360 (Bond Basis)</v>
      </c>
      <c r="I47" s="102">
        <v>9.8862792899999993E-3</v>
      </c>
      <c r="J47" s="89" t="str">
        <f>IF(LEFT(A47,1)="D",_xll.qlDepositRateHelper2(,I47,IF(RIGHT(C47,1)="N","1D",C47),D47,Calendar,F47,G47,H47,,Trigger),IF(A47="Sw",_xll.qlSwapRateHelper2(,I47,D47,C47,Calendar,"Annual",F47,H47,"Euribor"&amp;$H$1,0,"0D",Discounting,,,,Trigger),IF(A47="Fr",_xll.qlFraRateHelper(,I47,SUBSTITUTE(LEFT(C47,2),"M","")&amp;"M","Euribor"&amp;$H$1,,,,Trigger),IF(A47="Sf",_xll.qlFuturesRateHelper(,I47,,C47,"Euribor"&amp;$H$1,0,,Trigger),"--"))))</f>
        <v>obj_000c8#0006</v>
      </c>
      <c r="K47" s="98" t="b">
        <f t="shared" si="6"/>
        <v>1</v>
      </c>
      <c r="M47" s="9" t="str">
        <v>Sw</v>
      </c>
      <c r="N47" s="9" t="str">
        <v>18Y</v>
      </c>
      <c r="O47" s="9" t="str">
        <v>obj_000c8#0006</v>
      </c>
      <c r="P47" s="96">
        <f>_xll.qlRateHelperRate(O47,Trigger)</f>
        <v>9.8862792899999993E-3</v>
      </c>
      <c r="Q47" s="10">
        <f>_xll.qlRateHelperEarliestDate(O47,Trigger)</f>
        <v>42502</v>
      </c>
      <c r="R47" s="10">
        <f>_xll.qlRateHelperPillarDate(O47,Trigger)</f>
        <v>49076</v>
      </c>
      <c r="S47" s="96">
        <v>1.0094210257654036E-2</v>
      </c>
    </row>
    <row r="48" spans="1:19" ht="11.25" customHeight="1" x14ac:dyDescent="0.2">
      <c r="A48" s="91" t="str">
        <v>Sw</v>
      </c>
      <c r="B48" s="91" t="str">
        <v>19Y</v>
      </c>
      <c r="C48" s="91" t="str">
        <f>IF(A48="Sf",_xll.qlIMMNextCode(B48,Trigger),IF(LEFT(B48,1)="#",_xll.qlCalendarBusinessDaysBetween(Calendar,Settlementdate,DATE(LEFT(SUBSTITUTE(B48,"#",""),4),LEFT(RIGHT(SUBSTITUTE(B48,"#",""),4),2),RIGHT(SUBSTITUTE(B48,"#",""),2)),,,Trigger)-1&amp;"D",SUBSTITUTE(B48,"/","")))</f>
        <v>19Y</v>
      </c>
      <c r="D48" s="101">
        <f t="shared" si="1"/>
        <v>2</v>
      </c>
      <c r="E48" s="101" t="str">
        <f t="shared" si="2"/>
        <v>Annual</v>
      </c>
      <c r="F48" s="97" t="str">
        <f t="shared" si="3"/>
        <v>Modified Following</v>
      </c>
      <c r="G48" s="100" t="str">
        <f t="shared" si="4"/>
        <v>TRUE</v>
      </c>
      <c r="H48" s="97" t="str">
        <f t="shared" si="5"/>
        <v>30/360 (Bond Basis)</v>
      </c>
      <c r="I48" s="102">
        <v>1.0100916369999999E-2</v>
      </c>
      <c r="J48" s="89" t="str">
        <f>IF(LEFT(A48,1)="D",_xll.qlDepositRateHelper2(,I48,IF(RIGHT(C48,1)="N","1D",C48),D48,Calendar,F48,G48,H48,,Trigger),IF(A48="Sw",_xll.qlSwapRateHelper2(,I48,D48,C48,Calendar,"Annual",F48,H48,"Euribor"&amp;$H$1,0,"0D",Discounting,,,,Trigger),IF(A48="Fr",_xll.qlFraRateHelper(,I48,SUBSTITUTE(LEFT(C48,2),"M","")&amp;"M","Euribor"&amp;$H$1,,,,Trigger),IF(A48="Sf",_xll.qlFuturesRateHelper(,I48,,C48,"Euribor"&amp;$H$1,0,,Trigger),"--"))))</f>
        <v>obj_000d5#0006</v>
      </c>
      <c r="K48" s="98" t="b">
        <f t="shared" si="6"/>
        <v>1</v>
      </c>
      <c r="M48" s="9" t="str">
        <v>Sw</v>
      </c>
      <c r="N48" s="9" t="str">
        <v>19Y</v>
      </c>
      <c r="O48" s="9" t="str">
        <v>obj_000d5#0006</v>
      </c>
      <c r="P48" s="96">
        <f>_xll.qlRateHelperRate(O48,Trigger)</f>
        <v>1.0100916369999999E-2</v>
      </c>
      <c r="Q48" s="10">
        <f>_xll.qlRateHelperEarliestDate(O48,Trigger)</f>
        <v>42502</v>
      </c>
      <c r="R48" s="10">
        <f>_xll.qlRateHelperPillarDate(O48,Trigger)</f>
        <v>49443</v>
      </c>
      <c r="S48" s="96">
        <v>1.0318594551831938E-2</v>
      </c>
    </row>
    <row r="49" spans="1:19" ht="11.25" customHeight="1" x14ac:dyDescent="0.2">
      <c r="A49" s="91" t="str">
        <v>Sw</v>
      </c>
      <c r="B49" s="91" t="str">
        <v>20Y</v>
      </c>
      <c r="C49" s="91" t="str">
        <f>IF(A49="Sf",_xll.qlIMMNextCode(B49,Trigger),IF(LEFT(B49,1)="#",_xll.qlCalendarBusinessDaysBetween(Calendar,Settlementdate,DATE(LEFT(SUBSTITUTE(B49,"#",""),4),LEFT(RIGHT(SUBSTITUTE(B49,"#",""),4),2),RIGHT(SUBSTITUTE(B49,"#",""),2)),,,Trigger)-1&amp;"D",SUBSTITUTE(B49,"/","")))</f>
        <v>20Y</v>
      </c>
      <c r="D49" s="101">
        <f t="shared" si="1"/>
        <v>2</v>
      </c>
      <c r="E49" s="101" t="str">
        <f t="shared" si="2"/>
        <v>Annual</v>
      </c>
      <c r="F49" s="97" t="str">
        <f t="shared" si="3"/>
        <v>Modified Following</v>
      </c>
      <c r="G49" s="100" t="str">
        <f t="shared" si="4"/>
        <v>TRUE</v>
      </c>
      <c r="H49" s="97" t="str">
        <f t="shared" si="5"/>
        <v>30/360 (Bond Basis)</v>
      </c>
      <c r="I49" s="102">
        <v>1.027E-2</v>
      </c>
      <c r="J49" s="89" t="str">
        <f>IF(LEFT(A49,1)="D",_xll.qlDepositRateHelper2(,I49,IF(RIGHT(C49,1)="N","1D",C49),D49,Calendar,F49,G49,H49,,Trigger),IF(A49="Sw",_xll.qlSwapRateHelper2(,I49,D49,C49,Calendar,"Annual",F49,H49,"Euribor"&amp;$H$1,0,"0D",Discounting,,,,Trigger),IF(A49="Fr",_xll.qlFraRateHelper(,I49,SUBSTITUTE(LEFT(C49,2),"M","")&amp;"M","Euribor"&amp;$H$1,,,,Trigger),IF(A49="Sf",_xll.qlFuturesRateHelper(,I49,,C49,"Euribor"&amp;$H$1,0,,Trigger),"--"))))</f>
        <v>obj_000bb#0006</v>
      </c>
      <c r="K49" s="98" t="b">
        <f t="shared" si="6"/>
        <v>1</v>
      </c>
      <c r="M49" s="9" t="str">
        <v>Sw</v>
      </c>
      <c r="N49" s="9" t="str">
        <v>20Y</v>
      </c>
      <c r="O49" s="9" t="str">
        <v>obj_000bb#0006</v>
      </c>
      <c r="P49" s="96">
        <f>_xll.qlRateHelperRate(O49,Trigger)</f>
        <v>1.027E-2</v>
      </c>
      <c r="Q49" s="10">
        <f>_xll.qlRateHelperEarliestDate(O49,Trigger)</f>
        <v>42502</v>
      </c>
      <c r="R49" s="10">
        <f>_xll.qlRateHelperPillarDate(O49,Trigger)</f>
        <v>49807</v>
      </c>
      <c r="S49" s="96">
        <v>1.0492645177585485E-2</v>
      </c>
    </row>
    <row r="50" spans="1:19" ht="11.25" customHeight="1" x14ac:dyDescent="0.2">
      <c r="A50" s="91" t="str">
        <v>Sw</v>
      </c>
      <c r="B50" s="91" t="str">
        <v>21Y</v>
      </c>
      <c r="C50" s="91" t="str">
        <f>IF(A50="Sf",_xll.qlIMMNextCode(B50,Trigger),IF(LEFT(B50,1)="#",_xll.qlCalendarBusinessDaysBetween(Calendar,Settlementdate,DATE(LEFT(SUBSTITUTE(B50,"#",""),4),LEFT(RIGHT(SUBSTITUTE(B50,"#",""),4),2),RIGHT(SUBSTITUTE(B50,"#",""),2)),,,Trigger)-1&amp;"D",SUBSTITUTE(B50,"/","")))</f>
        <v>21Y</v>
      </c>
      <c r="D50" s="101">
        <f t="shared" si="1"/>
        <v>2</v>
      </c>
      <c r="E50" s="101" t="str">
        <f t="shared" si="2"/>
        <v>Annual</v>
      </c>
      <c r="F50" s="97" t="str">
        <f t="shared" si="3"/>
        <v>Modified Following</v>
      </c>
      <c r="G50" s="100" t="str">
        <f t="shared" si="4"/>
        <v>TRUE</v>
      </c>
      <c r="H50" s="97" t="str">
        <f t="shared" si="5"/>
        <v>30/360 (Bond Basis)</v>
      </c>
      <c r="I50" s="102">
        <v>1.039902866E-2</v>
      </c>
      <c r="J50" s="89" t="str">
        <f>IF(LEFT(A50,1)="D",_xll.qlDepositRateHelper2(,I50,IF(RIGHT(C50,1)="N","1D",C50),D50,Calendar,F50,G50,H50,,Trigger),IF(A50="Sw",_xll.qlSwapRateHelper2(,I50,D50,C50,Calendar,"Annual",F50,H50,"Euribor"&amp;$H$1,0,"0D",Discounting,,,,Trigger),IF(A50="Fr",_xll.qlFraRateHelper(,I50,SUBSTITUTE(LEFT(C50,2),"M","")&amp;"M","Euribor"&amp;$H$1,,,,Trigger),IF(A50="Sf",_xll.qlFuturesRateHelper(,I50,,C50,"Euribor"&amp;$H$1,0,,Trigger),"--"))))</f>
        <v>obj_000e8#0006</v>
      </c>
      <c r="K50" s="98" t="b">
        <f t="shared" si="6"/>
        <v>1</v>
      </c>
      <c r="M50" s="9" t="str">
        <v>Sw</v>
      </c>
      <c r="N50" s="9" t="str">
        <v>21Y</v>
      </c>
      <c r="O50" s="9" t="str">
        <v>obj_000e8#0006</v>
      </c>
      <c r="P50" s="96">
        <f>_xll.qlRateHelperRate(O50,Trigger)</f>
        <v>1.039902866E-2</v>
      </c>
      <c r="Q50" s="10">
        <f>_xll.qlRateHelperEarliestDate(O50,Trigger)</f>
        <v>42502</v>
      </c>
      <c r="R50" s="10">
        <f>_xll.qlRateHelperPillarDate(O50,Trigger)</f>
        <v>50172</v>
      </c>
      <c r="S50" s="96">
        <v>1.0624662146405646E-2</v>
      </c>
    </row>
    <row r="51" spans="1:19" ht="11.25" customHeight="1" x14ac:dyDescent="0.2">
      <c r="A51" s="91" t="str">
        <v>Sw</v>
      </c>
      <c r="B51" s="91" t="str">
        <v>22Y</v>
      </c>
      <c r="C51" s="91" t="str">
        <f>IF(A51="Sf",_xll.qlIMMNextCode(B51,Trigger),IF(LEFT(B51,1)="#",_xll.qlCalendarBusinessDaysBetween(Calendar,Settlementdate,DATE(LEFT(SUBSTITUTE(B51,"#",""),4),LEFT(RIGHT(SUBSTITUTE(B51,"#",""),4),2),RIGHT(SUBSTITUTE(B51,"#",""),2)),,,Trigger)-1&amp;"D",SUBSTITUTE(B51,"/","")))</f>
        <v>22Y</v>
      </c>
      <c r="D51" s="101">
        <f t="shared" si="1"/>
        <v>2</v>
      </c>
      <c r="E51" s="101" t="str">
        <f t="shared" si="2"/>
        <v>Annual</v>
      </c>
      <c r="F51" s="97" t="str">
        <f t="shared" si="3"/>
        <v>Modified Following</v>
      </c>
      <c r="G51" s="100" t="str">
        <f t="shared" si="4"/>
        <v>TRUE</v>
      </c>
      <c r="H51" s="97" t="str">
        <f t="shared" si="5"/>
        <v>30/360 (Bond Basis)</v>
      </c>
      <c r="I51" s="102">
        <v>1.049690717E-2</v>
      </c>
      <c r="J51" s="89" t="str">
        <f>IF(LEFT(A51,1)="D",_xll.qlDepositRateHelper2(,I51,IF(RIGHT(C51,1)="N","1D",C51),D51,Calendar,F51,G51,H51,,Trigger),IF(A51="Sw",_xll.qlSwapRateHelper2(,I51,D51,C51,Calendar,"Annual",F51,H51,"Euribor"&amp;$H$1,0,"0D",Discounting,,,,Trigger),IF(A51="Fr",_xll.qlFraRateHelper(,I51,SUBSTITUTE(LEFT(C51,2),"M","")&amp;"M","Euribor"&amp;$H$1,,,,Trigger),IF(A51="Sf",_xll.qlFuturesRateHelper(,I51,,C51,"Euribor"&amp;$H$1,0,,Trigger),"--"))))</f>
        <v>obj_000e5#0006</v>
      </c>
      <c r="K51" s="98" t="b">
        <f t="shared" si="6"/>
        <v>1</v>
      </c>
      <c r="M51" s="9" t="str">
        <v>Sw</v>
      </c>
      <c r="N51" s="9" t="str">
        <v>22Y</v>
      </c>
      <c r="O51" s="9" t="str">
        <v>obj_000e5#0006</v>
      </c>
      <c r="P51" s="96">
        <f>_xll.qlRateHelperRate(O51,Trigger)</f>
        <v>1.049690717E-2</v>
      </c>
      <c r="Q51" s="10">
        <f>_xll.qlRateHelperEarliestDate(O51,Trigger)</f>
        <v>42502</v>
      </c>
      <c r="R51" s="10">
        <f>_xll.qlRateHelperPillarDate(O51,Trigger)</f>
        <v>50537</v>
      </c>
      <c r="S51" s="96">
        <v>1.0722777085402747E-2</v>
      </c>
    </row>
    <row r="52" spans="1:19" ht="11.25" customHeight="1" x14ac:dyDescent="0.2">
      <c r="A52" s="91" t="str">
        <v>Sw</v>
      </c>
      <c r="B52" s="91" t="str">
        <v>23Y</v>
      </c>
      <c r="C52" s="91" t="str">
        <f>IF(A52="Sf",_xll.qlIMMNextCode(B52,Trigger),IF(LEFT(B52,1)="#",_xll.qlCalendarBusinessDaysBetween(Calendar,Settlementdate,DATE(LEFT(SUBSTITUTE(B52,"#",""),4),LEFT(RIGHT(SUBSTITUTE(B52,"#",""),4),2),RIGHT(SUBSTITUTE(B52,"#",""),2)),,,Trigger)-1&amp;"D",SUBSTITUTE(B52,"/","")))</f>
        <v>23Y</v>
      </c>
      <c r="D52" s="101">
        <f t="shared" si="1"/>
        <v>2</v>
      </c>
      <c r="E52" s="101" t="str">
        <f t="shared" si="2"/>
        <v>Annual</v>
      </c>
      <c r="F52" s="97" t="str">
        <f t="shared" si="3"/>
        <v>Modified Following</v>
      </c>
      <c r="G52" s="100" t="str">
        <f t="shared" si="4"/>
        <v>TRUE</v>
      </c>
      <c r="H52" s="97" t="str">
        <f t="shared" si="5"/>
        <v>30/360 (Bond Basis)</v>
      </c>
      <c r="I52" s="102">
        <v>1.0568040020000001E-2</v>
      </c>
      <c r="J52" s="89" t="str">
        <f>IF(LEFT(A52,1)="D",_xll.qlDepositRateHelper2(,I52,IF(RIGHT(C52,1)="N","1D",C52),D52,Calendar,F52,G52,H52,,Trigger),IF(A52="Sw",_xll.qlSwapRateHelper2(,I52,D52,C52,Calendar,"Annual",F52,H52,"Euribor"&amp;$H$1,0,"0D",Discounting,,,,Trigger),IF(A52="Fr",_xll.qlFraRateHelper(,I52,SUBSTITUTE(LEFT(C52,2),"M","")&amp;"M","Euribor"&amp;$H$1,,,,Trigger),IF(A52="Sf",_xll.qlFuturesRateHelper(,I52,,C52,"Euribor"&amp;$H$1,0,,Trigger),"--"))))</f>
        <v>obj_000e2#0006</v>
      </c>
      <c r="K52" s="98" t="b">
        <f t="shared" si="6"/>
        <v>1</v>
      </c>
      <c r="M52" s="9" t="str">
        <v>Sw</v>
      </c>
      <c r="N52" s="9" t="str">
        <v>23Y</v>
      </c>
      <c r="O52" s="9" t="str">
        <v>obj_000e2#0006</v>
      </c>
      <c r="P52" s="96">
        <f>_xll.qlRateHelperRate(O52,Trigger)</f>
        <v>1.0568040020000001E-2</v>
      </c>
      <c r="Q52" s="10">
        <f>_xll.qlRateHelperEarliestDate(O52,Trigger)</f>
        <v>42502</v>
      </c>
      <c r="R52" s="10">
        <f>_xll.qlRateHelperPillarDate(O52,Trigger)</f>
        <v>50902</v>
      </c>
      <c r="S52" s="96">
        <v>1.0791617775306784E-2</v>
      </c>
    </row>
    <row r="53" spans="1:19" ht="11.25" customHeight="1" x14ac:dyDescent="0.2">
      <c r="A53" s="91" t="str">
        <v>Sw</v>
      </c>
      <c r="B53" s="91" t="str">
        <v>24Y</v>
      </c>
      <c r="C53" s="91" t="str">
        <f>IF(A53="Sf",_xll.qlIMMNextCode(B53,Trigger),IF(LEFT(B53,1)="#",_xll.qlCalendarBusinessDaysBetween(Calendar,Settlementdate,DATE(LEFT(SUBSTITUTE(B53,"#",""),4),LEFT(RIGHT(SUBSTITUTE(B53,"#",""),4),2),RIGHT(SUBSTITUTE(B53,"#",""),2)),,,Trigger)-1&amp;"D",SUBSTITUTE(B53,"/","")))</f>
        <v>24Y</v>
      </c>
      <c r="D53" s="101">
        <f t="shared" si="1"/>
        <v>2</v>
      </c>
      <c r="E53" s="101" t="str">
        <f t="shared" si="2"/>
        <v>Annual</v>
      </c>
      <c r="F53" s="97" t="str">
        <f t="shared" si="3"/>
        <v>Modified Following</v>
      </c>
      <c r="G53" s="100" t="str">
        <f t="shared" si="4"/>
        <v>TRUE</v>
      </c>
      <c r="H53" s="97" t="str">
        <f t="shared" si="5"/>
        <v>30/360 (Bond Basis)</v>
      </c>
      <c r="I53" s="102">
        <v>1.0618290260000001E-2</v>
      </c>
      <c r="J53" s="89" t="str">
        <f>IF(LEFT(A53,1)="D",_xll.qlDepositRateHelper2(,I53,IF(RIGHT(C53,1)="N","1D",C53),D53,Calendar,F53,G53,H53,,Trigger),IF(A53="Sw",_xll.qlSwapRateHelper2(,I53,D53,C53,Calendar,"Annual",F53,H53,"Euribor"&amp;$H$1,0,"0D",Discounting,,,,Trigger),IF(A53="Fr",_xll.qlFraRateHelper(,I53,SUBSTITUTE(LEFT(C53,2),"M","")&amp;"M","Euribor"&amp;$H$1,,,,Trigger),IF(A53="Sf",_xll.qlFuturesRateHelper(,I53,,C53,"Euribor"&amp;$H$1,0,,Trigger),"--"))))</f>
        <v>obj_000de#0006</v>
      </c>
      <c r="K53" s="98" t="b">
        <f t="shared" si="6"/>
        <v>1</v>
      </c>
      <c r="M53" s="9" t="str">
        <v>Sw</v>
      </c>
      <c r="N53" s="9" t="str">
        <v>24Y</v>
      </c>
      <c r="O53" s="9" t="str">
        <v>obj_000de#0006</v>
      </c>
      <c r="P53" s="96">
        <f>_xll.qlRateHelperRate(O53,Trigger)</f>
        <v>1.0618290260000001E-2</v>
      </c>
      <c r="Q53" s="10">
        <f>_xll.qlRateHelperEarliestDate(O53,Trigger)</f>
        <v>42502</v>
      </c>
      <c r="R53" s="10">
        <f>_xll.qlRateHelperPillarDate(O53,Trigger)</f>
        <v>51270</v>
      </c>
      <c r="S53" s="96">
        <v>1.0836306757405005E-2</v>
      </c>
    </row>
    <row r="54" spans="1:19" ht="11.25" customHeight="1" x14ac:dyDescent="0.2">
      <c r="A54" s="91" t="str">
        <v>Sw</v>
      </c>
      <c r="B54" s="91" t="str">
        <v>25Y</v>
      </c>
      <c r="C54" s="91" t="str">
        <f>IF(A54="Sf",_xll.qlIMMNextCode(B54,Trigger),IF(LEFT(B54,1)="#",_xll.qlCalendarBusinessDaysBetween(Calendar,Settlementdate,DATE(LEFT(SUBSTITUTE(B54,"#",""),4),LEFT(RIGHT(SUBSTITUTE(B54,"#",""),4),2),RIGHT(SUBSTITUTE(B54,"#",""),2)),,,Trigger)-1&amp;"D",SUBSTITUTE(B54,"/","")))</f>
        <v>25Y</v>
      </c>
      <c r="D54" s="101">
        <f t="shared" si="1"/>
        <v>2</v>
      </c>
      <c r="E54" s="101" t="str">
        <f t="shared" si="2"/>
        <v>Annual</v>
      </c>
      <c r="F54" s="97" t="str">
        <f t="shared" si="3"/>
        <v>Modified Following</v>
      </c>
      <c r="G54" s="100" t="str">
        <f t="shared" si="4"/>
        <v>TRUE</v>
      </c>
      <c r="H54" s="97" t="str">
        <f t="shared" si="5"/>
        <v>30/360 (Bond Basis)</v>
      </c>
      <c r="I54" s="102">
        <v>1.065E-2</v>
      </c>
      <c r="J54" s="89" t="str">
        <f>IF(LEFT(A54,1)="D",_xll.qlDepositRateHelper2(,I54,IF(RIGHT(C54,1)="N","1D",C54),D54,Calendar,F54,G54,H54,,Trigger),IF(A54="Sw",_xll.qlSwapRateHelper2(,I54,D54,C54,Calendar,"Annual",F54,H54,"Euribor"&amp;$H$1,0,"0D",Discounting,,,,Trigger),IF(A54="Fr",_xll.qlFraRateHelper(,I54,SUBSTITUTE(LEFT(C54,2),"M","")&amp;"M","Euribor"&amp;$H$1,,,,Trigger),IF(A54="Sf",_xll.qlFuturesRateHelper(,I54,,C54,"Euribor"&amp;$H$1,0,,Trigger),"--"))))</f>
        <v>obj_000c7#0006</v>
      </c>
      <c r="K54" s="98" t="b">
        <f t="shared" si="6"/>
        <v>1</v>
      </c>
      <c r="M54" s="9" t="str">
        <v>Sw</v>
      </c>
      <c r="N54" s="9" t="str">
        <v>25Y</v>
      </c>
      <c r="O54" s="9" t="str">
        <v>obj_000c7#0006</v>
      </c>
      <c r="P54" s="96">
        <f>_xll.qlRateHelperRate(O54,Trigger)</f>
        <v>1.065E-2</v>
      </c>
      <c r="Q54" s="10">
        <f>_xll.qlRateHelperEarliestDate(O54,Trigger)</f>
        <v>42502</v>
      </c>
      <c r="R54" s="10">
        <f>_xll.qlRateHelperPillarDate(O54,Trigger)</f>
        <v>51634</v>
      </c>
      <c r="S54" s="96">
        <v>1.0861922234963829E-2</v>
      </c>
    </row>
    <row r="55" spans="1:19" ht="11.25" customHeight="1" x14ac:dyDescent="0.2">
      <c r="A55" s="91" t="str">
        <v>Sw</v>
      </c>
      <c r="B55" s="91" t="str">
        <v>26Y</v>
      </c>
      <c r="C55" s="91" t="str">
        <f>IF(A55="Sf",_xll.qlIMMNextCode(B55,Trigger),IF(LEFT(B55,1)="#",_xll.qlCalendarBusinessDaysBetween(Calendar,Settlementdate,DATE(LEFT(SUBSTITUTE(B55,"#",""),4),LEFT(RIGHT(SUBSTITUTE(B55,"#",""),4),2),RIGHT(SUBSTITUTE(B55,"#",""),2)),,,Trigger)-1&amp;"D",SUBSTITUTE(B55,"/","")))</f>
        <v>26Y</v>
      </c>
      <c r="D55" s="101">
        <f t="shared" si="1"/>
        <v>2</v>
      </c>
      <c r="E55" s="101" t="str">
        <f t="shared" si="2"/>
        <v>Annual</v>
      </c>
      <c r="F55" s="97" t="str">
        <f t="shared" si="3"/>
        <v>Modified Following</v>
      </c>
      <c r="G55" s="100" t="str">
        <f t="shared" si="4"/>
        <v>TRUE</v>
      </c>
      <c r="H55" s="97" t="str">
        <f t="shared" si="5"/>
        <v>30/360 (Bond Basis)</v>
      </c>
      <c r="I55" s="102">
        <v>1.0668286499999999E-2</v>
      </c>
      <c r="J55" s="89" t="str">
        <f>IF(LEFT(A55,1)="D",_xll.qlDepositRateHelper2(,I55,IF(RIGHT(C55,1)="N","1D",C55),D55,Calendar,F55,G55,H55,,Trigger),IF(A55="Sw",_xll.qlSwapRateHelper2(,I55,D55,C55,Calendar,"Annual",F55,H55,"Euribor"&amp;$H$1,0,"0D",Discounting,,,,Trigger),IF(A55="Fr",_xll.qlFraRateHelper(,I55,SUBSTITUTE(LEFT(C55,2),"M","")&amp;"M","Euribor"&amp;$H$1,,,,Trigger),IF(A55="Sf",_xll.qlFuturesRateHelper(,I55,,C55,"Euribor"&amp;$H$1,0,,Trigger),"--"))))</f>
        <v>obj_000d3#0006</v>
      </c>
      <c r="K55" s="98" t="b">
        <f t="shared" si="6"/>
        <v>1</v>
      </c>
      <c r="M55" s="9" t="str">
        <v>Sw</v>
      </c>
      <c r="N55" s="9" t="str">
        <v>26Y</v>
      </c>
      <c r="O55" s="9" t="str">
        <v>obj_000d3#0006</v>
      </c>
      <c r="P55" s="96">
        <f>_xll.qlRateHelperRate(O55,Trigger)</f>
        <v>1.0668286499999999E-2</v>
      </c>
      <c r="Q55" s="10">
        <f>_xll.qlRateHelperEarliestDate(O55,Trigger)</f>
        <v>42502</v>
      </c>
      <c r="R55" s="10">
        <f>_xll.qlRateHelperPillarDate(O55,Trigger)</f>
        <v>51998</v>
      </c>
      <c r="S55" s="96">
        <v>1.0872830652045905E-2</v>
      </c>
    </row>
    <row r="56" spans="1:19" ht="11.25" customHeight="1" x14ac:dyDescent="0.2">
      <c r="A56" s="91" t="str">
        <v>Sw</v>
      </c>
      <c r="B56" s="91" t="str">
        <v>27Y</v>
      </c>
      <c r="C56" s="91" t="str">
        <f>IF(A56="Sf",_xll.qlIMMNextCode(B56,Trigger),IF(LEFT(B56,1)="#",_xll.qlCalendarBusinessDaysBetween(Calendar,Settlementdate,DATE(LEFT(SUBSTITUTE(B56,"#",""),4),LEFT(RIGHT(SUBSTITUTE(B56,"#",""),4),2),RIGHT(SUBSTITUTE(B56,"#",""),2)),,,Trigger)-1&amp;"D",SUBSTITUTE(B56,"/","")))</f>
        <v>27Y</v>
      </c>
      <c r="D56" s="101">
        <f t="shared" si="1"/>
        <v>2</v>
      </c>
      <c r="E56" s="101" t="str">
        <f t="shared" si="2"/>
        <v>Annual</v>
      </c>
      <c r="F56" s="97" t="str">
        <f t="shared" si="3"/>
        <v>Modified Following</v>
      </c>
      <c r="G56" s="100" t="str">
        <f t="shared" si="4"/>
        <v>TRUE</v>
      </c>
      <c r="H56" s="97" t="str">
        <f t="shared" si="5"/>
        <v>30/360 (Bond Basis)</v>
      </c>
      <c r="I56" s="102">
        <v>1.0676107800000001E-2</v>
      </c>
      <c r="J56" s="89" t="str">
        <f>IF(LEFT(A56,1)="D",_xll.qlDepositRateHelper2(,I56,IF(RIGHT(C56,1)="N","1D",C56),D56,Calendar,F56,G56,H56,,Trigger),IF(A56="Sw",_xll.qlSwapRateHelper2(,I56,D56,C56,Calendar,"Annual",F56,H56,"Euribor"&amp;$H$1,0,"0D",Discounting,,,,Trigger),IF(A56="Fr",_xll.qlFraRateHelper(,I56,SUBSTITUTE(LEFT(C56,2),"M","")&amp;"M","Euribor"&amp;$H$1,,,,Trigger),IF(A56="Sf",_xll.qlFuturesRateHelper(,I56,,C56,"Euribor"&amp;$H$1,0,,Trigger),"--"))))</f>
        <v>obj_000d6#0006</v>
      </c>
      <c r="K56" s="98" t="b">
        <f t="shared" si="6"/>
        <v>1</v>
      </c>
      <c r="M56" s="9" t="str">
        <v>Sw</v>
      </c>
      <c r="N56" s="9" t="str">
        <v>27Y</v>
      </c>
      <c r="O56" s="9" t="str">
        <v>obj_000d6#0006</v>
      </c>
      <c r="P56" s="96">
        <f>_xll.qlRateHelperRate(O56,Trigger)</f>
        <v>1.0676107800000001E-2</v>
      </c>
      <c r="Q56" s="10">
        <f>_xll.qlRateHelperEarliestDate(O56,Trigger)</f>
        <v>42502</v>
      </c>
      <c r="R56" s="10">
        <f>_xll.qlRateHelperPillarDate(O56,Trigger)</f>
        <v>52363</v>
      </c>
      <c r="S56" s="96">
        <v>1.0872307367047375E-2</v>
      </c>
    </row>
    <row r="57" spans="1:19" ht="11.25" customHeight="1" x14ac:dyDescent="0.2">
      <c r="A57" s="91" t="str">
        <v>Sw</v>
      </c>
      <c r="B57" s="91" t="str">
        <v>28Y</v>
      </c>
      <c r="C57" s="91" t="str">
        <f>IF(A57="Sf",_xll.qlIMMNextCode(B57,Trigger),IF(LEFT(B57,1)="#",_xll.qlCalendarBusinessDaysBetween(Calendar,Settlementdate,DATE(LEFT(SUBSTITUTE(B57,"#",""),4),LEFT(RIGHT(SUBSTITUTE(B57,"#",""),4),2),RIGHT(SUBSTITUTE(B57,"#",""),2)),,,Trigger)-1&amp;"D",SUBSTITUTE(B57,"/","")))</f>
        <v>28Y</v>
      </c>
      <c r="D57" s="101">
        <f t="shared" si="1"/>
        <v>2</v>
      </c>
      <c r="E57" s="101" t="str">
        <f t="shared" si="2"/>
        <v>Annual</v>
      </c>
      <c r="F57" s="97" t="str">
        <f t="shared" si="3"/>
        <v>Modified Following</v>
      </c>
      <c r="G57" s="100" t="str">
        <f t="shared" si="4"/>
        <v>TRUE</v>
      </c>
      <c r="H57" s="97" t="str">
        <f t="shared" si="5"/>
        <v>30/360 (Bond Basis)</v>
      </c>
      <c r="I57" s="102">
        <v>1.067659046E-2</v>
      </c>
      <c r="J57" s="89" t="str">
        <f>IF(LEFT(A57,1)="D",_xll.qlDepositRateHelper2(,I57,IF(RIGHT(C57,1)="N","1D",C57),D57,Calendar,F57,G57,H57,,Trigger),IF(A57="Sw",_xll.qlSwapRateHelper2(,I57,D57,C57,Calendar,"Annual",F57,H57,"Euribor"&amp;$H$1,0,"0D",Discounting,,,,Trigger),IF(A57="Fr",_xll.qlFraRateHelper(,I57,SUBSTITUTE(LEFT(C57,2),"M","")&amp;"M","Euribor"&amp;$H$1,,,,Trigger),IF(A57="Sf",_xll.qlFuturesRateHelper(,I57,,C57,"Euribor"&amp;$H$1,0,,Trigger),"--"))))</f>
        <v>obj_000be#0006</v>
      </c>
      <c r="K57" s="98" t="b">
        <f t="shared" si="6"/>
        <v>1</v>
      </c>
      <c r="M57" s="9" t="str">
        <v>Sw</v>
      </c>
      <c r="N57" s="9" t="str">
        <v>28Y</v>
      </c>
      <c r="O57" s="9" t="str">
        <v>obj_000be#0006</v>
      </c>
      <c r="P57" s="96">
        <f>_xll.qlRateHelperRate(O57,Trigger)</f>
        <v>1.067659046E-2</v>
      </c>
      <c r="Q57" s="10">
        <f>_xll.qlRateHelperEarliestDate(O57,Trigger)</f>
        <v>42502</v>
      </c>
      <c r="R57" s="10">
        <f>_xll.qlRateHelperPillarDate(O57,Trigger)</f>
        <v>52729</v>
      </c>
      <c r="S57" s="96">
        <v>1.0862818788795948E-2</v>
      </c>
    </row>
    <row r="58" spans="1:19" ht="11.25" customHeight="1" x14ac:dyDescent="0.2">
      <c r="A58" s="91" t="str">
        <v>Sw</v>
      </c>
      <c r="B58" s="91" t="str">
        <v>29Y</v>
      </c>
      <c r="C58" s="91" t="str">
        <f>IF(A58="Sf",_xll.qlIMMNextCode(B58,Trigger),IF(LEFT(B58,1)="#",_xll.qlCalendarBusinessDaysBetween(Calendar,Settlementdate,DATE(LEFT(SUBSTITUTE(B58,"#",""),4),LEFT(RIGHT(SUBSTITUTE(B58,"#",""),4),2),RIGHT(SUBSTITUTE(B58,"#",""),2)),,,Trigger)-1&amp;"D",SUBSTITUTE(B58,"/","")))</f>
        <v>29Y</v>
      </c>
      <c r="D58" s="101">
        <f t="shared" si="1"/>
        <v>2</v>
      </c>
      <c r="E58" s="101" t="str">
        <f t="shared" si="2"/>
        <v>Annual</v>
      </c>
      <c r="F58" s="97" t="str">
        <f t="shared" si="3"/>
        <v>Modified Following</v>
      </c>
      <c r="G58" s="100" t="str">
        <f t="shared" si="4"/>
        <v>TRUE</v>
      </c>
      <c r="H58" s="97" t="str">
        <f t="shared" si="5"/>
        <v>30/360 (Bond Basis)</v>
      </c>
      <c r="I58" s="102">
        <v>1.0670168609999999E-2</v>
      </c>
      <c r="J58" s="89" t="str">
        <f>IF(LEFT(A58,1)="D",_xll.qlDepositRateHelper2(,I58,IF(RIGHT(C58,1)="N","1D",C58),D58,Calendar,F58,G58,H58,,Trigger),IF(A58="Sw",_xll.qlSwapRateHelper2(,I58,D58,C58,Calendar,"Annual",F58,H58,"Euribor"&amp;$H$1,0,"0D",Discounting,,,,Trigger),IF(A58="Fr",_xll.qlFraRateHelper(,I58,SUBSTITUTE(LEFT(C58,2),"M","")&amp;"M","Euribor"&amp;$H$1,,,,Trigger),IF(A58="Sf",_xll.qlFuturesRateHelper(,I58,,C58,"Euribor"&amp;$H$1,0,,Trigger),"--"))))</f>
        <v>obj_000ef#0006</v>
      </c>
      <c r="K58" s="98" t="b">
        <f t="shared" si="6"/>
        <v>1</v>
      </c>
      <c r="M58" s="9" t="str">
        <v>Sw</v>
      </c>
      <c r="N58" s="9" t="str">
        <v>29Y</v>
      </c>
      <c r="O58" s="9" t="str">
        <v>obj_000ef#0006</v>
      </c>
      <c r="P58" s="96">
        <f>_xll.qlRateHelperRate(O58,Trigger)</f>
        <v>1.0670168609999999E-2</v>
      </c>
      <c r="Q58" s="10">
        <f>_xll.qlRateHelperEarliestDate(O58,Trigger)</f>
        <v>42502</v>
      </c>
      <c r="R58" s="10">
        <f>_xll.qlRateHelperPillarDate(O58,Trigger)</f>
        <v>53094</v>
      </c>
      <c r="S58" s="96">
        <v>1.0846943198844347E-2</v>
      </c>
    </row>
    <row r="59" spans="1:19" ht="11.25" customHeight="1" x14ac:dyDescent="0.2">
      <c r="A59" s="91" t="str">
        <v>Sw</v>
      </c>
      <c r="B59" s="91" t="str">
        <v>30Y</v>
      </c>
      <c r="C59" s="91" t="str">
        <f>IF(A59="Sf",_xll.qlIMMNextCode(B59,Trigger),IF(LEFT(B59,1)="#",_xll.qlCalendarBusinessDaysBetween(Calendar,Settlementdate,DATE(LEFT(SUBSTITUTE(B59,"#",""),4),LEFT(RIGHT(SUBSTITUTE(B59,"#",""),4),2),RIGHT(SUBSTITUTE(B59,"#",""),2)),,,Trigger)-1&amp;"D",SUBSTITUTE(B59,"/","")))</f>
        <v>30Y</v>
      </c>
      <c r="D59" s="101">
        <f t="shared" si="1"/>
        <v>2</v>
      </c>
      <c r="E59" s="101" t="str">
        <f t="shared" si="2"/>
        <v>Annual</v>
      </c>
      <c r="F59" s="97" t="str">
        <f t="shared" si="3"/>
        <v>Modified Following</v>
      </c>
      <c r="G59" s="100" t="str">
        <f t="shared" si="4"/>
        <v>TRUE</v>
      </c>
      <c r="H59" s="97" t="str">
        <f t="shared" si="5"/>
        <v>30/360 (Bond Basis)</v>
      </c>
      <c r="I59" s="102">
        <v>1.0660000000000001E-2</v>
      </c>
      <c r="J59" s="89" t="str">
        <f>IF(LEFT(A59,1)="D",_xll.qlDepositRateHelper2(,I59,IF(RIGHT(C59,1)="N","1D",C59),D59,Calendar,F59,G59,H59,,Trigger),IF(A59="Sw",_xll.qlSwapRateHelper2(,I59,D59,C59,Calendar,"Annual",F59,H59,"Euribor"&amp;$H$1,0,"0D",Discounting,,,,Trigger),IF(A59="Fr",_xll.qlFraRateHelper(,I59,SUBSTITUTE(LEFT(C59,2),"M","")&amp;"M","Euribor"&amp;$H$1,,,,Trigger),IF(A59="Sf",_xll.qlFuturesRateHelper(,I59,,C59,"Euribor"&amp;$H$1,0,,Trigger),"--"))))</f>
        <v>obj_000ed#0006</v>
      </c>
      <c r="K59" s="98" t="b">
        <f t="shared" si="6"/>
        <v>1</v>
      </c>
      <c r="M59" s="9" t="str">
        <v>Sw</v>
      </c>
      <c r="N59" s="9" t="str">
        <v>30Y</v>
      </c>
      <c r="O59" s="9" t="str">
        <v>obj_000ed#0006</v>
      </c>
      <c r="P59" s="96">
        <f>_xll.qlRateHelperRate(O59,Trigger)</f>
        <v>1.0660000000000001E-2</v>
      </c>
      <c r="Q59" s="10">
        <f>_xll.qlRateHelperEarliestDate(O59,Trigger)</f>
        <v>42502</v>
      </c>
      <c r="R59" s="10">
        <f>_xll.qlRateHelperPillarDate(O59,Trigger)</f>
        <v>53461</v>
      </c>
      <c r="S59" s="96">
        <v>1.0827185239009053E-2</v>
      </c>
    </row>
    <row r="60" spans="1:19" ht="11.25" customHeight="1" x14ac:dyDescent="0.2">
      <c r="A60" s="91" t="str">
        <v>Sw</v>
      </c>
      <c r="B60" s="91" t="str">
        <v>31Y</v>
      </c>
      <c r="C60" s="91" t="str">
        <f>IF(A60="Sf",_xll.qlIMMNextCode(B60,Trigger),IF(LEFT(B60,1)="#",_xll.qlCalendarBusinessDaysBetween(Calendar,Settlementdate,DATE(LEFT(SUBSTITUTE(B60,"#",""),4),LEFT(RIGHT(SUBSTITUTE(B60,"#",""),4),2),RIGHT(SUBSTITUTE(B60,"#",""),2)),,,Trigger)-1&amp;"D",SUBSTITUTE(B60,"/","")))</f>
        <v>31Y</v>
      </c>
      <c r="D60" s="101">
        <f t="shared" si="1"/>
        <v>2</v>
      </c>
      <c r="E60" s="101" t="str">
        <f t="shared" si="2"/>
        <v>Annual</v>
      </c>
      <c r="F60" s="97" t="str">
        <f t="shared" si="3"/>
        <v>Modified Following</v>
      </c>
      <c r="G60" s="100" t="str">
        <f t="shared" si="4"/>
        <v>TRUE</v>
      </c>
      <c r="H60" s="97" t="str">
        <f t="shared" si="5"/>
        <v>30/360 (Bond Basis)</v>
      </c>
      <c r="I60" s="102">
        <v>1.06478036E-2</v>
      </c>
      <c r="J60" s="89" t="str">
        <f>IF(LEFT(A60,1)="D",_xll.qlDepositRateHelper2(,I60,IF(RIGHT(C60,1)="N","1D",C60),D60,Calendar,F60,G60,H60,,Trigger),IF(A60="Sw",_xll.qlSwapRateHelper2(,I60,D60,C60,Calendar,"Annual",F60,H60,"Euribor"&amp;$H$1,0,"0D",Discounting,,,,Trigger),IF(A60="Fr",_xll.qlFraRateHelper(,I60,SUBSTITUTE(LEFT(C60,2),"M","")&amp;"M","Euribor"&amp;$H$1,,,,Trigger),IF(A60="Sf",_xll.qlFuturesRateHelper(,I60,,C60,"Euribor"&amp;$H$1,0,,Trigger),"--"))))</f>
        <v>obj_000c1#0006</v>
      </c>
      <c r="K60" s="98" t="b">
        <f t="shared" si="6"/>
        <v>1</v>
      </c>
      <c r="M60" s="9" t="str">
        <v>Sw</v>
      </c>
      <c r="N60" s="9" t="str">
        <v>31Y</v>
      </c>
      <c r="O60" s="9" t="str">
        <v>obj_000c1#0006</v>
      </c>
      <c r="P60" s="96">
        <f>_xll.qlRateHelperRate(O60,Trigger)</f>
        <v>1.06478036E-2</v>
      </c>
      <c r="Q60" s="10">
        <f>_xll.qlRateHelperEarliestDate(O60,Trigger)</f>
        <v>42502</v>
      </c>
      <c r="R60" s="10">
        <f>_xll.qlRateHelperPillarDate(O60,Trigger)</f>
        <v>53825</v>
      </c>
      <c r="S60" s="96">
        <v>1.0805567675520825E-2</v>
      </c>
    </row>
    <row r="61" spans="1:19" ht="11.25" customHeight="1" x14ac:dyDescent="0.2">
      <c r="A61" s="91" t="str">
        <v>Sw</v>
      </c>
      <c r="B61" s="91" t="str">
        <v>32Y</v>
      </c>
      <c r="C61" s="91" t="str">
        <f>IF(A61="Sf",_xll.qlIMMNextCode(B61,Trigger),IF(LEFT(B61,1)="#",_xll.qlCalendarBusinessDaysBetween(Calendar,Settlementdate,DATE(LEFT(SUBSTITUTE(B61,"#",""),4),LEFT(RIGHT(SUBSTITUTE(B61,"#",""),4),2),RIGHT(SUBSTITUTE(B61,"#",""),2)),,,Trigger)-1&amp;"D",SUBSTITUTE(B61,"/","")))</f>
        <v>32Y</v>
      </c>
      <c r="D61" s="101">
        <f t="shared" si="1"/>
        <v>2</v>
      </c>
      <c r="E61" s="101" t="str">
        <f t="shared" si="2"/>
        <v>Annual</v>
      </c>
      <c r="F61" s="97" t="str">
        <f t="shared" si="3"/>
        <v>Modified Following</v>
      </c>
      <c r="G61" s="100" t="str">
        <f t="shared" si="4"/>
        <v>TRUE</v>
      </c>
      <c r="H61" s="97" t="str">
        <f t="shared" si="5"/>
        <v>30/360 (Bond Basis)</v>
      </c>
      <c r="I61" s="102">
        <v>1.0634725439999999E-2</v>
      </c>
      <c r="J61" s="89" t="str">
        <f>IF(LEFT(A61,1)="D",_xll.qlDepositRateHelper2(,I61,IF(RIGHT(C61,1)="N","1D",C61),D61,Calendar,F61,G61,H61,,Trigger),IF(A61="Sw",_xll.qlSwapRateHelper2(,I61,D61,C61,Calendar,"Annual",F61,H61,"Euribor"&amp;$H$1,0,"0D",Discounting,,,,Trigger),IF(A61="Fr",_xll.qlFraRateHelper(,I61,SUBSTITUTE(LEFT(C61,2),"M","")&amp;"M","Euribor"&amp;$H$1,,,,Trigger),IF(A61="Sf",_xll.qlFuturesRateHelper(,I61,,C61,"Euribor"&amp;$H$1,0,,Trigger),"--"))))</f>
        <v>obj_000cd#0006</v>
      </c>
      <c r="K61" s="98" t="b">
        <f t="shared" si="6"/>
        <v>1</v>
      </c>
      <c r="M61" s="9" t="str">
        <v>Sw</v>
      </c>
      <c r="N61" s="9" t="str">
        <v>32Y</v>
      </c>
      <c r="O61" s="9" t="str">
        <v>obj_000cd#0006</v>
      </c>
      <c r="P61" s="96">
        <f>_xll.qlRateHelperRate(O61,Trigger)</f>
        <v>1.0634725439999999E-2</v>
      </c>
      <c r="Q61" s="10">
        <f>_xll.qlRateHelperEarliestDate(O61,Trigger)</f>
        <v>42502</v>
      </c>
      <c r="R61" s="10">
        <f>_xll.qlRateHelperPillarDate(O61,Trigger)</f>
        <v>54190</v>
      </c>
      <c r="S61" s="96">
        <v>1.0782426048804011E-2</v>
      </c>
    </row>
    <row r="62" spans="1:19" ht="11.25" customHeight="1" x14ac:dyDescent="0.2">
      <c r="A62" s="91" t="str">
        <v>Sw</v>
      </c>
      <c r="B62" s="91" t="str">
        <v>33Y</v>
      </c>
      <c r="C62" s="91" t="str">
        <f>IF(A62="Sf",_xll.qlIMMNextCode(B62,Trigger),IF(LEFT(B62,1)="#",_xll.qlCalendarBusinessDaysBetween(Calendar,Settlementdate,DATE(LEFT(SUBSTITUTE(B62,"#",""),4),LEFT(RIGHT(SUBSTITUTE(B62,"#",""),4),2),RIGHT(SUBSTITUTE(B62,"#",""),2)),,,Trigger)-1&amp;"D",SUBSTITUTE(B62,"/","")))</f>
        <v>33Y</v>
      </c>
      <c r="D62" s="101">
        <f t="shared" si="1"/>
        <v>2</v>
      </c>
      <c r="E62" s="101" t="str">
        <f t="shared" si="2"/>
        <v>Annual</v>
      </c>
      <c r="F62" s="97" t="str">
        <f t="shared" si="3"/>
        <v>Modified Following</v>
      </c>
      <c r="G62" s="100" t="str">
        <f t="shared" si="4"/>
        <v>TRUE</v>
      </c>
      <c r="H62" s="97" t="str">
        <f t="shared" si="5"/>
        <v>30/360 (Bond Basis)</v>
      </c>
      <c r="I62" s="102">
        <v>1.0618809279999999E-2</v>
      </c>
      <c r="J62" s="89" t="str">
        <f>IF(LEFT(A62,1)="D",_xll.qlDepositRateHelper2(,I62,IF(RIGHT(C62,1)="N","1D",C62),D62,Calendar,F62,G62,H62,,Trigger),IF(A62="Sw",_xll.qlSwapRateHelper2(,I62,D62,C62,Calendar,"Annual",F62,H62,"Euribor"&amp;$H$1,0,"0D",Discounting,,,,Trigger),IF(A62="Fr",_xll.qlFraRateHelper(,I62,SUBSTITUTE(LEFT(C62,2),"M","")&amp;"M","Euribor"&amp;$H$1,,,,Trigger),IF(A62="Sf",_xll.qlFuturesRateHelper(,I62,,C62,"Euribor"&amp;$H$1,0,,Trigger),"--"))))</f>
        <v>obj_000e1#0006</v>
      </c>
      <c r="K62" s="98" t="b">
        <f t="shared" si="6"/>
        <v>1</v>
      </c>
      <c r="M62" s="9" t="str">
        <v>Sw</v>
      </c>
      <c r="N62" s="9" t="str">
        <v>33Y</v>
      </c>
      <c r="O62" s="9" t="str">
        <v>obj_000e1#0006</v>
      </c>
      <c r="P62" s="96">
        <f>_xll.qlRateHelperRate(O62,Trigger)</f>
        <v>1.0618809279999999E-2</v>
      </c>
      <c r="Q62" s="10">
        <f>_xll.qlRateHelperEarliestDate(O62,Trigger)</f>
        <v>42502</v>
      </c>
      <c r="R62" s="10">
        <f>_xll.qlRateHelperPillarDate(O62,Trigger)</f>
        <v>54555</v>
      </c>
      <c r="S62" s="96">
        <v>1.075724081429647E-2</v>
      </c>
    </row>
    <row r="63" spans="1:19" ht="11.25" customHeight="1" x14ac:dyDescent="0.2">
      <c r="A63" s="91" t="str">
        <v>Sw</v>
      </c>
      <c r="B63" s="91" t="str">
        <v>34Y</v>
      </c>
      <c r="C63" s="91" t="str">
        <f>IF(A63="Sf",_xll.qlIMMNextCode(B63,Trigger),IF(LEFT(B63,1)="#",_xll.qlCalendarBusinessDaysBetween(Calendar,Settlementdate,DATE(LEFT(SUBSTITUTE(B63,"#",""),4),LEFT(RIGHT(SUBSTITUTE(B63,"#",""),4),2),RIGHT(SUBSTITUTE(B63,"#",""),2)),,,Trigger)-1&amp;"D",SUBSTITUTE(B63,"/","")))</f>
        <v>34Y</v>
      </c>
      <c r="D63" s="101">
        <f t="shared" si="1"/>
        <v>2</v>
      </c>
      <c r="E63" s="101" t="str">
        <f t="shared" si="2"/>
        <v>Annual</v>
      </c>
      <c r="F63" s="97" t="str">
        <f t="shared" si="3"/>
        <v>Modified Following</v>
      </c>
      <c r="G63" s="100" t="str">
        <f t="shared" si="4"/>
        <v>TRUE</v>
      </c>
      <c r="H63" s="97" t="str">
        <f t="shared" si="5"/>
        <v>30/360 (Bond Basis)</v>
      </c>
      <c r="I63" s="102">
        <v>1.0600647789999999E-2</v>
      </c>
      <c r="J63" s="89" t="str">
        <f>IF(LEFT(A63,1)="D",_xll.qlDepositRateHelper2(,I63,IF(RIGHT(C63,1)="N","1D",C63),D63,Calendar,F63,G63,H63,,Trigger),IF(A63="Sw",_xll.qlSwapRateHelper2(,I63,D63,C63,Calendar,"Annual",F63,H63,"Euribor"&amp;$H$1,0,"0D",Discounting,,,,Trigger),IF(A63="Fr",_xll.qlFraRateHelper(,I63,SUBSTITUTE(LEFT(C63,2),"M","")&amp;"M","Euribor"&amp;$H$1,,,,Trigger),IF(A63="Sf",_xll.qlFuturesRateHelper(,I63,,C63,"Euribor"&amp;$H$1,0,,Trigger),"--"))))</f>
        <v>obj_000ba#0006</v>
      </c>
      <c r="K63" s="98" t="b">
        <f t="shared" si="6"/>
        <v>1</v>
      </c>
      <c r="M63" s="9" t="str">
        <v>Sw</v>
      </c>
      <c r="N63" s="9" t="str">
        <v>34Y</v>
      </c>
      <c r="O63" s="9" t="str">
        <v>obj_000ba#0006</v>
      </c>
      <c r="P63" s="96">
        <f>_xll.qlRateHelperRate(O63,Trigger)</f>
        <v>1.0600647789999999E-2</v>
      </c>
      <c r="Q63" s="10">
        <f>_xll.qlRateHelperEarliestDate(O63,Trigger)</f>
        <v>42502</v>
      </c>
      <c r="R63" s="10">
        <f>_xll.qlRateHelperPillarDate(O63,Trigger)</f>
        <v>54920</v>
      </c>
      <c r="S63" s="96">
        <v>1.0729729400744074E-2</v>
      </c>
    </row>
    <row r="64" spans="1:19" ht="11.25" customHeight="1" x14ac:dyDescent="0.2">
      <c r="A64" s="91" t="str">
        <v>Sw</v>
      </c>
      <c r="B64" s="91" t="str">
        <v>35Y</v>
      </c>
      <c r="C64" s="91" t="str">
        <f>IF(A64="Sf",_xll.qlIMMNextCode(B64,Trigger),IF(LEFT(B64,1)="#",_xll.qlCalendarBusinessDaysBetween(Calendar,Settlementdate,DATE(LEFT(SUBSTITUTE(B64,"#",""),4),LEFT(RIGHT(SUBSTITUTE(B64,"#",""),4),2),RIGHT(SUBSTITUTE(B64,"#",""),2)),,,Trigger)-1&amp;"D",SUBSTITUTE(B64,"/","")))</f>
        <v>35Y</v>
      </c>
      <c r="D64" s="101">
        <f t="shared" si="1"/>
        <v>2</v>
      </c>
      <c r="E64" s="101" t="str">
        <f t="shared" si="2"/>
        <v>Annual</v>
      </c>
      <c r="F64" s="97" t="str">
        <f t="shared" si="3"/>
        <v>Modified Following</v>
      </c>
      <c r="G64" s="100" t="str">
        <f t="shared" si="4"/>
        <v>TRUE</v>
      </c>
      <c r="H64" s="97" t="str">
        <f t="shared" si="5"/>
        <v>30/360 (Bond Basis)</v>
      </c>
      <c r="I64" s="102">
        <v>1.0580000000000001E-2</v>
      </c>
      <c r="J64" s="89" t="str">
        <f>IF(LEFT(A64,1)="D",_xll.qlDepositRateHelper2(,I64,IF(RIGHT(C64,1)="N","1D",C64),D64,Calendar,F64,G64,H64,,Trigger),IF(A64="Sw",_xll.qlSwapRateHelper2(,I64,D64,C64,Calendar,"Annual",F64,H64,"Euribor"&amp;$H$1,0,"0D",Discounting,,,,Trigger),IF(A64="Fr",_xll.qlFraRateHelper(,I64,SUBSTITUTE(LEFT(C64,2),"M","")&amp;"M","Euribor"&amp;$H$1,,,,Trigger),IF(A64="Sf",_xll.qlFuturesRateHelper(,I64,,C64,"Euribor"&amp;$H$1,0,,Trigger),"--"))))</f>
        <v>obj_000dc#0006</v>
      </c>
      <c r="K64" s="98" t="b">
        <f t="shared" si="6"/>
        <v>1</v>
      </c>
      <c r="M64" s="9" t="str">
        <v>Sw</v>
      </c>
      <c r="N64" s="9" t="str">
        <v>35Y</v>
      </c>
      <c r="O64" s="9" t="str">
        <v>obj_000dc#0006</v>
      </c>
      <c r="P64" s="96">
        <f>_xll.qlRateHelperRate(O64,Trigger)</f>
        <v>1.0580000000000001E-2</v>
      </c>
      <c r="Q64" s="10">
        <f>_xll.qlRateHelperEarliestDate(O64,Trigger)</f>
        <v>42502</v>
      </c>
      <c r="R64" s="10">
        <f>_xll.qlRateHelperPillarDate(O64,Trigger)</f>
        <v>55285</v>
      </c>
      <c r="S64" s="96">
        <v>1.0699558110536168E-2</v>
      </c>
    </row>
    <row r="65" spans="1:19" ht="11.25" customHeight="1" x14ac:dyDescent="0.2">
      <c r="A65" s="91" t="str">
        <v>Sw</v>
      </c>
      <c r="B65" s="91" t="str">
        <v>36Y</v>
      </c>
      <c r="C65" s="91" t="str">
        <f>IF(A65="Sf",_xll.qlIMMNextCode(B65,Trigger),IF(LEFT(B65,1)="#",_xll.qlCalendarBusinessDaysBetween(Calendar,Settlementdate,DATE(LEFT(SUBSTITUTE(B65,"#",""),4),LEFT(RIGHT(SUBSTITUTE(B65,"#",""),4),2),RIGHT(SUBSTITUTE(B65,"#",""),2)),,,Trigger)-1&amp;"D",SUBSTITUTE(B65,"/","")))</f>
        <v>36Y</v>
      </c>
      <c r="D65" s="101">
        <f t="shared" si="1"/>
        <v>2</v>
      </c>
      <c r="E65" s="101" t="str">
        <f t="shared" si="2"/>
        <v>Annual</v>
      </c>
      <c r="F65" s="97" t="str">
        <f t="shared" si="3"/>
        <v>Modified Following</v>
      </c>
      <c r="G65" s="100" t="str">
        <f t="shared" si="4"/>
        <v>TRUE</v>
      </c>
      <c r="H65" s="97" t="str">
        <f t="shared" si="5"/>
        <v>30/360 (Bond Basis)</v>
      </c>
      <c r="I65" s="102">
        <v>1.055688626E-2</v>
      </c>
      <c r="J65" s="89" t="str">
        <f>IF(LEFT(A65,1)="D",_xll.qlDepositRateHelper2(,I65,IF(RIGHT(C65,1)="N","1D",C65),D65,Calendar,F65,G65,H65,,Trigger),IF(A65="Sw",_xll.qlSwapRateHelper2(,I65,D65,C65,Calendar,"Annual",F65,H65,"Euribor"&amp;$H$1,0,"0D",Discounting,,,,Trigger),IF(A65="Fr",_xll.qlFraRateHelper(,I65,SUBSTITUTE(LEFT(C65,2),"M","")&amp;"M","Euribor"&amp;$H$1,,,,Trigger),IF(A65="Sf",_xll.qlFuturesRateHelper(,I65,,C65,"Euribor"&amp;$H$1,0,,Trigger),"--"))))</f>
        <v>obj_000ce#0006</v>
      </c>
      <c r="K65" s="98" t="b">
        <f t="shared" si="6"/>
        <v>1</v>
      </c>
      <c r="M65" s="9" t="str">
        <v>Sw</v>
      </c>
      <c r="N65" s="9" t="str">
        <v>36Y</v>
      </c>
      <c r="O65" s="9" t="str">
        <v>obj_000ce#0006</v>
      </c>
      <c r="P65" s="96">
        <f>_xll.qlRateHelperRate(O65,Trigger)</f>
        <v>1.055688626E-2</v>
      </c>
      <c r="Q65" s="10">
        <f>_xll.qlRateHelperEarliestDate(O65,Trigger)</f>
        <v>42502</v>
      </c>
      <c r="R65" s="10">
        <f>_xll.qlRateHelperPillarDate(O65,Trigger)</f>
        <v>55652</v>
      </c>
      <c r="S65" s="96">
        <v>1.0665909634493792E-2</v>
      </c>
    </row>
    <row r="66" spans="1:19" ht="11.25" customHeight="1" x14ac:dyDescent="0.2">
      <c r="A66" s="91" t="str">
        <v>Sw</v>
      </c>
      <c r="B66" s="91" t="str">
        <v>37Y</v>
      </c>
      <c r="C66" s="91" t="str">
        <f>IF(A66="Sf",_xll.qlIMMNextCode(B66,Trigger),IF(LEFT(B66,1)="#",_xll.qlCalendarBusinessDaysBetween(Calendar,Settlementdate,DATE(LEFT(SUBSTITUTE(B66,"#",""),4),LEFT(RIGHT(SUBSTITUTE(B66,"#",""),4),2),RIGHT(SUBSTITUTE(B66,"#",""),2)),,,Trigger)-1&amp;"D",SUBSTITUTE(B66,"/","")))</f>
        <v>37Y</v>
      </c>
      <c r="D66" s="101">
        <f t="shared" si="1"/>
        <v>2</v>
      </c>
      <c r="E66" s="101" t="str">
        <f t="shared" si="2"/>
        <v>Annual</v>
      </c>
      <c r="F66" s="97" t="str">
        <f t="shared" si="3"/>
        <v>Modified Following</v>
      </c>
      <c r="G66" s="100" t="str">
        <f t="shared" si="4"/>
        <v>TRUE</v>
      </c>
      <c r="H66" s="97" t="str">
        <f t="shared" si="5"/>
        <v>30/360 (Bond Basis)</v>
      </c>
      <c r="I66" s="102">
        <v>1.0529344869999999E-2</v>
      </c>
      <c r="J66" s="89" t="str">
        <f>IF(LEFT(A66,1)="D",_xll.qlDepositRateHelper2(,I66,IF(RIGHT(C66,1)="N","1D",C66),D66,Calendar,F66,G66,H66,,Trigger),IF(A66="Sw",_xll.qlSwapRateHelper2(,I66,D66,C66,Calendar,"Annual",F66,H66,"Euribor"&amp;$H$1,0,"0D",Discounting,,,,Trigger),IF(A66="Fr",_xll.qlFraRateHelper(,I66,SUBSTITUTE(LEFT(C66,2),"M","")&amp;"M","Euribor"&amp;$H$1,,,,Trigger),IF(A66="Sf",_xll.qlFuturesRateHelper(,I66,,C66,"Euribor"&amp;$H$1,0,,Trigger),"--"))))</f>
        <v>obj_000ea#0006</v>
      </c>
      <c r="K66" s="98" t="b">
        <f t="shared" si="6"/>
        <v>1</v>
      </c>
      <c r="M66" s="9" t="str">
        <v>Sw</v>
      </c>
      <c r="N66" s="9" t="str">
        <v>37Y</v>
      </c>
      <c r="O66" s="9" t="str">
        <v>obj_000ea#0006</v>
      </c>
      <c r="P66" s="96">
        <f>_xll.qlRateHelperRate(O66,Trigger)</f>
        <v>1.0529344869999999E-2</v>
      </c>
      <c r="Q66" s="10">
        <f>_xll.qlRateHelperEarliestDate(O66,Trigger)</f>
        <v>42502</v>
      </c>
      <c r="R66" s="10">
        <f>_xll.qlRateHelperPillarDate(O66,Trigger)</f>
        <v>56016</v>
      </c>
      <c r="S66" s="96">
        <v>1.0628025141183104E-2</v>
      </c>
    </row>
    <row r="67" spans="1:19" ht="11.25" customHeight="1" x14ac:dyDescent="0.2">
      <c r="A67" s="91" t="str">
        <v>Sw</v>
      </c>
      <c r="B67" s="91" t="str">
        <v>38Y</v>
      </c>
      <c r="C67" s="91" t="str">
        <f>IF(A67="Sf",_xll.qlIMMNextCode(B67,Trigger),IF(LEFT(B67,1)="#",_xll.qlCalendarBusinessDaysBetween(Calendar,Settlementdate,DATE(LEFT(SUBSTITUTE(B67,"#",""),4),LEFT(RIGHT(SUBSTITUTE(B67,"#",""),4),2),RIGHT(SUBSTITUTE(B67,"#",""),2)),,,Trigger)-1&amp;"D",SUBSTITUTE(B67,"/","")))</f>
        <v>38Y</v>
      </c>
      <c r="D67" s="101">
        <f t="shared" si="1"/>
        <v>2</v>
      </c>
      <c r="E67" s="101" t="str">
        <f t="shared" si="2"/>
        <v>Annual</v>
      </c>
      <c r="F67" s="97" t="str">
        <f t="shared" si="3"/>
        <v>Modified Following</v>
      </c>
      <c r="G67" s="100" t="str">
        <f t="shared" si="4"/>
        <v>TRUE</v>
      </c>
      <c r="H67" s="97" t="str">
        <f t="shared" si="5"/>
        <v>30/360 (Bond Basis)</v>
      </c>
      <c r="I67" s="102">
        <v>1.0496512769999999E-2</v>
      </c>
      <c r="J67" s="89" t="str">
        <f>IF(LEFT(A67,1)="D",_xll.qlDepositRateHelper2(,I67,IF(RIGHT(C67,1)="N","1D",C67),D67,Calendar,F67,G67,H67,,Trigger),IF(A67="Sw",_xll.qlSwapRateHelper2(,I67,D67,C67,Calendar,"Annual",F67,H67,"Euribor"&amp;$H$1,0,"0D",Discounting,,,,Trigger),IF(A67="Fr",_xll.qlFraRateHelper(,I67,SUBSTITUTE(LEFT(C67,2),"M","")&amp;"M","Euribor"&amp;$H$1,,,,Trigger),IF(A67="Sf",_xll.qlFuturesRateHelper(,I67,,C67,"Euribor"&amp;$H$1,0,,Trigger),"--"))))</f>
        <v>obj_000eb#0006</v>
      </c>
      <c r="K67" s="98" t="b">
        <f t="shared" si="6"/>
        <v>1</v>
      </c>
      <c r="M67" s="9" t="str">
        <v>Sw</v>
      </c>
      <c r="N67" s="9" t="str">
        <v>38Y</v>
      </c>
      <c r="O67" s="9" t="str">
        <v>obj_000eb#0006</v>
      </c>
      <c r="P67" s="96">
        <f>_xll.qlRateHelperRate(O67,Trigger)</f>
        <v>1.0496512769999999E-2</v>
      </c>
      <c r="Q67" s="10">
        <f>_xll.qlRateHelperEarliestDate(O67,Trigger)</f>
        <v>42502</v>
      </c>
      <c r="R67" s="10">
        <f>_xll.qlRateHelperPillarDate(O67,Trigger)</f>
        <v>56381</v>
      </c>
      <c r="S67" s="96">
        <v>1.0583955603573308E-2</v>
      </c>
    </row>
    <row r="68" spans="1:19" ht="11.25" customHeight="1" x14ac:dyDescent="0.2">
      <c r="A68" s="91" t="str">
        <v>Sw</v>
      </c>
      <c r="B68" s="91" t="str">
        <v>39Y</v>
      </c>
      <c r="C68" s="91" t="str">
        <f>IF(A68="Sf",_xll.qlIMMNextCode(B68,Trigger),IF(LEFT(B68,1)="#",_xll.qlCalendarBusinessDaysBetween(Calendar,Settlementdate,DATE(LEFT(SUBSTITUTE(B68,"#",""),4),LEFT(RIGHT(SUBSTITUTE(B68,"#",""),4),2),RIGHT(SUBSTITUTE(B68,"#",""),2)),,,Trigger)-1&amp;"D",SUBSTITUTE(B68,"/","")))</f>
        <v>39Y</v>
      </c>
      <c r="D68" s="101">
        <f t="shared" ref="D68:D82" si="7">IF(C68="ON",0,IF(C68="TN",1,2))</f>
        <v>2</v>
      </c>
      <c r="E68" s="101" t="str">
        <f t="shared" ref="E68:E82" si="8">IF(A68="Sw","Annual","--")</f>
        <v>Annual</v>
      </c>
      <c r="F68" s="97" t="str">
        <f t="shared" ref="F68:F82" si="9">IF(OR(RIGHT(C68,1)="N",RIGHT(C68,1)="W"),"Following","Modified Following")</f>
        <v>Modified Following</v>
      </c>
      <c r="G68" s="100" t="str">
        <f t="shared" ref="G68:G82" si="10">IF(OR(RIGHT(C68,1)="M",RIGHT(C68,1)="Y"),"TRUE","FALSE")</f>
        <v>TRUE</v>
      </c>
      <c r="H68" s="97" t="str">
        <f t="shared" ref="H68:H82" si="11">IF(A68="Sw","30/360 (Bond Basis)","Actual/360")</f>
        <v>30/360 (Bond Basis)</v>
      </c>
      <c r="I68" s="102">
        <v>1.045698713E-2</v>
      </c>
      <c r="J68" s="89" t="str">
        <f>IF(LEFT(A68,1)="D",_xll.qlDepositRateHelper2(,I68,IF(RIGHT(C68,1)="N","1D",C68),D68,Calendar,F68,G68,H68,,Trigger),IF(A68="Sw",_xll.qlSwapRateHelper2(,I68,D68,C68,Calendar,"Annual",F68,H68,"Euribor"&amp;$H$1,0,"0D",Discounting,,,,Trigger),IF(A68="Fr",_xll.qlFraRateHelper(,I68,SUBSTITUTE(LEFT(C68,2),"M","")&amp;"M","Euribor"&amp;$H$1,,,,Trigger),IF(A68="Sf",_xll.qlFuturesRateHelper(,I68,,C68,"Euribor"&amp;$H$1,0,,Trigger),"--"))))</f>
        <v>obj_000da#0006</v>
      </c>
      <c r="K68" s="98" t="b">
        <f t="shared" si="6"/>
        <v>1</v>
      </c>
      <c r="M68" s="9" t="str">
        <v>Sw</v>
      </c>
      <c r="N68" s="9" t="str">
        <v>39Y</v>
      </c>
      <c r="O68" s="9" t="str">
        <v>obj_000da#0006</v>
      </c>
      <c r="P68" s="96">
        <f>_xll.qlRateHelperRate(O68,Trigger)</f>
        <v>1.045698713E-2</v>
      </c>
      <c r="Q68" s="10">
        <f>_xll.qlRateHelperEarliestDate(O68,Trigger)</f>
        <v>42502</v>
      </c>
      <c r="R68" s="10">
        <f>_xll.qlRateHelperPillarDate(O68,Trigger)</f>
        <v>56746</v>
      </c>
      <c r="S68" s="96">
        <v>1.0531942026631142E-2</v>
      </c>
    </row>
    <row r="69" spans="1:19" ht="11.25" customHeight="1" x14ac:dyDescent="0.2">
      <c r="A69" s="91" t="str">
        <v>Sw</v>
      </c>
      <c r="B69" s="91" t="str">
        <v>40Y</v>
      </c>
      <c r="C69" s="91" t="str">
        <f>IF(A69="Sf",_xll.qlIMMNextCode(B69,Trigger),IF(LEFT(B69,1)="#",_xll.qlCalendarBusinessDaysBetween(Calendar,Settlementdate,DATE(LEFT(SUBSTITUTE(B69,"#",""),4),LEFT(RIGHT(SUBSTITUTE(B69,"#",""),4),2),RIGHT(SUBSTITUTE(B69,"#",""),2)),,,Trigger)-1&amp;"D",SUBSTITUTE(B69,"/","")))</f>
        <v>40Y</v>
      </c>
      <c r="D69" s="101">
        <f t="shared" si="7"/>
        <v>2</v>
      </c>
      <c r="E69" s="101" t="str">
        <f t="shared" si="8"/>
        <v>Annual</v>
      </c>
      <c r="F69" s="97" t="str">
        <f t="shared" si="9"/>
        <v>Modified Following</v>
      </c>
      <c r="G69" s="100" t="str">
        <f t="shared" si="10"/>
        <v>TRUE</v>
      </c>
      <c r="H69" s="97" t="str">
        <f t="shared" si="11"/>
        <v>30/360 (Bond Basis)</v>
      </c>
      <c r="I69" s="102">
        <v>1.0409999999999999E-2</v>
      </c>
      <c r="J69" s="89" t="str">
        <f>IF(LEFT(A69,1)="D",_xll.qlDepositRateHelper2(,I69,IF(RIGHT(C69,1)="N","1D",C69),D69,Calendar,F69,G69,H69,,Trigger),IF(A69="Sw",_xll.qlSwapRateHelper2(,I69,D69,C69,Calendar,"Annual",F69,H69,"Euribor"&amp;$H$1,0,"0D",Discounting,,,,Trigger),IF(A69="Fr",_xll.qlFraRateHelper(,I69,SUBSTITUTE(LEFT(C69,2),"M","")&amp;"M","Euribor"&amp;$H$1,,,,Trigger),IF(A69="Sf",_xll.qlFuturesRateHelper(,I69,,C69,"Euribor"&amp;$H$1,0,,Trigger),"--"))))</f>
        <v>obj_000e3#0006</v>
      </c>
      <c r="K69" s="98" t="b">
        <f t="shared" si="6"/>
        <v>1</v>
      </c>
      <c r="M69" s="9" t="str">
        <v>Sw</v>
      </c>
      <c r="N69" s="9" t="str">
        <v>40Y</v>
      </c>
      <c r="O69" s="9" t="str">
        <v>obj_000e3#0006</v>
      </c>
      <c r="P69" s="96">
        <f>_xll.qlRateHelperRate(O69,Trigger)</f>
        <v>1.0409999999999999E-2</v>
      </c>
      <c r="Q69" s="10">
        <f>_xll.qlRateHelperEarliestDate(O69,Trigger)</f>
        <v>42502</v>
      </c>
      <c r="R69" s="10">
        <f>_xll.qlRateHelperPillarDate(O69,Trigger)</f>
        <v>57112</v>
      </c>
      <c r="S69" s="96">
        <v>1.0470272741489674E-2</v>
      </c>
    </row>
    <row r="70" spans="1:19" ht="11.25" customHeight="1" x14ac:dyDescent="0.2">
      <c r="A70" s="91" t="str">
        <v>Sw</v>
      </c>
      <c r="B70" s="91" t="str">
        <v>50Y</v>
      </c>
      <c r="C70" s="91" t="str">
        <f>IF(A70="Sf",_xll.qlIMMNextCode(B70,Trigger),IF(LEFT(B70,1)="#",_xll.qlCalendarBusinessDaysBetween(Calendar,Settlementdate,DATE(LEFT(SUBSTITUTE(B70,"#",""),4),LEFT(RIGHT(SUBSTITUTE(B70,"#",""),4),2),RIGHT(SUBSTITUTE(B70,"#",""),2)),,,Trigger)-1&amp;"D",SUBSTITUTE(B70,"/","")))</f>
        <v>50Y</v>
      </c>
      <c r="D70" s="101">
        <f t="shared" si="7"/>
        <v>2</v>
      </c>
      <c r="E70" s="101" t="str">
        <f t="shared" si="8"/>
        <v>Annual</v>
      </c>
      <c r="F70" s="97" t="str">
        <f t="shared" si="9"/>
        <v>Modified Following</v>
      </c>
      <c r="G70" s="100" t="str">
        <f t="shared" si="10"/>
        <v>TRUE</v>
      </c>
      <c r="H70" s="97" t="str">
        <f t="shared" si="11"/>
        <v>30/360 (Bond Basis)</v>
      </c>
      <c r="I70" s="102">
        <v>9.7400000000000004E-3</v>
      </c>
      <c r="J70" s="89" t="str">
        <f>IF(LEFT(A70,1)="D",_xll.qlDepositRateHelper2(,I70,IF(RIGHT(C70,1)="N","1D",C70),D70,Calendar,F70,G70,H70,,Trigger),IF(A70="Sw",_xll.qlSwapRateHelper2(,I70,D70,C70,Calendar,"Annual",F70,H70,"Euribor"&amp;$H$1,0,"0D",Discounting,,,,Trigger),IF(A70="Fr",_xll.qlFraRateHelper(,I70,SUBSTITUTE(LEFT(C70,2),"M","")&amp;"M","Euribor"&amp;$H$1,,,,Trigger),IF(A70="Sf",_xll.qlFuturesRateHelper(,I70,,C70,"Euribor"&amp;$H$1,0,,Trigger),"--"))))</f>
        <v>obj_000cc#0006</v>
      </c>
      <c r="K70" s="98" t="b">
        <f t="shared" si="6"/>
        <v>1</v>
      </c>
      <c r="M70" s="9" t="str">
        <v>Sw</v>
      </c>
      <c r="N70" s="9" t="str">
        <v>50Y</v>
      </c>
      <c r="O70" s="9" t="str">
        <v>obj_000cc#0006</v>
      </c>
      <c r="P70" s="96">
        <f>_xll.qlRateHelperRate(O70,Trigger)</f>
        <v>9.7400000000000004E-3</v>
      </c>
      <c r="Q70" s="10">
        <f>_xll.qlRateHelperEarliestDate(O70,Trigger)</f>
        <v>42502</v>
      </c>
      <c r="R70" s="10">
        <f>_xll.qlRateHelperPillarDate(O70,Trigger)</f>
        <v>60764</v>
      </c>
      <c r="S70" s="96">
        <v>9.631675720570259E-3</v>
      </c>
    </row>
    <row r="71" spans="1:19" ht="11.25" customHeight="1" x14ac:dyDescent="0.2">
      <c r="A71" s="91" t="str">
        <v>Sw</v>
      </c>
      <c r="B71" s="91" t="str">
        <v>60Y</v>
      </c>
      <c r="C71" s="91" t="str">
        <f>IF(A71="Sf",_xll.qlIMMNextCode(B71,Trigger),IF(LEFT(B71,1)="#",_xll.qlCalendarBusinessDaysBetween(Calendar,Settlementdate,DATE(LEFT(SUBSTITUTE(B71,"#",""),4),LEFT(RIGHT(SUBSTITUTE(B71,"#",""),4),2),RIGHT(SUBSTITUTE(B71,"#",""),2)),,,Trigger)-1&amp;"D",SUBSTITUTE(B71,"/","")))</f>
        <v>60Y</v>
      </c>
      <c r="D71" s="101">
        <f t="shared" si="7"/>
        <v>2</v>
      </c>
      <c r="E71" s="101" t="str">
        <f t="shared" si="8"/>
        <v>Annual</v>
      </c>
      <c r="F71" s="97" t="str">
        <f t="shared" si="9"/>
        <v>Modified Following</v>
      </c>
      <c r="G71" s="100" t="str">
        <f t="shared" si="10"/>
        <v>TRUE</v>
      </c>
      <c r="H71" s="97" t="str">
        <f t="shared" si="11"/>
        <v>30/360 (Bond Basis)</v>
      </c>
      <c r="I71" s="102">
        <v>9.4900000000000002E-3</v>
      </c>
      <c r="J71" s="89" t="str">
        <f>IF(LEFT(A71,1)="D",_xll.qlDepositRateHelper2(,I71,IF(RIGHT(C71,1)="N","1D",C71),D71,Calendar,F71,G71,H71,,Trigger),IF(A71="Sw",_xll.qlSwapRateHelper2(,I71,D71,C71,Calendar,"Annual",F71,H71,"Euribor"&amp;$H$1,0,"0D",Discounting,,,,Trigger),IF(A71="Fr",_xll.qlFraRateHelper(,I71,SUBSTITUTE(LEFT(C71,2),"M","")&amp;"M","Euribor"&amp;$H$1,,,,Trigger),IF(A71="Sf",_xll.qlFuturesRateHelper(,I71,,C71,"Euribor"&amp;$H$1,0,,Trigger),"--"))))</f>
        <v>obj_000b6#0006</v>
      </c>
      <c r="K71" s="98" t="b">
        <f t="shared" si="6"/>
        <v>1</v>
      </c>
      <c r="M71" s="9" t="str">
        <v>Sw</v>
      </c>
      <c r="N71" s="9" t="str">
        <v>60Y</v>
      </c>
      <c r="O71" s="9" t="str">
        <v>obj_000b6#0006</v>
      </c>
      <c r="P71" s="96">
        <f>_xll.qlRateHelperRate(O71,Trigger)</f>
        <v>9.4900000000000002E-3</v>
      </c>
      <c r="Q71" s="10">
        <f>_xll.qlRateHelperEarliestDate(O71,Trigger)</f>
        <v>42502</v>
      </c>
      <c r="R71" s="10">
        <f>_xll.qlRateHelperPillarDate(O71,Trigger)</f>
        <v>64417</v>
      </c>
      <c r="S71" s="96">
        <v>9.3292334665381667E-3</v>
      </c>
    </row>
    <row r="72" spans="1:19" ht="11.25" customHeight="1" x14ac:dyDescent="0.2">
      <c r="A72" s="91" t="e">
        <v>#N/A</v>
      </c>
      <c r="B72" s="91" t="e">
        <v>#N/A</v>
      </c>
      <c r="C72" s="91" t="e">
        <f>IF(A72="Sf",_xll.qlIMMNextCode(B72,Trigger),IF(LEFT(B72,1)="#",_xll.qlCalendarBusinessDaysBetween(Calendar,Settlementdate,DATE(LEFT(SUBSTITUTE(B72,"#",""),4),LEFT(RIGHT(SUBSTITUTE(B72,"#",""),4),2),RIGHT(SUBSTITUTE(B72,"#",""),2)),,,Trigger)-1&amp;"D",SUBSTITUTE(B72,"/","")))</f>
        <v>#N/A</v>
      </c>
      <c r="D72" s="101" t="e">
        <f t="shared" si="7"/>
        <v>#N/A</v>
      </c>
      <c r="E72" s="101" t="e">
        <f t="shared" si="8"/>
        <v>#N/A</v>
      </c>
      <c r="F72" s="97" t="e">
        <f t="shared" si="9"/>
        <v>#N/A</v>
      </c>
      <c r="G72" s="100" t="e">
        <f t="shared" si="10"/>
        <v>#N/A</v>
      </c>
      <c r="H72" s="97" t="e">
        <f t="shared" si="11"/>
        <v>#N/A</v>
      </c>
      <c r="I72" s="102" t="e">
        <v>#N/A</v>
      </c>
      <c r="J72" s="89" t="e">
        <f>IF(LEFT(A72,1)="D",_xll.qlDepositRateHelper2(,I72,IF(RIGHT(C72,1)="N","1D",C72),D72,Calendar,F72,G72,H72,,Trigger),IF(A72="Sw",_xll.qlSwapRateHelper2(,I72,D72,C72,Calendar,"Annual",F72,H72,"Euribor"&amp;$H$1,0,"0D",Discounting,,,,Trigger),IF(A72="Fr",_xll.qlFraRateHelper(,I72,SUBSTITUTE(LEFT(C72,2),"M","")&amp;"M","Euribor"&amp;$H$1,,,,Trigger),IF(A72="Sf",_xll.qlFuturesRateHelper(,I72,,C72,"Euribor"&amp;$H$1,0,,Trigger),"--"))))</f>
        <v>#N/A</v>
      </c>
      <c r="K72" s="98" t="b">
        <f t="shared" si="6"/>
        <v>0</v>
      </c>
      <c r="M72" s="9" t="e">
        <v>#N/A</v>
      </c>
      <c r="N72" s="9" t="e">
        <v>#N/A</v>
      </c>
      <c r="O72" s="9" t="e">
        <v>#N/A</v>
      </c>
      <c r="P72" s="96" t="e">
        <f>_xll.qlRateHelperRate(O72,Trigger)</f>
        <v>#VALUE!</v>
      </c>
      <c r="Q72" s="10" t="e">
        <f>_xll.qlRateHelperEarliestDate(O72,Trigger)</f>
        <v>#VALUE!</v>
      </c>
      <c r="R72" s="10" t="e">
        <f>_xll.qlRateHelperPillarDate(O72,Trigger)</f>
        <v>#VALUE!</v>
      </c>
      <c r="S72" s="96" t="e">
        <v>#N/A</v>
      </c>
    </row>
    <row r="73" spans="1:19" ht="11.25" customHeight="1" x14ac:dyDescent="0.2">
      <c r="A73" s="91" t="e">
        <v>#N/A</v>
      </c>
      <c r="B73" s="91" t="e">
        <v>#N/A</v>
      </c>
      <c r="C73" s="91" t="e">
        <f>IF(A73="Sf",_xll.qlIMMNextCode(B73,Trigger),IF(LEFT(B73,1)="#",_xll.qlCalendarBusinessDaysBetween(Calendar,Settlementdate,DATE(LEFT(SUBSTITUTE(B73,"#",""),4),LEFT(RIGHT(SUBSTITUTE(B73,"#",""),4),2),RIGHT(SUBSTITUTE(B73,"#",""),2)),,,Trigger)-1&amp;"D",SUBSTITUTE(B73,"/","")))</f>
        <v>#N/A</v>
      </c>
      <c r="D73" s="101" t="e">
        <f t="shared" si="7"/>
        <v>#N/A</v>
      </c>
      <c r="E73" s="101" t="e">
        <f t="shared" si="8"/>
        <v>#N/A</v>
      </c>
      <c r="F73" s="97" t="e">
        <f t="shared" si="9"/>
        <v>#N/A</v>
      </c>
      <c r="G73" s="100" t="e">
        <f t="shared" si="10"/>
        <v>#N/A</v>
      </c>
      <c r="H73" s="97" t="e">
        <f t="shared" si="11"/>
        <v>#N/A</v>
      </c>
      <c r="I73" s="102" t="e">
        <v>#N/A</v>
      </c>
      <c r="J73" s="89" t="e">
        <f>IF(LEFT(A73,1)="D",_xll.qlDepositRateHelper2(,I73,IF(RIGHT(C73,1)="N","1D",C73),D73,Calendar,F73,G73,H73,,Trigger),IF(A73="Sw",_xll.qlSwapRateHelper2(,I73,D73,C73,Calendar,"Annual",F73,H73,"Euribor"&amp;$H$1,0,"0D",Discounting,,,,Trigger),IF(A73="Fr",_xll.qlFraRateHelper(,I73,SUBSTITUTE(LEFT(C73,2),"M","")&amp;"M","Euribor"&amp;$H$1,,,,Trigger),IF(A73="Sf",_xll.qlFuturesRateHelper(,I73,,C73,"Euribor"&amp;$H$1,0,,Trigger),"--"))))</f>
        <v>#N/A</v>
      </c>
      <c r="K73" s="98" t="b">
        <f t="shared" si="6"/>
        <v>0</v>
      </c>
      <c r="M73" s="9" t="e">
        <v>#N/A</v>
      </c>
      <c r="N73" s="9" t="e">
        <v>#N/A</v>
      </c>
      <c r="O73" s="9" t="e">
        <v>#N/A</v>
      </c>
      <c r="P73" s="96" t="e">
        <f>_xll.qlRateHelperRate(O73,Trigger)</f>
        <v>#VALUE!</v>
      </c>
      <c r="Q73" s="10" t="e">
        <f>_xll.qlRateHelperEarliestDate(O73,Trigger)</f>
        <v>#VALUE!</v>
      </c>
      <c r="R73" s="10" t="e">
        <f>_xll.qlRateHelperPillarDate(O73,Trigger)</f>
        <v>#VALUE!</v>
      </c>
      <c r="S73" s="96" t="e">
        <v>#N/A</v>
      </c>
    </row>
    <row r="74" spans="1:19" ht="11.25" customHeight="1" x14ac:dyDescent="0.2">
      <c r="A74" s="91" t="e">
        <v>#N/A</v>
      </c>
      <c r="B74" s="91" t="e">
        <v>#N/A</v>
      </c>
      <c r="C74" s="91" t="e">
        <f>IF(A74="Sf",_xll.qlIMMNextCode(B74,Trigger),IF(LEFT(B74,1)="#",_xll.qlCalendarBusinessDaysBetween(Calendar,Settlementdate,DATE(LEFT(SUBSTITUTE(B74,"#",""),4),LEFT(RIGHT(SUBSTITUTE(B74,"#",""),4),2),RIGHT(SUBSTITUTE(B74,"#",""),2)),,,Trigger)-1&amp;"D",SUBSTITUTE(B74,"/","")))</f>
        <v>#N/A</v>
      </c>
      <c r="D74" s="101" t="e">
        <f t="shared" si="7"/>
        <v>#N/A</v>
      </c>
      <c r="E74" s="101" t="e">
        <f t="shared" si="8"/>
        <v>#N/A</v>
      </c>
      <c r="F74" s="97" t="e">
        <f t="shared" si="9"/>
        <v>#N/A</v>
      </c>
      <c r="G74" s="100" t="e">
        <f t="shared" si="10"/>
        <v>#N/A</v>
      </c>
      <c r="H74" s="97" t="e">
        <f t="shared" si="11"/>
        <v>#N/A</v>
      </c>
      <c r="I74" s="102" t="e">
        <v>#N/A</v>
      </c>
      <c r="J74" s="89" t="e">
        <f>IF(LEFT(A74,1)="D",_xll.qlDepositRateHelper2(,I74,IF(RIGHT(C74,1)="N","1D",C74),D74,Calendar,F74,G74,H74,,Trigger),IF(A74="Sw",_xll.qlSwapRateHelper2(,I74,D74,C74,Calendar,"Annual",F74,H74,"Euribor"&amp;$H$1,0,"0D",Discounting,,,,Trigger),IF(A74="Fr",_xll.qlFraRateHelper(,I74,SUBSTITUTE(LEFT(C74,2),"M","")&amp;"M","Euribor"&amp;$H$1,,,,Trigger),IF(A74="Sf",_xll.qlFuturesRateHelper(,I74,,C74,"Euribor"&amp;$H$1,0,,Trigger),"--"))))</f>
        <v>#N/A</v>
      </c>
      <c r="K74" s="98" t="b">
        <f t="shared" si="6"/>
        <v>0</v>
      </c>
      <c r="M74" s="9" t="e">
        <v>#N/A</v>
      </c>
      <c r="N74" s="9" t="e">
        <v>#N/A</v>
      </c>
      <c r="O74" s="9" t="e">
        <v>#N/A</v>
      </c>
      <c r="P74" s="96" t="e">
        <f>_xll.qlRateHelperRate(O74,Trigger)</f>
        <v>#VALUE!</v>
      </c>
      <c r="Q74" s="10" t="e">
        <f>_xll.qlRateHelperEarliestDate(O74,Trigger)</f>
        <v>#VALUE!</v>
      </c>
      <c r="R74" s="10" t="e">
        <f>_xll.qlRateHelperPillarDate(O74,Trigger)</f>
        <v>#VALUE!</v>
      </c>
      <c r="S74" s="96" t="e">
        <v>#N/A</v>
      </c>
    </row>
    <row r="75" spans="1:19" ht="11.25" customHeight="1" x14ac:dyDescent="0.2">
      <c r="A75" s="91" t="e">
        <v>#N/A</v>
      </c>
      <c r="B75" s="91" t="e">
        <v>#N/A</v>
      </c>
      <c r="C75" s="91" t="e">
        <f>IF(A75="Sf",_xll.qlIMMNextCode(B75,Trigger),IF(LEFT(B75,1)="#",_xll.qlCalendarBusinessDaysBetween(Calendar,Settlementdate,DATE(LEFT(SUBSTITUTE(B75,"#",""),4),LEFT(RIGHT(SUBSTITUTE(B75,"#",""),4),2),RIGHT(SUBSTITUTE(B75,"#",""),2)),,,Trigger)-1&amp;"D",SUBSTITUTE(B75,"/","")))</f>
        <v>#N/A</v>
      </c>
      <c r="D75" s="101" t="e">
        <f t="shared" si="7"/>
        <v>#N/A</v>
      </c>
      <c r="E75" s="101" t="e">
        <f t="shared" si="8"/>
        <v>#N/A</v>
      </c>
      <c r="F75" s="97" t="e">
        <f t="shared" si="9"/>
        <v>#N/A</v>
      </c>
      <c r="G75" s="100" t="e">
        <f t="shared" si="10"/>
        <v>#N/A</v>
      </c>
      <c r="H75" s="97" t="e">
        <f t="shared" si="11"/>
        <v>#N/A</v>
      </c>
      <c r="I75" s="102" t="e">
        <v>#N/A</v>
      </c>
      <c r="J75" s="89" t="e">
        <f>IF(LEFT(A75,1)="D",_xll.qlDepositRateHelper2(,I75,IF(RIGHT(C75,1)="N","1D",C75),D75,Calendar,F75,G75,H75,,Trigger),IF(A75="Sw",_xll.qlSwapRateHelper2(,I75,D75,C75,Calendar,"Annual",F75,H75,"Euribor"&amp;$H$1,0,"0D",Discounting,,,,Trigger),IF(A75="Fr",_xll.qlFraRateHelper(,I75,SUBSTITUTE(LEFT(C75,2),"M","")&amp;"M","Euribor"&amp;$H$1,,,,Trigger),IF(A75="Sf",_xll.qlFuturesRateHelper(,I75,,C75,"Euribor"&amp;$H$1,0,,Trigger),"--"))))</f>
        <v>#N/A</v>
      </c>
      <c r="K75" s="98" t="b">
        <f t="shared" si="6"/>
        <v>0</v>
      </c>
      <c r="M75" s="9" t="e">
        <v>#N/A</v>
      </c>
      <c r="N75" s="9" t="e">
        <v>#N/A</v>
      </c>
      <c r="O75" s="9" t="e">
        <v>#N/A</v>
      </c>
      <c r="P75" s="96" t="e">
        <f>_xll.qlRateHelperRate(O75,Trigger)</f>
        <v>#VALUE!</v>
      </c>
      <c r="Q75" s="10" t="e">
        <f>_xll.qlRateHelperEarliestDate(O75,Trigger)</f>
        <v>#VALUE!</v>
      </c>
      <c r="R75" s="10" t="e">
        <f>_xll.qlRateHelperPillarDate(O75,Trigger)</f>
        <v>#VALUE!</v>
      </c>
      <c r="S75" s="96" t="e">
        <v>#N/A</v>
      </c>
    </row>
    <row r="76" spans="1:19" ht="11.25" customHeight="1" x14ac:dyDescent="0.2">
      <c r="A76" s="91" t="e">
        <v>#N/A</v>
      </c>
      <c r="B76" s="91" t="e">
        <v>#N/A</v>
      </c>
      <c r="C76" s="91" t="e">
        <f>IF(A76="Sf",_xll.qlIMMNextCode(B76,Trigger),IF(LEFT(B76,1)="#",_xll.qlCalendarBusinessDaysBetween(Calendar,Settlementdate,DATE(LEFT(SUBSTITUTE(B76,"#",""),4),LEFT(RIGHT(SUBSTITUTE(B76,"#",""),4),2),RIGHT(SUBSTITUTE(B76,"#",""),2)),,,Trigger)-1&amp;"D",SUBSTITUTE(B76,"/","")))</f>
        <v>#N/A</v>
      </c>
      <c r="D76" s="101" t="e">
        <f t="shared" si="7"/>
        <v>#N/A</v>
      </c>
      <c r="E76" s="101" t="e">
        <f t="shared" si="8"/>
        <v>#N/A</v>
      </c>
      <c r="F76" s="97" t="e">
        <f t="shared" si="9"/>
        <v>#N/A</v>
      </c>
      <c r="G76" s="100" t="e">
        <f t="shared" si="10"/>
        <v>#N/A</v>
      </c>
      <c r="H76" s="97" t="e">
        <f t="shared" si="11"/>
        <v>#N/A</v>
      </c>
      <c r="I76" s="102" t="e">
        <v>#N/A</v>
      </c>
      <c r="J76" s="89" t="e">
        <f>IF(LEFT(A76,1)="D",_xll.qlDepositRateHelper2(,I76,IF(RIGHT(C76,1)="N","1D",C76),D76,Calendar,F76,G76,H76,,Trigger),IF(A76="Sw",_xll.qlSwapRateHelper2(,I76,D76,C76,Calendar,"Annual",F76,H76,"Euribor"&amp;$H$1,0,"0D",Discounting,,,,Trigger),IF(A76="Fr",_xll.qlFraRateHelper(,I76,SUBSTITUTE(LEFT(C76,2),"M","")&amp;"M","Euribor"&amp;$H$1,,,,Trigger),IF(A76="Sf",_xll.qlFuturesRateHelper(,I76,,C76,"Euribor"&amp;$H$1,0,,Trigger),"--"))))</f>
        <v>#N/A</v>
      </c>
      <c r="K76" s="98" t="b">
        <f t="shared" si="6"/>
        <v>0</v>
      </c>
      <c r="M76" s="9" t="e">
        <v>#N/A</v>
      </c>
      <c r="N76" s="9" t="e">
        <v>#N/A</v>
      </c>
      <c r="O76" s="9" t="e">
        <v>#N/A</v>
      </c>
      <c r="P76" s="96" t="e">
        <f>_xll.qlRateHelperRate(O76,Trigger)</f>
        <v>#VALUE!</v>
      </c>
      <c r="Q76" s="10" t="e">
        <f>_xll.qlRateHelperEarliestDate(O76,Trigger)</f>
        <v>#VALUE!</v>
      </c>
      <c r="R76" s="10" t="e">
        <f>_xll.qlRateHelperPillarDate(O76,Trigger)</f>
        <v>#VALUE!</v>
      </c>
      <c r="S76" s="96" t="e">
        <v>#N/A</v>
      </c>
    </row>
    <row r="77" spans="1:19" ht="11.25" customHeight="1" x14ac:dyDescent="0.2">
      <c r="A77" s="91" t="e">
        <v>#N/A</v>
      </c>
      <c r="B77" s="91" t="e">
        <v>#N/A</v>
      </c>
      <c r="C77" s="91" t="e">
        <f>IF(A77="Sf",_xll.qlIMMNextCode(B77,Trigger),IF(LEFT(B77,1)="#",_xll.qlCalendarBusinessDaysBetween(Calendar,Settlementdate,DATE(LEFT(SUBSTITUTE(B77,"#",""),4),LEFT(RIGHT(SUBSTITUTE(B77,"#",""),4),2),RIGHT(SUBSTITUTE(B77,"#",""),2)),,,Trigger)-1&amp;"D",SUBSTITUTE(B77,"/","")))</f>
        <v>#N/A</v>
      </c>
      <c r="D77" s="101" t="e">
        <f t="shared" si="7"/>
        <v>#N/A</v>
      </c>
      <c r="E77" s="101" t="e">
        <f t="shared" si="8"/>
        <v>#N/A</v>
      </c>
      <c r="F77" s="97" t="e">
        <f t="shared" si="9"/>
        <v>#N/A</v>
      </c>
      <c r="G77" s="100" t="e">
        <f t="shared" si="10"/>
        <v>#N/A</v>
      </c>
      <c r="H77" s="97" t="e">
        <f t="shared" si="11"/>
        <v>#N/A</v>
      </c>
      <c r="I77" s="102" t="e">
        <v>#N/A</v>
      </c>
      <c r="J77" s="89" t="e">
        <f>IF(LEFT(A77,1)="D",_xll.qlDepositRateHelper2(,I77,IF(RIGHT(C77,1)="N","1D",C77),D77,Calendar,F77,G77,H77,,Trigger),IF(A77="Sw",_xll.qlSwapRateHelper2(,I77,D77,C77,Calendar,"Annual",F77,H77,"Euribor"&amp;$H$1,0,"0D",Discounting,,,,Trigger),IF(A77="Fr",_xll.qlFraRateHelper(,I77,SUBSTITUTE(LEFT(C77,2),"M","")&amp;"M","Euribor"&amp;$H$1,,,,Trigger),IF(A77="Sf",_xll.qlFuturesRateHelper(,I77,,C77,"Euribor"&amp;$H$1,0,,Trigger),"--"))))</f>
        <v>#N/A</v>
      </c>
      <c r="K77" s="98" t="b">
        <f t="shared" si="6"/>
        <v>0</v>
      </c>
      <c r="M77" s="9" t="e">
        <v>#N/A</v>
      </c>
      <c r="N77" s="9" t="e">
        <v>#N/A</v>
      </c>
      <c r="O77" s="9" t="e">
        <v>#N/A</v>
      </c>
      <c r="P77" s="96" t="e">
        <f>_xll.qlRateHelperRate(O77,Trigger)</f>
        <v>#VALUE!</v>
      </c>
      <c r="Q77" s="10" t="e">
        <f>_xll.qlRateHelperEarliestDate(O77,Trigger)</f>
        <v>#VALUE!</v>
      </c>
      <c r="R77" s="10" t="e">
        <f>_xll.qlRateHelperPillarDate(O77,Trigger)</f>
        <v>#VALUE!</v>
      </c>
      <c r="S77" s="96" t="e">
        <v>#N/A</v>
      </c>
    </row>
    <row r="78" spans="1:19" ht="11.25" customHeight="1" x14ac:dyDescent="0.2">
      <c r="A78" s="91" t="e">
        <v>#N/A</v>
      </c>
      <c r="B78" s="91" t="e">
        <v>#N/A</v>
      </c>
      <c r="C78" s="91" t="e">
        <f>IF(A78="Sf",_xll.qlIMMNextCode(B78,Trigger),IF(LEFT(B78,1)="#",_xll.qlCalendarBusinessDaysBetween(Calendar,Settlementdate,DATE(LEFT(SUBSTITUTE(B78,"#",""),4),LEFT(RIGHT(SUBSTITUTE(B78,"#",""),4),2),RIGHT(SUBSTITUTE(B78,"#",""),2)),,,Trigger)-1&amp;"D",SUBSTITUTE(B78,"/","")))</f>
        <v>#N/A</v>
      </c>
      <c r="D78" s="101" t="e">
        <f t="shared" si="7"/>
        <v>#N/A</v>
      </c>
      <c r="E78" s="101" t="e">
        <f t="shared" si="8"/>
        <v>#N/A</v>
      </c>
      <c r="F78" s="97" t="e">
        <f t="shared" si="9"/>
        <v>#N/A</v>
      </c>
      <c r="G78" s="100" t="e">
        <f t="shared" si="10"/>
        <v>#N/A</v>
      </c>
      <c r="H78" s="97" t="e">
        <f t="shared" si="11"/>
        <v>#N/A</v>
      </c>
      <c r="I78" s="102" t="e">
        <v>#N/A</v>
      </c>
      <c r="J78" s="89" t="e">
        <f>IF(LEFT(A78,1)="D",_xll.qlDepositRateHelper2(,I78,IF(RIGHT(C78,1)="N","1D",C78),D78,Calendar,F78,G78,H78,,Trigger),IF(A78="Sw",_xll.qlSwapRateHelper2(,I78,D78,C78,Calendar,"Annual",F78,H78,"Euribor"&amp;$H$1,0,"0D",Discounting,,,,Trigger),IF(A78="Fr",_xll.qlFraRateHelper(,I78,SUBSTITUTE(LEFT(C78,2),"M","")&amp;"M","Euribor"&amp;$H$1,,,,Trigger),IF(A78="Sf",_xll.qlFuturesRateHelper(,I78,,C78,"Euribor"&amp;$H$1,0,,Trigger),"--"))))</f>
        <v>#N/A</v>
      </c>
      <c r="K78" s="98" t="b">
        <f t="shared" si="6"/>
        <v>0</v>
      </c>
      <c r="M78" s="9" t="e">
        <v>#N/A</v>
      </c>
      <c r="N78" s="9" t="e">
        <v>#N/A</v>
      </c>
      <c r="O78" s="9" t="e">
        <v>#N/A</v>
      </c>
      <c r="P78" s="96" t="e">
        <f>_xll.qlRateHelperRate(O78,Trigger)</f>
        <v>#VALUE!</v>
      </c>
      <c r="Q78" s="10" t="e">
        <f>_xll.qlRateHelperEarliestDate(O78,Trigger)</f>
        <v>#VALUE!</v>
      </c>
      <c r="R78" s="10" t="e">
        <f>_xll.qlRateHelperPillarDate(O78,Trigger)</f>
        <v>#VALUE!</v>
      </c>
      <c r="S78" s="96" t="e">
        <v>#N/A</v>
      </c>
    </row>
    <row r="79" spans="1:19" ht="11.25" customHeight="1" x14ac:dyDescent="0.2">
      <c r="A79" s="91" t="e">
        <v>#N/A</v>
      </c>
      <c r="B79" s="91" t="e">
        <v>#N/A</v>
      </c>
      <c r="C79" s="91" t="e">
        <f>IF(A79="Sf",_xll.qlIMMNextCode(B79,Trigger),IF(LEFT(B79,1)="#",_xll.qlCalendarBusinessDaysBetween(Calendar,Settlementdate,DATE(LEFT(SUBSTITUTE(B79,"#",""),4),LEFT(RIGHT(SUBSTITUTE(B79,"#",""),4),2),RIGHT(SUBSTITUTE(B79,"#",""),2)),,,Trigger)-1&amp;"D",SUBSTITUTE(B79,"/","")))</f>
        <v>#N/A</v>
      </c>
      <c r="D79" s="101" t="e">
        <f t="shared" si="7"/>
        <v>#N/A</v>
      </c>
      <c r="E79" s="101" t="e">
        <f t="shared" si="8"/>
        <v>#N/A</v>
      </c>
      <c r="F79" s="97" t="e">
        <f t="shared" si="9"/>
        <v>#N/A</v>
      </c>
      <c r="G79" s="100" t="e">
        <f t="shared" si="10"/>
        <v>#N/A</v>
      </c>
      <c r="H79" s="97" t="e">
        <f t="shared" si="11"/>
        <v>#N/A</v>
      </c>
      <c r="I79" s="102" t="e">
        <v>#N/A</v>
      </c>
      <c r="J79" s="89" t="e">
        <f>IF(LEFT(A79,1)="D",_xll.qlDepositRateHelper2(,I79,IF(RIGHT(C79,1)="N","1D",C79),D79,Calendar,F79,G79,H79,,Trigger),IF(A79="Sw",_xll.qlSwapRateHelper2(,I79,D79,C79,Calendar,"Annual",F79,H79,"Euribor"&amp;$H$1,0,"0D",Discounting,,,,Trigger),IF(A79="Fr",_xll.qlFraRateHelper(,I79,SUBSTITUTE(LEFT(C79,2),"M","")&amp;"M","Euribor"&amp;$H$1,,,,Trigger),IF(A79="Sf",_xll.qlFuturesRateHelper(,I79,,C79,"Euribor"&amp;$H$1,0,,Trigger),"--"))))</f>
        <v>#N/A</v>
      </c>
      <c r="K79" s="98" t="b">
        <f t="shared" si="6"/>
        <v>0</v>
      </c>
      <c r="M79" s="9" t="e">
        <v>#N/A</v>
      </c>
      <c r="N79" s="9" t="e">
        <v>#N/A</v>
      </c>
      <c r="O79" s="9" t="e">
        <v>#N/A</v>
      </c>
      <c r="P79" s="96" t="e">
        <f>_xll.qlRateHelperRate(O79,Trigger)</f>
        <v>#VALUE!</v>
      </c>
      <c r="Q79" s="10" t="e">
        <f>_xll.qlRateHelperEarliestDate(O79,Trigger)</f>
        <v>#VALUE!</v>
      </c>
      <c r="R79" s="10" t="e">
        <f>_xll.qlRateHelperPillarDate(O79,Trigger)</f>
        <v>#VALUE!</v>
      </c>
      <c r="S79" s="96" t="e">
        <v>#N/A</v>
      </c>
    </row>
    <row r="80" spans="1:19" ht="11.25" customHeight="1" x14ac:dyDescent="0.2">
      <c r="A80" s="91" t="e">
        <v>#N/A</v>
      </c>
      <c r="B80" s="91" t="e">
        <v>#N/A</v>
      </c>
      <c r="C80" s="91" t="e">
        <f>IF(A80="Sf",_xll.qlIMMNextCode(B80,Trigger),IF(LEFT(B80,1)="#",_xll.qlCalendarBusinessDaysBetween(Calendar,Settlementdate,DATE(LEFT(SUBSTITUTE(B80,"#",""),4),LEFT(RIGHT(SUBSTITUTE(B80,"#",""),4),2),RIGHT(SUBSTITUTE(B80,"#",""),2)),,,Trigger)-1&amp;"D",SUBSTITUTE(B80,"/","")))</f>
        <v>#N/A</v>
      </c>
      <c r="D80" s="101" t="e">
        <f t="shared" si="7"/>
        <v>#N/A</v>
      </c>
      <c r="E80" s="101" t="e">
        <f t="shared" si="8"/>
        <v>#N/A</v>
      </c>
      <c r="F80" s="97" t="e">
        <f t="shared" si="9"/>
        <v>#N/A</v>
      </c>
      <c r="G80" s="100" t="e">
        <f t="shared" si="10"/>
        <v>#N/A</v>
      </c>
      <c r="H80" s="97" t="e">
        <f t="shared" si="11"/>
        <v>#N/A</v>
      </c>
      <c r="I80" s="102" t="e">
        <v>#N/A</v>
      </c>
      <c r="J80" s="89" t="e">
        <f>IF(LEFT(A80,1)="D",_xll.qlDepositRateHelper2(,I80,IF(RIGHT(C80,1)="N","1D",C80),D80,Calendar,F80,G80,H80,,Trigger),IF(A80="Sw",_xll.qlSwapRateHelper2(,I80,D80,C80,Calendar,"Annual",F80,H80,"Euribor"&amp;$H$1,0,"0D",Discounting,,,,Trigger),IF(A80="Fr",_xll.qlFraRateHelper(,I80,SUBSTITUTE(LEFT(C80,2),"M","")&amp;"M","Euribor"&amp;$H$1,,,,Trigger),IF(A80="Sf",_xll.qlFuturesRateHelper(,I80,,C80,"Euribor"&amp;$H$1,0,,Trigger),"--"))))</f>
        <v>#N/A</v>
      </c>
      <c r="K80" s="98" t="b">
        <f t="shared" si="6"/>
        <v>0</v>
      </c>
      <c r="M80" s="9" t="e">
        <v>#N/A</v>
      </c>
      <c r="N80" s="9" t="e">
        <v>#N/A</v>
      </c>
      <c r="O80" s="9" t="e">
        <v>#N/A</v>
      </c>
      <c r="P80" s="96" t="e">
        <f>_xll.qlRateHelperRate(O80,Trigger)</f>
        <v>#VALUE!</v>
      </c>
      <c r="Q80" s="10" t="e">
        <f>_xll.qlRateHelperEarliestDate(O80,Trigger)</f>
        <v>#VALUE!</v>
      </c>
      <c r="R80" s="10" t="e">
        <f>_xll.qlRateHelperPillarDate(O80,Trigger)</f>
        <v>#VALUE!</v>
      </c>
      <c r="S80" s="96" t="e">
        <v>#N/A</v>
      </c>
    </row>
    <row r="81" spans="1:19" ht="11.25" customHeight="1" x14ac:dyDescent="0.2">
      <c r="A81" s="91" t="e">
        <v>#N/A</v>
      </c>
      <c r="B81" s="91" t="e">
        <v>#N/A</v>
      </c>
      <c r="C81" s="91" t="e">
        <f>IF(A81="Sf",_xll.qlIMMNextCode(B81,Trigger),IF(LEFT(B81,1)="#",_xll.qlCalendarBusinessDaysBetween(Calendar,Settlementdate,DATE(LEFT(SUBSTITUTE(B81,"#",""),4),LEFT(RIGHT(SUBSTITUTE(B81,"#",""),4),2),RIGHT(SUBSTITUTE(B81,"#",""),2)),,,Trigger)-1&amp;"D",SUBSTITUTE(B81,"/","")))</f>
        <v>#N/A</v>
      </c>
      <c r="D81" s="101" t="e">
        <f t="shared" si="7"/>
        <v>#N/A</v>
      </c>
      <c r="E81" s="101" t="e">
        <f t="shared" si="8"/>
        <v>#N/A</v>
      </c>
      <c r="F81" s="97" t="e">
        <f t="shared" si="9"/>
        <v>#N/A</v>
      </c>
      <c r="G81" s="100" t="e">
        <f t="shared" si="10"/>
        <v>#N/A</v>
      </c>
      <c r="H81" s="97" t="e">
        <f t="shared" si="11"/>
        <v>#N/A</v>
      </c>
      <c r="I81" s="102" t="e">
        <v>#N/A</v>
      </c>
      <c r="J81" s="89" t="e">
        <f>IF(LEFT(A81,1)="D",_xll.qlDepositRateHelper2(,I81,IF(RIGHT(C81,1)="N","1D",C81),D81,Calendar,F81,G81,H81,,Trigger),IF(A81="Sw",_xll.qlSwapRateHelper2(,I81,D81,C81,Calendar,"Annual",F81,H81,"Euribor"&amp;$H$1,0,"0D",Discounting,,,,Trigger),IF(A81="Fr",_xll.qlFraRateHelper(,I81,SUBSTITUTE(LEFT(C81,2),"M","")&amp;"M","Euribor"&amp;$H$1,,,,Trigger),IF(A81="Sf",_xll.qlFuturesRateHelper(,I81,,C81,"Euribor"&amp;$H$1,0,,Trigger),"--"))))</f>
        <v>#N/A</v>
      </c>
      <c r="K81" s="98" t="b">
        <f t="shared" si="6"/>
        <v>0</v>
      </c>
      <c r="M81" s="9" t="e">
        <v>#N/A</v>
      </c>
      <c r="N81" s="9" t="e">
        <v>#N/A</v>
      </c>
      <c r="O81" s="9" t="e">
        <v>#N/A</v>
      </c>
      <c r="P81" s="96" t="e">
        <f>_xll.qlRateHelperRate(O81,Trigger)</f>
        <v>#VALUE!</v>
      </c>
      <c r="Q81" s="10" t="e">
        <f>_xll.qlRateHelperEarliestDate(O81,Trigger)</f>
        <v>#VALUE!</v>
      </c>
      <c r="R81" s="10" t="e">
        <f>_xll.qlRateHelperPillarDate(O81,Trigger)</f>
        <v>#VALUE!</v>
      </c>
      <c r="S81" s="96" t="e">
        <v>#N/A</v>
      </c>
    </row>
    <row r="82" spans="1:19" ht="11.25" customHeight="1" x14ac:dyDescent="0.2">
      <c r="A82" s="6" t="e">
        <v>#N/A</v>
      </c>
      <c r="B82" s="6" t="e">
        <v>#N/A</v>
      </c>
      <c r="C82" s="6" t="e">
        <f>IF(A82="Sf",_xll.qlIMMNextCode(B82,Trigger),IF(LEFT(B82,1)="#",_xll.qlCalendarBusinessDaysBetween(Calendar,Settlementdate,DATE(LEFT(SUBSTITUTE(B82,"#",""),4),LEFT(RIGHT(SUBSTITUTE(B82,"#",""),4),2),RIGHT(SUBSTITUTE(B82,"#",""),2)),,,Trigger)-1&amp;"D",SUBSTITUTE(B82,"/","")))</f>
        <v>#N/A</v>
      </c>
      <c r="D82" s="104" t="e">
        <f t="shared" si="7"/>
        <v>#N/A</v>
      </c>
      <c r="E82" s="104" t="e">
        <f t="shared" si="8"/>
        <v>#N/A</v>
      </c>
      <c r="F82" s="2" t="e">
        <f t="shared" si="9"/>
        <v>#N/A</v>
      </c>
      <c r="G82" s="103" t="e">
        <f t="shared" si="10"/>
        <v>#N/A</v>
      </c>
      <c r="H82" s="2" t="e">
        <f t="shared" si="11"/>
        <v>#N/A</v>
      </c>
      <c r="I82" s="105" t="e">
        <v>#N/A</v>
      </c>
      <c r="J82" s="4" t="e">
        <f>IF(LEFT(A82,1)="D",_xll.qlDepositRateHelper2(,I82,IF(RIGHT(C82,1)="N","1D",C82),D82,Calendar,F82,G82,H82,,Trigger),IF(A82="Sw",_xll.qlSwapRateHelper2(,I82,D82,C82,Calendar,"Annual",F82,H82,"Euribor"&amp;$H$1,0,"0D",Discounting,,,,Trigger),IF(A82="Fr",_xll.qlFraRateHelper(,I82,SUBSTITUTE(LEFT(C82,2),"M","")&amp;"M","Euribor"&amp;$H$1,,,,Trigger),IF(A82="Sf",_xll.qlFuturesRateHelper(,I82,,C82,"Euribor"&amp;$H$1,0,,Trigger),"--"))))</f>
        <v>#N/A</v>
      </c>
      <c r="K82" s="8" t="b">
        <f t="shared" si="6"/>
        <v>0</v>
      </c>
      <c r="M82" s="11" t="e">
        <v>#N/A</v>
      </c>
      <c r="N82" s="11" t="e">
        <v>#N/A</v>
      </c>
      <c r="O82" s="11" t="e">
        <v>#N/A</v>
      </c>
      <c r="P82" s="174" t="e">
        <f>_xll.qlRateHelperRate(O82,Trigger)</f>
        <v>#VALUE!</v>
      </c>
      <c r="Q82" s="19" t="e">
        <f>_xll.qlRateHelperEarliestDate(O82,Trigger)</f>
        <v>#VALUE!</v>
      </c>
      <c r="R82" s="19" t="e">
        <f>_xll.qlRateHelperPillarDate(O82,Trigger)</f>
        <v>#VALUE!</v>
      </c>
      <c r="S82" s="174" t="e">
        <v>#N/A</v>
      </c>
    </row>
    <row r="83" spans="1:19" ht="11.25" customHeight="1" x14ac:dyDescent="0.2"/>
    <row r="84" spans="1:19" ht="11.25" customHeight="1" x14ac:dyDescent="0.2"/>
    <row r="85" spans="1:19" ht="11.25" customHeight="1" x14ac:dyDescent="0.2"/>
    <row r="86" spans="1:19" ht="11.25" customHeight="1" x14ac:dyDescent="0.2"/>
    <row r="87" spans="1:19" ht="11.25" customHeight="1" x14ac:dyDescent="0.2"/>
    <row r="88" spans="1:19" ht="11.25" customHeight="1" x14ac:dyDescent="0.2"/>
    <row r="89" spans="1:19" ht="11.25" customHeight="1" x14ac:dyDescent="0.2"/>
  </sheetData>
  <dataValidations disablePrompts="1" count="3">
    <dataValidation type="list" allowBlank="1" showInputMessage="1" showErrorMessage="1" sqref="H3:H8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19:G82">
      <formula1>"Annual,Semiannual,EveryFourthMonth,Quarterly,Bimonthly,Monthly,Biweekly,Weekly,Daily,Once,NoFrequency"</formula1>
    </dataValidation>
    <dataValidation type="list" allowBlank="1" showInputMessage="1" showErrorMessage="1" sqref="F19:F82">
      <formula1>"Following,Modified Following,Preceding,Modified Preceding,Month End Reference,Unadjusted Month End,Unadjusted"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89"/>
  <sheetViews>
    <sheetView showGridLines="0" topLeftCell="L1" zoomScaleNormal="100" workbookViewId="0">
      <selection activeCell="S1" sqref="S1"/>
    </sheetView>
  </sheetViews>
  <sheetFormatPr defaultRowHeight="11.25" outlineLevelCol="1" x14ac:dyDescent="0.2"/>
  <cols>
    <col min="1" max="1" width="6.7109375" style="61" hidden="1" customWidth="1" outlineLevel="1"/>
    <col min="2" max="2" width="6.7109375" style="180" hidden="1" customWidth="1" outlineLevel="1"/>
    <col min="3" max="3" width="6.7109375" style="73" hidden="1" customWidth="1" outlineLevel="1"/>
    <col min="4" max="4" width="6.7109375" style="72" hidden="1" customWidth="1" outlineLevel="1"/>
    <col min="5" max="5" width="10" style="72" hidden="1" customWidth="1" outlineLevel="1"/>
    <col min="6" max="6" width="19.42578125" style="74" hidden="1" customWidth="1" outlineLevel="1"/>
    <col min="7" max="7" width="7" style="61" hidden="1" customWidth="1" outlineLevel="1"/>
    <col min="8" max="8" width="20.28515625" style="61" hidden="1" customWidth="1" outlineLevel="1"/>
    <col min="9" max="9" width="11.28515625" style="61" hidden="1" customWidth="1" outlineLevel="1"/>
    <col min="10" max="10" width="15.140625" style="61" hidden="1" customWidth="1" outlineLevel="1"/>
    <col min="11" max="11" width="9" style="72" hidden="1" customWidth="1" outlineLevel="1"/>
    <col min="12" max="12" width="2.7109375" style="61" customWidth="1" collapsed="1"/>
    <col min="13" max="13" width="5" style="61" bestFit="1" customWidth="1"/>
    <col min="14" max="14" width="8" style="61" bestFit="1" customWidth="1"/>
    <col min="15" max="15" width="15.140625" style="61" hidden="1" customWidth="1" outlineLevel="1"/>
    <col min="16" max="16" width="9" style="61" bestFit="1" customWidth="1" collapsed="1"/>
    <col min="17" max="18" width="17.28515625" style="61" bestFit="1" customWidth="1"/>
    <col min="19" max="19" width="12.7109375" style="61" customWidth="1"/>
    <col min="20" max="20" width="15.140625" style="61" bestFit="1" customWidth="1"/>
    <col min="21" max="21" width="9" style="61" bestFit="1" customWidth="1"/>
    <col min="22" max="16384" width="9.140625" style="61"/>
  </cols>
  <sheetData>
    <row r="1" spans="1:19" ht="18" customHeight="1" x14ac:dyDescent="0.2">
      <c r="B1" s="176"/>
      <c r="C1" s="68"/>
      <c r="D1" s="69"/>
      <c r="E1" s="69"/>
      <c r="F1" s="70"/>
      <c r="G1" s="71"/>
      <c r="H1" s="75" t="s">
        <v>40</v>
      </c>
      <c r="K1" s="69"/>
      <c r="M1" s="110" t="s">
        <v>145</v>
      </c>
      <c r="N1" s="93"/>
      <c r="O1" s="93"/>
      <c r="P1" s="94"/>
      <c r="Q1" s="93"/>
      <c r="R1" s="93"/>
      <c r="S1" s="109" t="s">
        <v>229</v>
      </c>
    </row>
    <row r="2" spans="1:19" ht="21" customHeight="1" x14ac:dyDescent="0.2">
      <c r="A2" s="92" t="s">
        <v>9</v>
      </c>
      <c r="B2" s="177"/>
      <c r="C2" s="92" t="s">
        <v>1</v>
      </c>
      <c r="D2" s="92" t="s">
        <v>2</v>
      </c>
      <c r="E2" s="92" t="s">
        <v>227</v>
      </c>
      <c r="F2" s="92" t="s">
        <v>8</v>
      </c>
      <c r="G2" s="92" t="s">
        <v>3</v>
      </c>
      <c r="H2" s="92" t="s">
        <v>4</v>
      </c>
      <c r="I2" s="92" t="s">
        <v>5</v>
      </c>
      <c r="J2" s="92" t="s">
        <v>32</v>
      </c>
      <c r="K2" s="92" t="s">
        <v>36</v>
      </c>
      <c r="M2" s="106" t="s">
        <v>9</v>
      </c>
      <c r="N2" s="106" t="s">
        <v>44</v>
      </c>
      <c r="O2" s="106" t="s">
        <v>32</v>
      </c>
      <c r="P2" s="107" t="s">
        <v>28</v>
      </c>
      <c r="Q2" s="106" t="s">
        <v>26</v>
      </c>
      <c r="R2" s="106" t="s">
        <v>27</v>
      </c>
      <c r="S2" s="95">
        <f t="array" ref="S2:S82">_xll.qlPiecewiseYieldCurveData(YieldCurve_1Y,Trigger)</f>
        <v>3.0719644296681533E-4</v>
      </c>
    </row>
    <row r="3" spans="1:19" ht="11.25" customHeight="1" x14ac:dyDescent="0.2">
      <c r="A3" s="76" t="str">
        <f t="array" ref="A3:A82">_xll.ohFilter(PastedValue!AO2:AO74,NOT(ISBLANK(PastedValue!AO2:AO74)))</f>
        <v>Dg</v>
      </c>
      <c r="B3" s="178" t="str">
        <f t="array" ref="B3:B82">_xll.ohFilter(PastedValue!AS2:AS74,NOT(ISBLANK(PastedValue!AO2:AO74)))</f>
        <v>S/N</v>
      </c>
      <c r="C3" s="183" t="str">
        <f>IF(A3="Sf",_xll.qlIMMNextCode(B3,Trigger),IF(LEFT(B3,1)="#",_xll.qlCalendarBusinessDaysBetween(Calendar,Settlementdate,DATE(LEFT(SUBSTITUTE(B3,"#",""),4),LEFT(RIGHT(SUBSTITUTE(B3,"#",""),4),2),RIGHT(SUBSTITUTE(B3,"#",""),2)),,,Trigger)-1&amp;"D",SUBSTITUTE(B3,"/","")))</f>
        <v>SN</v>
      </c>
      <c r="D3" s="78">
        <f>IF(C3="ON",0,IF(C3="TN",1,2))</f>
        <v>2</v>
      </c>
      <c r="E3" s="78" t="str">
        <f>IF(A3="Sw","Annual","--")</f>
        <v>--</v>
      </c>
      <c r="F3" s="77" t="str">
        <f>IF(OR(RIGHT(C3,1)="N",RIGHT(C3,1)="W"),"Following","Modified Following")</f>
        <v>Following</v>
      </c>
      <c r="G3" s="80" t="str">
        <f>IF(OR(RIGHT(C3,1)="M",RIGHT(C3,1)="Y"),"TRUE","FALSE")</f>
        <v>FALSE</v>
      </c>
      <c r="H3" s="99" t="str">
        <f>IF(A3="Sw","30/360 (Bond Basis)","Actual/360")</f>
        <v>Actual/360</v>
      </c>
      <c r="I3" s="181">
        <f t="array" ref="I3:I82">_xll.ohFilter(PastedValue!AV2:AV74,NOT(ISBLANK(PastedValue!AO2:AO74)))/IF(A3:A82="Sf",1,100)</f>
        <v>3.0298839999999999E-4</v>
      </c>
      <c r="J3" s="83" t="str">
        <f>IF(LEFT(A3,1)="D",_xll.qlDepositRateHelper2(,I3,IF(RIGHT(C3,1)="N","1D",C3),D3,Calendar,F3,G3,H3,,Trigger),IF(A3="Sw",_xll.qlSwapRateHelper2(,I3,D3,C3,Calendar,"Annual",F3,H3,"Euribor"&amp;$H$1,0,"0D",Discounting,,,,Trigger),IF(A3="Fr",_xll.qlFraRateHelper(,I3,SUBSTITUTE(LEFT(C3,2),"M","")&amp;"M","Euribor"&amp;$H$1,,,,Trigger),IF(A3="Sf",_xll.qlFuturesRateHelper(,I3,,C3,"Euribor"&amp;$H$1,0,,Trigger),"--"))))</f>
        <v>obj_0002f#0006</v>
      </c>
      <c r="K3" s="78" t="b">
        <f t="shared" ref="K3:K17" si="0">IF(ISERROR(J3),FALSE,TRUE)</f>
        <v>1</v>
      </c>
      <c r="M3" s="9" t="str">
        <f t="array" ref="M3:M82">_xll.ohPack(_xll.ohFilter(A3:A82,K3:K82),Trigger)</f>
        <v>Dg</v>
      </c>
      <c r="N3" s="9" t="str">
        <f t="array" ref="N3:N82">_xll.ohPack(_xll.ohFilter(C3:C82,K3:K82),Trigger)</f>
        <v>SN</v>
      </c>
      <c r="O3" s="9" t="str">
        <f t="array" ref="O3:O82">_xll.ohPack(_xll.ohFilter(J3:J82,K3:K82))</f>
        <v>obj_0002f#0006</v>
      </c>
      <c r="P3" s="96">
        <f>_xll.qlRateHelperRate(O3,Trigger)</f>
        <v>3.0298839999999999E-4</v>
      </c>
      <c r="Q3" s="10">
        <f>_xll.qlRateHelperEarliestDate(O3,Trigger)</f>
        <v>42502</v>
      </c>
      <c r="R3" s="10">
        <f>_xll.qlRateHelperPillarDate(O3,Trigger)</f>
        <v>42503</v>
      </c>
      <c r="S3" s="96">
        <v>3.0719644296681533E-4</v>
      </c>
    </row>
    <row r="4" spans="1:19" ht="11.25" customHeight="1" x14ac:dyDescent="0.2">
      <c r="A4" s="84" t="str">
        <v>Dg</v>
      </c>
      <c r="B4" s="179" t="str">
        <v>1W</v>
      </c>
      <c r="C4" s="184" t="str">
        <f>IF(A4="Sf",_xll.qlIMMNextCode(B4,Trigger),IF(LEFT(B4,1)="#",_xll.qlCalendarBusinessDaysBetween(Calendar,Settlementdate,DATE(LEFT(SUBSTITUTE(B4,"#",""),4),LEFT(RIGHT(SUBSTITUTE(B4,"#",""),4),2),RIGHT(SUBSTITUTE(B4,"#",""),2)),,,Trigger)-1&amp;"D",SUBSTITUTE(B4,"/","")))</f>
        <v>1W</v>
      </c>
      <c r="D4" s="86">
        <f t="shared" ref="D4:D67" si="1">IF(C4="ON",0,IF(C4="TN",1,2))</f>
        <v>2</v>
      </c>
      <c r="E4" s="86" t="str">
        <f t="shared" ref="E4:E67" si="2">IF(A4="Sw","Annual","--")</f>
        <v>--</v>
      </c>
      <c r="F4" s="85" t="str">
        <f t="shared" ref="F4:F67" si="3">IF(OR(RIGHT(C4,1)="N",RIGHT(C4,1)="W"),"Following","Modified Following")</f>
        <v>Following</v>
      </c>
      <c r="G4" s="88" t="str">
        <f t="shared" ref="G4:G67" si="4">IF(OR(RIGHT(C4,1)="M",RIGHT(C4,1)="Y"),"TRUE","FALSE")</f>
        <v>FALSE</v>
      </c>
      <c r="H4" s="100" t="str">
        <f t="shared" ref="H4:H67" si="5">IF(A4="Sw","30/360 (Bond Basis)","Actual/360")</f>
        <v>Actual/360</v>
      </c>
      <c r="I4" s="182">
        <v>3.0298915999999999E-4</v>
      </c>
      <c r="J4" s="91" t="str">
        <f>IF(LEFT(A4,1)="D",_xll.qlDepositRateHelper2(,I4,IF(RIGHT(C4,1)="N","1D",C4),D4,Calendar,F4,G4,H4,,Trigger),IF(A4="Sw",_xll.qlSwapRateHelper2(,I4,D4,C4,Calendar,"Annual",F4,H4,"Euribor"&amp;$H$1,0,"0D",Discounting,,,,Trigger),IF(A4="Fr",_xll.qlFraRateHelper(,I4,SUBSTITUTE(LEFT(C4,2),"M","")&amp;"M","Euribor"&amp;$H$1,,,,Trigger),IF(A4="Sf",_xll.qlFuturesRateHelper(,I4,,C4,"Euribor"&amp;$H$1,0,,Trigger),"--"))))</f>
        <v>obj_00029#0005</v>
      </c>
      <c r="K4" s="86" t="b">
        <f t="shared" si="0"/>
        <v>1</v>
      </c>
      <c r="M4" s="9" t="str">
        <v>Dg</v>
      </c>
      <c r="N4" s="9" t="str">
        <v>1W</v>
      </c>
      <c r="O4" s="9" t="str">
        <v>obj_00029#0005</v>
      </c>
      <c r="P4" s="96">
        <f>_xll.qlRateHelperRate(O4,Trigger)</f>
        <v>3.0298915999999999E-4</v>
      </c>
      <c r="Q4" s="10">
        <f>_xll.qlRateHelperEarliestDate(O4,Trigger)</f>
        <v>42502</v>
      </c>
      <c r="R4" s="10">
        <f>_xll.qlRateHelperPillarDate(O4,Trigger)</f>
        <v>42509</v>
      </c>
      <c r="S4" s="96">
        <v>3.071964389458014E-4</v>
      </c>
    </row>
    <row r="5" spans="1:19" ht="11.25" customHeight="1" x14ac:dyDescent="0.2">
      <c r="A5" s="84" t="str">
        <v>Dg</v>
      </c>
      <c r="B5" s="179" t="str">
        <v>2W</v>
      </c>
      <c r="C5" s="184" t="str">
        <f>IF(A5="Sf",_xll.qlIMMNextCode(B5,Trigger),IF(LEFT(B5,1)="#",_xll.qlCalendarBusinessDaysBetween(Calendar,Settlementdate,DATE(LEFT(SUBSTITUTE(B5,"#",""),4),LEFT(RIGHT(SUBSTITUTE(B5,"#",""),4),2),RIGHT(SUBSTITUTE(B5,"#",""),2)),,,Trigger)-1&amp;"D",SUBSTITUTE(B5,"/","")))</f>
        <v>2W</v>
      </c>
      <c r="D5" s="86">
        <f t="shared" si="1"/>
        <v>2</v>
      </c>
      <c r="E5" s="86" t="str">
        <f t="shared" si="2"/>
        <v>--</v>
      </c>
      <c r="F5" s="85" t="str">
        <f t="shared" si="3"/>
        <v>Following</v>
      </c>
      <c r="G5" s="88" t="str">
        <f t="shared" si="4"/>
        <v>FALSE</v>
      </c>
      <c r="H5" s="100" t="str">
        <f t="shared" si="5"/>
        <v>Actual/360</v>
      </c>
      <c r="I5" s="182">
        <v>3.0299005000000001E-4</v>
      </c>
      <c r="J5" s="91" t="str">
        <f>IF(LEFT(A5,1)="D",_xll.qlDepositRateHelper2(,I5,IF(RIGHT(C5,1)="N","1D",C5),D5,Calendar,F5,G5,H5,,Trigger),IF(A5="Sw",_xll.qlSwapRateHelper2(,I5,D5,C5,Calendar,"Annual",F5,H5,"Euribor"&amp;$H$1,0,"0D",Discounting,,,,Trigger),IF(A5="Fr",_xll.qlFraRateHelper(,I5,SUBSTITUTE(LEFT(C5,2),"M","")&amp;"M","Euribor"&amp;$H$1,,,,Trigger),IF(A5="Sf",_xll.qlFuturesRateHelper(,I5,,C5,"Euribor"&amp;$H$1,0,,Trigger),"--"))))</f>
        <v>obj_00027#0005</v>
      </c>
      <c r="K5" s="86" t="b">
        <f t="shared" si="0"/>
        <v>1</v>
      </c>
      <c r="M5" s="9" t="str">
        <v>Dg</v>
      </c>
      <c r="N5" s="9" t="str">
        <v>2W</v>
      </c>
      <c r="O5" s="9" t="str">
        <v>obj_00027#0005</v>
      </c>
      <c r="P5" s="96">
        <f>_xll.qlRateHelperRate(O5,Trigger)</f>
        <v>3.0299005000000001E-4</v>
      </c>
      <c r="Q5" s="10">
        <f>_xll.qlRateHelperEarliestDate(O5,Trigger)</f>
        <v>42502</v>
      </c>
      <c r="R5" s="10">
        <f>_xll.qlRateHelperPillarDate(O5,Trigger)</f>
        <v>42516</v>
      </c>
      <c r="S5" s="96">
        <v>3.0719643623488668E-4</v>
      </c>
    </row>
    <row r="6" spans="1:19" ht="11.25" customHeight="1" x14ac:dyDescent="0.2">
      <c r="A6" s="84" t="str">
        <v>Dg</v>
      </c>
      <c r="B6" s="179" t="str">
        <v>3W</v>
      </c>
      <c r="C6" s="184" t="str">
        <f>IF(A6="Sf",_xll.qlIMMNextCode(B6,Trigger),IF(LEFT(B6,1)="#",_xll.qlCalendarBusinessDaysBetween(Calendar,Settlementdate,DATE(LEFT(SUBSTITUTE(B6,"#",""),4),LEFT(RIGHT(SUBSTITUTE(B6,"#",""),4),2),RIGHT(SUBSTITUTE(B6,"#",""),2)),,,Trigger)-1&amp;"D",SUBSTITUTE(B6,"/","")))</f>
        <v>3W</v>
      </c>
      <c r="D6" s="86">
        <f t="shared" si="1"/>
        <v>2</v>
      </c>
      <c r="E6" s="86" t="str">
        <f t="shared" si="2"/>
        <v>--</v>
      </c>
      <c r="F6" s="85" t="str">
        <f t="shared" si="3"/>
        <v>Following</v>
      </c>
      <c r="G6" s="88" t="str">
        <f t="shared" si="4"/>
        <v>FALSE</v>
      </c>
      <c r="H6" s="100" t="str">
        <f t="shared" si="5"/>
        <v>Actual/360</v>
      </c>
      <c r="I6" s="182">
        <v>3.0299095E-4</v>
      </c>
      <c r="J6" s="91" t="str">
        <f>IF(LEFT(A6,1)="D",_xll.qlDepositRateHelper2(,I6,IF(RIGHT(C6,1)="N","1D",C6),D6,Calendar,F6,G6,H6,,Trigger),IF(A6="Sw",_xll.qlSwapRateHelper2(,I6,D6,C6,Calendar,"Annual",F6,H6,"Euribor"&amp;$H$1,0,"0D",Discounting,,,,Trigger),IF(A6="Fr",_xll.qlFraRateHelper(,I6,SUBSTITUTE(LEFT(C6,2),"M","")&amp;"M","Euribor"&amp;$H$1,,,,Trigger),IF(A6="Sf",_xll.qlFuturesRateHelper(,I6,,C6,"Euribor"&amp;$H$1,0,,Trigger),"--"))))</f>
        <v>obj_00018#0005</v>
      </c>
      <c r="K6" s="86" t="b">
        <f t="shared" si="0"/>
        <v>1</v>
      </c>
      <c r="M6" s="9" t="str">
        <v>Dg</v>
      </c>
      <c r="N6" s="9" t="str">
        <v>3W</v>
      </c>
      <c r="O6" s="9" t="str">
        <v>obj_00018#0005</v>
      </c>
      <c r="P6" s="96">
        <f>_xll.qlRateHelperRate(O6,Trigger)</f>
        <v>3.0299095E-4</v>
      </c>
      <c r="Q6" s="10">
        <f>_xll.qlRateHelperEarliestDate(O6,Trigger)</f>
        <v>42502</v>
      </c>
      <c r="R6" s="10">
        <f>_xll.qlRateHelperPillarDate(O6,Trigger)</f>
        <v>42523</v>
      </c>
      <c r="S6" s="96">
        <v>3.0719644309701549E-4</v>
      </c>
    </row>
    <row r="7" spans="1:19" ht="11.25" customHeight="1" x14ac:dyDescent="0.2">
      <c r="A7" s="84" t="str">
        <v>Dp</v>
      </c>
      <c r="B7" s="179" t="str">
        <v>1M</v>
      </c>
      <c r="C7" s="184" t="str">
        <f>IF(A7="Sf",_xll.qlIMMNextCode(B7,Trigger),IF(LEFT(B7,1)="#",_xll.qlCalendarBusinessDaysBetween(Calendar,Settlementdate,DATE(LEFT(SUBSTITUTE(B7,"#",""),4),LEFT(RIGHT(SUBSTITUTE(B7,"#",""),4),2),RIGHT(SUBSTITUTE(B7,"#",""),2)),,,Trigger)-1&amp;"D",SUBSTITUTE(B7,"/","")))</f>
        <v>1M</v>
      </c>
      <c r="D7" s="86">
        <f t="shared" si="1"/>
        <v>2</v>
      </c>
      <c r="E7" s="86" t="str">
        <f t="shared" si="2"/>
        <v>--</v>
      </c>
      <c r="F7" s="85" t="str">
        <f t="shared" si="3"/>
        <v>Modified Following</v>
      </c>
      <c r="G7" s="88" t="str">
        <f t="shared" si="4"/>
        <v>TRUE</v>
      </c>
      <c r="H7" s="100" t="str">
        <f t="shared" si="5"/>
        <v>Actual/360</v>
      </c>
      <c r="I7" s="182">
        <v>3.0299248000000001E-4</v>
      </c>
      <c r="J7" s="91" t="str">
        <f>IF(LEFT(A7,1)="D",_xll.qlDepositRateHelper2(,I7,IF(RIGHT(C7,1)="N","1D",C7),D7,Calendar,F7,G7,H7,,Trigger),IF(A7="Sw",_xll.qlSwapRateHelper2(,I7,D7,C7,Calendar,"Annual",F7,H7,"Euribor"&amp;$H$1,0,"0D",Discounting,,,,Trigger),IF(A7="Fr",_xll.qlFraRateHelper(,I7,SUBSTITUTE(LEFT(C7,2),"M","")&amp;"M","Euribor"&amp;$H$1,,,,Trigger),IF(A7="Sf",_xll.qlFuturesRateHelper(,I7,,C7,"Euribor"&amp;$H$1,0,,Trigger),"--"))))</f>
        <v>obj_00032#0005</v>
      </c>
      <c r="K7" s="86" t="b">
        <f t="shared" si="0"/>
        <v>1</v>
      </c>
      <c r="M7" s="9" t="str">
        <v>Dp</v>
      </c>
      <c r="N7" s="9" t="str">
        <v>1M</v>
      </c>
      <c r="O7" s="9" t="str">
        <v>obj_00032#0005</v>
      </c>
      <c r="P7" s="96">
        <f>_xll.qlRateHelperRate(O7,Trigger)</f>
        <v>3.0299248000000001E-4</v>
      </c>
      <c r="Q7" s="10">
        <f>_xll.qlRateHelperEarliestDate(O7,Trigger)</f>
        <v>42502</v>
      </c>
      <c r="R7" s="10">
        <f>_xll.qlRateHelperPillarDate(O7,Trigger)</f>
        <v>42534</v>
      </c>
      <c r="S7" s="96">
        <v>3.0719656450145283E-4</v>
      </c>
    </row>
    <row r="8" spans="1:19" ht="11.25" customHeight="1" x14ac:dyDescent="0.2">
      <c r="A8" s="84" t="str">
        <v>Dp</v>
      </c>
      <c r="B8" s="179" t="str">
        <v>2M</v>
      </c>
      <c r="C8" s="184" t="str">
        <f>IF(A8="Sf",_xll.qlIMMNextCode(B8,Trigger),IF(LEFT(B8,1)="#",_xll.qlCalendarBusinessDaysBetween(Calendar,Settlementdate,DATE(LEFT(SUBSTITUTE(B8,"#",""),4),LEFT(RIGHT(SUBSTITUTE(B8,"#",""),4),2),RIGHT(SUBSTITUTE(B8,"#",""),2)),,,Trigger)-1&amp;"D",SUBSTITUTE(B8,"/","")))</f>
        <v>2M</v>
      </c>
      <c r="D8" s="86">
        <f t="shared" si="1"/>
        <v>2</v>
      </c>
      <c r="E8" s="86" t="str">
        <f t="shared" si="2"/>
        <v>--</v>
      </c>
      <c r="F8" s="85" t="str">
        <f t="shared" si="3"/>
        <v>Modified Following</v>
      </c>
      <c r="G8" s="88" t="str">
        <f t="shared" si="4"/>
        <v>TRUE</v>
      </c>
      <c r="H8" s="100" t="str">
        <f t="shared" si="5"/>
        <v>Actual/360</v>
      </c>
      <c r="I8" s="182">
        <v>3.0299605E-4</v>
      </c>
      <c r="J8" s="91" t="str">
        <f>IF(LEFT(A8,1)="D",_xll.qlDepositRateHelper2(,I8,IF(RIGHT(C8,1)="N","1D",C8),D8,Calendar,F8,G8,H8,,Trigger),IF(A8="Sw",_xll.qlSwapRateHelper2(,I8,D8,C8,Calendar,"Annual",F8,H8,"Euribor"&amp;$H$1,0,"0D",Discounting,,,,Trigger),IF(A8="Fr",_xll.qlFraRateHelper(,I8,SUBSTITUTE(LEFT(C8,2),"M","")&amp;"M","Euribor"&amp;$H$1,,,,Trigger),IF(A8="Sf",_xll.qlFuturesRateHelper(,I8,,C8,"Euribor"&amp;$H$1,0,,Trigger),"--"))))</f>
        <v>obj_00031#0005</v>
      </c>
      <c r="K8" s="86" t="b">
        <f t="shared" si="0"/>
        <v>1</v>
      </c>
      <c r="M8" s="9" t="str">
        <v>Dp</v>
      </c>
      <c r="N8" s="9" t="str">
        <v>2M</v>
      </c>
      <c r="O8" s="9" t="str">
        <v>obj_00031#0005</v>
      </c>
      <c r="P8" s="96">
        <f>_xll.qlRateHelperRate(O8,Trigger)</f>
        <v>3.0299605E-4</v>
      </c>
      <c r="Q8" s="10">
        <f>_xll.qlRateHelperEarliestDate(O8,Trigger)</f>
        <v>42502</v>
      </c>
      <c r="R8" s="10">
        <f>_xll.qlRateHelperPillarDate(O8,Trigger)</f>
        <v>42563</v>
      </c>
      <c r="S8" s="96">
        <v>3.0719644266327065E-4</v>
      </c>
    </row>
    <row r="9" spans="1:19" ht="11.25" customHeight="1" x14ac:dyDescent="0.2">
      <c r="A9" s="84" t="str">
        <v>Dp</v>
      </c>
      <c r="B9" s="179" t="str">
        <v>3M</v>
      </c>
      <c r="C9" s="184" t="str">
        <f>IF(A9="Sf",_xll.qlIMMNextCode(B9,Trigger),IF(LEFT(B9,1)="#",_xll.qlCalendarBusinessDaysBetween(Calendar,Settlementdate,DATE(LEFT(SUBSTITUTE(B9,"#",""),4),LEFT(RIGHT(SUBSTITUTE(B9,"#",""),4),2),RIGHT(SUBSTITUTE(B9,"#",""),2)),,,Trigger)-1&amp;"D",SUBSTITUTE(B9,"/","")))</f>
        <v>3M</v>
      </c>
      <c r="D9" s="86">
        <f t="shared" si="1"/>
        <v>2</v>
      </c>
      <c r="E9" s="86" t="str">
        <f t="shared" si="2"/>
        <v>--</v>
      </c>
      <c r="F9" s="85" t="str">
        <f t="shared" si="3"/>
        <v>Modified Following</v>
      </c>
      <c r="G9" s="88" t="str">
        <f t="shared" si="4"/>
        <v>TRUE</v>
      </c>
      <c r="H9" s="100" t="str">
        <f t="shared" si="5"/>
        <v>Actual/360</v>
      </c>
      <c r="I9" s="182">
        <v>3.0299999999999999E-4</v>
      </c>
      <c r="J9" s="91" t="str">
        <f>IF(LEFT(A9,1)="D",_xll.qlDepositRateHelper2(,I9,IF(RIGHT(C9,1)="N","1D",C9),D9,Calendar,F9,G9,H9,,Trigger),IF(A9="Sw",_xll.qlSwapRateHelper2(,I9,D9,C9,Calendar,"Annual",F9,H9,"Euribor"&amp;$H$1,0,"0D",Discounting,,,,Trigger),IF(A9="Fr",_xll.qlFraRateHelper(,I9,SUBSTITUTE(LEFT(C9,2),"M","")&amp;"M","Euribor"&amp;$H$1,,,,Trigger),IF(A9="Sf",_xll.qlFuturesRateHelper(,I9,,C9,"Euribor"&amp;$H$1,0,,Trigger),"--"))))</f>
        <v>obj_0002a#0005</v>
      </c>
      <c r="K9" s="86" t="b">
        <f t="shared" si="0"/>
        <v>1</v>
      </c>
      <c r="M9" s="9" t="str">
        <v>Dp</v>
      </c>
      <c r="N9" s="9" t="str">
        <v>3M</v>
      </c>
      <c r="O9" s="9" t="str">
        <v>obj_0002a#0005</v>
      </c>
      <c r="P9" s="96">
        <f>_xll.qlRateHelperRate(O9,Trigger)</f>
        <v>3.0299999999999999E-4</v>
      </c>
      <c r="Q9" s="10">
        <f>_xll.qlRateHelperEarliestDate(O9,Trigger)</f>
        <v>42502</v>
      </c>
      <c r="R9" s="10">
        <f>_xll.qlRateHelperPillarDate(O9,Trigger)</f>
        <v>42594</v>
      </c>
      <c r="S9" s="96">
        <v>3.0719643993028277E-4</v>
      </c>
    </row>
    <row r="10" spans="1:19" ht="11.25" customHeight="1" x14ac:dyDescent="0.2">
      <c r="A10" s="84" t="str">
        <v>Dp</v>
      </c>
      <c r="B10" s="179" t="str">
        <v>4M</v>
      </c>
      <c r="C10" s="184" t="str">
        <f>IF(A10="Sf",_xll.qlIMMNextCode(B10,Trigger),IF(LEFT(B10,1)="#",_xll.qlCalendarBusinessDaysBetween(Calendar,Settlementdate,DATE(LEFT(SUBSTITUTE(B10,"#",""),4),LEFT(RIGHT(SUBSTITUTE(B10,"#",""),4),2),RIGHT(SUBSTITUTE(B10,"#",""),2)),,,Trigger)-1&amp;"D",SUBSTITUTE(B10,"/","")))</f>
        <v>4M</v>
      </c>
      <c r="D10" s="86">
        <f t="shared" si="1"/>
        <v>2</v>
      </c>
      <c r="E10" s="86" t="str">
        <f t="shared" si="2"/>
        <v>--</v>
      </c>
      <c r="F10" s="85" t="str">
        <f t="shared" si="3"/>
        <v>Modified Following</v>
      </c>
      <c r="G10" s="88" t="str">
        <f t="shared" si="4"/>
        <v>TRUE</v>
      </c>
      <c r="H10" s="100" t="str">
        <f t="shared" si="5"/>
        <v>Actual/360</v>
      </c>
      <c r="I10" s="182">
        <v>2.7542556999999999E-4</v>
      </c>
      <c r="J10" s="91" t="str">
        <f>IF(LEFT(A10,1)="D",_xll.qlDepositRateHelper2(,I10,IF(RIGHT(C10,1)="N","1D",C10),D10,Calendar,F10,G10,H10,,Trigger),IF(A10="Sw",_xll.qlSwapRateHelper2(,I10,D10,C10,Calendar,"Annual",F10,H10,"Euribor"&amp;$H$1,0,"0D",Discounting,,,,Trigger),IF(A10="Fr",_xll.qlFraRateHelper(,I10,SUBSTITUTE(LEFT(C10,2),"M","")&amp;"M","Euribor"&amp;$H$1,,,,Trigger),IF(A10="Sf",_xll.qlFuturesRateHelper(,I10,,C10,"Euribor"&amp;$H$1,0,,Trigger),"--"))))</f>
        <v>obj_0000f#0005</v>
      </c>
      <c r="K10" s="86" t="b">
        <f t="shared" si="0"/>
        <v>1</v>
      </c>
      <c r="M10" s="9" t="str">
        <v>Dp</v>
      </c>
      <c r="N10" s="9" t="str">
        <v>4M</v>
      </c>
      <c r="O10" s="9" t="str">
        <v>obj_0000f#0005</v>
      </c>
      <c r="P10" s="96">
        <f>_xll.qlRateHelperRate(O10,Trigger)</f>
        <v>2.7542556999999999E-4</v>
      </c>
      <c r="Q10" s="10">
        <f>_xll.qlRateHelperEarliestDate(O10,Trigger)</f>
        <v>42502</v>
      </c>
      <c r="R10" s="10">
        <f>_xll.qlRateHelperPillarDate(O10,Trigger)</f>
        <v>42625</v>
      </c>
      <c r="S10" s="96">
        <v>2.7968512518603428E-4</v>
      </c>
    </row>
    <row r="11" spans="1:19" ht="11.25" customHeight="1" x14ac:dyDescent="0.2">
      <c r="A11" s="84" t="str">
        <v>Dp</v>
      </c>
      <c r="B11" s="179" t="str">
        <v>5M</v>
      </c>
      <c r="C11" s="184" t="str">
        <f>IF(A11="Sf",_xll.qlIMMNextCode(B11,Trigger),IF(LEFT(B11,1)="#",_xll.qlCalendarBusinessDaysBetween(Calendar,Settlementdate,DATE(LEFT(SUBSTITUTE(B11,"#",""),4),LEFT(RIGHT(SUBSTITUTE(B11,"#",""),4),2),RIGHT(SUBSTITUTE(B11,"#",""),2)),,,Trigger)-1&amp;"D",SUBSTITUTE(B11,"/","")))</f>
        <v>5M</v>
      </c>
      <c r="D11" s="86">
        <f t="shared" si="1"/>
        <v>2</v>
      </c>
      <c r="E11" s="86" t="str">
        <f t="shared" si="2"/>
        <v>--</v>
      </c>
      <c r="F11" s="85" t="str">
        <f t="shared" si="3"/>
        <v>Modified Following</v>
      </c>
      <c r="G11" s="88" t="str">
        <f t="shared" si="4"/>
        <v>TRUE</v>
      </c>
      <c r="H11" s="100" t="str">
        <f t="shared" si="5"/>
        <v>Actual/360</v>
      </c>
      <c r="I11" s="182">
        <v>2.1956694999999998E-4</v>
      </c>
      <c r="J11" s="91" t="str">
        <f>IF(LEFT(A11,1)="D",_xll.qlDepositRateHelper2(,I11,IF(RIGHT(C11,1)="N","1D",C11),D11,Calendar,F11,G11,H11,,Trigger),IF(A11="Sw",_xll.qlSwapRateHelper2(,I11,D11,C11,Calendar,"Annual",F11,H11,"Euribor"&amp;$H$1,0,"0D",Discounting,,,,Trigger),IF(A11="Fr",_xll.qlFraRateHelper(,I11,SUBSTITUTE(LEFT(C11,2),"M","")&amp;"M","Euribor"&amp;$H$1,,,,Trigger),IF(A11="Sf",_xll.qlFuturesRateHelper(,I11,,C11,"Euribor"&amp;$H$1,0,,Trigger),"--"))))</f>
        <v>obj_00020#0005</v>
      </c>
      <c r="K11" s="86" t="b">
        <f t="shared" si="0"/>
        <v>1</v>
      </c>
      <c r="M11" s="9" t="str">
        <v>Dp</v>
      </c>
      <c r="N11" s="9" t="str">
        <v>5M</v>
      </c>
      <c r="O11" s="9" t="str">
        <v>obj_00020#0005</v>
      </c>
      <c r="P11" s="96">
        <f>_xll.qlRateHelperRate(O11,Trigger)</f>
        <v>2.1956694999999998E-4</v>
      </c>
      <c r="Q11" s="10">
        <f>_xll.qlRateHelperEarliestDate(O11,Trigger)</f>
        <v>42502</v>
      </c>
      <c r="R11" s="10">
        <f>_xll.qlRateHelperPillarDate(O11,Trigger)</f>
        <v>42655</v>
      </c>
      <c r="S11" s="96">
        <v>2.2369759301806621E-4</v>
      </c>
    </row>
    <row r="12" spans="1:19" ht="11.25" customHeight="1" x14ac:dyDescent="0.2">
      <c r="A12" s="84" t="str">
        <v>Dp</v>
      </c>
      <c r="B12" s="179" t="str">
        <v>6M</v>
      </c>
      <c r="C12" s="184" t="str">
        <f>IF(A12="Sf",_xll.qlIMMNextCode(B12,Trigger),IF(LEFT(B12,1)="#",_xll.qlCalendarBusinessDaysBetween(Calendar,Settlementdate,DATE(LEFT(SUBSTITUTE(B12,"#",""),4),LEFT(RIGHT(SUBSTITUTE(B12,"#",""),4),2),RIGHT(SUBSTITUTE(B12,"#",""),2)),,,Trigger)-1&amp;"D",SUBSTITUTE(B12,"/","")))</f>
        <v>6M</v>
      </c>
      <c r="D12" s="86">
        <f t="shared" si="1"/>
        <v>2</v>
      </c>
      <c r="E12" s="86" t="str">
        <f t="shared" si="2"/>
        <v>--</v>
      </c>
      <c r="F12" s="85" t="str">
        <f t="shared" si="3"/>
        <v>Modified Following</v>
      </c>
      <c r="G12" s="88" t="str">
        <f t="shared" si="4"/>
        <v>TRUE</v>
      </c>
      <c r="H12" s="100" t="str">
        <f t="shared" si="5"/>
        <v>Actual/360</v>
      </c>
      <c r="I12" s="182">
        <v>1.54E-4</v>
      </c>
      <c r="J12" s="91" t="str">
        <f>IF(LEFT(A12,1)="D",_xll.qlDepositRateHelper2(,I12,IF(RIGHT(C12,1)="N","1D",C12),D12,Calendar,F12,G12,H12,,Trigger),IF(A12="Sw",_xll.qlSwapRateHelper2(,I12,D12,C12,Calendar,"Annual",F12,H12,"Euribor"&amp;$H$1,0,"0D",Discounting,,,,Trigger),IF(A12="Fr",_xll.qlFraRateHelper(,I12,SUBSTITUTE(LEFT(C12,2),"M","")&amp;"M","Euribor"&amp;$H$1,,,,Trigger),IF(A12="Sf",_xll.qlFuturesRateHelper(,I12,,C12,"Euribor"&amp;$H$1,0,,Trigger),"--"))))</f>
        <v>obj_0002e#0005</v>
      </c>
      <c r="K12" s="86" t="b">
        <f t="shared" si="0"/>
        <v>1</v>
      </c>
      <c r="M12" s="9" t="str">
        <v>Dp</v>
      </c>
      <c r="N12" s="9" t="str">
        <v>6M</v>
      </c>
      <c r="O12" s="9" t="str">
        <v>obj_0002e#0005</v>
      </c>
      <c r="P12" s="96">
        <f>_xll.qlRateHelperRate(O12,Trigger)</f>
        <v>1.54E-4</v>
      </c>
      <c r="Q12" s="10">
        <f>_xll.qlRateHelperEarliestDate(O12,Trigger)</f>
        <v>42502</v>
      </c>
      <c r="R12" s="10">
        <f>_xll.qlRateHelperPillarDate(O12,Trigger)</f>
        <v>42688</v>
      </c>
      <c r="S12" s="96">
        <v>1.5773973882793603E-4</v>
      </c>
    </row>
    <row r="13" spans="1:19" ht="11.25" customHeight="1" x14ac:dyDescent="0.2">
      <c r="A13" s="84" t="str">
        <v>Dp</v>
      </c>
      <c r="B13" s="179" t="str">
        <v>7M</v>
      </c>
      <c r="C13" s="184" t="str">
        <f>IF(A13="Sf",_xll.qlIMMNextCode(B13,Trigger),IF(LEFT(B13,1)="#",_xll.qlCalendarBusinessDaysBetween(Calendar,Settlementdate,DATE(LEFT(SUBSTITUTE(B13,"#",""),4),LEFT(RIGHT(SUBSTITUTE(B13,"#",""),4),2),RIGHT(SUBSTITUTE(B13,"#",""),2)),,,Trigger)-1&amp;"D",SUBSTITUTE(B13,"/","")))</f>
        <v>7M</v>
      </c>
      <c r="D13" s="86">
        <f t="shared" si="1"/>
        <v>2</v>
      </c>
      <c r="E13" s="86" t="str">
        <f t="shared" si="2"/>
        <v>--</v>
      </c>
      <c r="F13" s="85" t="str">
        <f t="shared" si="3"/>
        <v>Modified Following</v>
      </c>
      <c r="G13" s="88" t="str">
        <f t="shared" si="4"/>
        <v>TRUE</v>
      </c>
      <c r="H13" s="100" t="str">
        <f t="shared" si="5"/>
        <v>Actual/360</v>
      </c>
      <c r="I13" s="182">
        <v>9.6293670000000001E-5</v>
      </c>
      <c r="J13" s="91" t="str">
        <f>IF(LEFT(A13,1)="D",_xll.qlDepositRateHelper2(,I13,IF(RIGHT(C13,1)="N","1D",C13),D13,Calendar,F13,G13,H13,,Trigger),IF(A13="Sw",_xll.qlSwapRateHelper2(,I13,D13,C13,Calendar,"Annual",F13,H13,"Euribor"&amp;$H$1,0,"0D",Discounting,,,,Trigger),IF(A13="Fr",_xll.qlFraRateHelper(,I13,SUBSTITUTE(LEFT(C13,2),"M","")&amp;"M","Euribor"&amp;$H$1,,,,Trigger),IF(A13="Sf",_xll.qlFuturesRateHelper(,I13,,C13,"Euribor"&amp;$H$1,0,,Trigger),"--"))))</f>
        <v>obj_00030#0006</v>
      </c>
      <c r="K13" s="86" t="b">
        <f t="shared" si="0"/>
        <v>1</v>
      </c>
      <c r="M13" s="9" t="str">
        <v>Dp</v>
      </c>
      <c r="N13" s="9" t="str">
        <v>7M</v>
      </c>
      <c r="O13" s="9" t="str">
        <v>obj_00030#0006</v>
      </c>
      <c r="P13" s="96">
        <f>_xll.qlRateHelperRate(O13,Trigger)</f>
        <v>9.6293670000000001E-5</v>
      </c>
      <c r="Q13" s="10">
        <f>_xll.qlRateHelperEarliestDate(O13,Trigger)</f>
        <v>42502</v>
      </c>
      <c r="R13" s="10">
        <f>_xll.qlRateHelperPillarDate(O13,Trigger)</f>
        <v>42716</v>
      </c>
      <c r="S13" s="96">
        <v>9.9568733946766108E-5</v>
      </c>
    </row>
    <row r="14" spans="1:19" ht="11.25" customHeight="1" x14ac:dyDescent="0.2">
      <c r="A14" s="84" t="str">
        <v>Dp</v>
      </c>
      <c r="B14" s="179" t="str">
        <v>8M</v>
      </c>
      <c r="C14" s="184" t="str">
        <f>IF(A14="Sf",_xll.qlIMMNextCode(B14,Trigger),IF(LEFT(B14,1)="#",_xll.qlCalendarBusinessDaysBetween(Calendar,Settlementdate,DATE(LEFT(SUBSTITUTE(B14,"#",""),4),LEFT(RIGHT(SUBSTITUTE(B14,"#",""),4),2),RIGHT(SUBSTITUTE(B14,"#",""),2)),,,Trigger)-1&amp;"D",SUBSTITUTE(B14,"/","")))</f>
        <v>8M</v>
      </c>
      <c r="D14" s="86">
        <f t="shared" si="1"/>
        <v>2</v>
      </c>
      <c r="E14" s="86" t="str">
        <f t="shared" si="2"/>
        <v>--</v>
      </c>
      <c r="F14" s="85" t="str">
        <f t="shared" si="3"/>
        <v>Modified Following</v>
      </c>
      <c r="G14" s="88" t="str">
        <f t="shared" si="4"/>
        <v>TRUE</v>
      </c>
      <c r="H14" s="100" t="str">
        <f t="shared" si="5"/>
        <v>Actual/360</v>
      </c>
      <c r="I14" s="182">
        <v>4.4537759999999996E-5</v>
      </c>
      <c r="J14" s="91" t="str">
        <f>IF(LEFT(A14,1)="D",_xll.qlDepositRateHelper2(,I14,IF(RIGHT(C14,1)="N","1D",C14),D14,Calendar,F14,G14,H14,,Trigger),IF(A14="Sw",_xll.qlSwapRateHelper2(,I14,D14,C14,Calendar,"Annual",F14,H14,"Euribor"&amp;$H$1,0,"0D",Discounting,,,,Trigger),IF(A14="Fr",_xll.qlFraRateHelper(,I14,SUBSTITUTE(LEFT(C14,2),"M","")&amp;"M","Euribor"&amp;$H$1,,,,Trigger),IF(A14="Sf",_xll.qlFuturesRateHelper(,I14,,C14,"Euribor"&amp;$H$1,0,,Trigger),"--"))))</f>
        <v>obj_0002c#0005</v>
      </c>
      <c r="K14" s="86" t="b">
        <f t="shared" si="0"/>
        <v>1</v>
      </c>
      <c r="M14" s="9" t="str">
        <v>Dp</v>
      </c>
      <c r="N14" s="9" t="str">
        <v>8M</v>
      </c>
      <c r="O14" s="9" t="str">
        <v>obj_0002c#0005</v>
      </c>
      <c r="P14" s="96">
        <f>_xll.qlRateHelperRate(O14,Trigger)</f>
        <v>4.4537759999999996E-5</v>
      </c>
      <c r="Q14" s="10">
        <f>_xll.qlRateHelperEarliestDate(O14,Trigger)</f>
        <v>42502</v>
      </c>
      <c r="R14" s="10">
        <f>_xll.qlRateHelperPillarDate(O14,Trigger)</f>
        <v>42747</v>
      </c>
      <c r="S14" s="96">
        <v>4.7277443411393284E-5</v>
      </c>
    </row>
    <row r="15" spans="1:19" ht="11.25" customHeight="1" x14ac:dyDescent="0.2">
      <c r="A15" s="84" t="str">
        <v>Dp</v>
      </c>
      <c r="B15" s="179" t="str">
        <v>9M</v>
      </c>
      <c r="C15" s="184" t="str">
        <f>IF(A15="Sf",_xll.qlIMMNextCode(B15,Trigger),IF(LEFT(B15,1)="#",_xll.qlCalendarBusinessDaysBetween(Calendar,Settlementdate,DATE(LEFT(SUBSTITUTE(B15,"#",""),4),LEFT(RIGHT(SUBSTITUTE(B15,"#",""),4),2),RIGHT(SUBSTITUTE(B15,"#",""),2)),,,Trigger)-1&amp;"D",SUBSTITUTE(B15,"/","")))</f>
        <v>9M</v>
      </c>
      <c r="D15" s="86">
        <f t="shared" si="1"/>
        <v>2</v>
      </c>
      <c r="E15" s="86" t="str">
        <f t="shared" si="2"/>
        <v>--</v>
      </c>
      <c r="F15" s="85" t="str">
        <f t="shared" si="3"/>
        <v>Modified Following</v>
      </c>
      <c r="G15" s="88" t="str">
        <f t="shared" si="4"/>
        <v>TRUE</v>
      </c>
      <c r="H15" s="100" t="str">
        <f t="shared" si="5"/>
        <v>Actual/360</v>
      </c>
      <c r="I15" s="182">
        <v>-6.9999999999999999E-6</v>
      </c>
      <c r="J15" s="91" t="str">
        <f>IF(LEFT(A15,1)="D",_xll.qlDepositRateHelper2(,I15,IF(RIGHT(C15,1)="N","1D",C15),D15,Calendar,F15,G15,H15,,Trigger),IF(A15="Sw",_xll.qlSwapRateHelper2(,I15,D15,C15,Calendar,"Annual",F15,H15,"Euribor"&amp;$H$1,0,"0D",Discounting,,,,Trigger),IF(A15="Fr",_xll.qlFraRateHelper(,I15,SUBSTITUTE(LEFT(C15,2),"M","")&amp;"M","Euribor"&amp;$H$1,,,,Trigger),IF(A15="Sf",_xll.qlFuturesRateHelper(,I15,,C15,"Euribor"&amp;$H$1,0,,Trigger),"--"))))</f>
        <v>obj_00028#0005</v>
      </c>
      <c r="K15" s="86" t="b">
        <f t="shared" si="0"/>
        <v>1</v>
      </c>
      <c r="M15" s="9" t="str">
        <v>Dp</v>
      </c>
      <c r="N15" s="9" t="str">
        <v>9M</v>
      </c>
      <c r="O15" s="9" t="str">
        <v>obj_00028#0005</v>
      </c>
      <c r="P15" s="96">
        <f>_xll.qlRateHelperRate(O15,Trigger)</f>
        <v>-6.9999999999999999E-6</v>
      </c>
      <c r="Q15" s="10">
        <f>_xll.qlRateHelperEarliestDate(O15,Trigger)</f>
        <v>42502</v>
      </c>
      <c r="R15" s="10">
        <f>_xll.qlRateHelperPillarDate(O15,Trigger)</f>
        <v>42779</v>
      </c>
      <c r="S15" s="96">
        <v>-4.8442397920315389E-6</v>
      </c>
    </row>
    <row r="16" spans="1:19" ht="11.25" customHeight="1" x14ac:dyDescent="0.2">
      <c r="A16" s="84" t="str">
        <v>Dp</v>
      </c>
      <c r="B16" s="179" t="str">
        <v>10M</v>
      </c>
      <c r="C16" s="184" t="str">
        <f>IF(A16="Sf",_xll.qlIMMNextCode(B16,Trigger),IF(LEFT(B16,1)="#",_xll.qlCalendarBusinessDaysBetween(Calendar,Settlementdate,DATE(LEFT(SUBSTITUTE(B16,"#",""),4),LEFT(RIGHT(SUBSTITUTE(B16,"#",""),4),2),RIGHT(SUBSTITUTE(B16,"#",""),2)),,,Trigger)-1&amp;"D",SUBSTITUTE(B16,"/","")))</f>
        <v>10M</v>
      </c>
      <c r="D16" s="86">
        <f t="shared" si="1"/>
        <v>2</v>
      </c>
      <c r="E16" s="86" t="str">
        <f t="shared" si="2"/>
        <v>--</v>
      </c>
      <c r="F16" s="85" t="str">
        <f t="shared" si="3"/>
        <v>Modified Following</v>
      </c>
      <c r="G16" s="88" t="str">
        <f t="shared" si="4"/>
        <v>TRUE</v>
      </c>
      <c r="H16" s="100" t="str">
        <f t="shared" si="5"/>
        <v>Actual/360</v>
      </c>
      <c r="I16" s="182">
        <v>-4.6709869999999996E-5</v>
      </c>
      <c r="J16" s="91" t="str">
        <f>IF(LEFT(A16,1)="D",_xll.qlDepositRateHelper2(,I16,IF(RIGHT(C16,1)="N","1D",C16),D16,Calendar,F16,G16,H16,,Trigger),IF(A16="Sw",_xll.qlSwapRateHelper2(,I16,D16,C16,Calendar,"Annual",F16,H16,"Euribor"&amp;$H$1,0,"0D",Discounting,,,,Trigger),IF(A16="Fr",_xll.qlFraRateHelper(,I16,SUBSTITUTE(LEFT(C16,2),"M","")&amp;"M","Euribor"&amp;$H$1,,,,Trigger),IF(A16="Sf",_xll.qlFuturesRateHelper(,I16,,C16,"Euribor"&amp;$H$1,0,,Trigger),"--"))))</f>
        <v>obj_00024#0005</v>
      </c>
      <c r="K16" s="86" t="b">
        <f t="shared" si="0"/>
        <v>1</v>
      </c>
      <c r="M16" s="9" t="str">
        <v>Dp</v>
      </c>
      <c r="N16" s="9" t="str">
        <v>10M</v>
      </c>
      <c r="O16" s="9" t="str">
        <v>obj_00024#0005</v>
      </c>
      <c r="P16" s="96">
        <f>_xll.qlRateHelperRate(O16,Trigger)</f>
        <v>-4.6709869999999996E-5</v>
      </c>
      <c r="Q16" s="10">
        <f>_xll.qlRateHelperEarliestDate(O16,Trigger)</f>
        <v>42502</v>
      </c>
      <c r="R16" s="10">
        <f>_xll.qlRateHelperPillarDate(O16,Trigger)</f>
        <v>42807</v>
      </c>
      <c r="S16" s="96">
        <v>-4.5049744231956581E-5</v>
      </c>
    </row>
    <row r="17" spans="1:19" ht="11.25" customHeight="1" x14ac:dyDescent="0.2">
      <c r="A17" s="84" t="str">
        <v>Dp</v>
      </c>
      <c r="B17" s="179" t="str">
        <v>11M</v>
      </c>
      <c r="C17" s="184" t="str">
        <f>IF(A17="Sf",_xll.qlIMMNextCode(B17,Trigger),IF(LEFT(B17,1)="#",_xll.qlCalendarBusinessDaysBetween(Calendar,Settlementdate,DATE(LEFT(SUBSTITUTE(B17,"#",""),4),LEFT(RIGHT(SUBSTITUTE(B17,"#",""),4),2),RIGHT(SUBSTITUTE(B17,"#",""),2)),,,Trigger)-1&amp;"D",SUBSTITUTE(B17,"/","")))</f>
        <v>11M</v>
      </c>
      <c r="D17" s="86">
        <f t="shared" si="1"/>
        <v>2</v>
      </c>
      <c r="E17" s="86" t="str">
        <f t="shared" si="2"/>
        <v>--</v>
      </c>
      <c r="F17" s="85" t="str">
        <f t="shared" si="3"/>
        <v>Modified Following</v>
      </c>
      <c r="G17" s="88" t="str">
        <f t="shared" si="4"/>
        <v>TRUE</v>
      </c>
      <c r="H17" s="100" t="str">
        <f t="shared" si="5"/>
        <v>Actual/360</v>
      </c>
      <c r="I17" s="182">
        <v>-8.8849759999999988E-5</v>
      </c>
      <c r="J17" s="91" t="str">
        <f>IF(LEFT(A17,1)="D",_xll.qlDepositRateHelper2(,I17,IF(RIGHT(C17,1)="N","1D",C17),D17,Calendar,F17,G17,H17,,Trigger),IF(A17="Sw",_xll.qlSwapRateHelper2(,I17,D17,C17,Calendar,"Annual",F17,H17,"Euribor"&amp;$H$1,0,"0D",Discounting,,,,Trigger),IF(A17="Fr",_xll.qlFraRateHelper(,I17,SUBSTITUTE(LEFT(C17,2),"M","")&amp;"M","Euribor"&amp;$H$1,,,,Trigger),IF(A17="Sf",_xll.qlFuturesRateHelper(,I17,,C17,"Euribor"&amp;$H$1,0,,Trigger),"--"))))</f>
        <v>obj_00026#0005</v>
      </c>
      <c r="K17" s="86" t="b">
        <f t="shared" si="0"/>
        <v>1</v>
      </c>
      <c r="M17" s="9" t="str">
        <v>Dp</v>
      </c>
      <c r="N17" s="9" t="str">
        <v>11M</v>
      </c>
      <c r="O17" s="9" t="str">
        <v>obj_00026#0005</v>
      </c>
      <c r="P17" s="96">
        <f>_xll.qlRateHelperRate(O17,Trigger)</f>
        <v>-8.8849759999999988E-5</v>
      </c>
      <c r="Q17" s="10">
        <f>_xll.qlRateHelperEarliestDate(O17,Trigger)</f>
        <v>42502</v>
      </c>
      <c r="R17" s="10">
        <f>_xll.qlRateHelperPillarDate(O17,Trigger)</f>
        <v>42837</v>
      </c>
      <c r="S17" s="96">
        <v>-8.7729740406651896E-5</v>
      </c>
    </row>
    <row r="18" spans="1:19" ht="11.25" customHeight="1" x14ac:dyDescent="0.2">
      <c r="A18" s="84" t="str">
        <v>Dp</v>
      </c>
      <c r="B18" s="179" t="str">
        <v>12M</v>
      </c>
      <c r="C18" s="184" t="str">
        <f>IF(A18="Sf",_xll.qlIMMNextCode(B18,Trigger),IF(LEFT(B18,1)="#",_xll.qlCalendarBusinessDaysBetween(Calendar,Settlementdate,DATE(LEFT(SUBSTITUTE(B18,"#",""),4),LEFT(RIGHT(SUBSTITUTE(B18,"#",""),4),2),RIGHT(SUBSTITUTE(B18,"#",""),2)),,,Trigger)-1&amp;"D",SUBSTITUTE(B18,"/","")))</f>
        <v>12M</v>
      </c>
      <c r="D18" s="86">
        <f t="shared" si="1"/>
        <v>2</v>
      </c>
      <c r="E18" s="86" t="str">
        <f t="shared" si="2"/>
        <v>--</v>
      </c>
      <c r="F18" s="85" t="str">
        <f t="shared" si="3"/>
        <v>Modified Following</v>
      </c>
      <c r="G18" s="88" t="str">
        <f t="shared" si="4"/>
        <v>TRUE</v>
      </c>
      <c r="H18" s="100" t="str">
        <f t="shared" si="5"/>
        <v>Actual/360</v>
      </c>
      <c r="I18" s="182">
        <v>-1.4000000000000001E-4</v>
      </c>
      <c r="J18" s="91" t="str">
        <f>IF(LEFT(A18,1)="D",_xll.qlDepositRateHelper2(,I18,IF(RIGHT(C18,1)="N","1D",C18),D18,Calendar,F18,G18,H18,,Trigger),IF(A18="Sw",_xll.qlSwapRateHelper2(,I18,D18,C18,Calendar,"Annual",F18,H18,"Euribor"&amp;$H$1,0,"0D",Discounting,,,,Trigger),IF(A18="Fr",_xll.qlFraRateHelper(,I18,SUBSTITUTE(LEFT(C18,2),"M","")&amp;"M","Euribor"&amp;$H$1,,,,Trigger),IF(A18="Sf",_xll.qlFuturesRateHelper(,I18,,C18,"Euribor"&amp;$H$1,0,,Trigger),"--"))))</f>
        <v>obj_0002d#0005</v>
      </c>
      <c r="K18" s="86" t="b">
        <f>IF(ISERROR(J18),FALSE,TRUE)</f>
        <v>1</v>
      </c>
      <c r="M18" s="9" t="str">
        <v>Dp</v>
      </c>
      <c r="N18" s="9" t="str">
        <v>12M</v>
      </c>
      <c r="O18" s="9" t="str">
        <v>obj_0002d#0005</v>
      </c>
      <c r="P18" s="96">
        <f>_xll.qlRateHelperRate(O18,Trigger)</f>
        <v>-1.4000000000000001E-4</v>
      </c>
      <c r="Q18" s="10">
        <f>_xll.qlRateHelperEarliestDate(O18,Trigger)</f>
        <v>42502</v>
      </c>
      <c r="R18" s="10">
        <f>_xll.qlRateHelperPillarDate(O18,Trigger)</f>
        <v>42867</v>
      </c>
      <c r="S18" s="96">
        <v>-1.3950683034169131E-4</v>
      </c>
    </row>
    <row r="19" spans="1:19" ht="11.25" customHeight="1" x14ac:dyDescent="0.2">
      <c r="A19" s="91" t="str">
        <v>Fr</v>
      </c>
      <c r="B19" s="91" t="str">
        <v>1M-13M</v>
      </c>
      <c r="C19" s="91" t="str">
        <f>IF(A19="Sf",_xll.qlIMMNextCode(B19,Trigger),IF(LEFT(B19,1)="#",_xll.qlCalendarBusinessDaysBetween(Calendar,Settlementdate,DATE(LEFT(SUBSTITUTE(B19,"#",""),4),LEFT(RIGHT(SUBSTITUTE(B19,"#",""),4),2),RIGHT(SUBSTITUTE(B19,"#",""),2)),,,Trigger)-1&amp;"D",SUBSTITUTE(B19,"/","")))</f>
        <v>1M-13M</v>
      </c>
      <c r="D19" s="101">
        <f t="shared" si="1"/>
        <v>2</v>
      </c>
      <c r="E19" s="101" t="str">
        <f t="shared" si="2"/>
        <v>--</v>
      </c>
      <c r="F19" s="97" t="str">
        <f t="shared" si="3"/>
        <v>Modified Following</v>
      </c>
      <c r="G19" s="100" t="str">
        <f t="shared" si="4"/>
        <v>TRUE</v>
      </c>
      <c r="H19" s="97" t="str">
        <f t="shared" si="5"/>
        <v>Actual/360</v>
      </c>
      <c r="I19" s="102">
        <v>-2.3000000000000001E-4</v>
      </c>
      <c r="J19" s="89" t="str">
        <f>IF(LEFT(A19,1)="D",_xll.qlDepositRateHelper2(,I19,IF(RIGHT(C19,1)="N","1D",C19),D19,Calendar,F19,G19,H19,,Trigger),IF(A19="Sw",_xll.qlSwapRateHelper2(,I19,D19,C19,Calendar,"Annual",F19,H19,"Euribor"&amp;$H$1,0,"0D",Discounting,,,,Trigger),IF(A19="Fr",_xll.qlFraRateHelper(,I19,SUBSTITUTE(LEFT(C19,2),"M","")&amp;"M","Euribor"&amp;$H$1,,,,Trigger),IF(A19="Sf",_xll.qlFuturesRateHelper(,I19,,C19,"Euribor"&amp;$H$1,0,,Trigger),"--"))))</f>
        <v>obj_000f5#0004</v>
      </c>
      <c r="K19" s="98" t="b">
        <f t="shared" ref="K19:K82" si="6">IF(ISERROR(J19),FALSE,TRUE)</f>
        <v>1</v>
      </c>
      <c r="M19" s="9" t="str">
        <v>Fr</v>
      </c>
      <c r="N19" s="9" t="str">
        <v>1M-13M</v>
      </c>
      <c r="O19" s="9" t="str">
        <v>obj_000f5#0004</v>
      </c>
      <c r="P19" s="96">
        <f>_xll.qlRateHelperRate(O19,Trigger)</f>
        <v>-2.3000000000000001E-4</v>
      </c>
      <c r="Q19" s="10">
        <f>_xll.qlRateHelperEarliestDate(O19,Trigger)</f>
        <v>42534</v>
      </c>
      <c r="R19" s="10">
        <f>_xll.qlRateHelperPillarDate(O19,Trigger)</f>
        <v>42898</v>
      </c>
      <c r="S19" s="96">
        <v>-1.8722763471674223E-4</v>
      </c>
    </row>
    <row r="20" spans="1:19" ht="11.25" customHeight="1" x14ac:dyDescent="0.2">
      <c r="A20" s="91" t="str">
        <v>Fr</v>
      </c>
      <c r="B20" s="91" t="str">
        <v>2M-14M</v>
      </c>
      <c r="C20" s="91" t="str">
        <f>IF(A20="Sf",_xll.qlIMMNextCode(B20,Trigger),IF(LEFT(B20,1)="#",_xll.qlCalendarBusinessDaysBetween(Calendar,Settlementdate,DATE(LEFT(SUBSTITUTE(B20,"#",""),4),LEFT(RIGHT(SUBSTITUTE(B20,"#",""),4),2),RIGHT(SUBSTITUTE(B20,"#",""),2)),,,Trigger)-1&amp;"D",SUBSTITUTE(B20,"/","")))</f>
        <v>2M-14M</v>
      </c>
      <c r="D20" s="101">
        <f t="shared" si="1"/>
        <v>2</v>
      </c>
      <c r="E20" s="101" t="str">
        <f t="shared" si="2"/>
        <v>--</v>
      </c>
      <c r="F20" s="97" t="str">
        <f t="shared" si="3"/>
        <v>Modified Following</v>
      </c>
      <c r="G20" s="100" t="str">
        <f t="shared" si="4"/>
        <v>TRUE</v>
      </c>
      <c r="H20" s="97" t="str">
        <f t="shared" si="5"/>
        <v>Actual/360</v>
      </c>
      <c r="I20" s="102">
        <v>-2.4000000000000001E-4</v>
      </c>
      <c r="J20" s="89" t="str">
        <f>IF(LEFT(A20,1)="D",_xll.qlDepositRateHelper2(,I20,IF(RIGHT(C20,1)="N","1D",C20),D20,Calendar,F20,G20,H20,,Trigger),IF(A20="Sw",_xll.qlSwapRateHelper2(,I20,D20,C20,Calendar,"Annual",F20,H20,"Euribor"&amp;$H$1,0,"0D",Discounting,,,,Trigger),IF(A20="Fr",_xll.qlFraRateHelper(,I20,SUBSTITUTE(LEFT(C20,2),"M","")&amp;"M","Euribor"&amp;$H$1,,,,Trigger),IF(A20="Sf",_xll.qlFuturesRateHelper(,I20,,C20,"Euribor"&amp;$H$1,0,,Trigger),"--"))))</f>
        <v>obj_000f3#0004</v>
      </c>
      <c r="K20" s="98" t="b">
        <f t="shared" si="6"/>
        <v>1</v>
      </c>
      <c r="M20" s="9" t="str">
        <v>Fr</v>
      </c>
      <c r="N20" s="9" t="str">
        <v>2M-14M</v>
      </c>
      <c r="O20" s="9" t="str">
        <v>obj_000f3#0004</v>
      </c>
      <c r="P20" s="96">
        <f>_xll.qlRateHelperRate(O20,Trigger)</f>
        <v>-2.4000000000000001E-4</v>
      </c>
      <c r="Q20" s="10">
        <f>_xll.qlRateHelperEarliestDate(O20,Trigger)</f>
        <v>42563</v>
      </c>
      <c r="R20" s="10">
        <f>_xll.qlRateHelperPillarDate(O20,Trigger)</f>
        <v>42928</v>
      </c>
      <c r="S20" s="96">
        <v>-1.6232266020092519E-4</v>
      </c>
    </row>
    <row r="21" spans="1:19" ht="11.25" customHeight="1" x14ac:dyDescent="0.2">
      <c r="A21" s="91" t="str">
        <v>Fr</v>
      </c>
      <c r="B21" s="91" t="str">
        <v>3M-15M</v>
      </c>
      <c r="C21" s="91" t="str">
        <f>IF(A21="Sf",_xll.qlIMMNextCode(B21,Trigger),IF(LEFT(B21,1)="#",_xll.qlCalendarBusinessDaysBetween(Calendar,Settlementdate,DATE(LEFT(SUBSTITUTE(B21,"#",""),4),LEFT(RIGHT(SUBSTITUTE(B21,"#",""),4),2),RIGHT(SUBSTITUTE(B21,"#",""),2)),,,Trigger)-1&amp;"D",SUBSTITUTE(B21,"/","")))</f>
        <v>3M-15M</v>
      </c>
      <c r="D21" s="101">
        <f t="shared" si="1"/>
        <v>2</v>
      </c>
      <c r="E21" s="101" t="str">
        <f t="shared" si="2"/>
        <v>--</v>
      </c>
      <c r="F21" s="97" t="str">
        <f t="shared" si="3"/>
        <v>Modified Following</v>
      </c>
      <c r="G21" s="100" t="str">
        <f t="shared" si="4"/>
        <v>TRUE</v>
      </c>
      <c r="H21" s="97" t="str">
        <f t="shared" si="5"/>
        <v>Actual/360</v>
      </c>
      <c r="I21" s="102">
        <v>-2.5000000000000001E-4</v>
      </c>
      <c r="J21" s="89" t="str">
        <f>IF(LEFT(A21,1)="D",_xll.qlDepositRateHelper2(,I21,IF(RIGHT(C21,1)="N","1D",C21),D21,Calendar,F21,G21,H21,,Trigger),IF(A21="Sw",_xll.qlSwapRateHelper2(,I21,D21,C21,Calendar,"Annual",F21,H21,"Euribor"&amp;$H$1,0,"0D",Discounting,,,,Trigger),IF(A21="Fr",_xll.qlFraRateHelper(,I21,SUBSTITUTE(LEFT(C21,2),"M","")&amp;"M","Euribor"&amp;$H$1,,,,Trigger),IF(A21="Sf",_xll.qlFuturesRateHelper(,I21,,C21,"Euribor"&amp;$H$1,0,,Trigger),"--"))))</f>
        <v>obj_00114#0004</v>
      </c>
      <c r="K21" s="98" t="b">
        <f t="shared" si="6"/>
        <v>1</v>
      </c>
      <c r="M21" s="9" t="str">
        <v>Fr</v>
      </c>
      <c r="N21" s="9" t="str">
        <v>3M-15M</v>
      </c>
      <c r="O21" s="9" t="str">
        <v>obj_00114#0004</v>
      </c>
      <c r="P21" s="96">
        <f>_xll.qlRateHelperRate(O21,Trigger)</f>
        <v>-2.5000000000000001E-4</v>
      </c>
      <c r="Q21" s="10">
        <f>_xll.qlRateHelperEarliestDate(O21,Trigger)</f>
        <v>42594</v>
      </c>
      <c r="R21" s="10">
        <f>_xll.qlRateHelperPillarDate(O21,Trigger)</f>
        <v>42961</v>
      </c>
      <c r="S21" s="96">
        <v>-1.3917504632254764E-4</v>
      </c>
    </row>
    <row r="22" spans="1:19" ht="11.25" customHeight="1" x14ac:dyDescent="0.2">
      <c r="A22" s="91" t="str">
        <v>Fr</v>
      </c>
      <c r="B22" s="91" t="str">
        <v>4M-16M</v>
      </c>
      <c r="C22" s="91" t="str">
        <f>IF(A22="Sf",_xll.qlIMMNextCode(B22,Trigger),IF(LEFT(B22,1)="#",_xll.qlCalendarBusinessDaysBetween(Calendar,Settlementdate,DATE(LEFT(SUBSTITUTE(B22,"#",""),4),LEFT(RIGHT(SUBSTITUTE(B22,"#",""),4),2),RIGHT(SUBSTITUTE(B22,"#",""),2)),,,Trigger)-1&amp;"D",SUBSTITUTE(B22,"/","")))</f>
        <v>4M-16M</v>
      </c>
      <c r="D22" s="101">
        <f t="shared" si="1"/>
        <v>2</v>
      </c>
      <c r="E22" s="101" t="str">
        <f t="shared" si="2"/>
        <v>--</v>
      </c>
      <c r="F22" s="97" t="str">
        <f t="shared" si="3"/>
        <v>Modified Following</v>
      </c>
      <c r="G22" s="100" t="str">
        <f t="shared" si="4"/>
        <v>TRUE</v>
      </c>
      <c r="H22" s="97" t="str">
        <f t="shared" si="5"/>
        <v>Actual/360</v>
      </c>
      <c r="I22" s="102">
        <v>-2.5000000000000001E-4</v>
      </c>
      <c r="J22" s="89" t="str">
        <f>IF(LEFT(A22,1)="D",_xll.qlDepositRateHelper2(,I22,IF(RIGHT(C22,1)="N","1D",C22),D22,Calendar,F22,G22,H22,,Trigger),IF(A22="Sw",_xll.qlSwapRateHelper2(,I22,D22,C22,Calendar,"Annual",F22,H22,"Euribor"&amp;$H$1,0,"0D",Discounting,,,,Trigger),IF(A22="Fr",_xll.qlFraRateHelper(,I22,SUBSTITUTE(LEFT(C22,2),"M","")&amp;"M","Euribor"&amp;$H$1,,,,Trigger),IF(A22="Sf",_xll.qlFuturesRateHelper(,I22,,C22,"Euribor"&amp;$H$1,0,,Trigger),"--"))))</f>
        <v>obj_000f6#0004</v>
      </c>
      <c r="K22" s="98" t="b">
        <f t="shared" si="6"/>
        <v>1</v>
      </c>
      <c r="M22" s="9" t="str">
        <v>Fr</v>
      </c>
      <c r="N22" s="9" t="str">
        <v>4M-16M</v>
      </c>
      <c r="O22" s="9" t="str">
        <v>obj_000f6#0004</v>
      </c>
      <c r="P22" s="96">
        <f>_xll.qlRateHelperRate(O22,Trigger)</f>
        <v>-2.5000000000000001E-4</v>
      </c>
      <c r="Q22" s="10">
        <f>_xll.qlRateHelperEarliestDate(O22,Trigger)</f>
        <v>42625</v>
      </c>
      <c r="R22" s="10">
        <f>_xll.qlRateHelperPillarDate(O22,Trigger)</f>
        <v>42990</v>
      </c>
      <c r="S22" s="96">
        <v>-1.174866280517784E-4</v>
      </c>
    </row>
    <row r="23" spans="1:19" ht="11.25" customHeight="1" x14ac:dyDescent="0.2">
      <c r="A23" s="91" t="str">
        <v>Fr</v>
      </c>
      <c r="B23" s="91" t="str">
        <v>5M-17M</v>
      </c>
      <c r="C23" s="91" t="str">
        <f>IF(A23="Sf",_xll.qlIMMNextCode(B23,Trigger),IF(LEFT(B23,1)="#",_xll.qlCalendarBusinessDaysBetween(Calendar,Settlementdate,DATE(LEFT(SUBSTITUTE(B23,"#",""),4),LEFT(RIGHT(SUBSTITUTE(B23,"#",""),4),2),RIGHT(SUBSTITUTE(B23,"#",""),2)),,,Trigger)-1&amp;"D",SUBSTITUTE(B23,"/","")))</f>
        <v>5M-17M</v>
      </c>
      <c r="D23" s="101">
        <f t="shared" si="1"/>
        <v>2</v>
      </c>
      <c r="E23" s="101" t="str">
        <f t="shared" si="2"/>
        <v>--</v>
      </c>
      <c r="F23" s="97" t="str">
        <f t="shared" si="3"/>
        <v>Modified Following</v>
      </c>
      <c r="G23" s="100" t="str">
        <f t="shared" si="4"/>
        <v>TRUE</v>
      </c>
      <c r="H23" s="97" t="str">
        <f t="shared" si="5"/>
        <v>Actual/360</v>
      </c>
      <c r="I23" s="102">
        <v>-2.4000000000000001E-4</v>
      </c>
      <c r="J23" s="89" t="str">
        <f>IF(LEFT(A23,1)="D",_xll.qlDepositRateHelper2(,I23,IF(RIGHT(C23,1)="N","1D",C23),D23,Calendar,F23,G23,H23,,Trigger),IF(A23="Sw",_xll.qlSwapRateHelper2(,I23,D23,C23,Calendar,"Annual",F23,H23,"Euribor"&amp;$H$1,0,"0D",Discounting,,,,Trigger),IF(A23="Fr",_xll.qlFraRateHelper(,I23,SUBSTITUTE(LEFT(C23,2),"M","")&amp;"M","Euribor"&amp;$H$1,,,,Trigger),IF(A23="Sf",_xll.qlFuturesRateHelper(,I23,,C23,"Euribor"&amp;$H$1,0,,Trigger),"--"))))</f>
        <v>obj_00122#0004</v>
      </c>
      <c r="K23" s="98" t="b">
        <f t="shared" si="6"/>
        <v>1</v>
      </c>
      <c r="M23" s="9" t="str">
        <v>Fr</v>
      </c>
      <c r="N23" s="9" t="str">
        <v>5M-17M</v>
      </c>
      <c r="O23" s="9" t="str">
        <v>obj_00122#0004</v>
      </c>
      <c r="P23" s="96">
        <f>_xll.qlRateHelperRate(O23,Trigger)</f>
        <v>-2.4000000000000001E-4</v>
      </c>
      <c r="Q23" s="10">
        <f>_xll.qlRateHelperEarliestDate(O23,Trigger)</f>
        <v>42655</v>
      </c>
      <c r="R23" s="10">
        <f>_xll.qlRateHelperPillarDate(O23,Trigger)</f>
        <v>43020</v>
      </c>
      <c r="S23" s="96">
        <v>-1.0414297601922708E-4</v>
      </c>
    </row>
    <row r="24" spans="1:19" ht="11.25" customHeight="1" x14ac:dyDescent="0.2">
      <c r="A24" s="91" t="str">
        <v>Fr</v>
      </c>
      <c r="B24" s="91" t="str">
        <v>6M-18M</v>
      </c>
      <c r="C24" s="91" t="str">
        <f>IF(A24="Sf",_xll.qlIMMNextCode(B24,Trigger),IF(LEFT(B24,1)="#",_xll.qlCalendarBusinessDaysBetween(Calendar,Settlementdate,DATE(LEFT(SUBSTITUTE(B24,"#",""),4),LEFT(RIGHT(SUBSTITUTE(B24,"#",""),4),2),RIGHT(SUBSTITUTE(B24,"#",""),2)),,,Trigger)-1&amp;"D",SUBSTITUTE(B24,"/","")))</f>
        <v>6M-18M</v>
      </c>
      <c r="D24" s="101">
        <f t="shared" si="1"/>
        <v>2</v>
      </c>
      <c r="E24" s="101" t="str">
        <f t="shared" si="2"/>
        <v>--</v>
      </c>
      <c r="F24" s="97" t="str">
        <f t="shared" si="3"/>
        <v>Modified Following</v>
      </c>
      <c r="G24" s="100" t="str">
        <f t="shared" si="4"/>
        <v>TRUE</v>
      </c>
      <c r="H24" s="97" t="str">
        <f t="shared" si="5"/>
        <v>Actual/360</v>
      </c>
      <c r="I24" s="102">
        <v>-2.3000000000000001E-4</v>
      </c>
      <c r="J24" s="89" t="str">
        <f>IF(LEFT(A24,1)="D",_xll.qlDepositRateHelper2(,I24,IF(RIGHT(C24,1)="N","1D",C24),D24,Calendar,F24,G24,H24,,Trigger),IF(A24="Sw",_xll.qlSwapRateHelper2(,I24,D24,C24,Calendar,"Annual",F24,H24,"Euribor"&amp;$H$1,0,"0D",Discounting,,,,Trigger),IF(A24="Fr",_xll.qlFraRateHelper(,I24,SUBSTITUTE(LEFT(C24,2),"M","")&amp;"M","Euribor"&amp;$H$1,,,,Trigger),IF(A24="Sf",_xll.qlFuturesRateHelper(,I24,,C24,"Euribor"&amp;$H$1,0,,Trigger),"--"))))</f>
        <v>obj_00117#0004</v>
      </c>
      <c r="K24" s="98" t="b">
        <f t="shared" si="6"/>
        <v>1</v>
      </c>
      <c r="M24" s="9" t="str">
        <v>Fr</v>
      </c>
      <c r="N24" s="9" t="str">
        <v>6M-18M</v>
      </c>
      <c r="O24" s="9" t="str">
        <v>obj_00117#0004</v>
      </c>
      <c r="P24" s="96">
        <f>_xll.qlRateHelperRate(O24,Trigger)</f>
        <v>-2.3000000000000001E-4</v>
      </c>
      <c r="Q24" s="10">
        <f>_xll.qlRateHelperEarliestDate(O24,Trigger)</f>
        <v>42688</v>
      </c>
      <c r="R24" s="10">
        <f>_xll.qlRateHelperPillarDate(O24,Trigger)</f>
        <v>43052</v>
      </c>
      <c r="S24" s="96">
        <v>-1.0028339180901174E-4</v>
      </c>
    </row>
    <row r="25" spans="1:19" ht="11.25" customHeight="1" x14ac:dyDescent="0.2">
      <c r="A25" s="91" t="str">
        <v>Fr</v>
      </c>
      <c r="B25" s="91" t="str">
        <v>7M-19M</v>
      </c>
      <c r="C25" s="91" t="str">
        <f>IF(A25="Sf",_xll.qlIMMNextCode(B25,Trigger),IF(LEFT(B25,1)="#",_xll.qlCalendarBusinessDaysBetween(Calendar,Settlementdate,DATE(LEFT(SUBSTITUTE(B25,"#",""),4),LEFT(RIGHT(SUBSTITUTE(B25,"#",""),4),2),RIGHT(SUBSTITUTE(B25,"#",""),2)),,,Trigger)-1&amp;"D",SUBSTITUTE(B25,"/","")))</f>
        <v>7M-19M</v>
      </c>
      <c r="D25" s="101">
        <f t="shared" si="1"/>
        <v>2</v>
      </c>
      <c r="E25" s="101" t="str">
        <f t="shared" si="2"/>
        <v>--</v>
      </c>
      <c r="F25" s="97" t="str">
        <f t="shared" si="3"/>
        <v>Modified Following</v>
      </c>
      <c r="G25" s="100" t="str">
        <f t="shared" si="4"/>
        <v>TRUE</v>
      </c>
      <c r="H25" s="97" t="str">
        <f t="shared" si="5"/>
        <v>Actual/360</v>
      </c>
      <c r="I25" s="102">
        <v>-2.3000000000000001E-4</v>
      </c>
      <c r="J25" s="89" t="str">
        <f>IF(LEFT(A25,1)="D",_xll.qlDepositRateHelper2(,I25,IF(RIGHT(C25,1)="N","1D",C25),D25,Calendar,F25,G25,H25,,Trigger),IF(A25="Sw",_xll.qlSwapRateHelper2(,I25,D25,C25,Calendar,"Annual",F25,H25,"Euribor"&amp;$H$1,0,"0D",Discounting,,,,Trigger),IF(A25="Fr",_xll.qlFraRateHelper(,I25,SUBSTITUTE(LEFT(C25,2),"M","")&amp;"M","Euribor"&amp;$H$1,,,,Trigger),IF(A25="Sf",_xll.qlFuturesRateHelper(,I25,,C25,"Euribor"&amp;$H$1,0,,Trigger),"--"))))</f>
        <v>obj_000fc#0004</v>
      </c>
      <c r="K25" s="98" t="b">
        <f t="shared" si="6"/>
        <v>1</v>
      </c>
      <c r="M25" s="9" t="str">
        <v>Fr</v>
      </c>
      <c r="N25" s="9" t="str">
        <v>7M-19M</v>
      </c>
      <c r="O25" s="9" t="str">
        <v>obj_000fc#0004</v>
      </c>
      <c r="P25" s="96">
        <f>_xll.qlRateHelperRate(O25,Trigger)</f>
        <v>-2.3000000000000001E-4</v>
      </c>
      <c r="Q25" s="10">
        <f>_xll.qlRateHelperEarliestDate(O25,Trigger)</f>
        <v>42716</v>
      </c>
      <c r="R25" s="10">
        <f>_xll.qlRateHelperPillarDate(O25,Trigger)</f>
        <v>43081</v>
      </c>
      <c r="S25" s="96">
        <v>-1.0949922808747714E-4</v>
      </c>
    </row>
    <row r="26" spans="1:19" ht="11.25" customHeight="1" x14ac:dyDescent="0.2">
      <c r="A26" s="91" t="str">
        <v>Fr</v>
      </c>
      <c r="B26" s="91" t="str">
        <v>8M-20M</v>
      </c>
      <c r="C26" s="91" t="str">
        <f>IF(A26="Sf",_xll.qlIMMNextCode(B26,Trigger),IF(LEFT(B26,1)="#",_xll.qlCalendarBusinessDaysBetween(Calendar,Settlementdate,DATE(LEFT(SUBSTITUTE(B26,"#",""),4),LEFT(RIGHT(SUBSTITUTE(B26,"#",""),4),2),RIGHT(SUBSTITUTE(B26,"#",""),2)),,,Trigger)-1&amp;"D",SUBSTITUTE(B26,"/","")))</f>
        <v>8M-20M</v>
      </c>
      <c r="D26" s="101">
        <f t="shared" si="1"/>
        <v>2</v>
      </c>
      <c r="E26" s="101" t="str">
        <f t="shared" si="2"/>
        <v>--</v>
      </c>
      <c r="F26" s="97" t="str">
        <f t="shared" si="3"/>
        <v>Modified Following</v>
      </c>
      <c r="G26" s="100" t="str">
        <f t="shared" si="4"/>
        <v>TRUE</v>
      </c>
      <c r="H26" s="97" t="str">
        <f t="shared" si="5"/>
        <v>Actual/360</v>
      </c>
      <c r="I26" s="102">
        <v>-2.1999999999999998E-4</v>
      </c>
      <c r="J26" s="89" t="str">
        <f>IF(LEFT(A26,1)="D",_xll.qlDepositRateHelper2(,I26,IF(RIGHT(C26,1)="N","1D",C26),D26,Calendar,F26,G26,H26,,Trigger),IF(A26="Sw",_xll.qlSwapRateHelper2(,I26,D26,C26,Calendar,"Annual",F26,H26,"Euribor"&amp;$H$1,0,"0D",Discounting,,,,Trigger),IF(A26="Fr",_xll.qlFraRateHelper(,I26,SUBSTITUTE(LEFT(C26,2),"M","")&amp;"M","Euribor"&amp;$H$1,,,,Trigger),IF(A26="Sf",_xll.qlFuturesRateHelper(,I26,,C26,"Euribor"&amp;$H$1,0,,Trigger),"--"))))</f>
        <v>obj_00104#0004</v>
      </c>
      <c r="K26" s="98" t="b">
        <f t="shared" si="6"/>
        <v>1</v>
      </c>
      <c r="M26" s="9" t="str">
        <v>Fr</v>
      </c>
      <c r="N26" s="9" t="str">
        <v>8M-20M</v>
      </c>
      <c r="O26" s="9" t="str">
        <v>obj_00104#0004</v>
      </c>
      <c r="P26" s="96">
        <f>_xll.qlRateHelperRate(O26,Trigger)</f>
        <v>-2.1999999999999998E-4</v>
      </c>
      <c r="Q26" s="10">
        <f>_xll.qlRateHelperEarliestDate(O26,Trigger)</f>
        <v>42747</v>
      </c>
      <c r="R26" s="10">
        <f>_xll.qlRateHelperPillarDate(O26,Trigger)</f>
        <v>43112</v>
      </c>
      <c r="S26" s="96">
        <v>-1.1396540959261693E-4</v>
      </c>
    </row>
    <row r="27" spans="1:19" ht="11.25" customHeight="1" x14ac:dyDescent="0.2">
      <c r="A27" s="91" t="str">
        <v>Fr</v>
      </c>
      <c r="B27" s="91" t="str">
        <v>9M-21M</v>
      </c>
      <c r="C27" s="91" t="str">
        <f>IF(A27="Sf",_xll.qlIMMNextCode(B27,Trigger),IF(LEFT(B27,1)="#",_xll.qlCalendarBusinessDaysBetween(Calendar,Settlementdate,DATE(LEFT(SUBSTITUTE(B27,"#",""),4),LEFT(RIGHT(SUBSTITUTE(B27,"#",""),4),2),RIGHT(SUBSTITUTE(B27,"#",""),2)),,,Trigger)-1&amp;"D",SUBSTITUTE(B27,"/","")))</f>
        <v>9M-21M</v>
      </c>
      <c r="D27" s="101">
        <f t="shared" si="1"/>
        <v>2</v>
      </c>
      <c r="E27" s="101" t="str">
        <f t="shared" si="2"/>
        <v>--</v>
      </c>
      <c r="F27" s="97" t="str">
        <f t="shared" si="3"/>
        <v>Modified Following</v>
      </c>
      <c r="G27" s="100" t="str">
        <f t="shared" si="4"/>
        <v>TRUE</v>
      </c>
      <c r="H27" s="97" t="str">
        <f t="shared" si="5"/>
        <v>Actual/360</v>
      </c>
      <c r="I27" s="102">
        <v>-2.0000000000000001E-4</v>
      </c>
      <c r="J27" s="89" t="str">
        <f>IF(LEFT(A27,1)="D",_xll.qlDepositRateHelper2(,I27,IF(RIGHT(C27,1)="N","1D",C27),D27,Calendar,F27,G27,H27,,Trigger),IF(A27="Sw",_xll.qlSwapRateHelper2(,I27,D27,C27,Calendar,"Annual",F27,H27,"Euribor"&amp;$H$1,0,"0D",Discounting,,,,Trigger),IF(A27="Fr",_xll.qlFraRateHelper(,I27,SUBSTITUTE(LEFT(C27,2),"M","")&amp;"M","Euribor"&amp;$H$1,,,,Trigger),IF(A27="Sf",_xll.qlFuturesRateHelper(,I27,,C27,"Euribor"&amp;$H$1,0,,Trigger),"--"))))</f>
        <v>obj_000f4#0004</v>
      </c>
      <c r="K27" s="98" t="b">
        <f t="shared" si="6"/>
        <v>1</v>
      </c>
      <c r="M27" s="9" t="str">
        <v>Fr</v>
      </c>
      <c r="N27" s="9" t="str">
        <v>9M-21M</v>
      </c>
      <c r="O27" s="9" t="str">
        <v>obj_000f4#0004</v>
      </c>
      <c r="P27" s="96">
        <f>_xll.qlRateHelperRate(O27,Trigger)</f>
        <v>-2.0000000000000001E-4</v>
      </c>
      <c r="Q27" s="10">
        <f>_xll.qlRateHelperEarliestDate(O27,Trigger)</f>
        <v>42779</v>
      </c>
      <c r="R27" s="10">
        <f>_xll.qlRateHelperPillarDate(O27,Trigger)</f>
        <v>43143</v>
      </c>
      <c r="S27" s="96">
        <v>-1.1687780337936931E-4</v>
      </c>
    </row>
    <row r="28" spans="1:19" ht="11.25" customHeight="1" x14ac:dyDescent="0.2">
      <c r="A28" s="91" t="str">
        <v>Fr</v>
      </c>
      <c r="B28" s="91" t="str">
        <v>10M-22M</v>
      </c>
      <c r="C28" s="91" t="str">
        <f>IF(A28="Sf",_xll.qlIMMNextCode(B28,Trigger),IF(LEFT(B28,1)="#",_xll.qlCalendarBusinessDaysBetween(Calendar,Settlementdate,DATE(LEFT(SUBSTITUTE(B28,"#",""),4),LEFT(RIGHT(SUBSTITUTE(B28,"#",""),4),2),RIGHT(SUBSTITUTE(B28,"#",""),2)),,,Trigger)-1&amp;"D",SUBSTITUTE(B28,"/","")))</f>
        <v>10M-22M</v>
      </c>
      <c r="D28" s="101">
        <f t="shared" si="1"/>
        <v>2</v>
      </c>
      <c r="E28" s="101" t="str">
        <f t="shared" si="2"/>
        <v>--</v>
      </c>
      <c r="F28" s="97" t="str">
        <f t="shared" si="3"/>
        <v>Modified Following</v>
      </c>
      <c r="G28" s="100" t="str">
        <f t="shared" si="4"/>
        <v>TRUE</v>
      </c>
      <c r="H28" s="97" t="str">
        <f t="shared" si="5"/>
        <v>Actual/360</v>
      </c>
      <c r="I28" s="102">
        <v>-1.8999999999999998E-4</v>
      </c>
      <c r="J28" s="89" t="str">
        <f>IF(LEFT(A28,1)="D",_xll.qlDepositRateHelper2(,I28,IF(RIGHT(C28,1)="N","1D",C28),D28,Calendar,F28,G28,H28,,Trigger),IF(A28="Sw",_xll.qlSwapRateHelper2(,I28,D28,C28,Calendar,"Annual",F28,H28,"Euribor"&amp;$H$1,0,"0D",Discounting,,,,Trigger),IF(A28="Fr",_xll.qlFraRateHelper(,I28,SUBSTITUTE(LEFT(C28,2),"M","")&amp;"M","Euribor"&amp;$H$1,,,,Trigger),IF(A28="Sf",_xll.qlFuturesRateHelper(,I28,,C28,"Euribor"&amp;$H$1,0,,Trigger),"--"))))</f>
        <v>obj_000f7#0004</v>
      </c>
      <c r="K28" s="98" t="b">
        <f t="shared" si="6"/>
        <v>1</v>
      </c>
      <c r="M28" s="9" t="str">
        <v>Fr</v>
      </c>
      <c r="N28" s="9" t="str">
        <v>10M-22M</v>
      </c>
      <c r="O28" s="9" t="str">
        <v>obj_000f7#0004</v>
      </c>
      <c r="P28" s="96">
        <f>_xll.qlRateHelperRate(O28,Trigger)</f>
        <v>-1.8999999999999998E-4</v>
      </c>
      <c r="Q28" s="10">
        <f>_xll.qlRateHelperEarliestDate(O28,Trigger)</f>
        <v>42807</v>
      </c>
      <c r="R28" s="10">
        <f>_xll.qlRateHelperPillarDate(O28,Trigger)</f>
        <v>43171</v>
      </c>
      <c r="S28" s="96">
        <v>-1.2515199736541765E-4</v>
      </c>
    </row>
    <row r="29" spans="1:19" ht="11.25" customHeight="1" x14ac:dyDescent="0.2">
      <c r="A29" s="91" t="str">
        <v>Fr</v>
      </c>
      <c r="B29" s="91" t="str">
        <v>11M-23M</v>
      </c>
      <c r="C29" s="91" t="str">
        <f>IF(A29="Sf",_xll.qlIMMNextCode(B29,Trigger),IF(LEFT(B29,1)="#",_xll.qlCalendarBusinessDaysBetween(Calendar,Settlementdate,DATE(LEFT(SUBSTITUTE(B29,"#",""),4),LEFT(RIGHT(SUBSTITUTE(B29,"#",""),4),2),RIGHT(SUBSTITUTE(B29,"#",""),2)),,,Trigger)-1&amp;"D",SUBSTITUTE(B29,"/","")))</f>
        <v>11M-23M</v>
      </c>
      <c r="D29" s="101">
        <f t="shared" si="1"/>
        <v>2</v>
      </c>
      <c r="E29" s="101" t="str">
        <f t="shared" si="2"/>
        <v>--</v>
      </c>
      <c r="F29" s="97" t="str">
        <f t="shared" si="3"/>
        <v>Modified Following</v>
      </c>
      <c r="G29" s="100" t="str">
        <f t="shared" si="4"/>
        <v>TRUE</v>
      </c>
      <c r="H29" s="97" t="str">
        <f t="shared" si="5"/>
        <v>Actual/360</v>
      </c>
      <c r="I29" s="102">
        <v>-1.6000000000000001E-4</v>
      </c>
      <c r="J29" s="89" t="str">
        <f>IF(LEFT(A29,1)="D",_xll.qlDepositRateHelper2(,I29,IF(RIGHT(C29,1)="N","1D",C29),D29,Calendar,F29,G29,H29,,Trigger),IF(A29="Sw",_xll.qlSwapRateHelper2(,I29,D29,C29,Calendar,"Annual",F29,H29,"Euribor"&amp;$H$1,0,"0D",Discounting,,,,Trigger),IF(A29="Fr",_xll.qlFraRateHelper(,I29,SUBSTITUTE(LEFT(C29,2),"M","")&amp;"M","Euribor"&amp;$H$1,,,,Trigger),IF(A29="Sf",_xll.qlFuturesRateHelper(,I29,,C29,"Euribor"&amp;$H$1,0,,Trigger),"--"))))</f>
        <v>obj_000f1#0004</v>
      </c>
      <c r="K29" s="98" t="b">
        <f t="shared" si="6"/>
        <v>1</v>
      </c>
      <c r="M29" s="9" t="str">
        <v>Fr</v>
      </c>
      <c r="N29" s="9" t="str">
        <v>11M-23M</v>
      </c>
      <c r="O29" s="9" t="str">
        <v>obj_000f1#0004</v>
      </c>
      <c r="P29" s="96">
        <f>_xll.qlRateHelperRate(O29,Trigger)</f>
        <v>-1.6000000000000001E-4</v>
      </c>
      <c r="Q29" s="10">
        <f>_xll.qlRateHelperEarliestDate(O29,Trigger)</f>
        <v>42837</v>
      </c>
      <c r="R29" s="10">
        <f>_xll.qlRateHelperPillarDate(O29,Trigger)</f>
        <v>43202</v>
      </c>
      <c r="S29" s="96">
        <v>-1.2646842852810482E-4</v>
      </c>
    </row>
    <row r="30" spans="1:19" ht="11.25" customHeight="1" x14ac:dyDescent="0.2">
      <c r="A30" s="91" t="str">
        <v>Fr</v>
      </c>
      <c r="B30" s="91" t="str">
        <v>12M-24M</v>
      </c>
      <c r="C30" s="91" t="str">
        <f>IF(A30="Sf",_xll.qlIMMNextCode(B30,Trigger),IF(LEFT(B30,1)="#",_xll.qlCalendarBusinessDaysBetween(Calendar,Settlementdate,DATE(LEFT(SUBSTITUTE(B30,"#",""),4),LEFT(RIGHT(SUBSTITUTE(B30,"#",""),4),2),RIGHT(SUBSTITUTE(B30,"#",""),2)),,,Trigger)-1&amp;"D",SUBSTITUTE(B30,"/","")))</f>
        <v>12M-24M</v>
      </c>
      <c r="D30" s="101">
        <f t="shared" si="1"/>
        <v>2</v>
      </c>
      <c r="E30" s="101" t="str">
        <f t="shared" si="2"/>
        <v>--</v>
      </c>
      <c r="F30" s="97" t="str">
        <f t="shared" si="3"/>
        <v>Modified Following</v>
      </c>
      <c r="G30" s="100" t="str">
        <f t="shared" si="4"/>
        <v>TRUE</v>
      </c>
      <c r="H30" s="97" t="str">
        <f t="shared" si="5"/>
        <v>Actual/360</v>
      </c>
      <c r="I30" s="102">
        <v>-1.2E-4</v>
      </c>
      <c r="J30" s="89" t="str">
        <f>IF(LEFT(A30,1)="D",_xll.qlDepositRateHelper2(,I30,IF(RIGHT(C30,1)="N","1D",C30),D30,Calendar,F30,G30,H30,,Trigger),IF(A30="Sw",_xll.qlSwapRateHelper2(,I30,D30,C30,Calendar,"Annual",F30,H30,"Euribor"&amp;$H$1,0,"0D",Discounting,,,,Trigger),IF(A30="Fr",_xll.qlFraRateHelper(,I30,SUBSTITUTE(LEFT(C30,2),"M","")&amp;"M","Euribor"&amp;$H$1,,,,Trigger),IF(A30="Sf",_xll.qlFuturesRateHelper(,I30,,C30,"Euribor"&amp;$H$1,0,,Trigger),"--"))))</f>
        <v>obj_0011a#0004</v>
      </c>
      <c r="K30" s="98" t="b">
        <f t="shared" si="6"/>
        <v>1</v>
      </c>
      <c r="M30" s="9" t="str">
        <v>Fr</v>
      </c>
      <c r="N30" s="9" t="str">
        <v>12M-24M</v>
      </c>
      <c r="O30" s="9" t="str">
        <v>obj_0011a#0004</v>
      </c>
      <c r="P30" s="96">
        <f>_xll.qlRateHelperRate(O30,Trigger)</f>
        <v>-1.2E-4</v>
      </c>
      <c r="Q30" s="10">
        <f>_xll.qlRateHelperEarliestDate(O30,Trigger)</f>
        <v>42867</v>
      </c>
      <c r="R30" s="10">
        <f>_xll.qlRateHelperPillarDate(O30,Trigger)</f>
        <v>43234</v>
      </c>
      <c r="S30" s="96">
        <v>-1.3059046977993545E-4</v>
      </c>
    </row>
    <row r="31" spans="1:19" ht="11.25" customHeight="1" x14ac:dyDescent="0.2">
      <c r="A31" s="91" t="str">
        <v>Sw</v>
      </c>
      <c r="B31" s="91" t="str">
        <v>3Y</v>
      </c>
      <c r="C31" s="91" t="str">
        <f>IF(A31="Sf",_xll.qlIMMNextCode(B31,Trigger),IF(LEFT(B31,1)="#",_xll.qlCalendarBusinessDaysBetween(Calendar,Settlementdate,DATE(LEFT(SUBSTITUTE(B31,"#",""),4),LEFT(RIGHT(SUBSTITUTE(B31,"#",""),4),2),RIGHT(SUBSTITUTE(B31,"#",""),2)),,,Trigger)-1&amp;"D",SUBSTITUTE(B31,"/","")))</f>
        <v>3Y</v>
      </c>
      <c r="D31" s="101">
        <f t="shared" si="1"/>
        <v>2</v>
      </c>
      <c r="E31" s="101" t="str">
        <f t="shared" si="2"/>
        <v>Annual</v>
      </c>
      <c r="F31" s="97" t="str">
        <f t="shared" si="3"/>
        <v>Modified Following</v>
      </c>
      <c r="G31" s="100" t="str">
        <f t="shared" si="4"/>
        <v>TRUE</v>
      </c>
      <c r="H31" s="97" t="str">
        <f t="shared" si="5"/>
        <v>30/360 (Bond Basis)</v>
      </c>
      <c r="I31" s="102">
        <v>1.7999999999999998E-4</v>
      </c>
      <c r="J31" s="89" t="str">
        <f>IF(LEFT(A31,1)="D",_xll.qlDepositRateHelper2(,I31,IF(RIGHT(C31,1)="N","1D",C31),D31,Calendar,F31,G31,H31,,Trigger),IF(A31="Sw",_xll.qlSwapRateHelper2(,I31,D31,C31,Calendar,"Annual",F31,H31,"Euribor"&amp;$H$1,0,"0D",Discounting,,,,Trigger),IF(A31="Fr",_xll.qlFraRateHelper(,I31,SUBSTITUTE(LEFT(C31,2),"M","")&amp;"M","Euribor"&amp;$H$1,,,,Trigger),IF(A31="Sf",_xll.qlFuturesRateHelper(,I31,,C31,"Euribor"&amp;$H$1,0,,Trigger),"--"))))</f>
        <v>obj_00115#0004</v>
      </c>
      <c r="K31" s="98" t="b">
        <f t="shared" si="6"/>
        <v>1</v>
      </c>
      <c r="M31" s="9" t="str">
        <v>Sw</v>
      </c>
      <c r="N31" s="9" t="str">
        <v>3Y</v>
      </c>
      <c r="O31" s="9" t="str">
        <v>obj_00115#0004</v>
      </c>
      <c r="P31" s="96">
        <f>_xll.qlRateHelperRate(O31,Trigger)</f>
        <v>1.7999999999999998E-4</v>
      </c>
      <c r="Q31" s="10">
        <f>_xll.qlRateHelperEarliestDate(O31,Trigger)</f>
        <v>42502</v>
      </c>
      <c r="R31" s="10">
        <f>_xll.qlRateHelperPillarDate(O31,Trigger)</f>
        <v>43598</v>
      </c>
      <c r="S31" s="96">
        <v>1.7551410784522728E-4</v>
      </c>
    </row>
    <row r="32" spans="1:19" ht="11.25" customHeight="1" x14ac:dyDescent="0.2">
      <c r="A32" s="91" t="str">
        <v>Sw</v>
      </c>
      <c r="B32" s="91" t="str">
        <v>4Y</v>
      </c>
      <c r="C32" s="91" t="str">
        <f>IF(A32="Sf",_xll.qlIMMNextCode(B32,Trigger),IF(LEFT(B32,1)="#",_xll.qlCalendarBusinessDaysBetween(Calendar,Settlementdate,DATE(LEFT(SUBSTITUTE(B32,"#",""),4),LEFT(RIGHT(SUBSTITUTE(B32,"#",""),4),2),RIGHT(SUBSTITUTE(B32,"#",""),2)),,,Trigger)-1&amp;"D",SUBSTITUTE(B32,"/","")))</f>
        <v>4Y</v>
      </c>
      <c r="D32" s="101">
        <f t="shared" si="1"/>
        <v>2</v>
      </c>
      <c r="E32" s="101" t="str">
        <f t="shared" si="2"/>
        <v>Annual</v>
      </c>
      <c r="F32" s="97" t="str">
        <f t="shared" si="3"/>
        <v>Modified Following</v>
      </c>
      <c r="G32" s="100" t="str">
        <f t="shared" si="4"/>
        <v>TRUE</v>
      </c>
      <c r="H32" s="97" t="str">
        <f t="shared" si="5"/>
        <v>30/360 (Bond Basis)</v>
      </c>
      <c r="I32" s="102">
        <v>7.1999999999999994E-4</v>
      </c>
      <c r="J32" s="89" t="str">
        <f>IF(LEFT(A32,1)="D",_xll.qlDepositRateHelper2(,I32,IF(RIGHT(C32,1)="N","1D",C32),D32,Calendar,F32,G32,H32,,Trigger),IF(A32="Sw",_xll.qlSwapRateHelper2(,I32,D32,C32,Calendar,"Annual",F32,H32,"Euribor"&amp;$H$1,0,"0D",Discounting,,,,Trigger),IF(A32="Fr",_xll.qlFraRateHelper(,I32,SUBSTITUTE(LEFT(C32,2),"M","")&amp;"M","Euribor"&amp;$H$1,,,,Trigger),IF(A32="Sf",_xll.qlFuturesRateHelper(,I32,,C32,"Euribor"&amp;$H$1,0,,Trigger),"--"))))</f>
        <v>obj_00120#0004</v>
      </c>
      <c r="K32" s="98" t="b">
        <f t="shared" si="6"/>
        <v>1</v>
      </c>
      <c r="M32" s="9" t="str">
        <v>Sw</v>
      </c>
      <c r="N32" s="9" t="str">
        <v>4Y</v>
      </c>
      <c r="O32" s="9" t="str">
        <v>obj_00120#0004</v>
      </c>
      <c r="P32" s="96">
        <f>_xll.qlRateHelperRate(O32,Trigger)</f>
        <v>7.1999999999999994E-4</v>
      </c>
      <c r="Q32" s="10">
        <f>_xll.qlRateHelperEarliestDate(O32,Trigger)</f>
        <v>42502</v>
      </c>
      <c r="R32" s="10">
        <f>_xll.qlRateHelperPillarDate(O32,Trigger)</f>
        <v>43963</v>
      </c>
      <c r="S32" s="96">
        <v>7.1212254540628571E-4</v>
      </c>
    </row>
    <row r="33" spans="1:19" ht="11.25" customHeight="1" x14ac:dyDescent="0.2">
      <c r="A33" s="91" t="str">
        <v>Sw</v>
      </c>
      <c r="B33" s="91" t="str">
        <v>5Y</v>
      </c>
      <c r="C33" s="91" t="str">
        <f>IF(A33="Sf",_xll.qlIMMNextCode(B33,Trigger),IF(LEFT(B33,1)="#",_xll.qlCalendarBusinessDaysBetween(Calendar,Settlementdate,DATE(LEFT(SUBSTITUTE(B33,"#",""),4),LEFT(RIGHT(SUBSTITUTE(B33,"#",""),4),2),RIGHT(SUBSTITUTE(B33,"#",""),2)),,,Trigger)-1&amp;"D",SUBSTITUTE(B33,"/","")))</f>
        <v>5Y</v>
      </c>
      <c r="D33" s="101">
        <f t="shared" si="1"/>
        <v>2</v>
      </c>
      <c r="E33" s="101" t="str">
        <f t="shared" si="2"/>
        <v>Annual</v>
      </c>
      <c r="F33" s="97" t="str">
        <f t="shared" si="3"/>
        <v>Modified Following</v>
      </c>
      <c r="G33" s="100" t="str">
        <f t="shared" si="4"/>
        <v>TRUE</v>
      </c>
      <c r="H33" s="97" t="str">
        <f t="shared" si="5"/>
        <v>30/360 (Bond Basis)</v>
      </c>
      <c r="I33" s="102">
        <v>1.48E-3</v>
      </c>
      <c r="J33" s="89" t="str">
        <f>IF(LEFT(A33,1)="D",_xll.qlDepositRateHelper2(,I33,IF(RIGHT(C33,1)="N","1D",C33),D33,Calendar,F33,G33,H33,,Trigger),IF(A33="Sw",_xll.qlSwapRateHelper2(,I33,D33,C33,Calendar,"Annual",F33,H33,"Euribor"&amp;$H$1,0,"0D",Discounting,,,,Trigger),IF(A33="Fr",_xll.qlFraRateHelper(,I33,SUBSTITUTE(LEFT(C33,2),"M","")&amp;"M","Euribor"&amp;$H$1,,,,Trigger),IF(A33="Sf",_xll.qlFuturesRateHelper(,I33,,C33,"Euribor"&amp;$H$1,0,,Trigger),"--"))))</f>
        <v>obj_0011f#0004</v>
      </c>
      <c r="K33" s="98" t="b">
        <f t="shared" si="6"/>
        <v>1</v>
      </c>
      <c r="M33" s="9" t="str">
        <v>Sw</v>
      </c>
      <c r="N33" s="9" t="str">
        <v>5Y</v>
      </c>
      <c r="O33" s="9" t="str">
        <v>obj_0011f#0004</v>
      </c>
      <c r="P33" s="96">
        <f>_xll.qlRateHelperRate(O33,Trigger)</f>
        <v>1.48E-3</v>
      </c>
      <c r="Q33" s="10">
        <f>_xll.qlRateHelperEarliestDate(O33,Trigger)</f>
        <v>42502</v>
      </c>
      <c r="R33" s="10">
        <f>_xll.qlRateHelperPillarDate(O33,Trigger)</f>
        <v>44328</v>
      </c>
      <c r="S33" s="96">
        <v>1.4673909314841603E-3</v>
      </c>
    </row>
    <row r="34" spans="1:19" ht="11.25" customHeight="1" x14ac:dyDescent="0.2">
      <c r="A34" s="91" t="str">
        <v>Sw</v>
      </c>
      <c r="B34" s="91" t="str">
        <v>6Y</v>
      </c>
      <c r="C34" s="91" t="str">
        <f>IF(A34="Sf",_xll.qlIMMNextCode(B34,Trigger),IF(LEFT(B34,1)="#",_xll.qlCalendarBusinessDaysBetween(Calendar,Settlementdate,DATE(LEFT(SUBSTITUTE(B34,"#",""),4),LEFT(RIGHT(SUBSTITUTE(B34,"#",""),4),2),RIGHT(SUBSTITUTE(B34,"#",""),2)),,,Trigger)-1&amp;"D",SUBSTITUTE(B34,"/","")))</f>
        <v>6Y</v>
      </c>
      <c r="D34" s="101">
        <f t="shared" si="1"/>
        <v>2</v>
      </c>
      <c r="E34" s="101" t="str">
        <f t="shared" si="2"/>
        <v>Annual</v>
      </c>
      <c r="F34" s="97" t="str">
        <f t="shared" si="3"/>
        <v>Modified Following</v>
      </c>
      <c r="G34" s="100" t="str">
        <f t="shared" si="4"/>
        <v>TRUE</v>
      </c>
      <c r="H34" s="97" t="str">
        <f t="shared" si="5"/>
        <v>30/360 (Bond Basis)</v>
      </c>
      <c r="I34" s="102">
        <v>2.4399999999999999E-3</v>
      </c>
      <c r="J34" s="89" t="str">
        <f>IF(LEFT(A34,1)="D",_xll.qlDepositRateHelper2(,I34,IF(RIGHT(C34,1)="N","1D",C34),D34,Calendar,F34,G34,H34,,Trigger),IF(A34="Sw",_xll.qlSwapRateHelper2(,I34,D34,C34,Calendar,"Annual",F34,H34,"Euribor"&amp;$H$1,0,"0D",Discounting,,,,Trigger),IF(A34="Fr",_xll.qlFraRateHelper(,I34,SUBSTITUTE(LEFT(C34,2),"M","")&amp;"M","Euribor"&amp;$H$1,,,,Trigger),IF(A34="Sf",_xll.qlFuturesRateHelper(,I34,,C34,"Euribor"&amp;$H$1,0,,Trigger),"--"))))</f>
        <v>obj_00102#0004</v>
      </c>
      <c r="K34" s="98" t="b">
        <f t="shared" si="6"/>
        <v>1</v>
      </c>
      <c r="M34" s="9" t="str">
        <v>Sw</v>
      </c>
      <c r="N34" s="9" t="str">
        <v>6Y</v>
      </c>
      <c r="O34" s="9" t="str">
        <v>obj_00102#0004</v>
      </c>
      <c r="P34" s="96">
        <f>_xll.qlRateHelperRate(O34,Trigger)</f>
        <v>2.4399999999999999E-3</v>
      </c>
      <c r="Q34" s="10">
        <f>_xll.qlRateHelperEarliestDate(O34,Trigger)</f>
        <v>42502</v>
      </c>
      <c r="R34" s="10">
        <f>_xll.qlRateHelperPillarDate(O34,Trigger)</f>
        <v>44693</v>
      </c>
      <c r="S34" s="96">
        <v>2.4230290060405254E-3</v>
      </c>
    </row>
    <row r="35" spans="1:19" ht="11.25" customHeight="1" x14ac:dyDescent="0.2">
      <c r="A35" s="91" t="str">
        <v>Sw</v>
      </c>
      <c r="B35" s="91" t="str">
        <v>7Y</v>
      </c>
      <c r="C35" s="91" t="str">
        <f>IF(A35="Sf",_xll.qlIMMNextCode(B35,Trigger),IF(LEFT(B35,1)="#",_xll.qlCalendarBusinessDaysBetween(Calendar,Settlementdate,DATE(LEFT(SUBSTITUTE(B35,"#",""),4),LEFT(RIGHT(SUBSTITUTE(B35,"#",""),4),2),RIGHT(SUBSTITUTE(B35,"#",""),2)),,,Trigger)-1&amp;"D",SUBSTITUTE(B35,"/","")))</f>
        <v>7Y</v>
      </c>
      <c r="D35" s="101">
        <f t="shared" si="1"/>
        <v>2</v>
      </c>
      <c r="E35" s="101" t="str">
        <f t="shared" si="2"/>
        <v>Annual</v>
      </c>
      <c r="F35" s="97" t="str">
        <f t="shared" si="3"/>
        <v>Modified Following</v>
      </c>
      <c r="G35" s="100" t="str">
        <f t="shared" si="4"/>
        <v>TRUE</v>
      </c>
      <c r="H35" s="97" t="str">
        <f t="shared" si="5"/>
        <v>30/360 (Bond Basis)</v>
      </c>
      <c r="I35" s="102">
        <v>3.4799999999999996E-3</v>
      </c>
      <c r="J35" s="89" t="str">
        <f>IF(LEFT(A35,1)="D",_xll.qlDepositRateHelper2(,I35,IF(RIGHT(C35,1)="N","1D",C35),D35,Calendar,F35,G35,H35,,Trigger),IF(A35="Sw",_xll.qlSwapRateHelper2(,I35,D35,C35,Calendar,"Annual",F35,H35,"Euribor"&amp;$H$1,0,"0D",Discounting,,,,Trigger),IF(A35="Fr",_xll.qlFraRateHelper(,I35,SUBSTITUTE(LEFT(C35,2),"M","")&amp;"M","Euribor"&amp;$H$1,,,,Trigger),IF(A35="Sf",_xll.qlFuturesRateHelper(,I35,,C35,"Euribor"&amp;$H$1,0,,Trigger),"--"))))</f>
        <v>obj_00112#0004</v>
      </c>
      <c r="K35" s="98" t="b">
        <f t="shared" si="6"/>
        <v>1</v>
      </c>
      <c r="M35" s="9" t="str">
        <v>Sw</v>
      </c>
      <c r="N35" s="9" t="str">
        <v>7Y</v>
      </c>
      <c r="O35" s="9" t="str">
        <v>obj_00112#0004</v>
      </c>
      <c r="P35" s="96">
        <f>_xll.qlRateHelperRate(O35,Trigger)</f>
        <v>3.4799999999999996E-3</v>
      </c>
      <c r="Q35" s="10">
        <f>_xll.qlRateHelperEarliestDate(O35,Trigger)</f>
        <v>42502</v>
      </c>
      <c r="R35" s="10">
        <f>_xll.qlRateHelperPillarDate(O35,Trigger)</f>
        <v>45058</v>
      </c>
      <c r="S35" s="96">
        <v>3.4620911036923859E-3</v>
      </c>
    </row>
    <row r="36" spans="1:19" ht="11.25" customHeight="1" x14ac:dyDescent="0.2">
      <c r="A36" s="91" t="str">
        <v>Sw</v>
      </c>
      <c r="B36" s="91" t="str">
        <v>8Y</v>
      </c>
      <c r="C36" s="91" t="str">
        <f>IF(A36="Sf",_xll.qlIMMNextCode(B36,Trigger),IF(LEFT(B36,1)="#",_xll.qlCalendarBusinessDaysBetween(Calendar,Settlementdate,DATE(LEFT(SUBSTITUTE(B36,"#",""),4),LEFT(RIGHT(SUBSTITUTE(B36,"#",""),4),2),RIGHT(SUBSTITUTE(B36,"#",""),2)),,,Trigger)-1&amp;"D",SUBSTITUTE(B36,"/","")))</f>
        <v>8Y</v>
      </c>
      <c r="D36" s="101">
        <f t="shared" si="1"/>
        <v>2</v>
      </c>
      <c r="E36" s="101" t="str">
        <f t="shared" si="2"/>
        <v>Annual</v>
      </c>
      <c r="F36" s="97" t="str">
        <f t="shared" si="3"/>
        <v>Modified Following</v>
      </c>
      <c r="G36" s="100" t="str">
        <f t="shared" si="4"/>
        <v>TRUE</v>
      </c>
      <c r="H36" s="97" t="str">
        <f t="shared" si="5"/>
        <v>30/360 (Bond Basis)</v>
      </c>
      <c r="I36" s="102">
        <v>4.5700000000000003E-3</v>
      </c>
      <c r="J36" s="89" t="str">
        <f>IF(LEFT(A36,1)="D",_xll.qlDepositRateHelper2(,I36,IF(RIGHT(C36,1)="N","1D",C36),D36,Calendar,F36,G36,H36,,Trigger),IF(A36="Sw",_xll.qlSwapRateHelper2(,I36,D36,C36,Calendar,"Annual",F36,H36,"Euribor"&amp;$H$1,0,"0D",Discounting,,,,Trigger),IF(A36="Fr",_xll.qlFraRateHelper(,I36,SUBSTITUTE(LEFT(C36,2),"M","")&amp;"M","Euribor"&amp;$H$1,,,,Trigger),IF(A36="Sf",_xll.qlFuturesRateHelper(,I36,,C36,"Euribor"&amp;$H$1,0,,Trigger),"--"))))</f>
        <v>obj_00110#0004</v>
      </c>
      <c r="K36" s="98" t="b">
        <f t="shared" si="6"/>
        <v>1</v>
      </c>
      <c r="M36" s="9" t="str">
        <v>Sw</v>
      </c>
      <c r="N36" s="9" t="str">
        <v>8Y</v>
      </c>
      <c r="O36" s="9" t="str">
        <v>obj_00110#0004</v>
      </c>
      <c r="P36" s="96">
        <f>_xll.qlRateHelperRate(O36,Trigger)</f>
        <v>4.5700000000000003E-3</v>
      </c>
      <c r="Q36" s="10">
        <f>_xll.qlRateHelperEarliestDate(O36,Trigger)</f>
        <v>42502</v>
      </c>
      <c r="R36" s="10">
        <f>_xll.qlRateHelperPillarDate(O36,Trigger)</f>
        <v>45425</v>
      </c>
      <c r="S36" s="96">
        <v>4.5551392811093482E-3</v>
      </c>
    </row>
    <row r="37" spans="1:19" ht="11.25" customHeight="1" x14ac:dyDescent="0.2">
      <c r="A37" s="91" t="str">
        <v>Sw</v>
      </c>
      <c r="B37" s="91" t="str">
        <v>9Y</v>
      </c>
      <c r="C37" s="91" t="str">
        <f>IF(A37="Sf",_xll.qlIMMNextCode(B37,Trigger),IF(LEFT(B37,1)="#",_xll.qlCalendarBusinessDaysBetween(Calendar,Settlementdate,DATE(LEFT(SUBSTITUTE(B37,"#",""),4),LEFT(RIGHT(SUBSTITUTE(B37,"#",""),4),2),RIGHT(SUBSTITUTE(B37,"#",""),2)),,,Trigger)-1&amp;"D",SUBSTITUTE(B37,"/","")))</f>
        <v>9Y</v>
      </c>
      <c r="D37" s="101">
        <f t="shared" si="1"/>
        <v>2</v>
      </c>
      <c r="E37" s="101" t="str">
        <f t="shared" si="2"/>
        <v>Annual</v>
      </c>
      <c r="F37" s="97" t="str">
        <f t="shared" si="3"/>
        <v>Modified Following</v>
      </c>
      <c r="G37" s="100" t="str">
        <f t="shared" si="4"/>
        <v>TRUE</v>
      </c>
      <c r="H37" s="97" t="str">
        <f t="shared" si="5"/>
        <v>30/360 (Bond Basis)</v>
      </c>
      <c r="I37" s="102">
        <v>5.5900000000000004E-3</v>
      </c>
      <c r="J37" s="89" t="str">
        <f>IF(LEFT(A37,1)="D",_xll.qlDepositRateHelper2(,I37,IF(RIGHT(C37,1)="N","1D",C37),D37,Calendar,F37,G37,H37,,Trigger),IF(A37="Sw",_xll.qlSwapRateHelper2(,I37,D37,C37,Calendar,"Annual",F37,H37,"Euribor"&amp;$H$1,0,"0D",Discounting,,,,Trigger),IF(A37="Fr",_xll.qlFraRateHelper(,I37,SUBSTITUTE(LEFT(C37,2),"M","")&amp;"M","Euribor"&amp;$H$1,,,,Trigger),IF(A37="Sf",_xll.qlFuturesRateHelper(,I37,,C37,"Euribor"&amp;$H$1,0,,Trigger),"--"))))</f>
        <v>obj_000fa#0004</v>
      </c>
      <c r="K37" s="98" t="b">
        <f t="shared" si="6"/>
        <v>1</v>
      </c>
      <c r="M37" s="9" t="str">
        <v>Sw</v>
      </c>
      <c r="N37" s="9" t="str">
        <v>9Y</v>
      </c>
      <c r="O37" s="9" t="str">
        <v>obj_000fa#0004</v>
      </c>
      <c r="P37" s="96">
        <f>_xll.qlRateHelperRate(O37,Trigger)</f>
        <v>5.5900000000000004E-3</v>
      </c>
      <c r="Q37" s="10">
        <f>_xll.qlRateHelperEarliestDate(O37,Trigger)</f>
        <v>42502</v>
      </c>
      <c r="R37" s="10">
        <f>_xll.qlRateHelperPillarDate(O37,Trigger)</f>
        <v>45789</v>
      </c>
      <c r="S37" s="96">
        <v>5.5857273354337818E-3</v>
      </c>
    </row>
    <row r="38" spans="1:19" ht="11.25" customHeight="1" x14ac:dyDescent="0.2">
      <c r="A38" s="91" t="str">
        <v>Sw</v>
      </c>
      <c r="B38" s="91" t="str">
        <v>10Y</v>
      </c>
      <c r="C38" s="91" t="str">
        <f>IF(A38="Sf",_xll.qlIMMNextCode(B38,Trigger),IF(LEFT(B38,1)="#",_xll.qlCalendarBusinessDaysBetween(Calendar,Settlementdate,DATE(LEFT(SUBSTITUTE(B38,"#",""),4),LEFT(RIGHT(SUBSTITUTE(B38,"#",""),4),2),RIGHT(SUBSTITUTE(B38,"#",""),2)),,,Trigger)-1&amp;"D",SUBSTITUTE(B38,"/","")))</f>
        <v>10Y</v>
      </c>
      <c r="D38" s="101">
        <f t="shared" si="1"/>
        <v>2</v>
      </c>
      <c r="E38" s="101" t="str">
        <f t="shared" si="2"/>
        <v>Annual</v>
      </c>
      <c r="F38" s="97" t="str">
        <f t="shared" si="3"/>
        <v>Modified Following</v>
      </c>
      <c r="G38" s="100" t="str">
        <f t="shared" si="4"/>
        <v>TRUE</v>
      </c>
      <c r="H38" s="97" t="str">
        <f t="shared" si="5"/>
        <v>30/360 (Bond Basis)</v>
      </c>
      <c r="I38" s="102">
        <v>6.5200000000000006E-3</v>
      </c>
      <c r="J38" s="89" t="str">
        <f>IF(LEFT(A38,1)="D",_xll.qlDepositRateHelper2(,I38,IF(RIGHT(C38,1)="N","1D",C38),D38,Calendar,F38,G38,H38,,Trigger),IF(A38="Sw",_xll.qlSwapRateHelper2(,I38,D38,C38,Calendar,"Annual",F38,H38,"Euribor"&amp;$H$1,0,"0D",Discounting,,,,Trigger),IF(A38="Fr",_xll.qlFraRateHelper(,I38,SUBSTITUTE(LEFT(C38,2),"M","")&amp;"M","Euribor"&amp;$H$1,,,,Trigger),IF(A38="Sf",_xll.qlFuturesRateHelper(,I38,,C38,"Euribor"&amp;$H$1,0,,Trigger),"--"))))</f>
        <v>obj_0010b#0004</v>
      </c>
      <c r="K38" s="98" t="b">
        <f t="shared" si="6"/>
        <v>1</v>
      </c>
      <c r="M38" s="9" t="str">
        <v>Sw</v>
      </c>
      <c r="N38" s="9" t="str">
        <v>10Y</v>
      </c>
      <c r="O38" s="9" t="str">
        <v>obj_0010b#0004</v>
      </c>
      <c r="P38" s="96">
        <f>_xll.qlRateHelperRate(O38,Trigger)</f>
        <v>6.5200000000000006E-3</v>
      </c>
      <c r="Q38" s="10">
        <f>_xll.qlRateHelperEarliestDate(O38,Trigger)</f>
        <v>42502</v>
      </c>
      <c r="R38" s="10">
        <f>_xll.qlRateHelperPillarDate(O38,Trigger)</f>
        <v>46154</v>
      </c>
      <c r="S38" s="96">
        <v>6.5317436707058576E-3</v>
      </c>
    </row>
    <row r="39" spans="1:19" ht="11.25" customHeight="1" x14ac:dyDescent="0.2">
      <c r="A39" s="91" t="str">
        <v>Sw</v>
      </c>
      <c r="B39" s="91" t="str">
        <v>11Y</v>
      </c>
      <c r="C39" s="91" t="str">
        <f>IF(A39="Sf",_xll.qlIMMNextCode(B39,Trigger),IF(LEFT(B39,1)="#",_xll.qlCalendarBusinessDaysBetween(Calendar,Settlementdate,DATE(LEFT(SUBSTITUTE(B39,"#",""),4),LEFT(RIGHT(SUBSTITUTE(B39,"#",""),4),2),RIGHT(SUBSTITUTE(B39,"#",""),2)),,,Trigger)-1&amp;"D",SUBSTITUTE(B39,"/","")))</f>
        <v>11Y</v>
      </c>
      <c r="D39" s="101">
        <f t="shared" si="1"/>
        <v>2</v>
      </c>
      <c r="E39" s="101" t="str">
        <f t="shared" si="2"/>
        <v>Annual</v>
      </c>
      <c r="F39" s="97" t="str">
        <f t="shared" si="3"/>
        <v>Modified Following</v>
      </c>
      <c r="G39" s="100" t="str">
        <f t="shared" si="4"/>
        <v>TRUE</v>
      </c>
      <c r="H39" s="97" t="str">
        <f t="shared" si="5"/>
        <v>30/360 (Bond Basis)</v>
      </c>
      <c r="I39" s="102">
        <v>7.3725371100000006E-3</v>
      </c>
      <c r="J39" s="89" t="str">
        <f>IF(LEFT(A39,1)="D",_xll.qlDepositRateHelper2(,I39,IF(RIGHT(C39,1)="N","1D",C39),D39,Calendar,F39,G39,H39,,Trigger),IF(A39="Sw",_xll.qlSwapRateHelper2(,I39,D39,C39,Calendar,"Annual",F39,H39,"Euribor"&amp;$H$1,0,"0D",Discounting,,,,Trigger),IF(A39="Fr",_xll.qlFraRateHelper(,I39,SUBSTITUTE(LEFT(C39,2),"M","")&amp;"M","Euribor"&amp;$H$1,,,,Trigger),IF(A39="Sf",_xll.qlFuturesRateHelper(,I39,,C39,"Euribor"&amp;$H$1,0,,Trigger),"--"))))</f>
        <v>obj_00101#0004</v>
      </c>
      <c r="K39" s="98" t="b">
        <f t="shared" si="6"/>
        <v>1</v>
      </c>
      <c r="M39" s="9" t="str">
        <v>Sw</v>
      </c>
      <c r="N39" s="9" t="str">
        <v>11Y</v>
      </c>
      <c r="O39" s="9" t="str">
        <v>obj_00101#0004</v>
      </c>
      <c r="P39" s="96">
        <f>_xll.qlRateHelperRate(O39,Trigger)</f>
        <v>7.3725371100000006E-3</v>
      </c>
      <c r="Q39" s="10">
        <f>_xll.qlRateHelperEarliestDate(O39,Trigger)</f>
        <v>42502</v>
      </c>
      <c r="R39" s="10">
        <f>_xll.qlRateHelperPillarDate(O39,Trigger)</f>
        <v>46519</v>
      </c>
      <c r="S39" s="96">
        <v>7.4051502003646122E-3</v>
      </c>
    </row>
    <row r="40" spans="1:19" ht="11.25" customHeight="1" x14ac:dyDescent="0.2">
      <c r="A40" s="91" t="str">
        <v>Sw</v>
      </c>
      <c r="B40" s="91" t="str">
        <v>12Y</v>
      </c>
      <c r="C40" s="91" t="str">
        <f>IF(A40="Sf",_xll.qlIMMNextCode(B40,Trigger),IF(LEFT(B40,1)="#",_xll.qlCalendarBusinessDaysBetween(Calendar,Settlementdate,DATE(LEFT(SUBSTITUTE(B40,"#",""),4),LEFT(RIGHT(SUBSTITUTE(B40,"#",""),4),2),RIGHT(SUBSTITUTE(B40,"#",""),2)),,,Trigger)-1&amp;"D",SUBSTITUTE(B40,"/","")))</f>
        <v>12Y</v>
      </c>
      <c r="D40" s="101">
        <f t="shared" si="1"/>
        <v>2</v>
      </c>
      <c r="E40" s="101" t="str">
        <f t="shared" si="2"/>
        <v>Annual</v>
      </c>
      <c r="F40" s="97" t="str">
        <f t="shared" si="3"/>
        <v>Modified Following</v>
      </c>
      <c r="G40" s="100" t="str">
        <f t="shared" si="4"/>
        <v>TRUE</v>
      </c>
      <c r="H40" s="97" t="str">
        <f t="shared" si="5"/>
        <v>30/360 (Bond Basis)</v>
      </c>
      <c r="I40" s="102">
        <v>8.1399999999999997E-3</v>
      </c>
      <c r="J40" s="89" t="str">
        <f>IF(LEFT(A40,1)="D",_xll.qlDepositRateHelper2(,I40,IF(RIGHT(C40,1)="N","1D",C40),D40,Calendar,F40,G40,H40,,Trigger),IF(A40="Sw",_xll.qlSwapRateHelper2(,I40,D40,C40,Calendar,"Annual",F40,H40,"Euribor"&amp;$H$1,0,"0D",Discounting,,,,Trigger),IF(A40="Fr",_xll.qlFraRateHelper(,I40,SUBSTITUTE(LEFT(C40,2),"M","")&amp;"M","Euribor"&amp;$H$1,,,,Trigger),IF(A40="Sf",_xll.qlFuturesRateHelper(,I40,,C40,"Euribor"&amp;$H$1,0,,Trigger),"--"))))</f>
        <v>obj_000fe#0004</v>
      </c>
      <c r="K40" s="98" t="b">
        <f t="shared" si="6"/>
        <v>1</v>
      </c>
      <c r="M40" s="9" t="str">
        <v>Sw</v>
      </c>
      <c r="N40" s="9" t="str">
        <v>12Y</v>
      </c>
      <c r="O40" s="9" t="str">
        <v>obj_000fe#0004</v>
      </c>
      <c r="P40" s="96">
        <f>_xll.qlRateHelperRate(O40,Trigger)</f>
        <v>8.1399999999999997E-3</v>
      </c>
      <c r="Q40" s="10">
        <f>_xll.qlRateHelperEarliestDate(O40,Trigger)</f>
        <v>42502</v>
      </c>
      <c r="R40" s="10">
        <f>_xll.qlRateHelperPillarDate(O40,Trigger)</f>
        <v>46885</v>
      </c>
      <c r="S40" s="96">
        <v>8.1949000361594155E-3</v>
      </c>
    </row>
    <row r="41" spans="1:19" ht="11.25" customHeight="1" x14ac:dyDescent="0.2">
      <c r="A41" s="91" t="str">
        <v>Sw</v>
      </c>
      <c r="B41" s="91" t="str">
        <v>13Y</v>
      </c>
      <c r="C41" s="91" t="str">
        <f>IF(A41="Sf",_xll.qlIMMNextCode(B41,Trigger),IF(LEFT(B41,1)="#",_xll.qlCalendarBusinessDaysBetween(Calendar,Settlementdate,DATE(LEFT(SUBSTITUTE(B41,"#",""),4),LEFT(RIGHT(SUBSTITUTE(B41,"#",""),4),2),RIGHT(SUBSTITUTE(B41,"#",""),2)),,,Trigger)-1&amp;"D",SUBSTITUTE(B41,"/","")))</f>
        <v>13Y</v>
      </c>
      <c r="D41" s="101">
        <f t="shared" si="1"/>
        <v>2</v>
      </c>
      <c r="E41" s="101" t="str">
        <f t="shared" si="2"/>
        <v>Annual</v>
      </c>
      <c r="F41" s="97" t="str">
        <f t="shared" si="3"/>
        <v>Modified Following</v>
      </c>
      <c r="G41" s="100" t="str">
        <f t="shared" si="4"/>
        <v>TRUE</v>
      </c>
      <c r="H41" s="97" t="str">
        <f t="shared" si="5"/>
        <v>30/360 (Bond Basis)</v>
      </c>
      <c r="I41" s="102">
        <v>8.8028668300000005E-3</v>
      </c>
      <c r="J41" s="89" t="str">
        <f>IF(LEFT(A41,1)="D",_xll.qlDepositRateHelper2(,I41,IF(RIGHT(C41,1)="N","1D",C41),D41,Calendar,F41,G41,H41,,Trigger),IF(A41="Sw",_xll.qlSwapRateHelper2(,I41,D41,C41,Calendar,"Annual",F41,H41,"Euribor"&amp;$H$1,0,"0D",Discounting,,,,Trigger),IF(A41="Fr",_xll.qlFraRateHelper(,I41,SUBSTITUTE(LEFT(C41,2),"M","")&amp;"M","Euribor"&amp;$H$1,,,,Trigger),IF(A41="Sf",_xll.qlFuturesRateHelper(,I41,,C41,"Euribor"&amp;$H$1,0,,Trigger),"--"))))</f>
        <v>obj_000f2#0004</v>
      </c>
      <c r="K41" s="98" t="b">
        <f t="shared" si="6"/>
        <v>1</v>
      </c>
      <c r="M41" s="9" t="str">
        <v>Sw</v>
      </c>
      <c r="N41" s="9" t="str">
        <v>13Y</v>
      </c>
      <c r="O41" s="9" t="str">
        <v>obj_000f2#0004</v>
      </c>
      <c r="P41" s="96">
        <f>_xll.qlRateHelperRate(O41,Trigger)</f>
        <v>8.8028668300000005E-3</v>
      </c>
      <c r="Q41" s="10">
        <f>_xll.qlRateHelperEarliestDate(O41,Trigger)</f>
        <v>42502</v>
      </c>
      <c r="R41" s="10">
        <f>_xll.qlRateHelperPillarDate(O41,Trigger)</f>
        <v>47252</v>
      </c>
      <c r="S41" s="96">
        <v>8.8828762334087555E-3</v>
      </c>
    </row>
    <row r="42" spans="1:19" ht="11.25" customHeight="1" x14ac:dyDescent="0.2">
      <c r="A42" s="91" t="str">
        <v>Sw</v>
      </c>
      <c r="B42" s="91" t="str">
        <v>14Y</v>
      </c>
      <c r="C42" s="91" t="str">
        <f>IF(A42="Sf",_xll.qlIMMNextCode(B42,Trigger),IF(LEFT(B42,1)="#",_xll.qlCalendarBusinessDaysBetween(Calendar,Settlementdate,DATE(LEFT(SUBSTITUTE(B42,"#",""),4),LEFT(RIGHT(SUBSTITUTE(B42,"#",""),4),2),RIGHT(SUBSTITUTE(B42,"#",""),2)),,,Trigger)-1&amp;"D",SUBSTITUTE(B42,"/","")))</f>
        <v>14Y</v>
      </c>
      <c r="D42" s="101">
        <f t="shared" si="1"/>
        <v>2</v>
      </c>
      <c r="E42" s="101" t="str">
        <f t="shared" si="2"/>
        <v>Annual</v>
      </c>
      <c r="F42" s="97" t="str">
        <f t="shared" si="3"/>
        <v>Modified Following</v>
      </c>
      <c r="G42" s="100" t="str">
        <f t="shared" si="4"/>
        <v>TRUE</v>
      </c>
      <c r="H42" s="97" t="str">
        <f t="shared" si="5"/>
        <v>30/360 (Bond Basis)</v>
      </c>
      <c r="I42" s="102">
        <v>9.37010785E-3</v>
      </c>
      <c r="J42" s="89" t="str">
        <f>IF(LEFT(A42,1)="D",_xll.qlDepositRateHelper2(,I42,IF(RIGHT(C42,1)="N","1D",C42),D42,Calendar,F42,G42,H42,,Trigger),IF(A42="Sw",_xll.qlSwapRateHelper2(,I42,D42,C42,Calendar,"Annual",F42,H42,"Euribor"&amp;$H$1,0,"0D",Discounting,,,,Trigger),IF(A42="Fr",_xll.qlFraRateHelper(,I42,SUBSTITUTE(LEFT(C42,2),"M","")&amp;"M","Euribor"&amp;$H$1,,,,Trigger),IF(A42="Sf",_xll.qlFuturesRateHelper(,I42,,C42,"Euribor"&amp;$H$1,0,,Trigger),"--"))))</f>
        <v>obj_00111#0004</v>
      </c>
      <c r="K42" s="98" t="b">
        <f t="shared" si="6"/>
        <v>1</v>
      </c>
      <c r="M42" s="9" t="str">
        <v>Sw</v>
      </c>
      <c r="N42" s="9" t="str">
        <v>14Y</v>
      </c>
      <c r="O42" s="9" t="str">
        <v>obj_00111#0004</v>
      </c>
      <c r="P42" s="96">
        <f>_xll.qlRateHelperRate(O42,Trigger)</f>
        <v>9.37010785E-3</v>
      </c>
      <c r="Q42" s="10">
        <f>_xll.qlRateHelperEarliestDate(O42,Trigger)</f>
        <v>42502</v>
      </c>
      <c r="R42" s="10">
        <f>_xll.qlRateHelperPillarDate(O42,Trigger)</f>
        <v>47616</v>
      </c>
      <c r="S42" s="96">
        <v>9.4750022301589663E-3</v>
      </c>
    </row>
    <row r="43" spans="1:19" ht="11.25" customHeight="1" x14ac:dyDescent="0.2">
      <c r="A43" s="91" t="str">
        <v>Sw</v>
      </c>
      <c r="B43" s="91" t="str">
        <v>15Y</v>
      </c>
      <c r="C43" s="91" t="str">
        <f>IF(A43="Sf",_xll.qlIMMNextCode(B43,Trigger),IF(LEFT(B43,1)="#",_xll.qlCalendarBusinessDaysBetween(Calendar,Settlementdate,DATE(LEFT(SUBSTITUTE(B43,"#",""),4),LEFT(RIGHT(SUBSTITUTE(B43,"#",""),4),2),RIGHT(SUBSTITUTE(B43,"#",""),2)),,,Trigger)-1&amp;"D",SUBSTITUTE(B43,"/","")))</f>
        <v>15Y</v>
      </c>
      <c r="D43" s="101">
        <f t="shared" si="1"/>
        <v>2</v>
      </c>
      <c r="E43" s="101" t="str">
        <f t="shared" si="2"/>
        <v>Annual</v>
      </c>
      <c r="F43" s="97" t="str">
        <f t="shared" si="3"/>
        <v>Modified Following</v>
      </c>
      <c r="G43" s="100" t="str">
        <f t="shared" si="4"/>
        <v>TRUE</v>
      </c>
      <c r="H43" s="97" t="str">
        <f t="shared" si="5"/>
        <v>30/360 (Bond Basis)</v>
      </c>
      <c r="I43" s="102">
        <v>9.8399999999999998E-3</v>
      </c>
      <c r="J43" s="89" t="str">
        <f>IF(LEFT(A43,1)="D",_xll.qlDepositRateHelper2(,I43,IF(RIGHT(C43,1)="N","1D",C43),D43,Calendar,F43,G43,H43,,Trigger),IF(A43="Sw",_xll.qlSwapRateHelper2(,I43,D43,C43,Calendar,"Annual",F43,H43,"Euribor"&amp;$H$1,0,"0D",Discounting,,,,Trigger),IF(A43="Fr",_xll.qlFraRateHelper(,I43,SUBSTITUTE(LEFT(C43,2),"M","")&amp;"M","Euribor"&amp;$H$1,,,,Trigger),IF(A43="Sf",_xll.qlFuturesRateHelper(,I43,,C43,"Euribor"&amp;$H$1,0,,Trigger),"--"))))</f>
        <v>obj_000f8#0004</v>
      </c>
      <c r="K43" s="98" t="b">
        <f t="shared" si="6"/>
        <v>1</v>
      </c>
      <c r="M43" s="9" t="str">
        <v>Sw</v>
      </c>
      <c r="N43" s="9" t="str">
        <v>15Y</v>
      </c>
      <c r="O43" s="9" t="str">
        <v>obj_000f8#0004</v>
      </c>
      <c r="P43" s="96">
        <f>_xll.qlRateHelperRate(O43,Trigger)</f>
        <v>9.8399999999999998E-3</v>
      </c>
      <c r="Q43" s="10">
        <f>_xll.qlRateHelperEarliestDate(O43,Trigger)</f>
        <v>42502</v>
      </c>
      <c r="R43" s="10">
        <f>_xll.qlRateHelperPillarDate(O43,Trigger)</f>
        <v>47980</v>
      </c>
      <c r="S43" s="96">
        <v>9.9675858388554861E-3</v>
      </c>
    </row>
    <row r="44" spans="1:19" ht="11.25" customHeight="1" x14ac:dyDescent="0.2">
      <c r="A44" s="91" t="str">
        <v>Sw</v>
      </c>
      <c r="B44" s="91" t="str">
        <v>16Y</v>
      </c>
      <c r="C44" s="91" t="str">
        <f>IF(A44="Sf",_xll.qlIMMNextCode(B44,Trigger),IF(LEFT(B44,1)="#",_xll.qlCalendarBusinessDaysBetween(Calendar,Settlementdate,DATE(LEFT(SUBSTITUTE(B44,"#",""),4),LEFT(RIGHT(SUBSTITUTE(B44,"#",""),4),2),RIGHT(SUBSTITUTE(B44,"#",""),2)),,,Trigger)-1&amp;"D",SUBSTITUTE(B44,"/","")))</f>
        <v>16Y</v>
      </c>
      <c r="D44" s="101">
        <f t="shared" si="1"/>
        <v>2</v>
      </c>
      <c r="E44" s="101" t="str">
        <f t="shared" si="2"/>
        <v>Annual</v>
      </c>
      <c r="F44" s="97" t="str">
        <f t="shared" si="3"/>
        <v>Modified Following</v>
      </c>
      <c r="G44" s="100" t="str">
        <f t="shared" si="4"/>
        <v>TRUE</v>
      </c>
      <c r="H44" s="97" t="str">
        <f t="shared" si="5"/>
        <v>30/360 (Bond Basis)</v>
      </c>
      <c r="I44" s="102">
        <v>1.022647808E-2</v>
      </c>
      <c r="J44" s="89" t="str">
        <f>IF(LEFT(A44,1)="D",_xll.qlDepositRateHelper2(,I44,IF(RIGHT(C44,1)="N","1D",C44),D44,Calendar,F44,G44,H44,,Trigger),IF(A44="Sw",_xll.qlSwapRateHelper2(,I44,D44,C44,Calendar,"Annual",F44,H44,"Euribor"&amp;$H$1,0,"0D",Discounting,,,,Trigger),IF(A44="Fr",_xll.qlFraRateHelper(,I44,SUBSTITUTE(LEFT(C44,2),"M","")&amp;"M","Euribor"&amp;$H$1,,,,Trigger),IF(A44="Sf",_xll.qlFuturesRateHelper(,I44,,C44,"Euribor"&amp;$H$1,0,,Trigger),"--"))))</f>
        <v>obj_0010c#0004</v>
      </c>
      <c r="K44" s="98" t="b">
        <f t="shared" si="6"/>
        <v>1</v>
      </c>
      <c r="M44" s="9" t="str">
        <v>Sw</v>
      </c>
      <c r="N44" s="9" t="str">
        <v>16Y</v>
      </c>
      <c r="O44" s="9" t="str">
        <v>obj_0010c#0004</v>
      </c>
      <c r="P44" s="96">
        <f>_xll.qlRateHelperRate(O44,Trigger)</f>
        <v>1.022647808E-2</v>
      </c>
      <c r="Q44" s="10">
        <f>_xll.qlRateHelperEarliestDate(O44,Trigger)</f>
        <v>42502</v>
      </c>
      <c r="R44" s="10">
        <f>_xll.qlRateHelperPillarDate(O44,Trigger)</f>
        <v>48346</v>
      </c>
      <c r="S44" s="96">
        <v>1.0372060523595562E-2</v>
      </c>
    </row>
    <row r="45" spans="1:19" ht="11.25" customHeight="1" x14ac:dyDescent="0.2">
      <c r="A45" s="91" t="str">
        <v>Sw</v>
      </c>
      <c r="B45" s="91" t="str">
        <v>17Y</v>
      </c>
      <c r="C45" s="91" t="str">
        <f>IF(A45="Sf",_xll.qlIMMNextCode(B45,Trigger),IF(LEFT(B45,1)="#",_xll.qlCalendarBusinessDaysBetween(Calendar,Settlementdate,DATE(LEFT(SUBSTITUTE(B45,"#",""),4),LEFT(RIGHT(SUBSTITUTE(B45,"#",""),4),2),RIGHT(SUBSTITUTE(B45,"#",""),2)),,,Trigger)-1&amp;"D",SUBSTITUTE(B45,"/","")))</f>
        <v>17Y</v>
      </c>
      <c r="D45" s="101">
        <f t="shared" si="1"/>
        <v>2</v>
      </c>
      <c r="E45" s="101" t="str">
        <f t="shared" si="2"/>
        <v>Annual</v>
      </c>
      <c r="F45" s="97" t="str">
        <f t="shared" si="3"/>
        <v>Modified Following</v>
      </c>
      <c r="G45" s="100" t="str">
        <f t="shared" si="4"/>
        <v>TRUE</v>
      </c>
      <c r="H45" s="97" t="str">
        <f t="shared" si="5"/>
        <v>30/360 (Bond Basis)</v>
      </c>
      <c r="I45" s="102">
        <v>1.0534943219999999E-2</v>
      </c>
      <c r="J45" s="89" t="str">
        <f>IF(LEFT(A45,1)="D",_xll.qlDepositRateHelper2(,I45,IF(RIGHT(C45,1)="N","1D",C45),D45,Calendar,F45,G45,H45,,Trigger),IF(A45="Sw",_xll.qlSwapRateHelper2(,I45,D45,C45,Calendar,"Annual",F45,H45,"Euribor"&amp;$H$1,0,"0D",Discounting,,,,Trigger),IF(A45="Fr",_xll.qlFraRateHelper(,I45,SUBSTITUTE(LEFT(C45,2),"M","")&amp;"M","Euribor"&amp;$H$1,,,,Trigger),IF(A45="Sf",_xll.qlFuturesRateHelper(,I45,,C45,"Euribor"&amp;$H$1,0,,Trigger),"--"))))</f>
        <v>obj_000ff#0004</v>
      </c>
      <c r="K45" s="98" t="b">
        <f t="shared" si="6"/>
        <v>1</v>
      </c>
      <c r="M45" s="9" t="str">
        <v>Sw</v>
      </c>
      <c r="N45" s="9" t="str">
        <v>17Y</v>
      </c>
      <c r="O45" s="9" t="str">
        <v>obj_000ff#0004</v>
      </c>
      <c r="P45" s="96">
        <f>_xll.qlRateHelperRate(O45,Trigger)</f>
        <v>1.0534943219999999E-2</v>
      </c>
      <c r="Q45" s="10">
        <f>_xll.qlRateHelperEarliestDate(O45,Trigger)</f>
        <v>42502</v>
      </c>
      <c r="R45" s="10">
        <f>_xll.qlRateHelperPillarDate(O45,Trigger)</f>
        <v>48711</v>
      </c>
      <c r="S45" s="96">
        <v>1.0696435309532716E-2</v>
      </c>
    </row>
    <row r="46" spans="1:19" ht="11.25" customHeight="1" x14ac:dyDescent="0.2">
      <c r="A46" s="91" t="str">
        <v>Sw</v>
      </c>
      <c r="B46" s="91" t="str">
        <v>18Y</v>
      </c>
      <c r="C46" s="91" t="str">
        <f>IF(A46="Sf",_xll.qlIMMNextCode(B46,Trigger),IF(LEFT(B46,1)="#",_xll.qlCalendarBusinessDaysBetween(Calendar,Settlementdate,DATE(LEFT(SUBSTITUTE(B46,"#",""),4),LEFT(RIGHT(SUBSTITUTE(B46,"#",""),4),2),RIGHT(SUBSTITUTE(B46,"#",""),2)),,,Trigger)-1&amp;"D",SUBSTITUTE(B46,"/","")))</f>
        <v>18Y</v>
      </c>
      <c r="D46" s="101">
        <f t="shared" si="1"/>
        <v>2</v>
      </c>
      <c r="E46" s="101" t="str">
        <f t="shared" si="2"/>
        <v>Annual</v>
      </c>
      <c r="F46" s="97" t="str">
        <f t="shared" si="3"/>
        <v>Modified Following</v>
      </c>
      <c r="G46" s="100" t="str">
        <f t="shared" si="4"/>
        <v>TRUE</v>
      </c>
      <c r="H46" s="97" t="str">
        <f t="shared" si="5"/>
        <v>30/360 (Bond Basis)</v>
      </c>
      <c r="I46" s="102">
        <v>1.077778433E-2</v>
      </c>
      <c r="J46" s="89" t="str">
        <f>IF(LEFT(A46,1)="D",_xll.qlDepositRateHelper2(,I46,IF(RIGHT(C46,1)="N","1D",C46),D46,Calendar,F46,G46,H46,,Trigger),IF(A46="Sw",_xll.qlSwapRateHelper2(,I46,D46,C46,Calendar,"Annual",F46,H46,"Euribor"&amp;$H$1,0,"0D",Discounting,,,,Trigger),IF(A46="Fr",_xll.qlFraRateHelper(,I46,SUBSTITUTE(LEFT(C46,2),"M","")&amp;"M","Euribor"&amp;$H$1,,,,Trigger),IF(A46="Sf",_xll.qlFuturesRateHelper(,I46,,C46,"Euribor"&amp;$H$1,0,,Trigger),"--"))))</f>
        <v>obj_00119#0004</v>
      </c>
      <c r="K46" s="98" t="b">
        <f t="shared" si="6"/>
        <v>1</v>
      </c>
      <c r="M46" s="9" t="str">
        <v>Sw</v>
      </c>
      <c r="N46" s="9" t="str">
        <v>18Y</v>
      </c>
      <c r="O46" s="9" t="str">
        <v>obj_00119#0004</v>
      </c>
      <c r="P46" s="96">
        <f>_xll.qlRateHelperRate(O46,Trigger)</f>
        <v>1.077778433E-2</v>
      </c>
      <c r="Q46" s="10">
        <f>_xll.qlRateHelperEarliestDate(O46,Trigger)</f>
        <v>42502</v>
      </c>
      <c r="R46" s="10">
        <f>_xll.qlRateHelperPillarDate(O46,Trigger)</f>
        <v>49076</v>
      </c>
      <c r="S46" s="96">
        <v>1.0951183819264992E-2</v>
      </c>
    </row>
    <row r="47" spans="1:19" ht="11.25" customHeight="1" x14ac:dyDescent="0.2">
      <c r="A47" s="91" t="str">
        <v>Sw</v>
      </c>
      <c r="B47" s="91" t="str">
        <v>19Y</v>
      </c>
      <c r="C47" s="91" t="str">
        <f>IF(A47="Sf",_xll.qlIMMNextCode(B47,Trigger),IF(LEFT(B47,1)="#",_xll.qlCalendarBusinessDaysBetween(Calendar,Settlementdate,DATE(LEFT(SUBSTITUTE(B47,"#",""),4),LEFT(RIGHT(SUBSTITUTE(B47,"#",""),4),2),RIGHT(SUBSTITUTE(B47,"#",""),2)),,,Trigger)-1&amp;"D",SUBSTITUTE(B47,"/","")))</f>
        <v>19Y</v>
      </c>
      <c r="D47" s="101">
        <f t="shared" si="1"/>
        <v>2</v>
      </c>
      <c r="E47" s="101" t="str">
        <f t="shared" si="2"/>
        <v>Annual</v>
      </c>
      <c r="F47" s="97" t="str">
        <f t="shared" si="3"/>
        <v>Modified Following</v>
      </c>
      <c r="G47" s="100" t="str">
        <f t="shared" si="4"/>
        <v>TRUE</v>
      </c>
      <c r="H47" s="97" t="str">
        <f t="shared" si="5"/>
        <v>30/360 (Bond Basis)</v>
      </c>
      <c r="I47" s="102">
        <v>1.0965417539999999E-2</v>
      </c>
      <c r="J47" s="89" t="str">
        <f>IF(LEFT(A47,1)="D",_xll.qlDepositRateHelper2(,I47,IF(RIGHT(C47,1)="N","1D",C47),D47,Calendar,F47,G47,H47,,Trigger),IF(A47="Sw",_xll.qlSwapRateHelper2(,I47,D47,C47,Calendar,"Annual",F47,H47,"Euribor"&amp;$H$1,0,"0D",Discounting,,,,Trigger),IF(A47="Fr",_xll.qlFraRateHelper(,I47,SUBSTITUTE(LEFT(C47,2),"M","")&amp;"M","Euribor"&amp;$H$1,,,,Trigger),IF(A47="Sf",_xll.qlFuturesRateHelper(,I47,,C47,"Euribor"&amp;$H$1,0,,Trigger),"--"))))</f>
        <v>obj_00121#0004</v>
      </c>
      <c r="K47" s="98" t="b">
        <f t="shared" si="6"/>
        <v>1</v>
      </c>
      <c r="M47" s="9" t="str">
        <v>Sw</v>
      </c>
      <c r="N47" s="9" t="str">
        <v>19Y</v>
      </c>
      <c r="O47" s="9" t="str">
        <v>obj_00121#0004</v>
      </c>
      <c r="P47" s="96">
        <f>_xll.qlRateHelperRate(O47,Trigger)</f>
        <v>1.0965417539999999E-2</v>
      </c>
      <c r="Q47" s="10">
        <f>_xll.qlRateHelperEarliestDate(O47,Trigger)</f>
        <v>42502</v>
      </c>
      <c r="R47" s="10">
        <f>_xll.qlRateHelperPillarDate(O47,Trigger)</f>
        <v>49443</v>
      </c>
      <c r="S47" s="96">
        <v>1.1146762499433799E-2</v>
      </c>
    </row>
    <row r="48" spans="1:19" ht="11.25" customHeight="1" x14ac:dyDescent="0.2">
      <c r="A48" s="91" t="str">
        <v>Sw</v>
      </c>
      <c r="B48" s="91" t="str">
        <v>20Y</v>
      </c>
      <c r="C48" s="91" t="str">
        <f>IF(A48="Sf",_xll.qlIMMNextCode(B48,Trigger),IF(LEFT(B48,1)="#",_xll.qlCalendarBusinessDaysBetween(Calendar,Settlementdate,DATE(LEFT(SUBSTITUTE(B48,"#",""),4),LEFT(RIGHT(SUBSTITUTE(B48,"#",""),4),2),RIGHT(SUBSTITUTE(B48,"#",""),2)),,,Trigger)-1&amp;"D",SUBSTITUTE(B48,"/","")))</f>
        <v>20Y</v>
      </c>
      <c r="D48" s="101">
        <f t="shared" si="1"/>
        <v>2</v>
      </c>
      <c r="E48" s="101" t="str">
        <f t="shared" si="2"/>
        <v>Annual</v>
      </c>
      <c r="F48" s="97" t="str">
        <f t="shared" si="3"/>
        <v>Modified Following</v>
      </c>
      <c r="G48" s="100" t="str">
        <f t="shared" si="4"/>
        <v>TRUE</v>
      </c>
      <c r="H48" s="97" t="str">
        <f t="shared" si="5"/>
        <v>30/360 (Bond Basis)</v>
      </c>
      <c r="I48" s="102">
        <v>1.111E-2</v>
      </c>
      <c r="J48" s="89" t="str">
        <f>IF(LEFT(A48,1)="D",_xll.qlDepositRateHelper2(,I48,IF(RIGHT(C48,1)="N","1D",C48),D48,Calendar,F48,G48,H48,,Trigger),IF(A48="Sw",_xll.qlSwapRateHelper2(,I48,D48,C48,Calendar,"Annual",F48,H48,"Euribor"&amp;$H$1,0,"0D",Discounting,,,,Trigger),IF(A48="Fr",_xll.qlFraRateHelper(,I48,SUBSTITUTE(LEFT(C48,2),"M","")&amp;"M","Euribor"&amp;$H$1,,,,Trigger),IF(A48="Sf",_xll.qlFuturesRateHelper(,I48,,C48,"Euribor"&amp;$H$1,0,,Trigger),"--"))))</f>
        <v>obj_0010f#0004</v>
      </c>
      <c r="K48" s="98" t="b">
        <f t="shared" si="6"/>
        <v>1</v>
      </c>
      <c r="M48" s="9" t="str">
        <v>Sw</v>
      </c>
      <c r="N48" s="9" t="str">
        <v>20Y</v>
      </c>
      <c r="O48" s="9" t="str">
        <v>obj_0010f#0004</v>
      </c>
      <c r="P48" s="96">
        <f>_xll.qlRateHelperRate(O48,Trigger)</f>
        <v>1.111E-2</v>
      </c>
      <c r="Q48" s="10">
        <f>_xll.qlRateHelperEarliestDate(O48,Trigger)</f>
        <v>42502</v>
      </c>
      <c r="R48" s="10">
        <f>_xll.qlRateHelperPillarDate(O48,Trigger)</f>
        <v>49807</v>
      </c>
      <c r="S48" s="96">
        <v>1.1294534000513751E-2</v>
      </c>
    </row>
    <row r="49" spans="1:19" ht="11.25" customHeight="1" x14ac:dyDescent="0.2">
      <c r="A49" s="91" t="str">
        <v>Sw</v>
      </c>
      <c r="B49" s="91" t="str">
        <v>21Y</v>
      </c>
      <c r="C49" s="91" t="str">
        <f>IF(A49="Sf",_xll.qlIMMNextCode(B49,Trigger),IF(LEFT(B49,1)="#",_xll.qlCalendarBusinessDaysBetween(Calendar,Settlementdate,DATE(LEFT(SUBSTITUTE(B49,"#",""),4),LEFT(RIGHT(SUBSTITUTE(B49,"#",""),4),2),RIGHT(SUBSTITUTE(B49,"#",""),2)),,,Trigger)-1&amp;"D",SUBSTITUTE(B49,"/","")))</f>
        <v>21Y</v>
      </c>
      <c r="D49" s="101">
        <f t="shared" si="1"/>
        <v>2</v>
      </c>
      <c r="E49" s="101" t="str">
        <f t="shared" si="2"/>
        <v>Annual</v>
      </c>
      <c r="F49" s="97" t="str">
        <f t="shared" si="3"/>
        <v>Modified Following</v>
      </c>
      <c r="G49" s="100" t="str">
        <f t="shared" si="4"/>
        <v>TRUE</v>
      </c>
      <c r="H49" s="97" t="str">
        <f t="shared" si="5"/>
        <v>30/360 (Bond Basis)</v>
      </c>
      <c r="I49" s="102">
        <v>1.121614537E-2</v>
      </c>
      <c r="J49" s="89" t="str">
        <f>IF(LEFT(A49,1)="D",_xll.qlDepositRateHelper2(,I49,IF(RIGHT(C49,1)="N","1D",C49),D49,Calendar,F49,G49,H49,,Trigger),IF(A49="Sw",_xll.qlSwapRateHelper2(,I49,D49,C49,Calendar,"Annual",F49,H49,"Euribor"&amp;$H$1,0,"0D",Discounting,,,,Trigger),IF(A49="Fr",_xll.qlFraRateHelper(,I49,SUBSTITUTE(LEFT(C49,2),"M","")&amp;"M","Euribor"&amp;$H$1,,,,Trigger),IF(A49="Sf",_xll.qlFuturesRateHelper(,I49,,C49,"Euribor"&amp;$H$1,0,,Trigger),"--"))))</f>
        <v>obj_00105#0004</v>
      </c>
      <c r="K49" s="98" t="b">
        <f t="shared" si="6"/>
        <v>1</v>
      </c>
      <c r="M49" s="9" t="str">
        <v>Sw</v>
      </c>
      <c r="N49" s="9" t="str">
        <v>21Y</v>
      </c>
      <c r="O49" s="9" t="str">
        <v>obj_00105#0004</v>
      </c>
      <c r="P49" s="96">
        <f>_xll.qlRateHelperRate(O49,Trigger)</f>
        <v>1.121614537E-2</v>
      </c>
      <c r="Q49" s="10">
        <f>_xll.qlRateHelperEarliestDate(O49,Trigger)</f>
        <v>42502</v>
      </c>
      <c r="R49" s="10">
        <f>_xll.qlRateHelperPillarDate(O49,Trigger)</f>
        <v>50172</v>
      </c>
      <c r="S49" s="96">
        <v>1.1402083132132959E-2</v>
      </c>
    </row>
    <row r="50" spans="1:19" ht="11.25" customHeight="1" x14ac:dyDescent="0.2">
      <c r="A50" s="91" t="str">
        <v>Sw</v>
      </c>
      <c r="B50" s="91" t="str">
        <v>22Y</v>
      </c>
      <c r="C50" s="91" t="str">
        <f>IF(A50="Sf",_xll.qlIMMNextCode(B50,Trigger),IF(LEFT(B50,1)="#",_xll.qlCalendarBusinessDaysBetween(Calendar,Settlementdate,DATE(LEFT(SUBSTITUTE(B50,"#",""),4),LEFT(RIGHT(SUBSTITUTE(B50,"#",""),4),2),RIGHT(SUBSTITUTE(B50,"#",""),2)),,,Trigger)-1&amp;"D",SUBSTITUTE(B50,"/","")))</f>
        <v>22Y</v>
      </c>
      <c r="D50" s="101">
        <f t="shared" si="1"/>
        <v>2</v>
      </c>
      <c r="E50" s="101" t="str">
        <f t="shared" si="2"/>
        <v>Annual</v>
      </c>
      <c r="F50" s="97" t="str">
        <f t="shared" si="3"/>
        <v>Modified Following</v>
      </c>
      <c r="G50" s="100" t="str">
        <f t="shared" si="4"/>
        <v>TRUE</v>
      </c>
      <c r="H50" s="97" t="str">
        <f t="shared" si="5"/>
        <v>30/360 (Bond Basis)</v>
      </c>
      <c r="I50" s="102">
        <v>1.1292468929999999E-2</v>
      </c>
      <c r="J50" s="89" t="str">
        <f>IF(LEFT(A50,1)="D",_xll.qlDepositRateHelper2(,I50,IF(RIGHT(C50,1)="N","1D",C50),D50,Calendar,F50,G50,H50,,Trigger),IF(A50="Sw",_xll.qlSwapRateHelper2(,I50,D50,C50,Calendar,"Annual",F50,H50,"Euribor"&amp;$H$1,0,"0D",Discounting,,,,Trigger),IF(A50="Fr",_xll.qlFraRateHelper(,I50,SUBSTITUTE(LEFT(C50,2),"M","")&amp;"M","Euribor"&amp;$H$1,,,,Trigger),IF(A50="Sf",_xll.qlFuturesRateHelper(,I50,,C50,"Euribor"&amp;$H$1,0,,Trigger),"--"))))</f>
        <v>obj_00106#0004</v>
      </c>
      <c r="K50" s="98" t="b">
        <f t="shared" si="6"/>
        <v>1</v>
      </c>
      <c r="M50" s="9" t="str">
        <v>Sw</v>
      </c>
      <c r="N50" s="9" t="str">
        <v>22Y</v>
      </c>
      <c r="O50" s="9" t="str">
        <v>obj_00106#0004</v>
      </c>
      <c r="P50" s="96">
        <f>_xll.qlRateHelperRate(O50,Trigger)</f>
        <v>1.1292468929999999E-2</v>
      </c>
      <c r="Q50" s="10">
        <f>_xll.qlRateHelperEarliestDate(O50,Trigger)</f>
        <v>42502</v>
      </c>
      <c r="R50" s="10">
        <f>_xll.qlRateHelperPillarDate(O50,Trigger)</f>
        <v>50537</v>
      </c>
      <c r="S50" s="96">
        <v>1.1477110517348036E-2</v>
      </c>
    </row>
    <row r="51" spans="1:19" ht="11.25" customHeight="1" x14ac:dyDescent="0.2">
      <c r="A51" s="91" t="str">
        <v>Sw</v>
      </c>
      <c r="B51" s="91" t="str">
        <v>23Y</v>
      </c>
      <c r="C51" s="91" t="str">
        <f>IF(A51="Sf",_xll.qlIMMNextCode(B51,Trigger),IF(LEFT(B51,1)="#",_xll.qlCalendarBusinessDaysBetween(Calendar,Settlementdate,DATE(LEFT(SUBSTITUTE(B51,"#",""),4),LEFT(RIGHT(SUBSTITUTE(B51,"#",""),4),2),RIGHT(SUBSTITUTE(B51,"#",""),2)),,,Trigger)-1&amp;"D",SUBSTITUTE(B51,"/","")))</f>
        <v>23Y</v>
      </c>
      <c r="D51" s="101">
        <f t="shared" si="1"/>
        <v>2</v>
      </c>
      <c r="E51" s="101" t="str">
        <f t="shared" si="2"/>
        <v>Annual</v>
      </c>
      <c r="F51" s="97" t="str">
        <f t="shared" si="3"/>
        <v>Modified Following</v>
      </c>
      <c r="G51" s="100" t="str">
        <f t="shared" si="4"/>
        <v>TRUE</v>
      </c>
      <c r="H51" s="97" t="str">
        <f t="shared" si="5"/>
        <v>30/360 (Bond Basis)</v>
      </c>
      <c r="I51" s="102">
        <v>1.1343520380000001E-2</v>
      </c>
      <c r="J51" s="89" t="str">
        <f>IF(LEFT(A51,1)="D",_xll.qlDepositRateHelper2(,I51,IF(RIGHT(C51,1)="N","1D",C51),D51,Calendar,F51,G51,H51,,Trigger),IF(A51="Sw",_xll.qlSwapRateHelper2(,I51,D51,C51,Calendar,"Annual",F51,H51,"Euribor"&amp;$H$1,0,"0D",Discounting,,,,Trigger),IF(A51="Fr",_xll.qlFraRateHelper(,I51,SUBSTITUTE(LEFT(C51,2),"M","")&amp;"M","Euribor"&amp;$H$1,,,,Trigger),IF(A51="Sf",_xll.qlFuturesRateHelper(,I51,,C51,"Euribor"&amp;$H$1,0,,Trigger),"--"))))</f>
        <v>obj_00100#0004</v>
      </c>
      <c r="K51" s="98" t="b">
        <f t="shared" si="6"/>
        <v>1</v>
      </c>
      <c r="M51" s="9" t="str">
        <v>Sw</v>
      </c>
      <c r="N51" s="9" t="str">
        <v>23Y</v>
      </c>
      <c r="O51" s="9" t="str">
        <v>obj_00100#0004</v>
      </c>
      <c r="P51" s="96">
        <f>_xll.qlRateHelperRate(O51,Trigger)</f>
        <v>1.1343520380000001E-2</v>
      </c>
      <c r="Q51" s="10">
        <f>_xll.qlRateHelperEarliestDate(O51,Trigger)</f>
        <v>42502</v>
      </c>
      <c r="R51" s="10">
        <f>_xll.qlRateHelperPillarDate(O51,Trigger)</f>
        <v>50902</v>
      </c>
      <c r="S51" s="96">
        <v>1.152442653158446E-2</v>
      </c>
    </row>
    <row r="52" spans="1:19" ht="11.25" customHeight="1" x14ac:dyDescent="0.2">
      <c r="A52" s="91" t="str">
        <v>Sw</v>
      </c>
      <c r="B52" s="91" t="str">
        <v>24Y</v>
      </c>
      <c r="C52" s="91" t="str">
        <f>IF(A52="Sf",_xll.qlIMMNextCode(B52,Trigger),IF(LEFT(B52,1)="#",_xll.qlCalendarBusinessDaysBetween(Calendar,Settlementdate,DATE(LEFT(SUBSTITUTE(B52,"#",""),4),LEFT(RIGHT(SUBSTITUTE(B52,"#",""),4),2),RIGHT(SUBSTITUTE(B52,"#",""),2)),,,Trigger)-1&amp;"D",SUBSTITUTE(B52,"/","")))</f>
        <v>24Y</v>
      </c>
      <c r="D52" s="101">
        <f t="shared" si="1"/>
        <v>2</v>
      </c>
      <c r="E52" s="101" t="str">
        <f t="shared" si="2"/>
        <v>Annual</v>
      </c>
      <c r="F52" s="97" t="str">
        <f t="shared" si="3"/>
        <v>Modified Following</v>
      </c>
      <c r="G52" s="100" t="str">
        <f t="shared" si="4"/>
        <v>TRUE</v>
      </c>
      <c r="H52" s="97" t="str">
        <f t="shared" si="5"/>
        <v>30/360 (Bond Basis)</v>
      </c>
      <c r="I52" s="102">
        <v>1.137527008E-2</v>
      </c>
      <c r="J52" s="89" t="str">
        <f>IF(LEFT(A52,1)="D",_xll.qlDepositRateHelper2(,I52,IF(RIGHT(C52,1)="N","1D",C52),D52,Calendar,F52,G52,H52,,Trigger),IF(A52="Sw",_xll.qlSwapRateHelper2(,I52,D52,C52,Calendar,"Annual",F52,H52,"Euribor"&amp;$H$1,0,"0D",Discounting,,,,Trigger),IF(A52="Fr",_xll.qlFraRateHelper(,I52,SUBSTITUTE(LEFT(C52,2),"M","")&amp;"M","Euribor"&amp;$H$1,,,,Trigger),IF(A52="Sf",_xll.qlFuturesRateHelper(,I52,,C52,"Euribor"&amp;$H$1,0,,Trigger),"--"))))</f>
        <v>obj_00103#0004</v>
      </c>
      <c r="K52" s="98" t="b">
        <f t="shared" si="6"/>
        <v>1</v>
      </c>
      <c r="M52" s="9" t="str">
        <v>Sw</v>
      </c>
      <c r="N52" s="9" t="str">
        <v>24Y</v>
      </c>
      <c r="O52" s="9" t="str">
        <v>obj_00103#0004</v>
      </c>
      <c r="P52" s="96">
        <f>_xll.qlRateHelperRate(O52,Trigger)</f>
        <v>1.137527008E-2</v>
      </c>
      <c r="Q52" s="10">
        <f>_xll.qlRateHelperEarliestDate(O52,Trigger)</f>
        <v>42502</v>
      </c>
      <c r="R52" s="10">
        <f>_xll.qlRateHelperPillarDate(O52,Trigger)</f>
        <v>51270</v>
      </c>
      <c r="S52" s="96">
        <v>1.1549219742523171E-2</v>
      </c>
    </row>
    <row r="53" spans="1:19" ht="11.25" customHeight="1" x14ac:dyDescent="0.2">
      <c r="A53" s="91" t="str">
        <v>Sw</v>
      </c>
      <c r="B53" s="91" t="str">
        <v>25Y</v>
      </c>
      <c r="C53" s="91" t="str">
        <f>IF(A53="Sf",_xll.qlIMMNextCode(B53,Trigger),IF(LEFT(B53,1)="#",_xll.qlCalendarBusinessDaysBetween(Calendar,Settlementdate,DATE(LEFT(SUBSTITUTE(B53,"#",""),4),LEFT(RIGHT(SUBSTITUTE(B53,"#",""),4),2),RIGHT(SUBSTITUTE(B53,"#",""),2)),,,Trigger)-1&amp;"D",SUBSTITUTE(B53,"/","")))</f>
        <v>25Y</v>
      </c>
      <c r="D53" s="101">
        <f t="shared" si="1"/>
        <v>2</v>
      </c>
      <c r="E53" s="101" t="str">
        <f t="shared" si="2"/>
        <v>Annual</v>
      </c>
      <c r="F53" s="97" t="str">
        <f t="shared" si="3"/>
        <v>Modified Following</v>
      </c>
      <c r="G53" s="100" t="str">
        <f t="shared" si="4"/>
        <v>TRUE</v>
      </c>
      <c r="H53" s="97" t="str">
        <f t="shared" si="5"/>
        <v>30/360 (Bond Basis)</v>
      </c>
      <c r="I53" s="102">
        <v>1.1390000000000001E-2</v>
      </c>
      <c r="J53" s="89" t="str">
        <f>IF(LEFT(A53,1)="D",_xll.qlDepositRateHelper2(,I53,IF(RIGHT(C53,1)="N","1D",C53),D53,Calendar,F53,G53,H53,,Trigger),IF(A53="Sw",_xll.qlSwapRateHelper2(,I53,D53,C53,Calendar,"Annual",F53,H53,"Euribor"&amp;$H$1,0,"0D",Discounting,,,,Trigger),IF(A53="Fr",_xll.qlFraRateHelper(,I53,SUBSTITUTE(LEFT(C53,2),"M","")&amp;"M","Euribor"&amp;$H$1,,,,Trigger),IF(A53="Sf",_xll.qlFuturesRateHelper(,I53,,C53,"Euribor"&amp;$H$1,0,,Trigger),"--"))))</f>
        <v>obj_0011d#0004</v>
      </c>
      <c r="K53" s="98" t="b">
        <f t="shared" si="6"/>
        <v>1</v>
      </c>
      <c r="M53" s="9" t="str">
        <v>Sw</v>
      </c>
      <c r="N53" s="9" t="str">
        <v>25Y</v>
      </c>
      <c r="O53" s="9" t="str">
        <v>obj_0011d#0004</v>
      </c>
      <c r="P53" s="96">
        <f>_xll.qlRateHelperRate(O53,Trigger)</f>
        <v>1.1390000000000001E-2</v>
      </c>
      <c r="Q53" s="10">
        <f>_xll.qlRateHelperEarliestDate(O53,Trigger)</f>
        <v>42502</v>
      </c>
      <c r="R53" s="10">
        <f>_xll.qlRateHelperPillarDate(O53,Trigger)</f>
        <v>51634</v>
      </c>
      <c r="S53" s="96">
        <v>1.155666664260986E-2</v>
      </c>
    </row>
    <row r="54" spans="1:19" ht="11.25" customHeight="1" x14ac:dyDescent="0.2">
      <c r="A54" s="91" t="str">
        <v>Sw</v>
      </c>
      <c r="B54" s="91" t="str">
        <v>26Y</v>
      </c>
      <c r="C54" s="91" t="str">
        <f>IF(A54="Sf",_xll.qlIMMNextCode(B54,Trigger),IF(LEFT(B54,1)="#",_xll.qlCalendarBusinessDaysBetween(Calendar,Settlementdate,DATE(LEFT(SUBSTITUTE(B54,"#",""),4),LEFT(RIGHT(SUBSTITUTE(B54,"#",""),4),2),RIGHT(SUBSTITUTE(B54,"#",""),2)),,,Trigger)-1&amp;"D",SUBSTITUTE(B54,"/","")))</f>
        <v>26Y</v>
      </c>
      <c r="D54" s="101">
        <f t="shared" si="1"/>
        <v>2</v>
      </c>
      <c r="E54" s="101" t="str">
        <f t="shared" si="2"/>
        <v>Annual</v>
      </c>
      <c r="F54" s="97" t="str">
        <f t="shared" si="3"/>
        <v>Modified Following</v>
      </c>
      <c r="G54" s="100" t="str">
        <f t="shared" si="4"/>
        <v>TRUE</v>
      </c>
      <c r="H54" s="97" t="str">
        <f t="shared" si="5"/>
        <v>30/360 (Bond Basis)</v>
      </c>
      <c r="I54" s="102">
        <v>1.139313778E-2</v>
      </c>
      <c r="J54" s="89" t="str">
        <f>IF(LEFT(A54,1)="D",_xll.qlDepositRateHelper2(,I54,IF(RIGHT(C54,1)="N","1D",C54),D54,Calendar,F54,G54,H54,,Trigger),IF(A54="Sw",_xll.qlSwapRateHelper2(,I54,D54,C54,Calendar,"Annual",F54,H54,"Euribor"&amp;$H$1,0,"0D",Discounting,,,,Trigger),IF(A54="Fr",_xll.qlFraRateHelper(,I54,SUBSTITUTE(LEFT(C54,2),"M","")&amp;"M","Euribor"&amp;$H$1,,,,Trigger),IF(A54="Sf",_xll.qlFuturesRateHelper(,I54,,C54,"Euribor"&amp;$H$1,0,,Trigger),"--"))))</f>
        <v>obj_0011b#0004</v>
      </c>
      <c r="K54" s="98" t="b">
        <f t="shared" si="6"/>
        <v>1</v>
      </c>
      <c r="M54" s="9" t="str">
        <v>Sw</v>
      </c>
      <c r="N54" s="9" t="str">
        <v>26Y</v>
      </c>
      <c r="O54" s="9" t="str">
        <v>obj_0011b#0004</v>
      </c>
      <c r="P54" s="96">
        <f>_xll.qlRateHelperRate(O54,Trigger)</f>
        <v>1.139313778E-2</v>
      </c>
      <c r="Q54" s="10">
        <f>_xll.qlRateHelperEarliestDate(O54,Trigger)</f>
        <v>42502</v>
      </c>
      <c r="R54" s="10">
        <f>_xll.qlRateHelperPillarDate(O54,Trigger)</f>
        <v>51998</v>
      </c>
      <c r="S54" s="96">
        <v>1.1551431207812745E-2</v>
      </c>
    </row>
    <row r="55" spans="1:19" ht="11.25" customHeight="1" x14ac:dyDescent="0.2">
      <c r="A55" s="91" t="str">
        <v>Sw</v>
      </c>
      <c r="B55" s="91" t="str">
        <v>27Y</v>
      </c>
      <c r="C55" s="91" t="str">
        <f>IF(A55="Sf",_xll.qlIMMNextCode(B55,Trigger),IF(LEFT(B55,1)="#",_xll.qlCalendarBusinessDaysBetween(Calendar,Settlementdate,DATE(LEFT(SUBSTITUTE(B55,"#",""),4),LEFT(RIGHT(SUBSTITUTE(B55,"#",""),4),2),RIGHT(SUBSTITUTE(B55,"#",""),2)),,,Trigger)-1&amp;"D",SUBSTITUTE(B55,"/","")))</f>
        <v>27Y</v>
      </c>
      <c r="D55" s="101">
        <f t="shared" si="1"/>
        <v>2</v>
      </c>
      <c r="E55" s="101" t="str">
        <f t="shared" si="2"/>
        <v>Annual</v>
      </c>
      <c r="F55" s="97" t="str">
        <f t="shared" si="3"/>
        <v>Modified Following</v>
      </c>
      <c r="G55" s="100" t="str">
        <f t="shared" si="4"/>
        <v>TRUE</v>
      </c>
      <c r="H55" s="97" t="str">
        <f t="shared" si="5"/>
        <v>30/360 (Bond Basis)</v>
      </c>
      <c r="I55" s="102">
        <v>1.138745272E-2</v>
      </c>
      <c r="J55" s="89" t="str">
        <f>IF(LEFT(A55,1)="D",_xll.qlDepositRateHelper2(,I55,IF(RIGHT(C55,1)="N","1D",C55),D55,Calendar,F55,G55,H55,,Trigger),IF(A55="Sw",_xll.qlSwapRateHelper2(,I55,D55,C55,Calendar,"Annual",F55,H55,"Euribor"&amp;$H$1,0,"0D",Discounting,,,,Trigger),IF(A55="Fr",_xll.qlFraRateHelper(,I55,SUBSTITUTE(LEFT(C55,2),"M","")&amp;"M","Euribor"&amp;$H$1,,,,Trigger),IF(A55="Sf",_xll.qlFuturesRateHelper(,I55,,C55,"Euribor"&amp;$H$1,0,,Trigger),"--"))))</f>
        <v>obj_000fd#0004</v>
      </c>
      <c r="K55" s="98" t="b">
        <f t="shared" si="6"/>
        <v>1</v>
      </c>
      <c r="M55" s="9" t="str">
        <v>Sw</v>
      </c>
      <c r="N55" s="9" t="str">
        <v>27Y</v>
      </c>
      <c r="O55" s="9" t="str">
        <v>obj_000fd#0004</v>
      </c>
      <c r="P55" s="96">
        <f>_xll.qlRateHelperRate(O55,Trigger)</f>
        <v>1.138745272E-2</v>
      </c>
      <c r="Q55" s="10">
        <f>_xll.qlRateHelperEarliestDate(O55,Trigger)</f>
        <v>42502</v>
      </c>
      <c r="R55" s="10">
        <f>_xll.qlRateHelperPillarDate(O55,Trigger)</f>
        <v>52363</v>
      </c>
      <c r="S55" s="96">
        <v>1.1536582650943716E-2</v>
      </c>
    </row>
    <row r="56" spans="1:19" ht="11.25" customHeight="1" x14ac:dyDescent="0.2">
      <c r="A56" s="91" t="str">
        <v>Sw</v>
      </c>
      <c r="B56" s="91" t="str">
        <v>28Y</v>
      </c>
      <c r="C56" s="91" t="str">
        <f>IF(A56="Sf",_xll.qlIMMNextCode(B56,Trigger),IF(LEFT(B56,1)="#",_xll.qlCalendarBusinessDaysBetween(Calendar,Settlementdate,DATE(LEFT(SUBSTITUTE(B56,"#",""),4),LEFT(RIGHT(SUBSTITUTE(B56,"#",""),4),2),RIGHT(SUBSTITUTE(B56,"#",""),2)),,,Trigger)-1&amp;"D",SUBSTITUTE(B56,"/","")))</f>
        <v>28Y</v>
      </c>
      <c r="D56" s="101">
        <f t="shared" si="1"/>
        <v>2</v>
      </c>
      <c r="E56" s="101" t="str">
        <f t="shared" si="2"/>
        <v>Annual</v>
      </c>
      <c r="F56" s="97" t="str">
        <f t="shared" si="3"/>
        <v>Modified Following</v>
      </c>
      <c r="G56" s="100" t="str">
        <f t="shared" si="4"/>
        <v>TRUE</v>
      </c>
      <c r="H56" s="97" t="str">
        <f t="shared" si="5"/>
        <v>30/360 (Bond Basis)</v>
      </c>
      <c r="I56" s="102">
        <v>1.1376003189999999E-2</v>
      </c>
      <c r="J56" s="89" t="str">
        <f>IF(LEFT(A56,1)="D",_xll.qlDepositRateHelper2(,I56,IF(RIGHT(C56,1)="N","1D",C56),D56,Calendar,F56,G56,H56,,Trigger),IF(A56="Sw",_xll.qlSwapRateHelper2(,I56,D56,C56,Calendar,"Annual",F56,H56,"Euribor"&amp;$H$1,0,"0D",Discounting,,,,Trigger),IF(A56="Fr",_xll.qlFraRateHelper(,I56,SUBSTITUTE(LEFT(C56,2),"M","")&amp;"M","Euribor"&amp;$H$1,,,,Trigger),IF(A56="Sf",_xll.qlFuturesRateHelper(,I56,,C56,"Euribor"&amp;$H$1,0,,Trigger),"--"))))</f>
        <v>obj_00123#0004</v>
      </c>
      <c r="K56" s="98" t="b">
        <f t="shared" si="6"/>
        <v>1</v>
      </c>
      <c r="M56" s="9" t="str">
        <v>Sw</v>
      </c>
      <c r="N56" s="9" t="str">
        <v>28Y</v>
      </c>
      <c r="O56" s="9" t="str">
        <v>obj_00123#0004</v>
      </c>
      <c r="P56" s="96">
        <f>_xll.qlRateHelperRate(O56,Trigger)</f>
        <v>1.1376003189999999E-2</v>
      </c>
      <c r="Q56" s="10">
        <f>_xll.qlRateHelperEarliestDate(O56,Trigger)</f>
        <v>42502</v>
      </c>
      <c r="R56" s="10">
        <f>_xll.qlRateHelperPillarDate(O56,Trigger)</f>
        <v>52729</v>
      </c>
      <c r="S56" s="96">
        <v>1.1514469382081408E-2</v>
      </c>
    </row>
    <row r="57" spans="1:19" ht="11.25" customHeight="1" x14ac:dyDescent="0.2">
      <c r="A57" s="91" t="str">
        <v>Sw</v>
      </c>
      <c r="B57" s="91" t="str">
        <v>29Y</v>
      </c>
      <c r="C57" s="91" t="str">
        <f>IF(A57="Sf",_xll.qlIMMNextCode(B57,Trigger),IF(LEFT(B57,1)="#",_xll.qlCalendarBusinessDaysBetween(Calendar,Settlementdate,DATE(LEFT(SUBSTITUTE(B57,"#",""),4),LEFT(RIGHT(SUBSTITUTE(B57,"#",""),4),2),RIGHT(SUBSTITUTE(B57,"#",""),2)),,,Trigger)-1&amp;"D",SUBSTITUTE(B57,"/","")))</f>
        <v>29Y</v>
      </c>
      <c r="D57" s="101">
        <f t="shared" si="1"/>
        <v>2</v>
      </c>
      <c r="E57" s="101" t="str">
        <f t="shared" si="2"/>
        <v>Annual</v>
      </c>
      <c r="F57" s="97" t="str">
        <f t="shared" si="3"/>
        <v>Modified Following</v>
      </c>
      <c r="G57" s="100" t="str">
        <f t="shared" si="4"/>
        <v>TRUE</v>
      </c>
      <c r="H57" s="97" t="str">
        <f t="shared" si="5"/>
        <v>30/360 (Bond Basis)</v>
      </c>
      <c r="I57" s="102">
        <v>1.135914509E-2</v>
      </c>
      <c r="J57" s="89" t="str">
        <f>IF(LEFT(A57,1)="D",_xll.qlDepositRateHelper2(,I57,IF(RIGHT(C57,1)="N","1D",C57),D57,Calendar,F57,G57,H57,,Trigger),IF(A57="Sw",_xll.qlSwapRateHelper2(,I57,D57,C57,Calendar,"Annual",F57,H57,"Euribor"&amp;$H$1,0,"0D",Discounting,,,,Trigger),IF(A57="Fr",_xll.qlFraRateHelper(,I57,SUBSTITUTE(LEFT(C57,2),"M","")&amp;"M","Euribor"&amp;$H$1,,,,Trigger),IF(A57="Sf",_xll.qlFuturesRateHelper(,I57,,C57,"Euribor"&amp;$H$1,0,,Trigger),"--"))))</f>
        <v>obj_00113#0004</v>
      </c>
      <c r="K57" s="98" t="b">
        <f t="shared" si="6"/>
        <v>1</v>
      </c>
      <c r="M57" s="9" t="str">
        <v>Sw</v>
      </c>
      <c r="N57" s="9" t="str">
        <v>29Y</v>
      </c>
      <c r="O57" s="9" t="str">
        <v>obj_00113#0004</v>
      </c>
      <c r="P57" s="96">
        <f>_xll.qlRateHelperRate(O57,Trigger)</f>
        <v>1.135914509E-2</v>
      </c>
      <c r="Q57" s="10">
        <f>_xll.qlRateHelperEarliestDate(O57,Trigger)</f>
        <v>42502</v>
      </c>
      <c r="R57" s="10">
        <f>_xll.qlRateHelperPillarDate(O57,Trigger)</f>
        <v>53094</v>
      </c>
      <c r="S57" s="96">
        <v>1.1487712365983104E-2</v>
      </c>
    </row>
    <row r="58" spans="1:19" ht="11.25" customHeight="1" x14ac:dyDescent="0.2">
      <c r="A58" s="91" t="str">
        <v>Sw</v>
      </c>
      <c r="B58" s="91" t="str">
        <v>30Y</v>
      </c>
      <c r="C58" s="91" t="str">
        <f>IF(A58="Sf",_xll.qlIMMNextCode(B58,Trigger),IF(LEFT(B58,1)="#",_xll.qlCalendarBusinessDaysBetween(Calendar,Settlementdate,DATE(LEFT(SUBSTITUTE(B58,"#",""),4),LEFT(RIGHT(SUBSTITUTE(B58,"#",""),4),2),RIGHT(SUBSTITUTE(B58,"#",""),2)),,,Trigger)-1&amp;"D",SUBSTITUTE(B58,"/","")))</f>
        <v>30Y</v>
      </c>
      <c r="D58" s="101">
        <f t="shared" si="1"/>
        <v>2</v>
      </c>
      <c r="E58" s="101" t="str">
        <f t="shared" si="2"/>
        <v>Annual</v>
      </c>
      <c r="F58" s="97" t="str">
        <f t="shared" si="3"/>
        <v>Modified Following</v>
      </c>
      <c r="G58" s="100" t="str">
        <f t="shared" si="4"/>
        <v>TRUE</v>
      </c>
      <c r="H58" s="97" t="str">
        <f t="shared" si="5"/>
        <v>30/360 (Bond Basis)</v>
      </c>
      <c r="I58" s="102">
        <v>1.1339999999999999E-2</v>
      </c>
      <c r="J58" s="89" t="str">
        <f>IF(LEFT(A58,1)="D",_xll.qlDepositRateHelper2(,I58,IF(RIGHT(C58,1)="N","1D",C58),D58,Calendar,F58,G58,H58,,Trigger),IF(A58="Sw",_xll.qlSwapRateHelper2(,I58,D58,C58,Calendar,"Annual",F58,H58,"Euribor"&amp;$H$1,0,"0D",Discounting,,,,Trigger),IF(A58="Fr",_xll.qlFraRateHelper(,I58,SUBSTITUTE(LEFT(C58,2),"M","")&amp;"M","Euribor"&amp;$H$1,,,,Trigger),IF(A58="Sf",_xll.qlFuturesRateHelper(,I58,,C58,"Euribor"&amp;$H$1,0,,Trigger),"--"))))</f>
        <v>obj_0010e#0004</v>
      </c>
      <c r="K58" s="98" t="b">
        <f t="shared" si="6"/>
        <v>1</v>
      </c>
      <c r="M58" s="9" t="str">
        <v>Sw</v>
      </c>
      <c r="N58" s="9" t="str">
        <v>30Y</v>
      </c>
      <c r="O58" s="9" t="str">
        <v>obj_0010e#0004</v>
      </c>
      <c r="P58" s="96">
        <f>_xll.qlRateHelperRate(O58,Trigger)</f>
        <v>1.1339999999999999E-2</v>
      </c>
      <c r="Q58" s="10">
        <f>_xll.qlRateHelperEarliestDate(O58,Trigger)</f>
        <v>42502</v>
      </c>
      <c r="R58" s="10">
        <f>_xll.qlRateHelperPillarDate(O58,Trigger)</f>
        <v>53461</v>
      </c>
      <c r="S58" s="96">
        <v>1.1458722862344655E-2</v>
      </c>
    </row>
    <row r="59" spans="1:19" ht="11.25" customHeight="1" x14ac:dyDescent="0.2">
      <c r="A59" s="91" t="str">
        <v>Sw</v>
      </c>
      <c r="B59" s="91" t="str">
        <v>31Y</v>
      </c>
      <c r="C59" s="91" t="str">
        <f>IF(A59="Sf",_xll.qlIMMNextCode(B59,Trigger),IF(LEFT(B59,1)="#",_xll.qlCalendarBusinessDaysBetween(Calendar,Settlementdate,DATE(LEFT(SUBSTITUTE(B59,"#",""),4),LEFT(RIGHT(SUBSTITUTE(B59,"#",""),4),2),RIGHT(SUBSTITUTE(B59,"#",""),2)),,,Trigger)-1&amp;"D",SUBSTITUTE(B59,"/","")))</f>
        <v>31Y</v>
      </c>
      <c r="D59" s="101">
        <f t="shared" si="1"/>
        <v>2</v>
      </c>
      <c r="E59" s="101" t="str">
        <f t="shared" si="2"/>
        <v>Annual</v>
      </c>
      <c r="F59" s="97" t="str">
        <f t="shared" si="3"/>
        <v>Modified Following</v>
      </c>
      <c r="G59" s="100" t="str">
        <f t="shared" si="4"/>
        <v>TRUE</v>
      </c>
      <c r="H59" s="97" t="str">
        <f t="shared" si="5"/>
        <v>30/360 (Bond Basis)</v>
      </c>
      <c r="I59" s="102">
        <v>1.132010573E-2</v>
      </c>
      <c r="J59" s="89" t="str">
        <f>IF(LEFT(A59,1)="D",_xll.qlDepositRateHelper2(,I59,IF(RIGHT(C59,1)="N","1D",C59),D59,Calendar,F59,G59,H59,,Trigger),IF(A59="Sw",_xll.qlSwapRateHelper2(,I59,D59,C59,Calendar,"Annual",F59,H59,"Euribor"&amp;$H$1,0,"0D",Discounting,,,,Trigger),IF(A59="Fr",_xll.qlFraRateHelper(,I59,SUBSTITUTE(LEFT(C59,2),"M","")&amp;"M","Euribor"&amp;$H$1,,,,Trigger),IF(A59="Sf",_xll.qlFuturesRateHelper(,I59,,C59,"Euribor"&amp;$H$1,0,,Trigger),"--"))))</f>
        <v>obj_000f9#0004</v>
      </c>
      <c r="K59" s="98" t="b">
        <f t="shared" si="6"/>
        <v>1</v>
      </c>
      <c r="M59" s="9" t="str">
        <v>Sw</v>
      </c>
      <c r="N59" s="9" t="str">
        <v>31Y</v>
      </c>
      <c r="O59" s="9" t="str">
        <v>obj_000f9#0004</v>
      </c>
      <c r="P59" s="96">
        <f>_xll.qlRateHelperRate(O59,Trigger)</f>
        <v>1.132010573E-2</v>
      </c>
      <c r="Q59" s="10">
        <f>_xll.qlRateHelperEarliestDate(O59,Trigger)</f>
        <v>42502</v>
      </c>
      <c r="R59" s="10">
        <f>_xll.qlRateHelperPillarDate(O59,Trigger)</f>
        <v>53825</v>
      </c>
      <c r="S59" s="96">
        <v>1.1429300684977585E-2</v>
      </c>
    </row>
    <row r="60" spans="1:19" ht="11.25" customHeight="1" x14ac:dyDescent="0.2">
      <c r="A60" s="91" t="str">
        <v>Sw</v>
      </c>
      <c r="B60" s="91" t="str">
        <v>32Y</v>
      </c>
      <c r="C60" s="91" t="str">
        <f>IF(A60="Sf",_xll.qlIMMNextCode(B60,Trigger),IF(LEFT(B60,1)="#",_xll.qlCalendarBusinessDaysBetween(Calendar,Settlementdate,DATE(LEFT(SUBSTITUTE(B60,"#",""),4),LEFT(RIGHT(SUBSTITUTE(B60,"#",""),4),2),RIGHT(SUBSTITUTE(B60,"#",""),2)),,,Trigger)-1&amp;"D",SUBSTITUTE(B60,"/","")))</f>
        <v>32Y</v>
      </c>
      <c r="D60" s="101">
        <f t="shared" si="1"/>
        <v>2</v>
      </c>
      <c r="E60" s="101" t="str">
        <f t="shared" si="2"/>
        <v>Annual</v>
      </c>
      <c r="F60" s="97" t="str">
        <f t="shared" si="3"/>
        <v>Modified Following</v>
      </c>
      <c r="G60" s="100" t="str">
        <f t="shared" si="4"/>
        <v>TRUE</v>
      </c>
      <c r="H60" s="97" t="str">
        <f t="shared" si="5"/>
        <v>30/360 (Bond Basis)</v>
      </c>
      <c r="I60" s="102">
        <v>1.130029559E-2</v>
      </c>
      <c r="J60" s="89" t="str">
        <f>IF(LEFT(A60,1)="D",_xll.qlDepositRateHelper2(,I60,IF(RIGHT(C60,1)="N","1D",C60),D60,Calendar,F60,G60,H60,,Trigger),IF(A60="Sw",_xll.qlSwapRateHelper2(,I60,D60,C60,Calendar,"Annual",F60,H60,"Euribor"&amp;$H$1,0,"0D",Discounting,,,,Trigger),IF(A60="Fr",_xll.qlFraRateHelper(,I60,SUBSTITUTE(LEFT(C60,2),"M","")&amp;"M","Euribor"&amp;$H$1,,,,Trigger),IF(A60="Sf",_xll.qlFuturesRateHelper(,I60,,C60,"Euribor"&amp;$H$1,0,,Trigger),"--"))))</f>
        <v>obj_00116#0004</v>
      </c>
      <c r="K60" s="98" t="b">
        <f t="shared" si="6"/>
        <v>1</v>
      </c>
      <c r="M60" s="9" t="str">
        <v>Sw</v>
      </c>
      <c r="N60" s="9" t="str">
        <v>32Y</v>
      </c>
      <c r="O60" s="9" t="str">
        <v>obj_00116#0004</v>
      </c>
      <c r="P60" s="96">
        <f>_xll.qlRateHelperRate(O60,Trigger)</f>
        <v>1.130029559E-2</v>
      </c>
      <c r="Q60" s="10">
        <f>_xll.qlRateHelperEarliestDate(O60,Trigger)</f>
        <v>42502</v>
      </c>
      <c r="R60" s="10">
        <f>_xll.qlRateHelperPillarDate(O60,Trigger)</f>
        <v>54190</v>
      </c>
      <c r="S60" s="96">
        <v>1.1399383026784523E-2</v>
      </c>
    </row>
    <row r="61" spans="1:19" ht="11.25" customHeight="1" x14ac:dyDescent="0.2">
      <c r="A61" s="91" t="str">
        <v>Sw</v>
      </c>
      <c r="B61" s="91" t="str">
        <v>33Y</v>
      </c>
      <c r="C61" s="91" t="str">
        <f>IF(A61="Sf",_xll.qlIMMNextCode(B61,Trigger),IF(LEFT(B61,1)="#",_xll.qlCalendarBusinessDaysBetween(Calendar,Settlementdate,DATE(LEFT(SUBSTITUTE(B61,"#",""),4),LEFT(RIGHT(SUBSTITUTE(B61,"#",""),4),2),RIGHT(SUBSTITUTE(B61,"#",""),2)),,,Trigger)-1&amp;"D",SUBSTITUTE(B61,"/","")))</f>
        <v>33Y</v>
      </c>
      <c r="D61" s="101">
        <f t="shared" si="1"/>
        <v>2</v>
      </c>
      <c r="E61" s="101" t="str">
        <f t="shared" si="2"/>
        <v>Annual</v>
      </c>
      <c r="F61" s="97" t="str">
        <f t="shared" si="3"/>
        <v>Modified Following</v>
      </c>
      <c r="G61" s="100" t="str">
        <f t="shared" si="4"/>
        <v>TRUE</v>
      </c>
      <c r="H61" s="97" t="str">
        <f t="shared" si="5"/>
        <v>30/360 (Bond Basis)</v>
      </c>
      <c r="I61" s="102">
        <v>1.127789528E-2</v>
      </c>
      <c r="J61" s="89" t="str">
        <f>IF(LEFT(A61,1)="D",_xll.qlDepositRateHelper2(,I61,IF(RIGHT(C61,1)="N","1D",C61),D61,Calendar,F61,G61,H61,,Trigger),IF(A61="Sw",_xll.qlSwapRateHelper2(,I61,D61,C61,Calendar,"Annual",F61,H61,"Euribor"&amp;$H$1,0,"0D",Discounting,,,,Trigger),IF(A61="Fr",_xll.qlFraRateHelper(,I61,SUBSTITUTE(LEFT(C61,2),"M","")&amp;"M","Euribor"&amp;$H$1,,,,Trigger),IF(A61="Sf",_xll.qlFuturesRateHelper(,I61,,C61,"Euribor"&amp;$H$1,0,,Trigger),"--"))))</f>
        <v>obj_0011e#0004</v>
      </c>
      <c r="K61" s="98" t="b">
        <f t="shared" si="6"/>
        <v>1</v>
      </c>
      <c r="M61" s="9" t="str">
        <v>Sw</v>
      </c>
      <c r="N61" s="9" t="str">
        <v>33Y</v>
      </c>
      <c r="O61" s="9" t="str">
        <v>obj_0011e#0004</v>
      </c>
      <c r="P61" s="96">
        <f>_xll.qlRateHelperRate(O61,Trigger)</f>
        <v>1.127789528E-2</v>
      </c>
      <c r="Q61" s="10">
        <f>_xll.qlRateHelperEarliestDate(O61,Trigger)</f>
        <v>42502</v>
      </c>
      <c r="R61" s="10">
        <f>_xll.qlRateHelperPillarDate(O61,Trigger)</f>
        <v>54555</v>
      </c>
      <c r="S61" s="96">
        <v>1.1367711130073092E-2</v>
      </c>
    </row>
    <row r="62" spans="1:19" ht="11.25" customHeight="1" x14ac:dyDescent="0.2">
      <c r="A62" s="91" t="str">
        <v>Sw</v>
      </c>
      <c r="B62" s="91" t="str">
        <v>34Y</v>
      </c>
      <c r="C62" s="91" t="str">
        <f>IF(A62="Sf",_xll.qlIMMNextCode(B62,Trigger),IF(LEFT(B62,1)="#",_xll.qlCalendarBusinessDaysBetween(Calendar,Settlementdate,DATE(LEFT(SUBSTITUTE(B62,"#",""),4),LEFT(RIGHT(SUBSTITUTE(B62,"#",""),4),2),RIGHT(SUBSTITUTE(B62,"#",""),2)),,,Trigger)-1&amp;"D",SUBSTITUTE(B62,"/","")))</f>
        <v>34Y</v>
      </c>
      <c r="D62" s="101">
        <f t="shared" si="1"/>
        <v>2</v>
      </c>
      <c r="E62" s="101" t="str">
        <f t="shared" si="2"/>
        <v>Annual</v>
      </c>
      <c r="F62" s="97" t="str">
        <f t="shared" si="3"/>
        <v>Modified Following</v>
      </c>
      <c r="G62" s="100" t="str">
        <f t="shared" si="4"/>
        <v>TRUE</v>
      </c>
      <c r="H62" s="97" t="str">
        <f t="shared" si="5"/>
        <v>30/360 (Bond Basis)</v>
      </c>
      <c r="I62" s="102">
        <v>1.1253033429999998E-2</v>
      </c>
      <c r="J62" s="89" t="str">
        <f>IF(LEFT(A62,1)="D",_xll.qlDepositRateHelper2(,I62,IF(RIGHT(C62,1)="N","1D",C62),D62,Calendar,F62,G62,H62,,Trigger),IF(A62="Sw",_xll.qlSwapRateHelper2(,I62,D62,C62,Calendar,"Annual",F62,H62,"Euribor"&amp;$H$1,0,"0D",Discounting,,,,Trigger),IF(A62="Fr",_xll.qlFraRateHelper(,I62,SUBSTITUTE(LEFT(C62,2),"M","")&amp;"M","Euribor"&amp;$H$1,,,,Trigger),IF(A62="Sf",_xll.qlFuturesRateHelper(,I62,,C62,"Euribor"&amp;$H$1,0,,Trigger),"--"))))</f>
        <v>obj_00109#0004</v>
      </c>
      <c r="K62" s="98" t="b">
        <f t="shared" si="6"/>
        <v>1</v>
      </c>
      <c r="M62" s="9" t="str">
        <v>Sw</v>
      </c>
      <c r="N62" s="9" t="str">
        <v>34Y</v>
      </c>
      <c r="O62" s="9" t="str">
        <v>obj_00109#0004</v>
      </c>
      <c r="P62" s="96">
        <f>_xll.qlRateHelperRate(O62,Trigger)</f>
        <v>1.1253033429999998E-2</v>
      </c>
      <c r="Q62" s="10">
        <f>_xll.qlRateHelperEarliestDate(O62,Trigger)</f>
        <v>42502</v>
      </c>
      <c r="R62" s="10">
        <f>_xll.qlRateHelperPillarDate(O62,Trigger)</f>
        <v>54920</v>
      </c>
      <c r="S62" s="96">
        <v>1.1333387939679475E-2</v>
      </c>
    </row>
    <row r="63" spans="1:19" ht="11.25" customHeight="1" x14ac:dyDescent="0.2">
      <c r="A63" s="91" t="str">
        <v>Sw</v>
      </c>
      <c r="B63" s="91" t="str">
        <v>35Y</v>
      </c>
      <c r="C63" s="91" t="str">
        <f>IF(A63="Sf",_xll.qlIMMNextCode(B63,Trigger),IF(LEFT(B63,1)="#",_xll.qlCalendarBusinessDaysBetween(Calendar,Settlementdate,DATE(LEFT(SUBSTITUTE(B63,"#",""),4),LEFT(RIGHT(SUBSTITUTE(B63,"#",""),4),2),RIGHT(SUBSTITUTE(B63,"#",""),2)),,,Trigger)-1&amp;"D",SUBSTITUTE(B63,"/","")))</f>
        <v>35Y</v>
      </c>
      <c r="D63" s="101">
        <f t="shared" si="1"/>
        <v>2</v>
      </c>
      <c r="E63" s="101" t="str">
        <f t="shared" si="2"/>
        <v>Annual</v>
      </c>
      <c r="F63" s="97" t="str">
        <f t="shared" si="3"/>
        <v>Modified Following</v>
      </c>
      <c r="G63" s="100" t="str">
        <f t="shared" si="4"/>
        <v>TRUE</v>
      </c>
      <c r="H63" s="97" t="str">
        <f t="shared" si="5"/>
        <v>30/360 (Bond Basis)</v>
      </c>
      <c r="I63" s="102">
        <v>1.1224939769999999E-2</v>
      </c>
      <c r="J63" s="89" t="str">
        <f>IF(LEFT(A63,1)="D",_xll.qlDepositRateHelper2(,I63,IF(RIGHT(C63,1)="N","1D",C63),D63,Calendar,F63,G63,H63,,Trigger),IF(A63="Sw",_xll.qlSwapRateHelper2(,I63,D63,C63,Calendar,"Annual",F63,H63,"Euribor"&amp;$H$1,0,"0D",Discounting,,,,Trigger),IF(A63="Fr",_xll.qlFraRateHelper(,I63,SUBSTITUTE(LEFT(C63,2),"M","")&amp;"M","Euribor"&amp;$H$1,,,,Trigger),IF(A63="Sf",_xll.qlFuturesRateHelper(,I63,,C63,"Euribor"&amp;$H$1,0,,Trigger),"--"))))</f>
        <v>obj_0010d#0004</v>
      </c>
      <c r="K63" s="98" t="b">
        <f t="shared" si="6"/>
        <v>1</v>
      </c>
      <c r="M63" s="9" t="str">
        <v>Sw</v>
      </c>
      <c r="N63" s="9" t="str">
        <v>35Y</v>
      </c>
      <c r="O63" s="9" t="str">
        <v>obj_0010d#0004</v>
      </c>
      <c r="P63" s="96">
        <f>_xll.qlRateHelperRate(O63,Trigger)</f>
        <v>1.1224939769999999E-2</v>
      </c>
      <c r="Q63" s="10">
        <f>_xll.qlRateHelperEarliestDate(O63,Trigger)</f>
        <v>42502</v>
      </c>
      <c r="R63" s="10">
        <f>_xll.qlRateHelperPillarDate(O63,Trigger)</f>
        <v>55285</v>
      </c>
      <c r="S63" s="96">
        <v>1.1295441832113133E-2</v>
      </c>
    </row>
    <row r="64" spans="1:19" ht="11.25" customHeight="1" x14ac:dyDescent="0.2">
      <c r="A64" s="91" t="str">
        <v>Sw</v>
      </c>
      <c r="B64" s="91" t="str">
        <v>36Y</v>
      </c>
      <c r="C64" s="91" t="str">
        <f>IF(A64="Sf",_xll.qlIMMNextCode(B64,Trigger),IF(LEFT(B64,1)="#",_xll.qlCalendarBusinessDaysBetween(Calendar,Settlementdate,DATE(LEFT(SUBSTITUTE(B64,"#",""),4),LEFT(RIGHT(SUBSTITUTE(B64,"#",""),4),2),RIGHT(SUBSTITUTE(B64,"#",""),2)),,,Trigger)-1&amp;"D",SUBSTITUTE(B64,"/","")))</f>
        <v>36Y</v>
      </c>
      <c r="D64" s="101">
        <f t="shared" si="1"/>
        <v>2</v>
      </c>
      <c r="E64" s="101" t="str">
        <f t="shared" si="2"/>
        <v>Annual</v>
      </c>
      <c r="F64" s="97" t="str">
        <f t="shared" si="3"/>
        <v>Modified Following</v>
      </c>
      <c r="G64" s="100" t="str">
        <f t="shared" si="4"/>
        <v>TRUE</v>
      </c>
      <c r="H64" s="97" t="str">
        <f t="shared" si="5"/>
        <v>30/360 (Bond Basis)</v>
      </c>
      <c r="I64" s="102">
        <v>1.1193249819999999E-2</v>
      </c>
      <c r="J64" s="89" t="str">
        <f>IF(LEFT(A64,1)="D",_xll.qlDepositRateHelper2(,I64,IF(RIGHT(C64,1)="N","1D",C64),D64,Calendar,F64,G64,H64,,Trigger),IF(A64="Sw",_xll.qlSwapRateHelper2(,I64,D64,C64,Calendar,"Annual",F64,H64,"Euribor"&amp;$H$1,0,"0D",Discounting,,,,Trigger),IF(A64="Fr",_xll.qlFraRateHelper(,I64,SUBSTITUTE(LEFT(C64,2),"M","")&amp;"M","Euribor"&amp;$H$1,,,,Trigger),IF(A64="Sf",_xll.qlFuturesRateHelper(,I64,,C64,"Euribor"&amp;$H$1,0,,Trigger),"--"))))</f>
        <v>obj_0011c#0004</v>
      </c>
      <c r="K64" s="98" t="b">
        <f t="shared" si="6"/>
        <v>1</v>
      </c>
      <c r="M64" s="9" t="str">
        <v>Sw</v>
      </c>
      <c r="N64" s="9" t="str">
        <v>36Y</v>
      </c>
      <c r="O64" s="9" t="str">
        <v>obj_0011c#0004</v>
      </c>
      <c r="P64" s="96">
        <f>_xll.qlRateHelperRate(O64,Trigger)</f>
        <v>1.1193249819999999E-2</v>
      </c>
      <c r="Q64" s="10">
        <f>_xll.qlRateHelperEarliestDate(O64,Trigger)</f>
        <v>42502</v>
      </c>
      <c r="R64" s="10">
        <f>_xll.qlRateHelperPillarDate(O64,Trigger)</f>
        <v>55652</v>
      </c>
      <c r="S64" s="96">
        <v>1.1252536347196026E-2</v>
      </c>
    </row>
    <row r="65" spans="1:19" ht="11.25" customHeight="1" x14ac:dyDescent="0.2">
      <c r="A65" s="91" t="str">
        <v>Sw</v>
      </c>
      <c r="B65" s="91" t="str">
        <v>37Y</v>
      </c>
      <c r="C65" s="91" t="str">
        <f>IF(A65="Sf",_xll.qlIMMNextCode(B65,Trigger),IF(LEFT(B65,1)="#",_xll.qlCalendarBusinessDaysBetween(Calendar,Settlementdate,DATE(LEFT(SUBSTITUTE(B65,"#",""),4),LEFT(RIGHT(SUBSTITUTE(B65,"#",""),4),2),RIGHT(SUBSTITUTE(B65,"#",""),2)),,,Trigger)-1&amp;"D",SUBSTITUTE(B65,"/","")))</f>
        <v>37Y</v>
      </c>
      <c r="D65" s="101">
        <f t="shared" si="1"/>
        <v>2</v>
      </c>
      <c r="E65" s="101" t="str">
        <f t="shared" si="2"/>
        <v>Annual</v>
      </c>
      <c r="F65" s="97" t="str">
        <f t="shared" si="3"/>
        <v>Modified Following</v>
      </c>
      <c r="G65" s="100" t="str">
        <f t="shared" si="4"/>
        <v>TRUE</v>
      </c>
      <c r="H65" s="97" t="str">
        <f t="shared" si="5"/>
        <v>30/360 (Bond Basis)</v>
      </c>
      <c r="I65" s="102">
        <v>1.115644235E-2</v>
      </c>
      <c r="J65" s="89" t="str">
        <f>IF(LEFT(A65,1)="D",_xll.qlDepositRateHelper2(,I65,IF(RIGHT(C65,1)="N","1D",C65),D65,Calendar,F65,G65,H65,,Trigger),IF(A65="Sw",_xll.qlSwapRateHelper2(,I65,D65,C65,Calendar,"Annual",F65,H65,"Euribor"&amp;$H$1,0,"0D",Discounting,,,,Trigger),IF(A65="Fr",_xll.qlFraRateHelper(,I65,SUBSTITUTE(LEFT(C65,2),"M","")&amp;"M","Euribor"&amp;$H$1,,,,Trigger),IF(A65="Sf",_xll.qlFuturesRateHelper(,I65,,C65,"Euribor"&amp;$H$1,0,,Trigger),"--"))))</f>
        <v>obj_00108#0004</v>
      </c>
      <c r="K65" s="98" t="b">
        <f t="shared" si="6"/>
        <v>1</v>
      </c>
      <c r="M65" s="9" t="str">
        <v>Sw</v>
      </c>
      <c r="N65" s="9" t="str">
        <v>37Y</v>
      </c>
      <c r="O65" s="9" t="str">
        <v>obj_00108#0004</v>
      </c>
      <c r="P65" s="96">
        <f>_xll.qlRateHelperRate(O65,Trigger)</f>
        <v>1.115644235E-2</v>
      </c>
      <c r="Q65" s="10">
        <f>_xll.qlRateHelperEarliestDate(O65,Trigger)</f>
        <v>42502</v>
      </c>
      <c r="R65" s="10">
        <f>_xll.qlRateHelperPillarDate(O65,Trigger)</f>
        <v>56016</v>
      </c>
      <c r="S65" s="96">
        <v>1.1204536585769224E-2</v>
      </c>
    </row>
    <row r="66" spans="1:19" ht="11.25" customHeight="1" x14ac:dyDescent="0.2">
      <c r="A66" s="91" t="str">
        <v>Sw</v>
      </c>
      <c r="B66" s="91" t="str">
        <v>38Y</v>
      </c>
      <c r="C66" s="91" t="str">
        <f>IF(A66="Sf",_xll.qlIMMNextCode(B66,Trigger),IF(LEFT(B66,1)="#",_xll.qlCalendarBusinessDaysBetween(Calendar,Settlementdate,DATE(LEFT(SUBSTITUTE(B66,"#",""),4),LEFT(RIGHT(SUBSTITUTE(B66,"#",""),4),2),RIGHT(SUBSTITUTE(B66,"#",""),2)),,,Trigger)-1&amp;"D",SUBSTITUTE(B66,"/","")))</f>
        <v>38Y</v>
      </c>
      <c r="D66" s="101">
        <f t="shared" si="1"/>
        <v>2</v>
      </c>
      <c r="E66" s="101" t="str">
        <f t="shared" si="2"/>
        <v>Annual</v>
      </c>
      <c r="F66" s="97" t="str">
        <f t="shared" si="3"/>
        <v>Modified Following</v>
      </c>
      <c r="G66" s="100" t="str">
        <f t="shared" si="4"/>
        <v>TRUE</v>
      </c>
      <c r="H66" s="97" t="str">
        <f t="shared" si="5"/>
        <v>30/360 (Bond Basis)</v>
      </c>
      <c r="I66" s="102">
        <v>1.1114124400000001E-2</v>
      </c>
      <c r="J66" s="89" t="str">
        <f>IF(LEFT(A66,1)="D",_xll.qlDepositRateHelper2(,I66,IF(RIGHT(C66,1)="N","1D",C66),D66,Calendar,F66,G66,H66,,Trigger),IF(A66="Sw",_xll.qlSwapRateHelper2(,I66,D66,C66,Calendar,"Annual",F66,H66,"Euribor"&amp;$H$1,0,"0D",Discounting,,,,Trigger),IF(A66="Fr",_xll.qlFraRateHelper(,I66,SUBSTITUTE(LEFT(C66,2),"M","")&amp;"M","Euribor"&amp;$H$1,,,,Trigger),IF(A66="Sf",_xll.qlFuturesRateHelper(,I66,,C66,"Euribor"&amp;$H$1,0,,Trigger),"--"))))</f>
        <v>obj_000fb#0004</v>
      </c>
      <c r="K66" s="98" t="b">
        <f t="shared" si="6"/>
        <v>1</v>
      </c>
      <c r="M66" s="9" t="str">
        <v>Sw</v>
      </c>
      <c r="N66" s="9" t="str">
        <v>38Y</v>
      </c>
      <c r="O66" s="9" t="str">
        <v>obj_000fb#0004</v>
      </c>
      <c r="P66" s="96">
        <f>_xll.qlRateHelperRate(O66,Trigger)</f>
        <v>1.1114124400000001E-2</v>
      </c>
      <c r="Q66" s="10">
        <f>_xll.qlRateHelperEarliestDate(O66,Trigger)</f>
        <v>42502</v>
      </c>
      <c r="R66" s="10">
        <f>_xll.qlRateHelperPillarDate(O66,Trigger)</f>
        <v>56381</v>
      </c>
      <c r="S66" s="96">
        <v>1.1150044391483222E-2</v>
      </c>
    </row>
    <row r="67" spans="1:19" ht="11.25" customHeight="1" x14ac:dyDescent="0.2">
      <c r="A67" s="91" t="str">
        <v>Sw</v>
      </c>
      <c r="B67" s="91" t="str">
        <v>39Y</v>
      </c>
      <c r="C67" s="91" t="str">
        <f>IF(A67="Sf",_xll.qlIMMNextCode(B67,Trigger),IF(LEFT(B67,1)="#",_xll.qlCalendarBusinessDaysBetween(Calendar,Settlementdate,DATE(LEFT(SUBSTITUTE(B67,"#",""),4),LEFT(RIGHT(SUBSTITUTE(B67,"#",""),4),2),RIGHT(SUBSTITUTE(B67,"#",""),2)),,,Trigger)-1&amp;"D",SUBSTITUTE(B67,"/","")))</f>
        <v>39Y</v>
      </c>
      <c r="D67" s="101">
        <f t="shared" si="1"/>
        <v>2</v>
      </c>
      <c r="E67" s="101" t="str">
        <f t="shared" si="2"/>
        <v>Annual</v>
      </c>
      <c r="F67" s="97" t="str">
        <f t="shared" si="3"/>
        <v>Modified Following</v>
      </c>
      <c r="G67" s="100" t="str">
        <f t="shared" si="4"/>
        <v>TRUE</v>
      </c>
      <c r="H67" s="97" t="str">
        <f t="shared" si="5"/>
        <v>30/360 (Bond Basis)</v>
      </c>
      <c r="I67" s="102">
        <v>1.1065381999999999E-2</v>
      </c>
      <c r="J67" s="89" t="str">
        <f>IF(LEFT(A67,1)="D",_xll.qlDepositRateHelper2(,I67,IF(RIGHT(C67,1)="N","1D",C67),D67,Calendar,F67,G67,H67,,Trigger),IF(A67="Sw",_xll.qlSwapRateHelper2(,I67,D67,C67,Calendar,"Annual",F67,H67,"Euribor"&amp;$H$1,0,"0D",Discounting,,,,Trigger),IF(A67="Fr",_xll.qlFraRateHelper(,I67,SUBSTITUTE(LEFT(C67,2),"M","")&amp;"M","Euribor"&amp;$H$1,,,,Trigger),IF(A67="Sf",_xll.qlFuturesRateHelper(,I67,,C67,"Euribor"&amp;$H$1,0,,Trigger),"--"))))</f>
        <v>obj_00107#0004</v>
      </c>
      <c r="K67" s="98" t="b">
        <f t="shared" si="6"/>
        <v>1</v>
      </c>
      <c r="M67" s="9" t="str">
        <v>Sw</v>
      </c>
      <c r="N67" s="9" t="str">
        <v>39Y</v>
      </c>
      <c r="O67" s="9" t="str">
        <v>obj_00107#0004</v>
      </c>
      <c r="P67" s="96">
        <f>_xll.qlRateHelperRate(O67,Trigger)</f>
        <v>1.1065381999999999E-2</v>
      </c>
      <c r="Q67" s="10">
        <f>_xll.qlRateHelperEarliestDate(O67,Trigger)</f>
        <v>42502</v>
      </c>
      <c r="R67" s="10">
        <f>_xll.qlRateHelperPillarDate(O67,Trigger)</f>
        <v>56746</v>
      </c>
      <c r="S67" s="96">
        <v>1.1087909017760779E-2</v>
      </c>
    </row>
    <row r="68" spans="1:19" ht="11.25" customHeight="1" x14ac:dyDescent="0.2">
      <c r="A68" s="91" t="str">
        <v>Sw</v>
      </c>
      <c r="B68" s="91" t="str">
        <v>40Y</v>
      </c>
      <c r="C68" s="91" t="str">
        <f>IF(A68="Sf",_xll.qlIMMNextCode(B68,Trigger),IF(LEFT(B68,1)="#",_xll.qlCalendarBusinessDaysBetween(Calendar,Settlementdate,DATE(LEFT(SUBSTITUTE(B68,"#",""),4),LEFT(RIGHT(SUBSTITUTE(B68,"#",""),4),2),RIGHT(SUBSTITUTE(B68,"#",""),2)),,,Trigger)-1&amp;"D",SUBSTITUTE(B68,"/","")))</f>
        <v>40Y</v>
      </c>
      <c r="D68" s="101">
        <f t="shared" ref="D68:D82" si="7">IF(C68="ON",0,IF(C68="TN",1,2))</f>
        <v>2</v>
      </c>
      <c r="E68" s="101" t="str">
        <f t="shared" ref="E68:E82" si="8">IF(A68="Sw","Annual","--")</f>
        <v>Annual</v>
      </c>
      <c r="F68" s="97" t="str">
        <f t="shared" ref="F68:F82" si="9">IF(OR(RIGHT(C68,1)="N",RIGHT(C68,1)="W"),"Following","Modified Following")</f>
        <v>Modified Following</v>
      </c>
      <c r="G68" s="100" t="str">
        <f t="shared" ref="G68:G82" si="10">IF(OR(RIGHT(C68,1)="M",RIGHT(C68,1)="Y"),"TRUE","FALSE")</f>
        <v>TRUE</v>
      </c>
      <c r="H68" s="97" t="str">
        <f t="shared" ref="H68:H82" si="11">IF(A68="Sw","30/360 (Bond Basis)","Actual/360")</f>
        <v>30/360 (Bond Basis)</v>
      </c>
      <c r="I68" s="102">
        <v>1.1009999999999999E-2</v>
      </c>
      <c r="J68" s="89" t="str">
        <f>IF(LEFT(A68,1)="D",_xll.qlDepositRateHelper2(,I68,IF(RIGHT(C68,1)="N","1D",C68),D68,Calendar,F68,G68,H68,,Trigger),IF(A68="Sw",_xll.qlSwapRateHelper2(,I68,D68,C68,Calendar,"Annual",F68,H68,"Euribor"&amp;$H$1,0,"0D",Discounting,,,,Trigger),IF(A68="Fr",_xll.qlFraRateHelper(,I68,SUBSTITUTE(LEFT(C68,2),"M","")&amp;"M","Euribor"&amp;$H$1,,,,Trigger),IF(A68="Sf",_xll.qlFuturesRateHelper(,I68,,C68,"Euribor"&amp;$H$1,0,,Trigger),"--"))))</f>
        <v>obj_0010a#0004</v>
      </c>
      <c r="K68" s="98" t="b">
        <f t="shared" si="6"/>
        <v>1</v>
      </c>
      <c r="M68" s="9" t="str">
        <v>Sw</v>
      </c>
      <c r="N68" s="9" t="str">
        <v>40Y</v>
      </c>
      <c r="O68" s="9" t="str">
        <v>obj_0010a#0004</v>
      </c>
      <c r="P68" s="96">
        <f>_xll.qlRateHelperRate(O68,Trigger)</f>
        <v>1.1009999999999999E-2</v>
      </c>
      <c r="Q68" s="10">
        <f>_xll.qlRateHelperEarliestDate(O68,Trigger)</f>
        <v>42502</v>
      </c>
      <c r="R68" s="10">
        <f>_xll.qlRateHelperPillarDate(O68,Trigger)</f>
        <v>57112</v>
      </c>
      <c r="S68" s="96">
        <v>1.1017073738382477E-2</v>
      </c>
    </row>
    <row r="69" spans="1:19" ht="11.25" customHeight="1" x14ac:dyDescent="0.2">
      <c r="A69" s="91" t="str">
        <v>Sw</v>
      </c>
      <c r="B69" s="91" t="str">
        <v>50Y</v>
      </c>
      <c r="C69" s="91" t="str">
        <f>IF(A69="Sf",_xll.qlIMMNextCode(B69,Trigger),IF(LEFT(B69,1)="#",_xll.qlCalendarBusinessDaysBetween(Calendar,Settlementdate,DATE(LEFT(SUBSTITUTE(B69,"#",""),4),LEFT(RIGHT(SUBSTITUTE(B69,"#",""),4),2),RIGHT(SUBSTITUTE(B69,"#",""),2)),,,Trigger)-1&amp;"D",SUBSTITUTE(B69,"/","")))</f>
        <v>50Y</v>
      </c>
      <c r="D69" s="101">
        <f t="shared" si="7"/>
        <v>2</v>
      </c>
      <c r="E69" s="101" t="str">
        <f t="shared" si="8"/>
        <v>Annual</v>
      </c>
      <c r="F69" s="97" t="str">
        <f t="shared" si="9"/>
        <v>Modified Following</v>
      </c>
      <c r="G69" s="100" t="str">
        <f t="shared" si="10"/>
        <v>TRUE</v>
      </c>
      <c r="H69" s="97" t="str">
        <f t="shared" si="11"/>
        <v>30/360 (Bond Basis)</v>
      </c>
      <c r="I69" s="102">
        <v>1.0289999999999999E-2</v>
      </c>
      <c r="J69" s="89" t="str">
        <f>IF(LEFT(A69,1)="D",_xll.qlDepositRateHelper2(,I69,IF(RIGHT(C69,1)="N","1D",C69),D69,Calendar,F69,G69,H69,,Trigger),IF(A69="Sw",_xll.qlSwapRateHelper2(,I69,D69,C69,Calendar,"Annual",F69,H69,"Euribor"&amp;$H$1,0,"0D",Discounting,,,,Trigger),IF(A69="Fr",_xll.qlFraRateHelper(,I69,SUBSTITUTE(LEFT(C69,2),"M","")&amp;"M","Euribor"&amp;$H$1,,,,Trigger),IF(A69="Sf",_xll.qlFuturesRateHelper(,I69,,C69,"Euribor"&amp;$H$1,0,,Trigger),"--"))))</f>
        <v>obj_00118#0004</v>
      </c>
      <c r="K69" s="98" t="b">
        <f t="shared" si="6"/>
        <v>1</v>
      </c>
      <c r="M69" s="9" t="str">
        <v>Sw</v>
      </c>
      <c r="N69" s="9" t="str">
        <v>50Y</v>
      </c>
      <c r="O69" s="9" t="str">
        <v>obj_00118#0004</v>
      </c>
      <c r="P69" s="96">
        <f>_xll.qlRateHelperRate(O69,Trigger)</f>
        <v>1.0289999999999999E-2</v>
      </c>
      <c r="Q69" s="10">
        <f>_xll.qlRateHelperEarliestDate(O69,Trigger)</f>
        <v>42502</v>
      </c>
      <c r="R69" s="10">
        <f>_xll.qlRateHelperPillarDate(O69,Trigger)</f>
        <v>60764</v>
      </c>
      <c r="S69" s="96">
        <v>1.0127318778295783E-2</v>
      </c>
    </row>
    <row r="70" spans="1:19" ht="11.25" customHeight="1" x14ac:dyDescent="0.2">
      <c r="A70" s="91" t="str">
        <v>Sw</v>
      </c>
      <c r="B70" s="91" t="str">
        <v>60Y</v>
      </c>
      <c r="C70" s="91" t="str">
        <f>IF(A70="Sf",_xll.qlIMMNextCode(B70,Trigger),IF(LEFT(B70,1)="#",_xll.qlCalendarBusinessDaysBetween(Calendar,Settlementdate,DATE(LEFT(SUBSTITUTE(B70,"#",""),4),LEFT(RIGHT(SUBSTITUTE(B70,"#",""),4),2),RIGHT(SUBSTITUTE(B70,"#",""),2)),,,Trigger)-1&amp;"D",SUBSTITUTE(B70,"/","")))</f>
        <v>60Y</v>
      </c>
      <c r="D70" s="101">
        <f t="shared" si="7"/>
        <v>2</v>
      </c>
      <c r="E70" s="101" t="str">
        <f t="shared" si="8"/>
        <v>Annual</v>
      </c>
      <c r="F70" s="97" t="str">
        <f t="shared" si="9"/>
        <v>Modified Following</v>
      </c>
      <c r="G70" s="100" t="str">
        <f t="shared" si="10"/>
        <v>TRUE</v>
      </c>
      <c r="H70" s="97" t="str">
        <f t="shared" si="11"/>
        <v>30/360 (Bond Basis)</v>
      </c>
      <c r="I70" s="102">
        <v>0.01</v>
      </c>
      <c r="J70" s="89" t="str">
        <f>IF(LEFT(A70,1)="D",_xll.qlDepositRateHelper2(,I70,IF(RIGHT(C70,1)="N","1D",C70),D70,Calendar,F70,G70,H70,,Trigger),IF(A70="Sw",_xll.qlSwapRateHelper2(,I70,D70,C70,Calendar,"Annual",F70,H70,"Euribor"&amp;$H$1,0,"0D",Discounting,,,,Trigger),IF(A70="Fr",_xll.qlFraRateHelper(,I70,SUBSTITUTE(LEFT(C70,2),"M","")&amp;"M","Euribor"&amp;$H$1,,,,Trigger),IF(A70="Sf",_xll.qlFuturesRateHelper(,I70,,C70,"Euribor"&amp;$H$1,0,,Trigger),"--"))))</f>
        <v>obj_000f0#0004</v>
      </c>
      <c r="K70" s="98" t="b">
        <f t="shared" si="6"/>
        <v>1</v>
      </c>
      <c r="M70" s="9" t="str">
        <v>Sw</v>
      </c>
      <c r="N70" s="9" t="str">
        <v>60Y</v>
      </c>
      <c r="O70" s="9" t="str">
        <v>obj_000f0#0004</v>
      </c>
      <c r="P70" s="96">
        <f>_xll.qlRateHelperRate(O70,Trigger)</f>
        <v>0.01</v>
      </c>
      <c r="Q70" s="10">
        <f>_xll.qlRateHelperEarliestDate(O70,Trigger)</f>
        <v>42502</v>
      </c>
      <c r="R70" s="10">
        <f>_xll.qlRateHelperPillarDate(O70,Trigger)</f>
        <v>64417</v>
      </c>
      <c r="S70" s="96">
        <v>9.783107753764524E-3</v>
      </c>
    </row>
    <row r="71" spans="1:19" ht="11.25" customHeight="1" x14ac:dyDescent="0.2">
      <c r="A71" s="91" t="e">
        <v>#N/A</v>
      </c>
      <c r="B71" s="91" t="e">
        <v>#N/A</v>
      </c>
      <c r="C71" s="91" t="e">
        <f>IF(A71="Sf",_xll.qlIMMNextCode(B71,Trigger),IF(LEFT(B71,1)="#",_xll.qlCalendarBusinessDaysBetween(Calendar,Settlementdate,DATE(LEFT(SUBSTITUTE(B71,"#",""),4),LEFT(RIGHT(SUBSTITUTE(B71,"#",""),4),2),RIGHT(SUBSTITUTE(B71,"#",""),2)),,,Trigger)-1&amp;"D",SUBSTITUTE(B71,"/","")))</f>
        <v>#N/A</v>
      </c>
      <c r="D71" s="101" t="e">
        <f t="shared" si="7"/>
        <v>#N/A</v>
      </c>
      <c r="E71" s="101" t="e">
        <f t="shared" si="8"/>
        <v>#N/A</v>
      </c>
      <c r="F71" s="97" t="e">
        <f t="shared" si="9"/>
        <v>#N/A</v>
      </c>
      <c r="G71" s="100" t="e">
        <f t="shared" si="10"/>
        <v>#N/A</v>
      </c>
      <c r="H71" s="97" t="e">
        <f t="shared" si="11"/>
        <v>#N/A</v>
      </c>
      <c r="I71" s="102" t="e">
        <v>#N/A</v>
      </c>
      <c r="J71" s="89" t="e">
        <f>IF(LEFT(A71,1)="D",_xll.qlDepositRateHelper2(,I71,IF(RIGHT(C71,1)="N","1D",C71),D71,Calendar,F71,G71,H71,,Trigger),IF(A71="Sw",_xll.qlSwapRateHelper2(,I71,D71,C71,Calendar,"Annual",F71,H71,"Euribor"&amp;$H$1,0,"0D",Discounting,,,,Trigger),IF(A71="Fr",_xll.qlFraRateHelper(,I71,SUBSTITUTE(LEFT(C71,2),"M","")&amp;"M","Euribor"&amp;$H$1,,,,Trigger),IF(A71="Sf",_xll.qlFuturesRateHelper(,I71,,C71,"Euribor"&amp;$H$1,0,,Trigger),"--"))))</f>
        <v>#N/A</v>
      </c>
      <c r="K71" s="98" t="b">
        <f t="shared" si="6"/>
        <v>0</v>
      </c>
      <c r="M71" s="9" t="e">
        <v>#N/A</v>
      </c>
      <c r="N71" s="9" t="e">
        <v>#N/A</v>
      </c>
      <c r="O71" s="9" t="e">
        <v>#N/A</v>
      </c>
      <c r="P71" s="96" t="e">
        <f>_xll.qlRateHelperRate(O71,Trigger)</f>
        <v>#VALUE!</v>
      </c>
      <c r="Q71" s="10" t="e">
        <f>_xll.qlRateHelperEarliestDate(O71,Trigger)</f>
        <v>#VALUE!</v>
      </c>
      <c r="R71" s="10" t="e">
        <f>_xll.qlRateHelperPillarDate(O71,Trigger)</f>
        <v>#VALUE!</v>
      </c>
      <c r="S71" s="96" t="e">
        <v>#N/A</v>
      </c>
    </row>
    <row r="72" spans="1:19" ht="11.25" customHeight="1" x14ac:dyDescent="0.2">
      <c r="A72" s="91" t="e">
        <v>#N/A</v>
      </c>
      <c r="B72" s="91" t="e">
        <v>#N/A</v>
      </c>
      <c r="C72" s="91" t="e">
        <f>IF(A72="Sf",_xll.qlIMMNextCode(B72,Trigger),IF(LEFT(B72,1)="#",_xll.qlCalendarBusinessDaysBetween(Calendar,Settlementdate,DATE(LEFT(SUBSTITUTE(B72,"#",""),4),LEFT(RIGHT(SUBSTITUTE(B72,"#",""),4),2),RIGHT(SUBSTITUTE(B72,"#",""),2)),,,Trigger)-1&amp;"D",SUBSTITUTE(B72,"/","")))</f>
        <v>#N/A</v>
      </c>
      <c r="D72" s="101" t="e">
        <f t="shared" si="7"/>
        <v>#N/A</v>
      </c>
      <c r="E72" s="101" t="e">
        <f t="shared" si="8"/>
        <v>#N/A</v>
      </c>
      <c r="F72" s="97" t="e">
        <f t="shared" si="9"/>
        <v>#N/A</v>
      </c>
      <c r="G72" s="100" t="e">
        <f t="shared" si="10"/>
        <v>#N/A</v>
      </c>
      <c r="H72" s="97" t="e">
        <f t="shared" si="11"/>
        <v>#N/A</v>
      </c>
      <c r="I72" s="102" t="e">
        <v>#N/A</v>
      </c>
      <c r="J72" s="89" t="e">
        <f>IF(LEFT(A72,1)="D",_xll.qlDepositRateHelper2(,I72,IF(RIGHT(C72,1)="N","1D",C72),D72,Calendar,F72,G72,H72,,Trigger),IF(A72="Sw",_xll.qlSwapRateHelper2(,I72,D72,C72,Calendar,"Annual",F72,H72,"Euribor"&amp;$H$1,0,"0D",Discounting,,,,Trigger),IF(A72="Fr",_xll.qlFraRateHelper(,I72,SUBSTITUTE(LEFT(C72,2),"M","")&amp;"M","Euribor"&amp;$H$1,,,,Trigger),IF(A72="Sf",_xll.qlFuturesRateHelper(,I72,,C72,"Euribor"&amp;$H$1,0,,Trigger),"--"))))</f>
        <v>#N/A</v>
      </c>
      <c r="K72" s="98" t="b">
        <f t="shared" si="6"/>
        <v>0</v>
      </c>
      <c r="M72" s="9" t="e">
        <v>#N/A</v>
      </c>
      <c r="N72" s="9" t="e">
        <v>#N/A</v>
      </c>
      <c r="O72" s="9" t="e">
        <v>#N/A</v>
      </c>
      <c r="P72" s="96" t="e">
        <f>_xll.qlRateHelperRate(O72,Trigger)</f>
        <v>#VALUE!</v>
      </c>
      <c r="Q72" s="10" t="e">
        <f>_xll.qlRateHelperEarliestDate(O72,Trigger)</f>
        <v>#VALUE!</v>
      </c>
      <c r="R72" s="10" t="e">
        <f>_xll.qlRateHelperPillarDate(O72,Trigger)</f>
        <v>#VALUE!</v>
      </c>
      <c r="S72" s="96" t="e">
        <v>#N/A</v>
      </c>
    </row>
    <row r="73" spans="1:19" ht="11.25" customHeight="1" x14ac:dyDescent="0.2">
      <c r="A73" s="91" t="e">
        <v>#N/A</v>
      </c>
      <c r="B73" s="91" t="e">
        <v>#N/A</v>
      </c>
      <c r="C73" s="91" t="e">
        <f>IF(A73="Sf",_xll.qlIMMNextCode(B73,Trigger),IF(LEFT(B73,1)="#",_xll.qlCalendarBusinessDaysBetween(Calendar,Settlementdate,DATE(LEFT(SUBSTITUTE(B73,"#",""),4),LEFT(RIGHT(SUBSTITUTE(B73,"#",""),4),2),RIGHT(SUBSTITUTE(B73,"#",""),2)),,,Trigger)-1&amp;"D",SUBSTITUTE(B73,"/","")))</f>
        <v>#N/A</v>
      </c>
      <c r="D73" s="101" t="e">
        <f t="shared" si="7"/>
        <v>#N/A</v>
      </c>
      <c r="E73" s="101" t="e">
        <f t="shared" si="8"/>
        <v>#N/A</v>
      </c>
      <c r="F73" s="97" t="e">
        <f t="shared" si="9"/>
        <v>#N/A</v>
      </c>
      <c r="G73" s="100" t="e">
        <f t="shared" si="10"/>
        <v>#N/A</v>
      </c>
      <c r="H73" s="97" t="e">
        <f t="shared" si="11"/>
        <v>#N/A</v>
      </c>
      <c r="I73" s="102" t="e">
        <v>#N/A</v>
      </c>
      <c r="J73" s="89" t="e">
        <f>IF(LEFT(A73,1)="D",_xll.qlDepositRateHelper2(,I73,IF(RIGHT(C73,1)="N","1D",C73),D73,Calendar,F73,G73,H73,,Trigger),IF(A73="Sw",_xll.qlSwapRateHelper2(,I73,D73,C73,Calendar,"Annual",F73,H73,"Euribor"&amp;$H$1,0,"0D",Discounting,,,,Trigger),IF(A73="Fr",_xll.qlFraRateHelper(,I73,SUBSTITUTE(LEFT(C73,2),"M","")&amp;"M","Euribor"&amp;$H$1,,,,Trigger),IF(A73="Sf",_xll.qlFuturesRateHelper(,I73,,C73,"Euribor"&amp;$H$1,0,,Trigger),"--"))))</f>
        <v>#N/A</v>
      </c>
      <c r="K73" s="98" t="b">
        <f t="shared" si="6"/>
        <v>0</v>
      </c>
      <c r="M73" s="9" t="e">
        <v>#N/A</v>
      </c>
      <c r="N73" s="9" t="e">
        <v>#N/A</v>
      </c>
      <c r="O73" s="9" t="e">
        <v>#N/A</v>
      </c>
      <c r="P73" s="96" t="e">
        <f>_xll.qlRateHelperRate(O73,Trigger)</f>
        <v>#VALUE!</v>
      </c>
      <c r="Q73" s="10" t="e">
        <f>_xll.qlRateHelperEarliestDate(O73,Trigger)</f>
        <v>#VALUE!</v>
      </c>
      <c r="R73" s="10" t="e">
        <f>_xll.qlRateHelperPillarDate(O73,Trigger)</f>
        <v>#VALUE!</v>
      </c>
      <c r="S73" s="96" t="e">
        <v>#N/A</v>
      </c>
    </row>
    <row r="74" spans="1:19" ht="11.25" customHeight="1" x14ac:dyDescent="0.2">
      <c r="A74" s="91" t="e">
        <v>#N/A</v>
      </c>
      <c r="B74" s="91" t="e">
        <v>#N/A</v>
      </c>
      <c r="C74" s="91" t="e">
        <f>IF(A74="Sf",_xll.qlIMMNextCode(B74,Trigger),IF(LEFT(B74,1)="#",_xll.qlCalendarBusinessDaysBetween(Calendar,Settlementdate,DATE(LEFT(SUBSTITUTE(B74,"#",""),4),LEFT(RIGHT(SUBSTITUTE(B74,"#",""),4),2),RIGHT(SUBSTITUTE(B74,"#",""),2)),,,Trigger)-1&amp;"D",SUBSTITUTE(B74,"/","")))</f>
        <v>#N/A</v>
      </c>
      <c r="D74" s="101" t="e">
        <f t="shared" si="7"/>
        <v>#N/A</v>
      </c>
      <c r="E74" s="101" t="e">
        <f t="shared" si="8"/>
        <v>#N/A</v>
      </c>
      <c r="F74" s="97" t="e">
        <f t="shared" si="9"/>
        <v>#N/A</v>
      </c>
      <c r="G74" s="100" t="e">
        <f t="shared" si="10"/>
        <v>#N/A</v>
      </c>
      <c r="H74" s="97" t="e">
        <f t="shared" si="11"/>
        <v>#N/A</v>
      </c>
      <c r="I74" s="102" t="e">
        <v>#N/A</v>
      </c>
      <c r="J74" s="89" t="e">
        <f>IF(LEFT(A74,1)="D",_xll.qlDepositRateHelper2(,I74,IF(RIGHT(C74,1)="N","1D",C74),D74,Calendar,F74,G74,H74,,Trigger),IF(A74="Sw",_xll.qlSwapRateHelper2(,I74,D74,C74,Calendar,"Annual",F74,H74,"Euribor"&amp;$H$1,0,"0D",Discounting,,,,Trigger),IF(A74="Fr",_xll.qlFraRateHelper(,I74,SUBSTITUTE(LEFT(C74,2),"M","")&amp;"M","Euribor"&amp;$H$1,,,,Trigger),IF(A74="Sf",_xll.qlFuturesRateHelper(,I74,,C74,"Euribor"&amp;$H$1,0,,Trigger),"--"))))</f>
        <v>#N/A</v>
      </c>
      <c r="K74" s="98" t="b">
        <f t="shared" si="6"/>
        <v>0</v>
      </c>
      <c r="M74" s="9" t="e">
        <v>#N/A</v>
      </c>
      <c r="N74" s="9" t="e">
        <v>#N/A</v>
      </c>
      <c r="O74" s="9" t="e">
        <v>#N/A</v>
      </c>
      <c r="P74" s="96" t="e">
        <f>_xll.qlRateHelperRate(O74,Trigger)</f>
        <v>#VALUE!</v>
      </c>
      <c r="Q74" s="10" t="e">
        <f>_xll.qlRateHelperEarliestDate(O74,Trigger)</f>
        <v>#VALUE!</v>
      </c>
      <c r="R74" s="10" t="e">
        <f>_xll.qlRateHelperPillarDate(O74,Trigger)</f>
        <v>#VALUE!</v>
      </c>
      <c r="S74" s="96" t="e">
        <v>#N/A</v>
      </c>
    </row>
    <row r="75" spans="1:19" ht="11.25" customHeight="1" x14ac:dyDescent="0.2">
      <c r="A75" s="91" t="e">
        <v>#N/A</v>
      </c>
      <c r="B75" s="91" t="e">
        <v>#N/A</v>
      </c>
      <c r="C75" s="91" t="e">
        <f>IF(A75="Sf",_xll.qlIMMNextCode(B75,Trigger),IF(LEFT(B75,1)="#",_xll.qlCalendarBusinessDaysBetween(Calendar,Settlementdate,DATE(LEFT(SUBSTITUTE(B75,"#",""),4),LEFT(RIGHT(SUBSTITUTE(B75,"#",""),4),2),RIGHT(SUBSTITUTE(B75,"#",""),2)),,,Trigger)-1&amp;"D",SUBSTITUTE(B75,"/","")))</f>
        <v>#N/A</v>
      </c>
      <c r="D75" s="101" t="e">
        <f t="shared" si="7"/>
        <v>#N/A</v>
      </c>
      <c r="E75" s="101" t="e">
        <f t="shared" si="8"/>
        <v>#N/A</v>
      </c>
      <c r="F75" s="97" t="e">
        <f t="shared" si="9"/>
        <v>#N/A</v>
      </c>
      <c r="G75" s="100" t="e">
        <f t="shared" si="10"/>
        <v>#N/A</v>
      </c>
      <c r="H75" s="97" t="e">
        <f t="shared" si="11"/>
        <v>#N/A</v>
      </c>
      <c r="I75" s="102" t="e">
        <v>#N/A</v>
      </c>
      <c r="J75" s="89" t="e">
        <f>IF(LEFT(A75,1)="D",_xll.qlDepositRateHelper2(,I75,IF(RIGHT(C75,1)="N","1D",C75),D75,Calendar,F75,G75,H75,,Trigger),IF(A75="Sw",_xll.qlSwapRateHelper2(,I75,D75,C75,Calendar,"Annual",F75,H75,"Euribor"&amp;$H$1,0,"0D",Discounting,,,,Trigger),IF(A75="Fr",_xll.qlFraRateHelper(,I75,SUBSTITUTE(LEFT(C75,2),"M","")&amp;"M","Euribor"&amp;$H$1,,,,Trigger),IF(A75="Sf",_xll.qlFuturesRateHelper(,I75,,C75,"Euribor"&amp;$H$1,0,,Trigger),"--"))))</f>
        <v>#N/A</v>
      </c>
      <c r="K75" s="98" t="b">
        <f t="shared" si="6"/>
        <v>0</v>
      </c>
      <c r="M75" s="9" t="e">
        <v>#N/A</v>
      </c>
      <c r="N75" s="9" t="e">
        <v>#N/A</v>
      </c>
      <c r="O75" s="9" t="e">
        <v>#N/A</v>
      </c>
      <c r="P75" s="96" t="e">
        <f>_xll.qlRateHelperRate(O75,Trigger)</f>
        <v>#VALUE!</v>
      </c>
      <c r="Q75" s="10" t="e">
        <f>_xll.qlRateHelperEarliestDate(O75,Trigger)</f>
        <v>#VALUE!</v>
      </c>
      <c r="R75" s="10" t="e">
        <f>_xll.qlRateHelperPillarDate(O75,Trigger)</f>
        <v>#VALUE!</v>
      </c>
      <c r="S75" s="96" t="e">
        <v>#N/A</v>
      </c>
    </row>
    <row r="76" spans="1:19" ht="11.25" customHeight="1" x14ac:dyDescent="0.2">
      <c r="A76" s="91" t="e">
        <v>#N/A</v>
      </c>
      <c r="B76" s="91" t="e">
        <v>#N/A</v>
      </c>
      <c r="C76" s="91" t="e">
        <f>IF(A76="Sf",_xll.qlIMMNextCode(B76,Trigger),IF(LEFT(B76,1)="#",_xll.qlCalendarBusinessDaysBetween(Calendar,Settlementdate,DATE(LEFT(SUBSTITUTE(B76,"#",""),4),LEFT(RIGHT(SUBSTITUTE(B76,"#",""),4),2),RIGHT(SUBSTITUTE(B76,"#",""),2)),,,Trigger)-1&amp;"D",SUBSTITUTE(B76,"/","")))</f>
        <v>#N/A</v>
      </c>
      <c r="D76" s="101" t="e">
        <f t="shared" si="7"/>
        <v>#N/A</v>
      </c>
      <c r="E76" s="101" t="e">
        <f t="shared" si="8"/>
        <v>#N/A</v>
      </c>
      <c r="F76" s="97" t="e">
        <f t="shared" si="9"/>
        <v>#N/A</v>
      </c>
      <c r="G76" s="100" t="e">
        <f t="shared" si="10"/>
        <v>#N/A</v>
      </c>
      <c r="H76" s="97" t="e">
        <f t="shared" si="11"/>
        <v>#N/A</v>
      </c>
      <c r="I76" s="102" t="e">
        <v>#N/A</v>
      </c>
      <c r="J76" s="89" t="e">
        <f>IF(LEFT(A76,1)="D",_xll.qlDepositRateHelper2(,I76,IF(RIGHT(C76,1)="N","1D",C76),D76,Calendar,F76,G76,H76,,Trigger),IF(A76="Sw",_xll.qlSwapRateHelper2(,I76,D76,C76,Calendar,"Annual",F76,H76,"Euribor"&amp;$H$1,0,"0D",Discounting,,,,Trigger),IF(A76="Fr",_xll.qlFraRateHelper(,I76,SUBSTITUTE(LEFT(C76,2),"M","")&amp;"M","Euribor"&amp;$H$1,,,,Trigger),IF(A76="Sf",_xll.qlFuturesRateHelper(,I76,,C76,"Euribor"&amp;$H$1,0,,Trigger),"--"))))</f>
        <v>#N/A</v>
      </c>
      <c r="K76" s="98" t="b">
        <f t="shared" si="6"/>
        <v>0</v>
      </c>
      <c r="M76" s="9" t="e">
        <v>#N/A</v>
      </c>
      <c r="N76" s="9" t="e">
        <v>#N/A</v>
      </c>
      <c r="O76" s="9" t="e">
        <v>#N/A</v>
      </c>
      <c r="P76" s="96" t="e">
        <f>_xll.qlRateHelperRate(O76,Trigger)</f>
        <v>#VALUE!</v>
      </c>
      <c r="Q76" s="10" t="e">
        <f>_xll.qlRateHelperEarliestDate(O76,Trigger)</f>
        <v>#VALUE!</v>
      </c>
      <c r="R76" s="10" t="e">
        <f>_xll.qlRateHelperPillarDate(O76,Trigger)</f>
        <v>#VALUE!</v>
      </c>
      <c r="S76" s="96" t="e">
        <v>#N/A</v>
      </c>
    </row>
    <row r="77" spans="1:19" ht="11.25" customHeight="1" x14ac:dyDescent="0.2">
      <c r="A77" s="91" t="e">
        <v>#N/A</v>
      </c>
      <c r="B77" s="91" t="e">
        <v>#N/A</v>
      </c>
      <c r="C77" s="91" t="e">
        <f>IF(A77="Sf",_xll.qlIMMNextCode(B77,Trigger),IF(LEFT(B77,1)="#",_xll.qlCalendarBusinessDaysBetween(Calendar,Settlementdate,DATE(LEFT(SUBSTITUTE(B77,"#",""),4),LEFT(RIGHT(SUBSTITUTE(B77,"#",""),4),2),RIGHT(SUBSTITUTE(B77,"#",""),2)),,,Trigger)-1&amp;"D",SUBSTITUTE(B77,"/","")))</f>
        <v>#N/A</v>
      </c>
      <c r="D77" s="101" t="e">
        <f t="shared" si="7"/>
        <v>#N/A</v>
      </c>
      <c r="E77" s="101" t="e">
        <f t="shared" si="8"/>
        <v>#N/A</v>
      </c>
      <c r="F77" s="97" t="e">
        <f t="shared" si="9"/>
        <v>#N/A</v>
      </c>
      <c r="G77" s="100" t="e">
        <f t="shared" si="10"/>
        <v>#N/A</v>
      </c>
      <c r="H77" s="97" t="e">
        <f t="shared" si="11"/>
        <v>#N/A</v>
      </c>
      <c r="I77" s="102" t="e">
        <v>#N/A</v>
      </c>
      <c r="J77" s="89" t="e">
        <f>IF(LEFT(A77,1)="D",_xll.qlDepositRateHelper2(,I77,IF(RIGHT(C77,1)="N","1D",C77),D77,Calendar,F77,G77,H77,,Trigger),IF(A77="Sw",_xll.qlSwapRateHelper2(,I77,D77,C77,Calendar,"Annual",F77,H77,"Euribor"&amp;$H$1,0,"0D",Discounting,,,,Trigger),IF(A77="Fr",_xll.qlFraRateHelper(,I77,SUBSTITUTE(LEFT(C77,2),"M","")&amp;"M","Euribor"&amp;$H$1,,,,Trigger),IF(A77="Sf",_xll.qlFuturesRateHelper(,I77,,C77,"Euribor"&amp;$H$1,0,,Trigger),"--"))))</f>
        <v>#N/A</v>
      </c>
      <c r="K77" s="98" t="b">
        <f t="shared" si="6"/>
        <v>0</v>
      </c>
      <c r="M77" s="9" t="e">
        <v>#N/A</v>
      </c>
      <c r="N77" s="9" t="e">
        <v>#N/A</v>
      </c>
      <c r="O77" s="9" t="e">
        <v>#N/A</v>
      </c>
      <c r="P77" s="96" t="e">
        <f>_xll.qlRateHelperRate(O77,Trigger)</f>
        <v>#VALUE!</v>
      </c>
      <c r="Q77" s="10" t="e">
        <f>_xll.qlRateHelperEarliestDate(O77,Trigger)</f>
        <v>#VALUE!</v>
      </c>
      <c r="R77" s="10" t="e">
        <f>_xll.qlRateHelperPillarDate(O77,Trigger)</f>
        <v>#VALUE!</v>
      </c>
      <c r="S77" s="96" t="e">
        <v>#N/A</v>
      </c>
    </row>
    <row r="78" spans="1:19" ht="11.25" customHeight="1" x14ac:dyDescent="0.2">
      <c r="A78" s="91" t="e">
        <v>#N/A</v>
      </c>
      <c r="B78" s="91" t="e">
        <v>#N/A</v>
      </c>
      <c r="C78" s="91" t="e">
        <f>IF(A78="Sf",_xll.qlIMMNextCode(B78,Trigger),IF(LEFT(B78,1)="#",_xll.qlCalendarBusinessDaysBetween(Calendar,Settlementdate,DATE(LEFT(SUBSTITUTE(B78,"#",""),4),LEFT(RIGHT(SUBSTITUTE(B78,"#",""),4),2),RIGHT(SUBSTITUTE(B78,"#",""),2)),,,Trigger)-1&amp;"D",SUBSTITUTE(B78,"/","")))</f>
        <v>#N/A</v>
      </c>
      <c r="D78" s="101" t="e">
        <f t="shared" si="7"/>
        <v>#N/A</v>
      </c>
      <c r="E78" s="101" t="e">
        <f t="shared" si="8"/>
        <v>#N/A</v>
      </c>
      <c r="F78" s="97" t="e">
        <f t="shared" si="9"/>
        <v>#N/A</v>
      </c>
      <c r="G78" s="100" t="e">
        <f t="shared" si="10"/>
        <v>#N/A</v>
      </c>
      <c r="H78" s="97" t="e">
        <f t="shared" si="11"/>
        <v>#N/A</v>
      </c>
      <c r="I78" s="102" t="e">
        <v>#N/A</v>
      </c>
      <c r="J78" s="89" t="e">
        <f>IF(LEFT(A78,1)="D",_xll.qlDepositRateHelper2(,I78,IF(RIGHT(C78,1)="N","1D",C78),D78,Calendar,F78,G78,H78,,Trigger),IF(A78="Sw",_xll.qlSwapRateHelper2(,I78,D78,C78,Calendar,"Annual",F78,H78,"Euribor"&amp;$H$1,0,"0D",Discounting,,,,Trigger),IF(A78="Fr",_xll.qlFraRateHelper(,I78,SUBSTITUTE(LEFT(C78,2),"M","")&amp;"M","Euribor"&amp;$H$1,,,,Trigger),IF(A78="Sf",_xll.qlFuturesRateHelper(,I78,,C78,"Euribor"&amp;$H$1,0,,Trigger),"--"))))</f>
        <v>#N/A</v>
      </c>
      <c r="K78" s="98" t="b">
        <f t="shared" si="6"/>
        <v>0</v>
      </c>
      <c r="M78" s="9" t="e">
        <v>#N/A</v>
      </c>
      <c r="N78" s="9" t="e">
        <v>#N/A</v>
      </c>
      <c r="O78" s="9" t="e">
        <v>#N/A</v>
      </c>
      <c r="P78" s="96" t="e">
        <f>_xll.qlRateHelperRate(O78,Trigger)</f>
        <v>#VALUE!</v>
      </c>
      <c r="Q78" s="10" t="e">
        <f>_xll.qlRateHelperEarliestDate(O78,Trigger)</f>
        <v>#VALUE!</v>
      </c>
      <c r="R78" s="10" t="e">
        <f>_xll.qlRateHelperPillarDate(O78,Trigger)</f>
        <v>#VALUE!</v>
      </c>
      <c r="S78" s="96" t="e">
        <v>#N/A</v>
      </c>
    </row>
    <row r="79" spans="1:19" ht="11.25" customHeight="1" x14ac:dyDescent="0.2">
      <c r="A79" s="91" t="e">
        <v>#N/A</v>
      </c>
      <c r="B79" s="91" t="e">
        <v>#N/A</v>
      </c>
      <c r="C79" s="91" t="e">
        <f>IF(A79="Sf",_xll.qlIMMNextCode(B79,Trigger),IF(LEFT(B79,1)="#",_xll.qlCalendarBusinessDaysBetween(Calendar,Settlementdate,DATE(LEFT(SUBSTITUTE(B79,"#",""),4),LEFT(RIGHT(SUBSTITUTE(B79,"#",""),4),2),RIGHT(SUBSTITUTE(B79,"#",""),2)),,,Trigger)-1&amp;"D",SUBSTITUTE(B79,"/","")))</f>
        <v>#N/A</v>
      </c>
      <c r="D79" s="101" t="e">
        <f t="shared" si="7"/>
        <v>#N/A</v>
      </c>
      <c r="E79" s="101" t="e">
        <f t="shared" si="8"/>
        <v>#N/A</v>
      </c>
      <c r="F79" s="97" t="e">
        <f t="shared" si="9"/>
        <v>#N/A</v>
      </c>
      <c r="G79" s="100" t="e">
        <f t="shared" si="10"/>
        <v>#N/A</v>
      </c>
      <c r="H79" s="97" t="e">
        <f t="shared" si="11"/>
        <v>#N/A</v>
      </c>
      <c r="I79" s="102" t="e">
        <v>#N/A</v>
      </c>
      <c r="J79" s="89" t="e">
        <f>IF(LEFT(A79,1)="D",_xll.qlDepositRateHelper2(,I79,IF(RIGHT(C79,1)="N","1D",C79),D79,Calendar,F79,G79,H79,,Trigger),IF(A79="Sw",_xll.qlSwapRateHelper2(,I79,D79,C79,Calendar,"Annual",F79,H79,"Euribor"&amp;$H$1,0,"0D",Discounting,,,,Trigger),IF(A79="Fr",_xll.qlFraRateHelper(,I79,SUBSTITUTE(LEFT(C79,2),"M","")&amp;"M","Euribor"&amp;$H$1,,,,Trigger),IF(A79="Sf",_xll.qlFuturesRateHelper(,I79,,C79,"Euribor"&amp;$H$1,0,,Trigger),"--"))))</f>
        <v>#N/A</v>
      </c>
      <c r="K79" s="98" t="b">
        <f t="shared" si="6"/>
        <v>0</v>
      </c>
      <c r="M79" s="9" t="e">
        <v>#N/A</v>
      </c>
      <c r="N79" s="9" t="e">
        <v>#N/A</v>
      </c>
      <c r="O79" s="9" t="e">
        <v>#N/A</v>
      </c>
      <c r="P79" s="96" t="e">
        <f>_xll.qlRateHelperRate(O79,Trigger)</f>
        <v>#VALUE!</v>
      </c>
      <c r="Q79" s="10" t="e">
        <f>_xll.qlRateHelperEarliestDate(O79,Trigger)</f>
        <v>#VALUE!</v>
      </c>
      <c r="R79" s="10" t="e">
        <f>_xll.qlRateHelperPillarDate(O79,Trigger)</f>
        <v>#VALUE!</v>
      </c>
      <c r="S79" s="96" t="e">
        <v>#N/A</v>
      </c>
    </row>
    <row r="80" spans="1:19" ht="11.25" customHeight="1" x14ac:dyDescent="0.2">
      <c r="A80" s="91" t="e">
        <v>#N/A</v>
      </c>
      <c r="B80" s="91" t="e">
        <v>#N/A</v>
      </c>
      <c r="C80" s="91" t="e">
        <f>IF(A80="Sf",_xll.qlIMMNextCode(B80,Trigger),IF(LEFT(B80,1)="#",_xll.qlCalendarBusinessDaysBetween(Calendar,Settlementdate,DATE(LEFT(SUBSTITUTE(B80,"#",""),4),LEFT(RIGHT(SUBSTITUTE(B80,"#",""),4),2),RIGHT(SUBSTITUTE(B80,"#",""),2)),,,Trigger)-1&amp;"D",SUBSTITUTE(B80,"/","")))</f>
        <v>#N/A</v>
      </c>
      <c r="D80" s="101" t="e">
        <f t="shared" si="7"/>
        <v>#N/A</v>
      </c>
      <c r="E80" s="101" t="e">
        <f t="shared" si="8"/>
        <v>#N/A</v>
      </c>
      <c r="F80" s="97" t="e">
        <f t="shared" si="9"/>
        <v>#N/A</v>
      </c>
      <c r="G80" s="100" t="e">
        <f t="shared" si="10"/>
        <v>#N/A</v>
      </c>
      <c r="H80" s="97" t="e">
        <f t="shared" si="11"/>
        <v>#N/A</v>
      </c>
      <c r="I80" s="102" t="e">
        <v>#N/A</v>
      </c>
      <c r="J80" s="89" t="e">
        <f>IF(LEFT(A80,1)="D",_xll.qlDepositRateHelper2(,I80,IF(RIGHT(C80,1)="N","1D",C80),D80,Calendar,F80,G80,H80,,Trigger),IF(A80="Sw",_xll.qlSwapRateHelper2(,I80,D80,C80,Calendar,"Annual",F80,H80,"Euribor"&amp;$H$1,0,"0D",Discounting,,,,Trigger),IF(A80="Fr",_xll.qlFraRateHelper(,I80,SUBSTITUTE(LEFT(C80,2),"M","")&amp;"M","Euribor"&amp;$H$1,,,,Trigger),IF(A80="Sf",_xll.qlFuturesRateHelper(,I80,,C80,"Euribor"&amp;$H$1,0,,Trigger),"--"))))</f>
        <v>#N/A</v>
      </c>
      <c r="K80" s="98" t="b">
        <f t="shared" si="6"/>
        <v>0</v>
      </c>
      <c r="M80" s="9" t="e">
        <v>#N/A</v>
      </c>
      <c r="N80" s="9" t="e">
        <v>#N/A</v>
      </c>
      <c r="O80" s="9" t="e">
        <v>#N/A</v>
      </c>
      <c r="P80" s="96" t="e">
        <f>_xll.qlRateHelperRate(O80,Trigger)</f>
        <v>#VALUE!</v>
      </c>
      <c r="Q80" s="10" t="e">
        <f>_xll.qlRateHelperEarliestDate(O80,Trigger)</f>
        <v>#VALUE!</v>
      </c>
      <c r="R80" s="10" t="e">
        <f>_xll.qlRateHelperPillarDate(O80,Trigger)</f>
        <v>#VALUE!</v>
      </c>
      <c r="S80" s="96" t="e">
        <v>#N/A</v>
      </c>
    </row>
    <row r="81" spans="1:19" ht="11.25" customHeight="1" x14ac:dyDescent="0.2">
      <c r="A81" s="91" t="e">
        <v>#N/A</v>
      </c>
      <c r="B81" s="91" t="e">
        <v>#N/A</v>
      </c>
      <c r="C81" s="91" t="e">
        <f>IF(A81="Sf",_xll.qlIMMNextCode(B81,Trigger),IF(LEFT(B81,1)="#",_xll.qlCalendarBusinessDaysBetween(Calendar,Settlementdate,DATE(LEFT(SUBSTITUTE(B81,"#",""),4),LEFT(RIGHT(SUBSTITUTE(B81,"#",""),4),2),RIGHT(SUBSTITUTE(B81,"#",""),2)),,,Trigger)-1&amp;"D",SUBSTITUTE(B81,"/","")))</f>
        <v>#N/A</v>
      </c>
      <c r="D81" s="101" t="e">
        <f t="shared" si="7"/>
        <v>#N/A</v>
      </c>
      <c r="E81" s="101" t="e">
        <f t="shared" si="8"/>
        <v>#N/A</v>
      </c>
      <c r="F81" s="97" t="e">
        <f t="shared" si="9"/>
        <v>#N/A</v>
      </c>
      <c r="G81" s="100" t="e">
        <f t="shared" si="10"/>
        <v>#N/A</v>
      </c>
      <c r="H81" s="97" t="e">
        <f t="shared" si="11"/>
        <v>#N/A</v>
      </c>
      <c r="I81" s="102" t="e">
        <v>#N/A</v>
      </c>
      <c r="J81" s="89" t="e">
        <f>IF(LEFT(A81,1)="D",_xll.qlDepositRateHelper2(,I81,IF(RIGHT(C81,1)="N","1D",C81),D81,Calendar,F81,G81,H81,,Trigger),IF(A81="Sw",_xll.qlSwapRateHelper2(,I81,D81,C81,Calendar,"Annual",F81,H81,"Euribor"&amp;$H$1,0,"0D",Discounting,,,,Trigger),IF(A81="Fr",_xll.qlFraRateHelper(,I81,SUBSTITUTE(LEFT(C81,2),"M","")&amp;"M","Euribor"&amp;$H$1,,,,Trigger),IF(A81="Sf",_xll.qlFuturesRateHelper(,I81,,C81,"Euribor"&amp;$H$1,0,,Trigger),"--"))))</f>
        <v>#N/A</v>
      </c>
      <c r="K81" s="98" t="b">
        <f t="shared" si="6"/>
        <v>0</v>
      </c>
      <c r="M81" s="9" t="e">
        <v>#N/A</v>
      </c>
      <c r="N81" s="9" t="e">
        <v>#N/A</v>
      </c>
      <c r="O81" s="9" t="e">
        <v>#N/A</v>
      </c>
      <c r="P81" s="96" t="e">
        <f>_xll.qlRateHelperRate(O81,Trigger)</f>
        <v>#VALUE!</v>
      </c>
      <c r="Q81" s="10" t="e">
        <f>_xll.qlRateHelperEarliestDate(O81,Trigger)</f>
        <v>#VALUE!</v>
      </c>
      <c r="R81" s="10" t="e">
        <f>_xll.qlRateHelperPillarDate(O81,Trigger)</f>
        <v>#VALUE!</v>
      </c>
      <c r="S81" s="96" t="e">
        <v>#N/A</v>
      </c>
    </row>
    <row r="82" spans="1:19" ht="11.25" customHeight="1" x14ac:dyDescent="0.2">
      <c r="A82" s="6" t="e">
        <v>#N/A</v>
      </c>
      <c r="B82" s="6" t="e">
        <v>#N/A</v>
      </c>
      <c r="C82" s="6" t="e">
        <f>IF(A82="Sf",_xll.qlIMMNextCode(B82,Trigger),IF(LEFT(B82,1)="#",_xll.qlCalendarBusinessDaysBetween(Calendar,Settlementdate,DATE(LEFT(SUBSTITUTE(B82,"#",""),4),LEFT(RIGHT(SUBSTITUTE(B82,"#",""),4),2),RIGHT(SUBSTITUTE(B82,"#",""),2)),,,Trigger)-1&amp;"D",SUBSTITUTE(B82,"/","")))</f>
        <v>#N/A</v>
      </c>
      <c r="D82" s="104" t="e">
        <f t="shared" si="7"/>
        <v>#N/A</v>
      </c>
      <c r="E82" s="104" t="e">
        <f t="shared" si="8"/>
        <v>#N/A</v>
      </c>
      <c r="F82" s="2" t="e">
        <f t="shared" si="9"/>
        <v>#N/A</v>
      </c>
      <c r="G82" s="103" t="e">
        <f t="shared" si="10"/>
        <v>#N/A</v>
      </c>
      <c r="H82" s="2" t="e">
        <f t="shared" si="11"/>
        <v>#N/A</v>
      </c>
      <c r="I82" s="105" t="e">
        <v>#N/A</v>
      </c>
      <c r="J82" s="4" t="e">
        <f>IF(LEFT(A82,1)="D",_xll.qlDepositRateHelper2(,I82,IF(RIGHT(C82,1)="N","1D",C82),D82,Calendar,F82,G82,H82,,Trigger),IF(A82="Sw",_xll.qlSwapRateHelper2(,I82,D82,C82,Calendar,"Annual",F82,H82,"Euribor"&amp;$H$1,0,"0D",Discounting,,,,Trigger),IF(A82="Fr",_xll.qlFraRateHelper(,I82,SUBSTITUTE(LEFT(C82,2),"M","")&amp;"M","Euribor"&amp;$H$1,,,,Trigger),IF(A82="Sf",_xll.qlFuturesRateHelper(,I82,,C82,"Euribor"&amp;$H$1,0,,Trigger),"--"))))</f>
        <v>#N/A</v>
      </c>
      <c r="K82" s="8" t="b">
        <f t="shared" si="6"/>
        <v>0</v>
      </c>
      <c r="M82" s="11" t="e">
        <v>#N/A</v>
      </c>
      <c r="N82" s="11" t="e">
        <v>#N/A</v>
      </c>
      <c r="O82" s="11" t="e">
        <v>#N/A</v>
      </c>
      <c r="P82" s="174" t="e">
        <f>_xll.qlRateHelperRate(O82,Trigger)</f>
        <v>#VALUE!</v>
      </c>
      <c r="Q82" s="19" t="e">
        <f>_xll.qlRateHelperEarliestDate(O82,Trigger)</f>
        <v>#VALUE!</v>
      </c>
      <c r="R82" s="19" t="e">
        <f>_xll.qlRateHelperPillarDate(O82,Trigger)</f>
        <v>#VALUE!</v>
      </c>
      <c r="S82" s="174" t="e">
        <v>#N/A</v>
      </c>
    </row>
    <row r="83" spans="1:19" ht="11.25" customHeight="1" x14ac:dyDescent="0.2"/>
    <row r="84" spans="1:19" ht="11.25" customHeight="1" x14ac:dyDescent="0.2"/>
    <row r="85" spans="1:19" ht="11.25" customHeight="1" x14ac:dyDescent="0.2"/>
    <row r="86" spans="1:19" ht="11.25" customHeight="1" x14ac:dyDescent="0.2"/>
    <row r="87" spans="1:19" ht="11.25" customHeight="1" x14ac:dyDescent="0.2"/>
    <row r="88" spans="1:19" ht="11.25" customHeight="1" x14ac:dyDescent="0.2"/>
    <row r="89" spans="1:19" ht="11.25" customHeight="1" x14ac:dyDescent="0.2"/>
  </sheetData>
  <dataValidations count="3">
    <dataValidation type="list" allowBlank="1" showInputMessage="1" showErrorMessage="1" sqref="F19:F82">
      <formula1>"Following,Modified Following,Preceding,Modified Preceding,Month End Reference,Unadjusted Month End,Unadjusted"</formula1>
    </dataValidation>
    <dataValidation type="list" allowBlank="1" showInputMessage="1" showErrorMessage="1" sqref="G19:G82">
      <formula1>"Annual,Semiannual,EveryFourthMonth,Quarterly,Bimonthly,Monthly,Biweekly,Weekly,Daily,Once,NoFrequency"</formula1>
    </dataValidation>
    <dataValidation type="list" allowBlank="1" showInputMessage="1" showErrorMessage="1" sqref="H3:H82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89"/>
  <sheetViews>
    <sheetView showGridLines="0" topLeftCell="L1" zoomScaleNormal="100" workbookViewId="0">
      <selection activeCell="S1" sqref="S1"/>
    </sheetView>
  </sheetViews>
  <sheetFormatPr defaultRowHeight="11.25" outlineLevelCol="1" x14ac:dyDescent="0.2"/>
  <cols>
    <col min="1" max="1" width="6.7109375" style="61" hidden="1" customWidth="1" outlineLevel="1"/>
    <col min="2" max="2" width="6.7109375" style="180" hidden="1" customWidth="1" outlineLevel="1"/>
    <col min="3" max="3" width="6.7109375" style="73" hidden="1" customWidth="1" outlineLevel="1"/>
    <col min="4" max="4" width="6.7109375" style="72" hidden="1" customWidth="1" outlineLevel="1"/>
    <col min="5" max="5" width="10" style="72" hidden="1" customWidth="1" outlineLevel="1"/>
    <col min="6" max="6" width="19.42578125" style="74" hidden="1" customWidth="1" outlineLevel="1"/>
    <col min="7" max="7" width="7" style="61" hidden="1" customWidth="1" outlineLevel="1"/>
    <col min="8" max="8" width="20.28515625" style="61" hidden="1" customWidth="1" outlineLevel="1"/>
    <col min="9" max="9" width="11.28515625" style="61" hidden="1" customWidth="1" outlineLevel="1"/>
    <col min="10" max="10" width="15.140625" style="61" hidden="1" customWidth="1" outlineLevel="1"/>
    <col min="11" max="11" width="9" style="72" hidden="1" customWidth="1" outlineLevel="1"/>
    <col min="12" max="12" width="2.7109375" style="61" customWidth="1" collapsed="1"/>
    <col min="13" max="13" width="5" style="61" bestFit="1" customWidth="1"/>
    <col min="14" max="14" width="8" style="61" customWidth="1"/>
    <col min="15" max="15" width="15.140625" style="61" hidden="1" customWidth="1" outlineLevel="1"/>
    <col min="16" max="16" width="9" style="61" bestFit="1" customWidth="1" collapsed="1"/>
    <col min="17" max="18" width="17.28515625" style="61" bestFit="1" customWidth="1"/>
    <col min="19" max="19" width="12.7109375" style="61" customWidth="1"/>
    <col min="20" max="20" width="15.140625" style="61" bestFit="1" customWidth="1"/>
    <col min="21" max="21" width="9" style="61" bestFit="1" customWidth="1"/>
    <col min="22" max="16384" width="9.140625" style="61"/>
  </cols>
  <sheetData>
    <row r="1" spans="1:19" ht="18" customHeight="1" x14ac:dyDescent="0.2">
      <c r="B1" s="176"/>
      <c r="C1" s="68"/>
      <c r="D1" s="69"/>
      <c r="E1" s="69"/>
      <c r="F1" s="70"/>
      <c r="G1" s="71"/>
      <c r="H1" s="75" t="s">
        <v>6</v>
      </c>
      <c r="K1" s="69"/>
      <c r="M1" s="110" t="s">
        <v>144</v>
      </c>
      <c r="N1" s="93"/>
      <c r="O1" s="93"/>
      <c r="P1" s="94"/>
      <c r="Q1" s="93"/>
      <c r="R1" s="93"/>
      <c r="S1" s="109" t="s">
        <v>229</v>
      </c>
    </row>
    <row r="2" spans="1:19" ht="21" customHeight="1" x14ac:dyDescent="0.2">
      <c r="A2" s="92" t="s">
        <v>9</v>
      </c>
      <c r="B2" s="177"/>
      <c r="C2" s="92" t="s">
        <v>1</v>
      </c>
      <c r="D2" s="92" t="s">
        <v>2</v>
      </c>
      <c r="E2" s="92" t="s">
        <v>227</v>
      </c>
      <c r="F2" s="92" t="s">
        <v>8</v>
      </c>
      <c r="G2" s="92" t="s">
        <v>3</v>
      </c>
      <c r="H2" s="92" t="s">
        <v>4</v>
      </c>
      <c r="I2" s="92" t="s">
        <v>5</v>
      </c>
      <c r="J2" s="92" t="s">
        <v>32</v>
      </c>
      <c r="K2" s="92" t="s">
        <v>36</v>
      </c>
      <c r="M2" s="106" t="s">
        <v>9</v>
      </c>
      <c r="N2" s="106" t="s">
        <v>44</v>
      </c>
      <c r="O2" s="106" t="s">
        <v>32</v>
      </c>
      <c r="P2" s="107" t="s">
        <v>28</v>
      </c>
      <c r="Q2" s="106" t="s">
        <v>26</v>
      </c>
      <c r="R2" s="106" t="s">
        <v>27</v>
      </c>
      <c r="S2" s="95">
        <f t="array" ref="S2:S82">_xll.qlPiecewiseYieldCurveData(YieldCurve_1M,Trigger)</f>
        <v>-3.5112154387905649E-3</v>
      </c>
    </row>
    <row r="3" spans="1:19" ht="11.25" customHeight="1" x14ac:dyDescent="0.2">
      <c r="A3" s="76" t="str">
        <f t="array" ref="A3:A82">_xll.ohFilter(PastedValue!AE2:AE74,NOT(ISBLANK(PastedValue!AE2:AE74)))</f>
        <v>Dg</v>
      </c>
      <c r="B3" s="178" t="str">
        <f t="array" ref="B3:B82">_xll.ohFilter(PastedValue!AI2:AI74,NOT(ISBLANK(PastedValue!AE2:AE74)))</f>
        <v>S/N</v>
      </c>
      <c r="C3" s="183" t="str">
        <f>IF(A3="Sf",_xll.qlIMMNextCode(B3,Trigger),IF(LEFT(B3,1)="#",_xll.qlCalendarBusinessDaysBetween(Calendar,Settlementdate,DATE(LEFT(SUBSTITUTE(B3,"#",""),4),LEFT(RIGHT(SUBSTITUTE(B3,"#",""),4),2),RIGHT(SUBSTITUTE(B3,"#",""),2)),,,Trigger)-1&amp;"D",SUBSTITUTE(B3,"/","")))</f>
        <v>SN</v>
      </c>
      <c r="D3" s="78">
        <f>IF(C3="ON",0,IF(C3="TN",1,2))</f>
        <v>2</v>
      </c>
      <c r="E3" s="78" t="str">
        <f>IF(A3="Sw","Annual","--")</f>
        <v>--</v>
      </c>
      <c r="F3" s="77" t="str">
        <f>IF(OR(RIGHT(C3,1)="N",RIGHT(C3,1)="W"),"Following","Modified Following")</f>
        <v>Following</v>
      </c>
      <c r="G3" s="80" t="str">
        <f>IF(OR(RIGHT(C3,1)="M",RIGHT(C3,1)="Y"),"TRUE","FALSE")</f>
        <v>FALSE</v>
      </c>
      <c r="H3" s="99" t="str">
        <f>IF(A3="Sw","30/360 (Bond Basis)","Actual/360")</f>
        <v>Actual/360</v>
      </c>
      <c r="I3" s="181">
        <f t="array" ref="I3:I82">_xll.ohFilter(PastedValue!AL2:AL74,NOT(ISBLANK(PastedValue!AE2:AE74)))/IF(A3:A82="Sf",1,100)</f>
        <v>-3.46309994E-3</v>
      </c>
      <c r="J3" s="83" t="str">
        <f>IF(LEFT(A3,1)="D",_xll.qlDepositRateHelper2(,I3,IF(RIGHT(C3,1)="N","1D",C3),D3,Calendar,F3,G3,H3,,Trigger),IF(A3="Sw",_xll.qlSwapRateHelper2(,I3,D3,C3,Calendar,"Annual",F3,H3,"Euribor"&amp;$H$1,0,"0D",Discounting,,,,Trigger),IF(A3="Fr",_xll.qlFraRateHelper(,I3,SUBSTITUTE(LEFT(C3,2),"M","")&amp;"M","Euribor"&amp;$H$1,,,,Trigger),IF(A3="Sf",_xll.qlFuturesRateHelper(,I3,,C3,"Euribor"&amp;$H$1,0,,Trigger),"--"))))</f>
        <v>obj_00023#0006</v>
      </c>
      <c r="K3" s="78" t="b">
        <f t="shared" ref="K3:K17" si="0">IF(ISERROR(J3),FALSE,TRUE)</f>
        <v>1</v>
      </c>
      <c r="M3" s="9" t="str">
        <f t="array" ref="M3:M82">_xll.ohPack(_xll.ohFilter(A3:A82,K3:K82),Trigger)</f>
        <v>Dg</v>
      </c>
      <c r="N3" s="9" t="str">
        <f t="array" ref="N3:N82">_xll.ohPack(_xll.ohFilter(C3:C82,K3:K82),Trigger)</f>
        <v>SN</v>
      </c>
      <c r="O3" s="9" t="str">
        <f t="array" ref="O3:O82">_xll.ohPack(_xll.ohFilter(J3:J82,K3:K82))</f>
        <v>obj_00023#0006</v>
      </c>
      <c r="P3" s="96">
        <f>_xll.qlRateHelperRate(O3,Trigger)</f>
        <v>-3.46309994E-3</v>
      </c>
      <c r="Q3" s="10">
        <f>_xll.qlRateHelperEarliestDate(O3,Trigger)</f>
        <v>42502</v>
      </c>
      <c r="R3" s="10">
        <f>_xll.qlRateHelperPillarDate(O3,Trigger)</f>
        <v>42503</v>
      </c>
      <c r="S3" s="96">
        <v>-3.5112154387905649E-3</v>
      </c>
    </row>
    <row r="4" spans="1:19" ht="11.25" customHeight="1" x14ac:dyDescent="0.2">
      <c r="A4" s="84" t="str">
        <v>Dg</v>
      </c>
      <c r="B4" s="179" t="str">
        <v>1W</v>
      </c>
      <c r="C4" s="184" t="str">
        <f>IF(A4="Sf",_xll.qlIMMNextCode(B4,Trigger),IF(LEFT(B4,1)="#",_xll.qlCalendarBusinessDaysBetween(Calendar,Settlementdate,DATE(LEFT(SUBSTITUTE(B4,"#",""),4),LEFT(RIGHT(SUBSTITUTE(B4,"#",""),4),2),RIGHT(SUBSTITUTE(B4,"#",""),2)),,,Trigger)-1&amp;"D",SUBSTITUTE(B4,"/","")))</f>
        <v>1W</v>
      </c>
      <c r="D4" s="86">
        <f t="shared" ref="D4:D67" si="1">IF(C4="ON",0,IF(C4="TN",1,2))</f>
        <v>2</v>
      </c>
      <c r="E4" s="86" t="str">
        <f t="shared" ref="E4:E67" si="2">IF(A4="Sw","Annual","--")</f>
        <v>--</v>
      </c>
      <c r="F4" s="85" t="str">
        <f t="shared" ref="F4:F67" si="3">IF(OR(RIGHT(C4,1)="N",RIGHT(C4,1)="W"),"Following","Modified Following")</f>
        <v>Following</v>
      </c>
      <c r="G4" s="88" t="str">
        <f t="shared" ref="G4:G67" si="4">IF(OR(RIGHT(C4,1)="M",RIGHT(C4,1)="Y"),"TRUE","FALSE")</f>
        <v>FALSE</v>
      </c>
      <c r="H4" s="100" t="str">
        <f t="shared" ref="H4:H67" si="5">IF(A4="Sw","30/360 (Bond Basis)","Actual/360")</f>
        <v>Actual/360</v>
      </c>
      <c r="I4" s="182">
        <v>-3.4629999999999999E-3</v>
      </c>
      <c r="J4" s="91" t="str">
        <f>IF(LEFT(A4,1)="D",_xll.qlDepositRateHelper2(,I4,IF(RIGHT(C4,1)="N","1D",C4),D4,Calendar,F4,G4,H4,,Trigger),IF(A4="Sw",_xll.qlSwapRateHelper2(,I4,D4,C4,Calendar,"Annual",F4,H4,"Euribor"&amp;$H$1,0,"0D",Discounting,,,,Trigger),IF(A4="Fr",_xll.qlFraRateHelper(,I4,SUBSTITUTE(LEFT(C4,2),"M","")&amp;"M","Euribor"&amp;$H$1,,,,Trigger),IF(A4="Sf",_xll.qlFuturesRateHelper(,I4,,C4,"Euribor"&amp;$H$1,0,,Trigger),"--"))))</f>
        <v>obj_00021#0005</v>
      </c>
      <c r="K4" s="86" t="b">
        <f t="shared" si="0"/>
        <v>1</v>
      </c>
      <c r="M4" s="9" t="str">
        <v>Dg</v>
      </c>
      <c r="N4" s="9" t="str">
        <v>1W</v>
      </c>
      <c r="O4" s="9" t="str">
        <v>obj_00021#0005</v>
      </c>
      <c r="P4" s="96">
        <f>_xll.qlRateHelperRate(O4,Trigger)</f>
        <v>-3.4629999999999999E-3</v>
      </c>
      <c r="Q4" s="10">
        <f>_xll.qlRateHelperEarliestDate(O4,Trigger)</f>
        <v>42502</v>
      </c>
      <c r="R4" s="10">
        <f>_xll.qlRateHelperPillarDate(O4,Trigger)</f>
        <v>42509</v>
      </c>
      <c r="S4" s="96">
        <v>-3.5112154392927244E-3</v>
      </c>
    </row>
    <row r="5" spans="1:19" ht="11.25" customHeight="1" x14ac:dyDescent="0.2">
      <c r="A5" s="84" t="str">
        <v>Dg</v>
      </c>
      <c r="B5" s="179" t="str">
        <v>2W</v>
      </c>
      <c r="C5" s="184" t="str">
        <f>IF(A5="Sf",_xll.qlIMMNextCode(B5,Trigger),IF(LEFT(B5,1)="#",_xll.qlCalendarBusinessDaysBetween(Calendar,Settlementdate,DATE(LEFT(SUBSTITUTE(B5,"#",""),4),LEFT(RIGHT(SUBSTITUTE(B5,"#",""),4),2),RIGHT(SUBSTITUTE(B5,"#",""),2)),,,Trigger)-1&amp;"D",SUBSTITUTE(B5,"/","")))</f>
        <v>2W</v>
      </c>
      <c r="D5" s="86">
        <f t="shared" si="1"/>
        <v>2</v>
      </c>
      <c r="E5" s="86" t="str">
        <f t="shared" si="2"/>
        <v>--</v>
      </c>
      <c r="F5" s="85" t="str">
        <f t="shared" si="3"/>
        <v>Following</v>
      </c>
      <c r="G5" s="88" t="str">
        <f t="shared" si="4"/>
        <v>FALSE</v>
      </c>
      <c r="H5" s="100" t="str">
        <f t="shared" si="5"/>
        <v>Actual/360</v>
      </c>
      <c r="I5" s="182">
        <v>-3.4660000000000003E-3</v>
      </c>
      <c r="J5" s="91" t="str">
        <f>IF(LEFT(A5,1)="D",_xll.qlDepositRateHelper2(,I5,IF(RIGHT(C5,1)="N","1D",C5),D5,Calendar,F5,G5,H5,,Trigger),IF(A5="Sw",_xll.qlSwapRateHelper2(,I5,D5,C5,Calendar,"Annual",F5,H5,"Euribor"&amp;$H$1,0,"0D",Discounting,,,,Trigger),IF(A5="Fr",_xll.qlFraRateHelper(,I5,SUBSTITUTE(LEFT(C5,2),"M","")&amp;"M","Euribor"&amp;$H$1,,,,Trigger),IF(A5="Sf",_xll.qlFuturesRateHelper(,I5,,C5,"Euribor"&amp;$H$1,0,,Trigger),"--"))))</f>
        <v>obj_00025#0005</v>
      </c>
      <c r="K5" s="86" t="b">
        <f t="shared" si="0"/>
        <v>1</v>
      </c>
      <c r="M5" s="9" t="str">
        <v>Dg</v>
      </c>
      <c r="N5" s="9" t="str">
        <v>2W</v>
      </c>
      <c r="O5" s="9" t="str">
        <v>obj_00025#0005</v>
      </c>
      <c r="P5" s="96">
        <f>_xll.qlRateHelperRate(O5,Trigger)</f>
        <v>-3.4660000000000003E-3</v>
      </c>
      <c r="Q5" s="10">
        <f>_xll.qlRateHelperEarliestDate(O5,Trigger)</f>
        <v>42502</v>
      </c>
      <c r="R5" s="10">
        <f>_xll.qlRateHelperPillarDate(O5,Trigger)</f>
        <v>42516</v>
      </c>
      <c r="S5" s="96">
        <v>-3.5139807055147442E-3</v>
      </c>
    </row>
    <row r="6" spans="1:19" ht="11.25" customHeight="1" x14ac:dyDescent="0.2">
      <c r="A6" s="84" t="str">
        <v>Dg</v>
      </c>
      <c r="B6" s="179" t="str">
        <v>3W</v>
      </c>
      <c r="C6" s="184" t="str">
        <f>IF(A6="Sf",_xll.qlIMMNextCode(B6,Trigger),IF(LEFT(B6,1)="#",_xll.qlCalendarBusinessDaysBetween(Calendar,Settlementdate,DATE(LEFT(SUBSTITUTE(B6,"#",""),4),LEFT(RIGHT(SUBSTITUTE(B6,"#",""),4),2),RIGHT(SUBSTITUTE(B6,"#",""),2)),,,Trigger)-1&amp;"D",SUBSTITUTE(B6,"/","")))</f>
        <v>3W</v>
      </c>
      <c r="D6" s="86">
        <f t="shared" si="1"/>
        <v>2</v>
      </c>
      <c r="E6" s="86" t="str">
        <f t="shared" si="2"/>
        <v>--</v>
      </c>
      <c r="F6" s="85" t="str">
        <f t="shared" si="3"/>
        <v>Following</v>
      </c>
      <c r="G6" s="88" t="str">
        <f t="shared" si="4"/>
        <v>FALSE</v>
      </c>
      <c r="H6" s="100" t="str">
        <f t="shared" si="5"/>
        <v>Actual/360</v>
      </c>
      <c r="I6" s="182">
        <v>-3.4760000000000004E-3</v>
      </c>
      <c r="J6" s="91" t="str">
        <f>IF(LEFT(A6,1)="D",_xll.qlDepositRateHelper2(,I6,IF(RIGHT(C6,1)="N","1D",C6),D6,Calendar,F6,G6,H6,,Trigger),IF(A6="Sw",_xll.qlSwapRateHelper2(,I6,D6,C6,Calendar,"Annual",F6,H6,"Euribor"&amp;$H$1,0,"0D",Discounting,,,,Trigger),IF(A6="Fr",_xll.qlFraRateHelper(,I6,SUBSTITUTE(LEFT(C6,2),"M","")&amp;"M","Euribor"&amp;$H$1,,,,Trigger),IF(A6="Sf",_xll.qlFuturesRateHelper(,I6,,C6,"Euribor"&amp;$H$1,0,,Trigger),"--"))))</f>
        <v>obj_00022#0005</v>
      </c>
      <c r="K6" s="86" t="b">
        <f t="shared" si="0"/>
        <v>1</v>
      </c>
      <c r="M6" s="9" t="str">
        <v>Dg</v>
      </c>
      <c r="N6" s="9" t="str">
        <v>3W</v>
      </c>
      <c r="O6" s="9" t="str">
        <v>obj_00022#0005</v>
      </c>
      <c r="P6" s="96">
        <f>_xll.qlRateHelperRate(O6,Trigger)</f>
        <v>-3.4760000000000004E-3</v>
      </c>
      <c r="Q6" s="10">
        <f>_xll.qlRateHelperEarliestDate(O6,Trigger)</f>
        <v>42502</v>
      </c>
      <c r="R6" s="10">
        <f>_xll.qlRateHelperPillarDate(O6,Trigger)</f>
        <v>42523</v>
      </c>
      <c r="S6" s="96">
        <v>-3.5234681995645095E-3</v>
      </c>
    </row>
    <row r="7" spans="1:19" ht="11.25" customHeight="1" x14ac:dyDescent="0.2">
      <c r="A7" s="84" t="str">
        <v>Dp</v>
      </c>
      <c r="B7" s="179" t="str">
        <v>1M</v>
      </c>
      <c r="C7" s="184" t="str">
        <f>IF(A7="Sf",_xll.qlIMMNextCode(B7,Trigger),IF(LEFT(B7,1)="#",_xll.qlCalendarBusinessDaysBetween(Calendar,Settlementdate,DATE(LEFT(SUBSTITUTE(B7,"#",""),4),LEFT(RIGHT(SUBSTITUTE(B7,"#",""),4),2),RIGHT(SUBSTITUTE(B7,"#",""),2)),,,Trigger)-1&amp;"D",SUBSTITUTE(B7,"/","")))</f>
        <v>1M</v>
      </c>
      <c r="D7" s="86">
        <f t="shared" si="1"/>
        <v>2</v>
      </c>
      <c r="E7" s="86" t="str">
        <f t="shared" si="2"/>
        <v>--</v>
      </c>
      <c r="F7" s="85" t="str">
        <f t="shared" si="3"/>
        <v>Modified Following</v>
      </c>
      <c r="G7" s="88" t="str">
        <f t="shared" si="4"/>
        <v>TRUE</v>
      </c>
      <c r="H7" s="100" t="str">
        <f t="shared" si="5"/>
        <v>Actual/360</v>
      </c>
      <c r="I7" s="182">
        <v>-3.4899999999999996E-3</v>
      </c>
      <c r="J7" s="91" t="str">
        <f>IF(LEFT(A7,1)="D",_xll.qlDepositRateHelper2(,I7,IF(RIGHT(C7,1)="N","1D",C7),D7,Calendar,F7,G7,H7,,Trigger),IF(A7="Sw",_xll.qlSwapRateHelper2(,I7,D7,C7,Calendar,"Annual",F7,H7,"Euribor"&amp;$H$1,0,"0D",Discounting,,,,Trigger),IF(A7="Fr",_xll.qlFraRateHelper(,I7,SUBSTITUTE(LEFT(C7,2),"M","")&amp;"M","Euribor"&amp;$H$1,,,,Trigger),IF(A7="Sf",_xll.qlFuturesRateHelper(,I7,,C7,"Euribor"&amp;$H$1,0,,Trigger),"--"))))</f>
        <v>obj_0002b#0005</v>
      </c>
      <c r="K7" s="86" t="b">
        <f t="shared" si="0"/>
        <v>1</v>
      </c>
      <c r="M7" s="9" t="str">
        <v>Dp</v>
      </c>
      <c r="N7" s="9" t="str">
        <v>1M</v>
      </c>
      <c r="O7" s="9" t="str">
        <v>obj_0002b#0005</v>
      </c>
      <c r="P7" s="96">
        <f>_xll.qlRateHelperRate(O7,Trigger)</f>
        <v>-3.4899999999999996E-3</v>
      </c>
      <c r="Q7" s="10">
        <f>_xll.qlRateHelperEarliestDate(O7,Trigger)</f>
        <v>42502</v>
      </c>
      <c r="R7" s="10">
        <f>_xll.qlRateHelperPillarDate(O7,Trigger)</f>
        <v>42534</v>
      </c>
      <c r="S7" s="96">
        <v>-3.537385559626148E-3</v>
      </c>
    </row>
    <row r="8" spans="1:19" ht="11.25" customHeight="1" x14ac:dyDescent="0.2">
      <c r="A8" s="84" t="str">
        <v>Sw</v>
      </c>
      <c r="B8" s="179" t="str">
        <v>2M</v>
      </c>
      <c r="C8" s="184" t="str">
        <f>IF(A8="Sf",_xll.qlIMMNextCode(B8,Trigger),IF(LEFT(B8,1)="#",_xll.qlCalendarBusinessDaysBetween(Calendar,Settlementdate,DATE(LEFT(SUBSTITUTE(B8,"#",""),4),LEFT(RIGHT(SUBSTITUTE(B8,"#",""),4),2),RIGHT(SUBSTITUTE(B8,"#",""),2)),,,Trigger)-1&amp;"D",SUBSTITUTE(B8,"/","")))</f>
        <v>2M</v>
      </c>
      <c r="D8" s="86">
        <f t="shared" si="1"/>
        <v>2</v>
      </c>
      <c r="E8" s="86" t="str">
        <f t="shared" si="2"/>
        <v>Annual</v>
      </c>
      <c r="F8" s="85" t="str">
        <f t="shared" si="3"/>
        <v>Modified Following</v>
      </c>
      <c r="G8" s="88" t="str">
        <f t="shared" si="4"/>
        <v>TRUE</v>
      </c>
      <c r="H8" s="100" t="str">
        <f t="shared" si="5"/>
        <v>30/360 (Bond Basis)</v>
      </c>
      <c r="I8" s="182">
        <v>-3.5099999999999997E-3</v>
      </c>
      <c r="J8" s="91" t="str">
        <f>IF(LEFT(A8,1)="D",_xll.qlDepositRateHelper2(,I8,IF(RIGHT(C8,1)="N","1D",C8),D8,Calendar,F8,G8,H8,,Trigger),IF(A8="Sw",_xll.qlSwapRateHelper2(,I8,D8,C8,Calendar,"Annual",F8,H8,"Euribor"&amp;$H$1,0,"0D",Discounting,,,,Trigger),IF(A8="Fr",_xll.qlFraRateHelper(,I8,SUBSTITUTE(LEFT(C8,2),"M","")&amp;"M","Euribor"&amp;$H$1,,,,Trigger),IF(A8="Sf",_xll.qlFuturesRateHelper(,I8,,C8,"Euribor"&amp;$H$1,0,,Trigger),"--"))))</f>
        <v>obj_00161#0004</v>
      </c>
      <c r="K8" s="86" t="b">
        <f t="shared" si="0"/>
        <v>1</v>
      </c>
      <c r="M8" s="9" t="str">
        <v>Sw</v>
      </c>
      <c r="N8" s="9" t="str">
        <v>2M</v>
      </c>
      <c r="O8" s="9" t="str">
        <v>obj_00161#0004</v>
      </c>
      <c r="P8" s="96">
        <f>_xll.qlRateHelperRate(O8,Trigger)</f>
        <v>-3.5099999999999997E-3</v>
      </c>
      <c r="Q8" s="10">
        <f>_xll.qlRateHelperEarliestDate(O8,Trigger)</f>
        <v>42502</v>
      </c>
      <c r="R8" s="10">
        <f>_xll.qlRateHelperPillarDate(O8,Trigger)</f>
        <v>42563</v>
      </c>
      <c r="S8" s="96">
        <v>-3.5017460686988617E-3</v>
      </c>
    </row>
    <row r="9" spans="1:19" ht="11.25" customHeight="1" x14ac:dyDescent="0.2">
      <c r="A9" s="84" t="str">
        <v>Sw</v>
      </c>
      <c r="B9" s="179" t="str">
        <v>3M</v>
      </c>
      <c r="C9" s="184" t="str">
        <f>IF(A9="Sf",_xll.qlIMMNextCode(B9,Trigger),IF(LEFT(B9,1)="#",_xll.qlCalendarBusinessDaysBetween(Calendar,Settlementdate,DATE(LEFT(SUBSTITUTE(B9,"#",""),4),LEFT(RIGHT(SUBSTITUTE(B9,"#",""),4),2),RIGHT(SUBSTITUTE(B9,"#",""),2)),,,Trigger)-1&amp;"D",SUBSTITUTE(B9,"/","")))</f>
        <v>3M</v>
      </c>
      <c r="D9" s="86">
        <f t="shared" si="1"/>
        <v>2</v>
      </c>
      <c r="E9" s="86" t="str">
        <f t="shared" si="2"/>
        <v>Annual</v>
      </c>
      <c r="F9" s="85" t="str">
        <f t="shared" si="3"/>
        <v>Modified Following</v>
      </c>
      <c r="G9" s="88" t="str">
        <f t="shared" si="4"/>
        <v>TRUE</v>
      </c>
      <c r="H9" s="100" t="str">
        <f t="shared" si="5"/>
        <v>30/360 (Bond Basis)</v>
      </c>
      <c r="I9" s="182">
        <v>-3.5299999999999997E-3</v>
      </c>
      <c r="J9" s="91" t="str">
        <f>IF(LEFT(A9,1)="D",_xll.qlDepositRateHelper2(,I9,IF(RIGHT(C9,1)="N","1D",C9),D9,Calendar,F9,G9,H9,,Trigger),IF(A9="Sw",_xll.qlSwapRateHelper2(,I9,D9,C9,Calendar,"Annual",F9,H9,"Euribor"&amp;$H$1,0,"0D",Discounting,,,,Trigger),IF(A9="Fr",_xll.qlFraRateHelper(,I9,SUBSTITUTE(LEFT(C9,2),"M","")&amp;"M","Euribor"&amp;$H$1,,,,Trigger),IF(A9="Sf",_xll.qlFuturesRateHelper(,I9,,C9,"Euribor"&amp;$H$1,0,,Trigger),"--"))))</f>
        <v>obj_00173#0004</v>
      </c>
      <c r="K9" s="86" t="b">
        <f t="shared" si="0"/>
        <v>1</v>
      </c>
      <c r="M9" s="9" t="str">
        <v>Sw</v>
      </c>
      <c r="N9" s="9" t="str">
        <v>3M</v>
      </c>
      <c r="O9" s="9" t="str">
        <v>obj_00173#0004</v>
      </c>
      <c r="P9" s="96">
        <f>_xll.qlRateHelperRate(O9,Trigger)</f>
        <v>-3.5299999999999997E-3</v>
      </c>
      <c r="Q9" s="10">
        <f>_xll.qlRateHelperEarliestDate(O9,Trigger)</f>
        <v>42502</v>
      </c>
      <c r="R9" s="10">
        <f>_xll.qlRateHelperPillarDate(O9,Trigger)</f>
        <v>42594</v>
      </c>
      <c r="S9" s="96">
        <v>-3.5029666488808702E-3</v>
      </c>
    </row>
    <row r="10" spans="1:19" ht="11.25" customHeight="1" x14ac:dyDescent="0.2">
      <c r="A10" s="84" t="str">
        <v>Sw</v>
      </c>
      <c r="B10" s="179" t="str">
        <v>4M</v>
      </c>
      <c r="C10" s="184" t="str">
        <f>IF(A10="Sf",_xll.qlIMMNextCode(B10,Trigger),IF(LEFT(B10,1)="#",_xll.qlCalendarBusinessDaysBetween(Calendar,Settlementdate,DATE(LEFT(SUBSTITUTE(B10,"#",""),4),LEFT(RIGHT(SUBSTITUTE(B10,"#",""),4),2),RIGHT(SUBSTITUTE(B10,"#",""),2)),,,Trigger)-1&amp;"D",SUBSTITUTE(B10,"/","")))</f>
        <v>4M</v>
      </c>
      <c r="D10" s="86">
        <f t="shared" si="1"/>
        <v>2</v>
      </c>
      <c r="E10" s="86" t="str">
        <f t="shared" si="2"/>
        <v>Annual</v>
      </c>
      <c r="F10" s="85" t="str">
        <f t="shared" si="3"/>
        <v>Modified Following</v>
      </c>
      <c r="G10" s="88" t="str">
        <f t="shared" si="4"/>
        <v>TRUE</v>
      </c>
      <c r="H10" s="100" t="str">
        <f t="shared" si="5"/>
        <v>30/360 (Bond Basis)</v>
      </c>
      <c r="I10" s="182">
        <v>-3.5399999999999997E-3</v>
      </c>
      <c r="J10" s="91" t="str">
        <f>IF(LEFT(A10,1)="D",_xll.qlDepositRateHelper2(,I10,IF(RIGHT(C10,1)="N","1D",C10),D10,Calendar,F10,G10,H10,,Trigger),IF(A10="Sw",_xll.qlSwapRateHelper2(,I10,D10,C10,Calendar,"Annual",F10,H10,"Euribor"&amp;$H$1,0,"0D",Discounting,,,,Trigger),IF(A10="Fr",_xll.qlFraRateHelper(,I10,SUBSTITUTE(LEFT(C10,2),"M","")&amp;"M","Euribor"&amp;$H$1,,,,Trigger),IF(A10="Sf",_xll.qlFuturesRateHelper(,I10,,C10,"Euribor"&amp;$H$1,0,,Trigger),"--"))))</f>
        <v>obj_00180#0004</v>
      </c>
      <c r="K10" s="86" t="b">
        <f t="shared" si="0"/>
        <v>1</v>
      </c>
      <c r="M10" s="9" t="str">
        <v>Sw</v>
      </c>
      <c r="N10" s="9" t="str">
        <v>4M</v>
      </c>
      <c r="O10" s="9" t="str">
        <v>obj_00180#0004</v>
      </c>
      <c r="P10" s="96">
        <f>_xll.qlRateHelperRate(O10,Trigger)</f>
        <v>-3.5399999999999997E-3</v>
      </c>
      <c r="Q10" s="10">
        <f>_xll.qlRateHelperEarliestDate(O10,Trigger)</f>
        <v>42502</v>
      </c>
      <c r="R10" s="10">
        <f>_xll.qlRateHelperPillarDate(O10,Trigger)</f>
        <v>42625</v>
      </c>
      <c r="S10" s="96">
        <v>-3.50385099641045E-3</v>
      </c>
    </row>
    <row r="11" spans="1:19" ht="11.25" customHeight="1" x14ac:dyDescent="0.2">
      <c r="A11" s="84" t="str">
        <v>Sw</v>
      </c>
      <c r="B11" s="179" t="str">
        <v>5M</v>
      </c>
      <c r="C11" s="184" t="str">
        <f>IF(A11="Sf",_xll.qlIMMNextCode(B11,Trigger),IF(LEFT(B11,1)="#",_xll.qlCalendarBusinessDaysBetween(Calendar,Settlementdate,DATE(LEFT(SUBSTITUTE(B11,"#",""),4),LEFT(RIGHT(SUBSTITUTE(B11,"#",""),4),2),RIGHT(SUBSTITUTE(B11,"#",""),2)),,,Trigger)-1&amp;"D",SUBSTITUTE(B11,"/","")))</f>
        <v>5M</v>
      </c>
      <c r="D11" s="86">
        <f t="shared" si="1"/>
        <v>2</v>
      </c>
      <c r="E11" s="86" t="str">
        <f t="shared" si="2"/>
        <v>Annual</v>
      </c>
      <c r="F11" s="85" t="str">
        <f t="shared" si="3"/>
        <v>Modified Following</v>
      </c>
      <c r="G11" s="88" t="str">
        <f t="shared" si="4"/>
        <v>TRUE</v>
      </c>
      <c r="H11" s="100" t="str">
        <f t="shared" si="5"/>
        <v>30/360 (Bond Basis)</v>
      </c>
      <c r="I11" s="182">
        <v>-3.5799999999999998E-3</v>
      </c>
      <c r="J11" s="91" t="str">
        <f>IF(LEFT(A11,1)="D",_xll.qlDepositRateHelper2(,I11,IF(RIGHT(C11,1)="N","1D",C11),D11,Calendar,F11,G11,H11,,Trigger),IF(A11="Sw",_xll.qlSwapRateHelper2(,I11,D11,C11,Calendar,"Annual",F11,H11,"Euribor"&amp;$H$1,0,"0D",Discounting,,,,Trigger),IF(A11="Fr",_xll.qlFraRateHelper(,I11,SUBSTITUTE(LEFT(C11,2),"M","")&amp;"M","Euribor"&amp;$H$1,,,,Trigger),IF(A11="Sf",_xll.qlFuturesRateHelper(,I11,,C11,"Euribor"&amp;$H$1,0,,Trigger),"--"))))</f>
        <v>obj_00190#0004</v>
      </c>
      <c r="K11" s="86" t="b">
        <f t="shared" si="0"/>
        <v>1</v>
      </c>
      <c r="M11" s="9" t="str">
        <v>Sw</v>
      </c>
      <c r="N11" s="9" t="str">
        <v>5M</v>
      </c>
      <c r="O11" s="9" t="str">
        <v>obj_00190#0004</v>
      </c>
      <c r="P11" s="96">
        <f>_xll.qlRateHelperRate(O11,Trigger)</f>
        <v>-3.5799999999999998E-3</v>
      </c>
      <c r="Q11" s="10">
        <f>_xll.qlRateHelperEarliestDate(O11,Trigger)</f>
        <v>42502</v>
      </c>
      <c r="R11" s="10">
        <f>_xll.qlRateHelperPillarDate(O11,Trigger)</f>
        <v>42655</v>
      </c>
      <c r="S11" s="96">
        <v>-3.5606005380935009E-3</v>
      </c>
    </row>
    <row r="12" spans="1:19" ht="11.25" customHeight="1" x14ac:dyDescent="0.2">
      <c r="A12" s="84" t="str">
        <v>Sw</v>
      </c>
      <c r="B12" s="179" t="str">
        <v>6M</v>
      </c>
      <c r="C12" s="184" t="str">
        <f>IF(A12="Sf",_xll.qlIMMNextCode(B12,Trigger),IF(LEFT(B12,1)="#",_xll.qlCalendarBusinessDaysBetween(Calendar,Settlementdate,DATE(LEFT(SUBSTITUTE(B12,"#",""),4),LEFT(RIGHT(SUBSTITUTE(B12,"#",""),4),2),RIGHT(SUBSTITUTE(B12,"#",""),2)),,,Trigger)-1&amp;"D",SUBSTITUTE(B12,"/","")))</f>
        <v>6M</v>
      </c>
      <c r="D12" s="86">
        <f t="shared" si="1"/>
        <v>2</v>
      </c>
      <c r="E12" s="86" t="str">
        <f t="shared" si="2"/>
        <v>Annual</v>
      </c>
      <c r="F12" s="85" t="str">
        <f t="shared" si="3"/>
        <v>Modified Following</v>
      </c>
      <c r="G12" s="88" t="str">
        <f t="shared" si="4"/>
        <v>TRUE</v>
      </c>
      <c r="H12" s="100" t="str">
        <f t="shared" si="5"/>
        <v>30/360 (Bond Basis)</v>
      </c>
      <c r="I12" s="182">
        <v>-3.63E-3</v>
      </c>
      <c r="J12" s="91" t="str">
        <f>IF(LEFT(A12,1)="D",_xll.qlDepositRateHelper2(,I12,IF(RIGHT(C12,1)="N","1D",C12),D12,Calendar,F12,G12,H12,,Trigger),IF(A12="Sw",_xll.qlSwapRateHelper2(,I12,D12,C12,Calendar,"Annual",F12,H12,"Euribor"&amp;$H$1,0,"0D",Discounting,,,,Trigger),IF(A12="Fr",_xll.qlFraRateHelper(,I12,SUBSTITUTE(LEFT(C12,2),"M","")&amp;"M","Euribor"&amp;$H$1,,,,Trigger),IF(A12="Sf",_xll.qlFuturesRateHelper(,I12,,C12,"Euribor"&amp;$H$1,0,,Trigger),"--"))))</f>
        <v>obj_0016d#0004</v>
      </c>
      <c r="K12" s="86" t="b">
        <f t="shared" si="0"/>
        <v>1</v>
      </c>
      <c r="M12" s="9" t="str">
        <v>Sw</v>
      </c>
      <c r="N12" s="9" t="str">
        <v>6M</v>
      </c>
      <c r="O12" s="9" t="str">
        <v>obj_0016d#0004</v>
      </c>
      <c r="P12" s="96">
        <f>_xll.qlRateHelperRate(O12,Trigger)</f>
        <v>-3.63E-3</v>
      </c>
      <c r="Q12" s="10">
        <f>_xll.qlRateHelperEarliestDate(O12,Trigger)</f>
        <v>42502</v>
      </c>
      <c r="R12" s="10">
        <f>_xll.qlRateHelperPillarDate(O12,Trigger)</f>
        <v>42688</v>
      </c>
      <c r="S12" s="96">
        <v>-3.6036513647420294E-3</v>
      </c>
    </row>
    <row r="13" spans="1:19" ht="11.25" customHeight="1" x14ac:dyDescent="0.2">
      <c r="A13" s="84" t="str">
        <v>Sw</v>
      </c>
      <c r="B13" s="179" t="str">
        <v>7M</v>
      </c>
      <c r="C13" s="184" t="str">
        <f>IF(A13="Sf",_xll.qlIMMNextCode(B13,Trigger),IF(LEFT(B13,1)="#",_xll.qlCalendarBusinessDaysBetween(Calendar,Settlementdate,DATE(LEFT(SUBSTITUTE(B13,"#",""),4),LEFT(RIGHT(SUBSTITUTE(B13,"#",""),4),2),RIGHT(SUBSTITUTE(B13,"#",""),2)),,,Trigger)-1&amp;"D",SUBSTITUTE(B13,"/","")))</f>
        <v>7M</v>
      </c>
      <c r="D13" s="86">
        <f t="shared" si="1"/>
        <v>2</v>
      </c>
      <c r="E13" s="86" t="str">
        <f t="shared" si="2"/>
        <v>Annual</v>
      </c>
      <c r="F13" s="85" t="str">
        <f t="shared" si="3"/>
        <v>Modified Following</v>
      </c>
      <c r="G13" s="88" t="str">
        <f t="shared" si="4"/>
        <v>TRUE</v>
      </c>
      <c r="H13" s="100" t="str">
        <f t="shared" si="5"/>
        <v>30/360 (Bond Basis)</v>
      </c>
      <c r="I13" s="182">
        <v>-3.6800000000000001E-3</v>
      </c>
      <c r="J13" s="91" t="str">
        <f>IF(LEFT(A13,1)="D",_xll.qlDepositRateHelper2(,I13,IF(RIGHT(C13,1)="N","1D",C13),D13,Calendar,F13,G13,H13,,Trigger),IF(A13="Sw",_xll.qlSwapRateHelper2(,I13,D13,C13,Calendar,"Annual",F13,H13,"Euribor"&amp;$H$1,0,"0D",Discounting,,,,Trigger),IF(A13="Fr",_xll.qlFraRateHelper(,I13,SUBSTITUTE(LEFT(C13,2),"M","")&amp;"M","Euribor"&amp;$H$1,,,,Trigger),IF(A13="Sf",_xll.qlFuturesRateHelper(,I13,,C13,"Euribor"&amp;$H$1,0,,Trigger),"--"))))</f>
        <v>obj_0017d#0005</v>
      </c>
      <c r="K13" s="86" t="b">
        <f t="shared" si="0"/>
        <v>1</v>
      </c>
      <c r="M13" s="9" t="str">
        <v>Sw</v>
      </c>
      <c r="N13" s="9" t="str">
        <v>7M</v>
      </c>
      <c r="O13" s="9" t="str">
        <v>obj_0017d#0005</v>
      </c>
      <c r="P13" s="96">
        <f>_xll.qlRateHelperRate(O13,Trigger)</f>
        <v>-3.6800000000000001E-3</v>
      </c>
      <c r="Q13" s="10">
        <f>_xll.qlRateHelperEarliestDate(O13,Trigger)</f>
        <v>42502</v>
      </c>
      <c r="R13" s="10">
        <f>_xll.qlRateHelperPillarDate(O13,Trigger)</f>
        <v>42716</v>
      </c>
      <c r="S13" s="96">
        <v>-3.6639250876337928E-3</v>
      </c>
    </row>
    <row r="14" spans="1:19" ht="11.25" customHeight="1" x14ac:dyDescent="0.2">
      <c r="A14" s="84" t="str">
        <v>Sw</v>
      </c>
      <c r="B14" s="179" t="str">
        <v>8M</v>
      </c>
      <c r="C14" s="184" t="str">
        <f>IF(A14="Sf",_xll.qlIMMNextCode(B14,Trigger),IF(LEFT(B14,1)="#",_xll.qlCalendarBusinessDaysBetween(Calendar,Settlementdate,DATE(LEFT(SUBSTITUTE(B14,"#",""),4),LEFT(RIGHT(SUBSTITUTE(B14,"#",""),4),2),RIGHT(SUBSTITUTE(B14,"#",""),2)),,,Trigger)-1&amp;"D",SUBSTITUTE(B14,"/","")))</f>
        <v>8M</v>
      </c>
      <c r="D14" s="86">
        <f t="shared" si="1"/>
        <v>2</v>
      </c>
      <c r="E14" s="86" t="str">
        <f t="shared" si="2"/>
        <v>Annual</v>
      </c>
      <c r="F14" s="85" t="str">
        <f t="shared" si="3"/>
        <v>Modified Following</v>
      </c>
      <c r="G14" s="88" t="str">
        <f t="shared" si="4"/>
        <v>TRUE</v>
      </c>
      <c r="H14" s="100" t="str">
        <f t="shared" si="5"/>
        <v>30/360 (Bond Basis)</v>
      </c>
      <c r="I14" s="182">
        <v>-3.7199999999999998E-3</v>
      </c>
      <c r="J14" s="91" t="str">
        <f>IF(LEFT(A14,1)="D",_xll.qlDepositRateHelper2(,I14,IF(RIGHT(C14,1)="N","1D",C14),D14,Calendar,F14,G14,H14,,Trigger),IF(A14="Sw",_xll.qlSwapRateHelper2(,I14,D14,C14,Calendar,"Annual",F14,H14,"Euribor"&amp;$H$1,0,"0D",Discounting,,,,Trigger),IF(A14="Fr",_xll.qlFraRateHelper(,I14,SUBSTITUTE(LEFT(C14,2),"M","")&amp;"M","Euribor"&amp;$H$1,,,,Trigger),IF(A14="Sf",_xll.qlFuturesRateHelper(,I14,,C14,"Euribor"&amp;$H$1,0,,Trigger),"--"))))</f>
        <v>obj_0016e#0004</v>
      </c>
      <c r="K14" s="86" t="b">
        <f t="shared" si="0"/>
        <v>1</v>
      </c>
      <c r="M14" s="9" t="str">
        <v>Sw</v>
      </c>
      <c r="N14" s="9" t="str">
        <v>8M</v>
      </c>
      <c r="O14" s="9" t="str">
        <v>obj_0016e#0004</v>
      </c>
      <c r="P14" s="96">
        <f>_xll.qlRateHelperRate(O14,Trigger)</f>
        <v>-3.7199999999999998E-3</v>
      </c>
      <c r="Q14" s="10">
        <f>_xll.qlRateHelperEarliestDate(O14,Trigger)</f>
        <v>42502</v>
      </c>
      <c r="R14" s="10">
        <f>_xll.qlRateHelperPillarDate(O14,Trigger)</f>
        <v>42747</v>
      </c>
      <c r="S14" s="96">
        <v>-3.6978511616930511E-3</v>
      </c>
    </row>
    <row r="15" spans="1:19" ht="11.25" customHeight="1" x14ac:dyDescent="0.2">
      <c r="A15" s="84" t="str">
        <v>Sw</v>
      </c>
      <c r="B15" s="179" t="str">
        <v>9M</v>
      </c>
      <c r="C15" s="184" t="str">
        <f>IF(A15="Sf",_xll.qlIMMNextCode(B15,Trigger),IF(LEFT(B15,1)="#",_xll.qlCalendarBusinessDaysBetween(Calendar,Settlementdate,DATE(LEFT(SUBSTITUTE(B15,"#",""),4),LEFT(RIGHT(SUBSTITUTE(B15,"#",""),4),2),RIGHT(SUBSTITUTE(B15,"#",""),2)),,,Trigger)-1&amp;"D",SUBSTITUTE(B15,"/","")))</f>
        <v>9M</v>
      </c>
      <c r="D15" s="86">
        <f t="shared" si="1"/>
        <v>2</v>
      </c>
      <c r="E15" s="86" t="str">
        <f t="shared" si="2"/>
        <v>Annual</v>
      </c>
      <c r="F15" s="85" t="str">
        <f t="shared" si="3"/>
        <v>Modified Following</v>
      </c>
      <c r="G15" s="88" t="str">
        <f t="shared" si="4"/>
        <v>TRUE</v>
      </c>
      <c r="H15" s="100" t="str">
        <f t="shared" si="5"/>
        <v>30/360 (Bond Basis)</v>
      </c>
      <c r="I15" s="182">
        <v>-3.79E-3</v>
      </c>
      <c r="J15" s="91" t="str">
        <f>IF(LEFT(A15,1)="D",_xll.qlDepositRateHelper2(,I15,IF(RIGHT(C15,1)="N","1D",C15),D15,Calendar,F15,G15,H15,,Trigger),IF(A15="Sw",_xll.qlSwapRateHelper2(,I15,D15,C15,Calendar,"Annual",F15,H15,"Euribor"&amp;$H$1,0,"0D",Discounting,,,,Trigger),IF(A15="Fr",_xll.qlFraRateHelper(,I15,SUBSTITUTE(LEFT(C15,2),"M","")&amp;"M","Euribor"&amp;$H$1,,,,Trigger),IF(A15="Sf",_xll.qlFuturesRateHelper(,I15,,C15,"Euribor"&amp;$H$1,0,,Trigger),"--"))))</f>
        <v>obj_00166#0004</v>
      </c>
      <c r="K15" s="86" t="b">
        <f t="shared" si="0"/>
        <v>1</v>
      </c>
      <c r="M15" s="9" t="str">
        <v>Sw</v>
      </c>
      <c r="N15" s="9" t="str">
        <v>9M</v>
      </c>
      <c r="O15" s="9" t="str">
        <v>obj_00166#0004</v>
      </c>
      <c r="P15" s="96">
        <f>_xll.qlRateHelperRate(O15,Trigger)</f>
        <v>-3.79E-3</v>
      </c>
      <c r="Q15" s="10">
        <f>_xll.qlRateHelperEarliestDate(O15,Trigger)</f>
        <v>42502</v>
      </c>
      <c r="R15" s="10">
        <f>_xll.qlRateHelperPillarDate(O15,Trigger)</f>
        <v>42779</v>
      </c>
      <c r="S15" s="96">
        <v>-3.7630457811510549E-3</v>
      </c>
    </row>
    <row r="16" spans="1:19" ht="11.25" customHeight="1" x14ac:dyDescent="0.2">
      <c r="A16" s="84" t="str">
        <v>Sw</v>
      </c>
      <c r="B16" s="179" t="str">
        <v>10M</v>
      </c>
      <c r="C16" s="184" t="str">
        <f>IF(A16="Sf",_xll.qlIMMNextCode(B16,Trigger),IF(LEFT(B16,1)="#",_xll.qlCalendarBusinessDaysBetween(Calendar,Settlementdate,DATE(LEFT(SUBSTITUTE(B16,"#",""),4),LEFT(RIGHT(SUBSTITUTE(B16,"#",""),4),2),RIGHT(SUBSTITUTE(B16,"#",""),2)),,,Trigger)-1&amp;"D",SUBSTITUTE(B16,"/","")))</f>
        <v>10M</v>
      </c>
      <c r="D16" s="86">
        <f t="shared" si="1"/>
        <v>2</v>
      </c>
      <c r="E16" s="86" t="str">
        <f t="shared" si="2"/>
        <v>Annual</v>
      </c>
      <c r="F16" s="85" t="str">
        <f t="shared" si="3"/>
        <v>Modified Following</v>
      </c>
      <c r="G16" s="88" t="str">
        <f t="shared" si="4"/>
        <v>TRUE</v>
      </c>
      <c r="H16" s="100" t="str">
        <f t="shared" si="5"/>
        <v>30/360 (Bond Basis)</v>
      </c>
      <c r="I16" s="182">
        <v>-3.8300000000000001E-3</v>
      </c>
      <c r="J16" s="91" t="str">
        <f>IF(LEFT(A16,1)="D",_xll.qlDepositRateHelper2(,I16,IF(RIGHT(C16,1)="N","1D",C16),D16,Calendar,F16,G16,H16,,Trigger),IF(A16="Sw",_xll.qlSwapRateHelper2(,I16,D16,C16,Calendar,"Annual",F16,H16,"Euribor"&amp;$H$1,0,"0D",Discounting,,,,Trigger),IF(A16="Fr",_xll.qlFraRateHelper(,I16,SUBSTITUTE(LEFT(C16,2),"M","")&amp;"M","Euribor"&amp;$H$1,,,,Trigger),IF(A16="Sf",_xll.qlFuturesRateHelper(,I16,,C16,"Euribor"&amp;$H$1,0,,Trigger),"--"))))</f>
        <v>obj_00195#0004</v>
      </c>
      <c r="K16" s="86" t="b">
        <f t="shared" si="0"/>
        <v>1</v>
      </c>
      <c r="M16" s="9" t="str">
        <v>Sw</v>
      </c>
      <c r="N16" s="9" t="str">
        <v>10M</v>
      </c>
      <c r="O16" s="9" t="str">
        <v>obj_00195#0004</v>
      </c>
      <c r="P16" s="96">
        <f>_xll.qlRateHelperRate(O16,Trigger)</f>
        <v>-3.8300000000000001E-3</v>
      </c>
      <c r="Q16" s="10">
        <f>_xll.qlRateHelperEarliestDate(O16,Trigger)</f>
        <v>42502</v>
      </c>
      <c r="R16" s="10">
        <f>_xll.qlRateHelperPillarDate(O16,Trigger)</f>
        <v>42807</v>
      </c>
      <c r="S16" s="96">
        <v>-3.8363007026670521E-3</v>
      </c>
    </row>
    <row r="17" spans="1:19" ht="11.25" customHeight="1" x14ac:dyDescent="0.2">
      <c r="A17" s="84" t="str">
        <v>Sw</v>
      </c>
      <c r="B17" s="179" t="str">
        <v>11M</v>
      </c>
      <c r="C17" s="184" t="str">
        <f>IF(A17="Sf",_xll.qlIMMNextCode(B17,Trigger),IF(LEFT(B17,1)="#",_xll.qlCalendarBusinessDaysBetween(Calendar,Settlementdate,DATE(LEFT(SUBSTITUTE(B17,"#",""),4),LEFT(RIGHT(SUBSTITUTE(B17,"#",""),4),2),RIGHT(SUBSTITUTE(B17,"#",""),2)),,,Trigger)-1&amp;"D",SUBSTITUTE(B17,"/","")))</f>
        <v>11M</v>
      </c>
      <c r="D17" s="86">
        <f t="shared" si="1"/>
        <v>2</v>
      </c>
      <c r="E17" s="86" t="str">
        <f t="shared" si="2"/>
        <v>Annual</v>
      </c>
      <c r="F17" s="85" t="str">
        <f t="shared" si="3"/>
        <v>Modified Following</v>
      </c>
      <c r="G17" s="88" t="str">
        <f t="shared" si="4"/>
        <v>TRUE</v>
      </c>
      <c r="H17" s="100" t="str">
        <f t="shared" si="5"/>
        <v>30/360 (Bond Basis)</v>
      </c>
      <c r="I17" s="182">
        <v>-3.8700000000000002E-3</v>
      </c>
      <c r="J17" s="91" t="str">
        <f>IF(LEFT(A17,1)="D",_xll.qlDepositRateHelper2(,I17,IF(RIGHT(C17,1)="N","1D",C17),D17,Calendar,F17,G17,H17,,Trigger),IF(A17="Sw",_xll.qlSwapRateHelper2(,I17,D17,C17,Calendar,"Annual",F17,H17,"Euribor"&amp;$H$1,0,"0D",Discounting,,,,Trigger),IF(A17="Fr",_xll.qlFraRateHelper(,I17,SUBSTITUTE(LEFT(C17,2),"M","")&amp;"M","Euribor"&amp;$H$1,,,,Trigger),IF(A17="Sf",_xll.qlFuturesRateHelper(,I17,,C17,"Euribor"&amp;$H$1,0,,Trigger),"--"))))</f>
        <v>obj_0016b#0004</v>
      </c>
      <c r="K17" s="86" t="b">
        <f t="shared" si="0"/>
        <v>1</v>
      </c>
      <c r="M17" s="9" t="str">
        <v>Sw</v>
      </c>
      <c r="N17" s="9" t="str">
        <v>11M</v>
      </c>
      <c r="O17" s="9" t="str">
        <v>obj_0016b#0004</v>
      </c>
      <c r="P17" s="96">
        <f>_xll.qlRateHelperRate(O17,Trigger)</f>
        <v>-3.8700000000000002E-3</v>
      </c>
      <c r="Q17" s="10">
        <f>_xll.qlRateHelperEarliestDate(O17,Trigger)</f>
        <v>42502</v>
      </c>
      <c r="R17" s="10">
        <f>_xll.qlRateHelperPillarDate(O17,Trigger)</f>
        <v>42837</v>
      </c>
      <c r="S17" s="96">
        <v>-3.8699727986372763E-3</v>
      </c>
    </row>
    <row r="18" spans="1:19" ht="11.25" customHeight="1" x14ac:dyDescent="0.2">
      <c r="A18" s="84" t="str">
        <v>Sw</v>
      </c>
      <c r="B18" s="179" t="str">
        <v>12M</v>
      </c>
      <c r="C18" s="184" t="str">
        <f>IF(A18="Sf",_xll.qlIMMNextCode(B18,Trigger),IF(LEFT(B18,1)="#",_xll.qlCalendarBusinessDaysBetween(Calendar,Settlementdate,DATE(LEFT(SUBSTITUTE(B18,"#",""),4),LEFT(RIGHT(SUBSTITUTE(B18,"#",""),4),2),RIGHT(SUBSTITUTE(B18,"#",""),2)),,,Trigger)-1&amp;"D",SUBSTITUTE(B18,"/","")))</f>
        <v>12M</v>
      </c>
      <c r="D18" s="86">
        <f t="shared" si="1"/>
        <v>2</v>
      </c>
      <c r="E18" s="86" t="str">
        <f t="shared" si="2"/>
        <v>Annual</v>
      </c>
      <c r="F18" s="85" t="str">
        <f t="shared" si="3"/>
        <v>Modified Following</v>
      </c>
      <c r="G18" s="88" t="str">
        <f t="shared" si="4"/>
        <v>TRUE</v>
      </c>
      <c r="H18" s="100" t="str">
        <f t="shared" si="5"/>
        <v>30/360 (Bond Basis)</v>
      </c>
      <c r="I18" s="182">
        <v>-3.9100000000000003E-3</v>
      </c>
      <c r="J18" s="91" t="str">
        <f>IF(LEFT(A18,1)="D",_xll.qlDepositRateHelper2(,I18,IF(RIGHT(C18,1)="N","1D",C18),D18,Calendar,F18,G18,H18,,Trigger),IF(A18="Sw",_xll.qlSwapRateHelper2(,I18,D18,C18,Calendar,"Annual",F18,H18,"Euribor"&amp;$H$1,0,"0D",Discounting,,,,Trigger),IF(A18="Fr",_xll.qlFraRateHelper(,I18,SUBSTITUTE(LEFT(C18,2),"M","")&amp;"M","Euribor"&amp;$H$1,,,,Trigger),IF(A18="Sf",_xll.qlFuturesRateHelper(,I18,,C18,"Euribor"&amp;$H$1,0,,Trigger),"--"))))</f>
        <v>obj_00178#0004</v>
      </c>
      <c r="K18" s="86" t="b">
        <f>IF(ISERROR(J18),FALSE,TRUE)</f>
        <v>1</v>
      </c>
      <c r="M18" s="9" t="str">
        <v>Sw</v>
      </c>
      <c r="N18" s="9" t="str">
        <v>12M</v>
      </c>
      <c r="O18" s="9" t="str">
        <v>obj_00178#0004</v>
      </c>
      <c r="P18" s="96">
        <f>_xll.qlRateHelperRate(O18,Trigger)</f>
        <v>-3.9100000000000003E-3</v>
      </c>
      <c r="Q18" s="10">
        <f>_xll.qlRateHelperEarliestDate(O18,Trigger)</f>
        <v>42502</v>
      </c>
      <c r="R18" s="10">
        <f>_xll.qlRateHelperPillarDate(O18,Trigger)</f>
        <v>42867</v>
      </c>
      <c r="S18" s="96">
        <v>-3.915495961502335E-3</v>
      </c>
    </row>
    <row r="19" spans="1:19" ht="11.25" customHeight="1" x14ac:dyDescent="0.2">
      <c r="A19" s="91" t="str">
        <v>Sw</v>
      </c>
      <c r="B19" s="91" t="str">
        <v>15M</v>
      </c>
      <c r="C19" s="91" t="str">
        <f>IF(A19="Sf",_xll.qlIMMNextCode(B19,Trigger),IF(LEFT(B19,1)="#",_xll.qlCalendarBusinessDaysBetween(Calendar,Settlementdate,DATE(LEFT(SUBSTITUTE(B19,"#",""),4),LEFT(RIGHT(SUBSTITUTE(B19,"#",""),4),2),RIGHT(SUBSTITUTE(B19,"#",""),2)),,,Trigger)-1&amp;"D",SUBSTITUTE(B19,"/","")))</f>
        <v>15M</v>
      </c>
      <c r="D19" s="101">
        <f t="shared" si="1"/>
        <v>2</v>
      </c>
      <c r="E19" s="101" t="str">
        <f t="shared" si="2"/>
        <v>Annual</v>
      </c>
      <c r="F19" s="97" t="str">
        <f t="shared" si="3"/>
        <v>Modified Following</v>
      </c>
      <c r="G19" s="100" t="str">
        <f t="shared" si="4"/>
        <v>TRUE</v>
      </c>
      <c r="H19" s="97" t="str">
        <f t="shared" si="5"/>
        <v>30/360 (Bond Basis)</v>
      </c>
      <c r="I19" s="102">
        <v>-4.0745996899999998E-3</v>
      </c>
      <c r="J19" s="89" t="str">
        <f>IF(LEFT(A19,1)="D",_xll.qlDepositRateHelper2(,I19,IF(RIGHT(C19,1)="N","1D",C19),D19,Calendar,F19,G19,H19,,Trigger),IF(A19="Sw",_xll.qlSwapRateHelper2(,I19,D19,C19,Calendar,"Annual",F19,H19,"Euribor"&amp;$H$1,0,"0D",Discounting,,,,Trigger),IF(A19="Fr",_xll.qlFraRateHelper(,I19,SUBSTITUTE(LEFT(C19,2),"M","")&amp;"M","Euribor"&amp;$H$1,,,,Trigger),IF(A19="Sf",_xll.qlFuturesRateHelper(,I19,,C19,"Euribor"&amp;$H$1,0,,Trigger),"--"))))</f>
        <v>obj_00196#0004</v>
      </c>
      <c r="K19" s="98" t="b">
        <f t="shared" ref="K19:K63" si="6">IF(ISERROR(J19),FALSE,TRUE)</f>
        <v>1</v>
      </c>
      <c r="M19" s="9" t="str">
        <v>Sw</v>
      </c>
      <c r="N19" s="9" t="str">
        <v>15M</v>
      </c>
      <c r="O19" s="9" t="str">
        <v>obj_00196#0004</v>
      </c>
      <c r="P19" s="96">
        <f>_xll.qlRateHelperRate(O19,Trigger)</f>
        <v>-4.0745996899999998E-3</v>
      </c>
      <c r="Q19" s="10">
        <f>_xll.qlRateHelperEarliestDate(O19,Trigger)</f>
        <v>42502</v>
      </c>
      <c r="R19" s="10">
        <f>_xll.qlRateHelperPillarDate(O19,Trigger)</f>
        <v>42961</v>
      </c>
      <c r="S19" s="96">
        <v>-4.072593221362498E-3</v>
      </c>
    </row>
    <row r="20" spans="1:19" ht="11.25" customHeight="1" x14ac:dyDescent="0.2">
      <c r="A20" s="91" t="str">
        <v>Sw</v>
      </c>
      <c r="B20" s="91" t="str">
        <v>18M</v>
      </c>
      <c r="C20" s="91" t="str">
        <f>IF(A20="Sf",_xll.qlIMMNextCode(B20,Trigger),IF(LEFT(B20,1)="#",_xll.qlCalendarBusinessDaysBetween(Calendar,Settlementdate,DATE(LEFT(SUBSTITUTE(B20,"#",""),4),LEFT(RIGHT(SUBSTITUTE(B20,"#",""),4),2),RIGHT(SUBSTITUTE(B20,"#",""),2)),,,Trigger)-1&amp;"D",SUBSTITUTE(B20,"/","")))</f>
        <v>18M</v>
      </c>
      <c r="D20" s="101">
        <f t="shared" si="1"/>
        <v>2</v>
      </c>
      <c r="E20" s="101" t="str">
        <f t="shared" si="2"/>
        <v>Annual</v>
      </c>
      <c r="F20" s="97" t="str">
        <f t="shared" si="3"/>
        <v>Modified Following</v>
      </c>
      <c r="G20" s="100" t="str">
        <f t="shared" si="4"/>
        <v>TRUE</v>
      </c>
      <c r="H20" s="97" t="str">
        <f t="shared" si="5"/>
        <v>30/360 (Bond Basis)</v>
      </c>
      <c r="I20" s="102">
        <v>-4.1502884200000003E-3</v>
      </c>
      <c r="J20" s="89" t="str">
        <f>IF(LEFT(A20,1)="D",_xll.qlDepositRateHelper2(,I20,IF(RIGHT(C20,1)="N","1D",C20),D20,Calendar,F20,G20,H20,,Trigger),IF(A20="Sw",_xll.qlSwapRateHelper2(,I20,D20,C20,Calendar,"Annual",F20,H20,"Euribor"&amp;$H$1,0,"0D",Discounting,,,,Trigger),IF(A20="Fr",_xll.qlFraRateHelper(,I20,SUBSTITUTE(LEFT(C20,2),"M","")&amp;"M","Euribor"&amp;$H$1,,,,Trigger),IF(A20="Sf",_xll.qlFuturesRateHelper(,I20,,C20,"Euribor"&amp;$H$1,0,,Trigger),"--"))))</f>
        <v>obj_00162#0004</v>
      </c>
      <c r="K20" s="98" t="b">
        <f t="shared" si="6"/>
        <v>1</v>
      </c>
      <c r="M20" s="9" t="str">
        <v>Sw</v>
      </c>
      <c r="N20" s="9" t="str">
        <v>18M</v>
      </c>
      <c r="O20" s="9" t="str">
        <v>obj_00162#0004</v>
      </c>
      <c r="P20" s="96">
        <f>_xll.qlRateHelperRate(O20,Trigger)</f>
        <v>-4.1502884200000003E-3</v>
      </c>
      <c r="Q20" s="10">
        <f>_xll.qlRateHelperEarliestDate(O20,Trigger)</f>
        <v>42502</v>
      </c>
      <c r="R20" s="10">
        <f>_xll.qlRateHelperPillarDate(O20,Trigger)</f>
        <v>43052</v>
      </c>
      <c r="S20" s="96">
        <v>-4.1435290667248869E-3</v>
      </c>
    </row>
    <row r="21" spans="1:19" ht="11.25" customHeight="1" x14ac:dyDescent="0.2">
      <c r="A21" s="91" t="str">
        <v>Sw</v>
      </c>
      <c r="B21" s="91" t="str">
        <v>21M</v>
      </c>
      <c r="C21" s="91" t="str">
        <f>IF(A21="Sf",_xll.qlIMMNextCode(B21,Trigger),IF(LEFT(B21,1)="#",_xll.qlCalendarBusinessDaysBetween(Calendar,Settlementdate,DATE(LEFT(SUBSTITUTE(B21,"#",""),4),LEFT(RIGHT(SUBSTITUTE(B21,"#",""),4),2),RIGHT(SUBSTITUTE(B21,"#",""),2)),,,Trigger)-1&amp;"D",SUBSTITUTE(B21,"/","")))</f>
        <v>21M</v>
      </c>
      <c r="D21" s="101">
        <f t="shared" si="1"/>
        <v>2</v>
      </c>
      <c r="E21" s="101" t="str">
        <f t="shared" si="2"/>
        <v>Annual</v>
      </c>
      <c r="F21" s="97" t="str">
        <f t="shared" si="3"/>
        <v>Modified Following</v>
      </c>
      <c r="G21" s="100" t="str">
        <f t="shared" si="4"/>
        <v>TRUE</v>
      </c>
      <c r="H21" s="97" t="str">
        <f t="shared" si="5"/>
        <v>30/360 (Bond Basis)</v>
      </c>
      <c r="I21" s="102">
        <v>-4.1952513699999999E-3</v>
      </c>
      <c r="J21" s="89" t="str">
        <f>IF(LEFT(A21,1)="D",_xll.qlDepositRateHelper2(,I21,IF(RIGHT(C21,1)="N","1D",C21),D21,Calendar,F21,G21,H21,,Trigger),IF(A21="Sw",_xll.qlSwapRateHelper2(,I21,D21,C21,Calendar,"Annual",F21,H21,"Euribor"&amp;$H$1,0,"0D",Discounting,,,,Trigger),IF(A21="Fr",_xll.qlFraRateHelper(,I21,SUBSTITUTE(LEFT(C21,2),"M","")&amp;"M","Euribor"&amp;$H$1,,,,Trigger),IF(A21="Sf",_xll.qlFuturesRateHelper(,I21,,C21,"Euribor"&amp;$H$1,0,,Trigger),"--"))))</f>
        <v>obj_00192#0004</v>
      </c>
      <c r="K21" s="98" t="b">
        <f t="shared" si="6"/>
        <v>1</v>
      </c>
      <c r="M21" s="9" t="str">
        <v>Sw</v>
      </c>
      <c r="N21" s="9" t="str">
        <v>21M</v>
      </c>
      <c r="O21" s="9" t="str">
        <v>obj_00192#0004</v>
      </c>
      <c r="P21" s="96">
        <f>_xll.qlRateHelperRate(O21,Trigger)</f>
        <v>-4.1952513699999999E-3</v>
      </c>
      <c r="Q21" s="10">
        <f>_xll.qlRateHelperEarliestDate(O21,Trigger)</f>
        <v>42502</v>
      </c>
      <c r="R21" s="10">
        <f>_xll.qlRateHelperPillarDate(O21,Trigger)</f>
        <v>43143</v>
      </c>
      <c r="S21" s="96">
        <v>-4.1857902386623408E-3</v>
      </c>
    </row>
    <row r="22" spans="1:19" ht="11.25" customHeight="1" x14ac:dyDescent="0.2">
      <c r="A22" s="91" t="str">
        <v>Sw</v>
      </c>
      <c r="B22" s="91" t="str">
        <v>2Y</v>
      </c>
      <c r="C22" s="91" t="str">
        <f>IF(A22="Sf",_xll.qlIMMNextCode(B22,Trigger),IF(LEFT(B22,1)="#",_xll.qlCalendarBusinessDaysBetween(Calendar,Settlementdate,DATE(LEFT(SUBSTITUTE(B22,"#",""),4),LEFT(RIGHT(SUBSTITUTE(B22,"#",""),4),2),RIGHT(SUBSTITUTE(B22,"#",""),2)),,,Trigger)-1&amp;"D",SUBSTITUTE(B22,"/","")))</f>
        <v>2Y</v>
      </c>
      <c r="D22" s="101">
        <f t="shared" si="1"/>
        <v>2</v>
      </c>
      <c r="E22" s="101" t="str">
        <f t="shared" si="2"/>
        <v>Annual</v>
      </c>
      <c r="F22" s="97" t="str">
        <f t="shared" si="3"/>
        <v>Modified Following</v>
      </c>
      <c r="G22" s="100" t="str">
        <f t="shared" si="4"/>
        <v>TRUE</v>
      </c>
      <c r="H22" s="97" t="str">
        <f t="shared" si="5"/>
        <v>30/360 (Bond Basis)</v>
      </c>
      <c r="I22" s="102">
        <v>-4.1999999999999997E-3</v>
      </c>
      <c r="J22" s="89" t="str">
        <f>IF(LEFT(A22,1)="D",_xll.qlDepositRateHelper2(,I22,IF(RIGHT(C22,1)="N","1D",C22),D22,Calendar,F22,G22,H22,,Trigger),IF(A22="Sw",_xll.qlSwapRateHelper2(,I22,D22,C22,Calendar,"Annual",F22,H22,"Euribor"&amp;$H$1,0,"0D",Discounting,,,,Trigger),IF(A22="Fr",_xll.qlFraRateHelper(,I22,SUBSTITUTE(LEFT(C22,2),"M","")&amp;"M","Euribor"&amp;$H$1,,,,Trigger),IF(A22="Sf",_xll.qlFuturesRateHelper(,I22,,C22,"Euribor"&amp;$H$1,0,,Trigger),"--"))))</f>
        <v>obj_0018c#0004</v>
      </c>
      <c r="K22" s="98" t="b">
        <f t="shared" si="6"/>
        <v>1</v>
      </c>
      <c r="M22" s="9" t="str">
        <v>Sw</v>
      </c>
      <c r="N22" s="9" t="str">
        <v>2Y</v>
      </c>
      <c r="O22" s="9" t="str">
        <v>obj_0018c#0004</v>
      </c>
      <c r="P22" s="96">
        <f>_xll.qlRateHelperRate(O22,Trigger)</f>
        <v>-4.1999999999999997E-3</v>
      </c>
      <c r="Q22" s="10">
        <f>_xll.qlRateHelperEarliestDate(O22,Trigger)</f>
        <v>42502</v>
      </c>
      <c r="R22" s="10">
        <f>_xll.qlRateHelperPillarDate(O22,Trigger)</f>
        <v>43234</v>
      </c>
      <c r="S22" s="96">
        <v>-4.2066247040129399E-3</v>
      </c>
    </row>
    <row r="23" spans="1:19" ht="11.25" customHeight="1" x14ac:dyDescent="0.2">
      <c r="A23" s="91" t="str">
        <v>Sw</v>
      </c>
      <c r="B23" s="91" t="str">
        <v>2Y3M</v>
      </c>
      <c r="C23" s="91" t="str">
        <f>IF(A23="Sf",_xll.qlIMMNextCode(B23,Trigger),IF(LEFT(B23,1)="#",_xll.qlCalendarBusinessDaysBetween(Calendar,Settlementdate,DATE(LEFT(SUBSTITUTE(B23,"#",""),4),LEFT(RIGHT(SUBSTITUTE(B23,"#",""),4),2),RIGHT(SUBSTITUTE(B23,"#",""),2)),,,Trigger)-1&amp;"D",SUBSTITUTE(B23,"/","")))</f>
        <v>2Y3M</v>
      </c>
      <c r="D23" s="101">
        <f t="shared" si="1"/>
        <v>2</v>
      </c>
      <c r="E23" s="101" t="str">
        <f t="shared" si="2"/>
        <v>Annual</v>
      </c>
      <c r="F23" s="97" t="str">
        <f t="shared" si="3"/>
        <v>Modified Following</v>
      </c>
      <c r="G23" s="100" t="str">
        <f t="shared" si="4"/>
        <v>TRUE</v>
      </c>
      <c r="H23" s="97" t="str">
        <f t="shared" si="5"/>
        <v>30/360 (Bond Basis)</v>
      </c>
      <c r="I23" s="102">
        <v>-4.2081255699999995E-3</v>
      </c>
      <c r="J23" s="89" t="str">
        <f>IF(LEFT(A23,1)="D",_xll.qlDepositRateHelper2(,I23,IF(RIGHT(C23,1)="N","1D",C23),D23,Calendar,F23,G23,H23,,Trigger),IF(A23="Sw",_xll.qlSwapRateHelper2(,I23,D23,C23,Calendar,"Annual",F23,H23,"Euribor"&amp;$H$1,0,"0D",Discounting,,,,Trigger),IF(A23="Fr",_xll.qlFraRateHelper(,I23,SUBSTITUTE(LEFT(C23,2),"M","")&amp;"M","Euribor"&amp;$H$1,,,,Trigger),IF(A23="Sf",_xll.qlFuturesRateHelper(,I23,,C23,"Euribor"&amp;$H$1,0,,Trigger),"--"))))</f>
        <v>obj_00163#0004</v>
      </c>
      <c r="K23" s="98" t="b">
        <f t="shared" si="6"/>
        <v>1</v>
      </c>
      <c r="M23" s="9" t="str">
        <v>Sw</v>
      </c>
      <c r="N23" s="9" t="str">
        <v>2Y3M</v>
      </c>
      <c r="O23" s="9" t="str">
        <v>obj_00163#0004</v>
      </c>
      <c r="P23" s="96">
        <f>_xll.qlRateHelperRate(O23,Trigger)</f>
        <v>-4.2081255699999995E-3</v>
      </c>
      <c r="Q23" s="10">
        <f>_xll.qlRateHelperEarliestDate(O23,Trigger)</f>
        <v>42502</v>
      </c>
      <c r="R23" s="10">
        <f>_xll.qlRateHelperPillarDate(O23,Trigger)</f>
        <v>43325</v>
      </c>
      <c r="S23" s="96">
        <v>-4.2103265039213581E-3</v>
      </c>
    </row>
    <row r="24" spans="1:19" ht="11.25" customHeight="1" x14ac:dyDescent="0.2">
      <c r="A24" s="91" t="str">
        <v>Sw</v>
      </c>
      <c r="B24" s="91" t="str">
        <v>2Y6M</v>
      </c>
      <c r="C24" s="91" t="str">
        <f>IF(A24="Sf",_xll.qlIMMNextCode(B24,Trigger),IF(LEFT(B24,1)="#",_xll.qlCalendarBusinessDaysBetween(Calendar,Settlementdate,DATE(LEFT(SUBSTITUTE(B24,"#",""),4),LEFT(RIGHT(SUBSTITUTE(B24,"#",""),4),2),RIGHT(SUBSTITUTE(B24,"#",""),2)),,,Trigger)-1&amp;"D",SUBSTITUTE(B24,"/","")))</f>
        <v>2Y6M</v>
      </c>
      <c r="D24" s="101">
        <f t="shared" si="1"/>
        <v>2</v>
      </c>
      <c r="E24" s="101" t="str">
        <f t="shared" si="2"/>
        <v>Annual</v>
      </c>
      <c r="F24" s="97" t="str">
        <f t="shared" si="3"/>
        <v>Modified Following</v>
      </c>
      <c r="G24" s="100" t="str">
        <f t="shared" si="4"/>
        <v>TRUE</v>
      </c>
      <c r="H24" s="97" t="str">
        <f t="shared" si="5"/>
        <v>30/360 (Bond Basis)</v>
      </c>
      <c r="I24" s="102">
        <v>-4.1969690299999999E-3</v>
      </c>
      <c r="J24" s="89" t="str">
        <f>IF(LEFT(A24,1)="D",_xll.qlDepositRateHelper2(,I24,IF(RIGHT(C24,1)="N","1D",C24),D24,Calendar,F24,G24,H24,,Trigger),IF(A24="Sw",_xll.qlSwapRateHelper2(,I24,D24,C24,Calendar,"Annual",F24,H24,"Euribor"&amp;$H$1,0,"0D",Discounting,,,,Trigger),IF(A24="Fr",_xll.qlFraRateHelper(,I24,SUBSTITUTE(LEFT(C24,2),"M","")&amp;"M","Euribor"&amp;$H$1,,,,Trigger),IF(A24="Sf",_xll.qlFuturesRateHelper(,I24,,C24,"Euribor"&amp;$H$1,0,,Trigger),"--"))))</f>
        <v>obj_00175#0004</v>
      </c>
      <c r="K24" s="98" t="b">
        <f t="shared" si="6"/>
        <v>1</v>
      </c>
      <c r="M24" s="9" t="str">
        <v>Sw</v>
      </c>
      <c r="N24" s="9" t="str">
        <v>2Y6M</v>
      </c>
      <c r="O24" s="9" t="str">
        <v>obj_00175#0004</v>
      </c>
      <c r="P24" s="96">
        <f>_xll.qlRateHelperRate(O24,Trigger)</f>
        <v>-4.1969690299999999E-3</v>
      </c>
      <c r="Q24" s="10">
        <f>_xll.qlRateHelperEarliestDate(O24,Trigger)</f>
        <v>42502</v>
      </c>
      <c r="R24" s="10">
        <f>_xll.qlRateHelperPillarDate(O24,Trigger)</f>
        <v>43416</v>
      </c>
      <c r="S24" s="96">
        <v>-4.1960347169508957E-3</v>
      </c>
    </row>
    <row r="25" spans="1:19" ht="11.25" customHeight="1" x14ac:dyDescent="0.2">
      <c r="A25" s="91" t="str">
        <v>Sw</v>
      </c>
      <c r="B25" s="91" t="str">
        <v>2Y9M</v>
      </c>
      <c r="C25" s="91" t="str">
        <f>IF(A25="Sf",_xll.qlIMMNextCode(B25,Trigger),IF(LEFT(B25,1)="#",_xll.qlCalendarBusinessDaysBetween(Calendar,Settlementdate,DATE(LEFT(SUBSTITUTE(B25,"#",""),4),LEFT(RIGHT(SUBSTITUTE(B25,"#",""),4),2),RIGHT(SUBSTITUTE(B25,"#",""),2)),,,Trigger)-1&amp;"D",SUBSTITUTE(B25,"/","")))</f>
        <v>2Y9M</v>
      </c>
      <c r="D25" s="101">
        <f t="shared" si="1"/>
        <v>2</v>
      </c>
      <c r="E25" s="101" t="str">
        <f t="shared" si="2"/>
        <v>Annual</v>
      </c>
      <c r="F25" s="97" t="str">
        <f t="shared" si="3"/>
        <v>Modified Following</v>
      </c>
      <c r="G25" s="100" t="str">
        <f t="shared" si="4"/>
        <v>TRUE</v>
      </c>
      <c r="H25" s="97" t="str">
        <f t="shared" si="5"/>
        <v>30/360 (Bond Basis)</v>
      </c>
      <c r="I25" s="102">
        <v>-4.1652036400000002E-3</v>
      </c>
      <c r="J25" s="89" t="str">
        <f>IF(LEFT(A25,1)="D",_xll.qlDepositRateHelper2(,I25,IF(RIGHT(C25,1)="N","1D",C25),D25,Calendar,F25,G25,H25,,Trigger),IF(A25="Sw",_xll.qlSwapRateHelper2(,I25,D25,C25,Calendar,"Annual",F25,H25,"Euribor"&amp;$H$1,0,"0D",Discounting,,,,Trigger),IF(A25="Fr",_xll.qlFraRateHelper(,I25,SUBSTITUTE(LEFT(C25,2),"M","")&amp;"M","Euribor"&amp;$H$1,,,,Trigger),IF(A25="Sf",_xll.qlFuturesRateHelper(,I25,,C25,"Euribor"&amp;$H$1,0,,Trigger),"--"))))</f>
        <v>obj_00181#0004</v>
      </c>
      <c r="K25" s="98" t="b">
        <f t="shared" si="6"/>
        <v>1</v>
      </c>
      <c r="M25" s="9" t="str">
        <v>Sw</v>
      </c>
      <c r="N25" s="9" t="str">
        <v>2Y9M</v>
      </c>
      <c r="O25" s="9" t="str">
        <v>obj_00181#0004</v>
      </c>
      <c r="P25" s="96">
        <f>_xll.qlRateHelperRate(O25,Trigger)</f>
        <v>-4.1652036400000002E-3</v>
      </c>
      <c r="Q25" s="10">
        <f>_xll.qlRateHelperEarliestDate(O25,Trigger)</f>
        <v>42502</v>
      </c>
      <c r="R25" s="10">
        <f>_xll.qlRateHelperPillarDate(O25,Trigger)</f>
        <v>43508</v>
      </c>
      <c r="S25" s="96">
        <v>-4.1623778710276078E-3</v>
      </c>
    </row>
    <row r="26" spans="1:19" ht="11.25" customHeight="1" x14ac:dyDescent="0.2">
      <c r="A26" s="91" t="str">
        <v>Sw</v>
      </c>
      <c r="B26" s="91" t="str">
        <v>3Y</v>
      </c>
      <c r="C26" s="91" t="str">
        <f>IF(A26="Sf",_xll.qlIMMNextCode(B26,Trigger),IF(LEFT(B26,1)="#",_xll.qlCalendarBusinessDaysBetween(Calendar,Settlementdate,DATE(LEFT(SUBSTITUTE(B26,"#",""),4),LEFT(RIGHT(SUBSTITUTE(B26,"#",""),4),2),RIGHT(SUBSTITUTE(B26,"#",""),2)),,,Trigger)-1&amp;"D",SUBSTITUTE(B26,"/","")))</f>
        <v>3Y</v>
      </c>
      <c r="D26" s="101">
        <f t="shared" si="1"/>
        <v>2</v>
      </c>
      <c r="E26" s="101" t="str">
        <f t="shared" si="2"/>
        <v>Annual</v>
      </c>
      <c r="F26" s="97" t="str">
        <f t="shared" si="3"/>
        <v>Modified Following</v>
      </c>
      <c r="G26" s="100" t="str">
        <f t="shared" si="4"/>
        <v>TRUE</v>
      </c>
      <c r="H26" s="97" t="str">
        <f t="shared" si="5"/>
        <v>30/360 (Bond Basis)</v>
      </c>
      <c r="I26" s="102">
        <v>-4.0999999999999995E-3</v>
      </c>
      <c r="J26" s="89" t="str">
        <f>IF(LEFT(A26,1)="D",_xll.qlDepositRateHelper2(,I26,IF(RIGHT(C26,1)="N","1D",C26),D26,Calendar,F26,G26,H26,,Trigger),IF(A26="Sw",_xll.qlSwapRateHelper2(,I26,D26,C26,Calendar,"Annual",F26,H26,"Euribor"&amp;$H$1,0,"0D",Discounting,,,,Trigger),IF(A26="Fr",_xll.qlFraRateHelper(,I26,SUBSTITUTE(LEFT(C26,2),"M","")&amp;"M","Euribor"&amp;$H$1,,,,Trigger),IF(A26="Sf",_xll.qlFuturesRateHelper(,I26,,C26,"Euribor"&amp;$H$1,0,,Trigger),"--"))))</f>
        <v>obj_00193#0004</v>
      </c>
      <c r="K26" s="98" t="b">
        <f t="shared" si="6"/>
        <v>1</v>
      </c>
      <c r="M26" s="9" t="str">
        <v>Sw</v>
      </c>
      <c r="N26" s="9" t="str">
        <v>3Y</v>
      </c>
      <c r="O26" s="9" t="str">
        <v>obj_00193#0004</v>
      </c>
      <c r="P26" s="96">
        <f>_xll.qlRateHelperRate(O26,Trigger)</f>
        <v>-4.0999999999999995E-3</v>
      </c>
      <c r="Q26" s="10">
        <f>_xll.qlRateHelperEarliestDate(O26,Trigger)</f>
        <v>42502</v>
      </c>
      <c r="R26" s="10">
        <f>_xll.qlRateHelperPillarDate(O26,Trigger)</f>
        <v>43598</v>
      </c>
      <c r="S26" s="96">
        <v>-4.1074315055775286E-3</v>
      </c>
    </row>
    <row r="27" spans="1:19" ht="11.25" customHeight="1" x14ac:dyDescent="0.2">
      <c r="A27" s="91" t="str">
        <v>Sw</v>
      </c>
      <c r="B27" s="91" t="str">
        <v>4Y</v>
      </c>
      <c r="C27" s="91" t="str">
        <f>IF(A27="Sf",_xll.qlIMMNextCode(B27,Trigger),IF(LEFT(B27,1)="#",_xll.qlCalendarBusinessDaysBetween(Calendar,Settlementdate,DATE(LEFT(SUBSTITUTE(B27,"#",""),4),LEFT(RIGHT(SUBSTITUTE(B27,"#",""),4),2),RIGHT(SUBSTITUTE(B27,"#",""),2)),,,Trigger)-1&amp;"D",SUBSTITUTE(B27,"/","")))</f>
        <v>4Y</v>
      </c>
      <c r="D27" s="101">
        <f t="shared" si="1"/>
        <v>2</v>
      </c>
      <c r="E27" s="101" t="str">
        <f t="shared" si="2"/>
        <v>Annual</v>
      </c>
      <c r="F27" s="97" t="str">
        <f t="shared" si="3"/>
        <v>Modified Following</v>
      </c>
      <c r="G27" s="100" t="str">
        <f t="shared" si="4"/>
        <v>TRUE</v>
      </c>
      <c r="H27" s="97" t="str">
        <f t="shared" si="5"/>
        <v>30/360 (Bond Basis)</v>
      </c>
      <c r="I27" s="102">
        <v>-3.6700000000000001E-3</v>
      </c>
      <c r="J27" s="89" t="str">
        <f>IF(LEFT(A27,1)="D",_xll.qlDepositRateHelper2(,I27,IF(RIGHT(C27,1)="N","1D",C27),D27,Calendar,F27,G27,H27,,Trigger),IF(A27="Sw",_xll.qlSwapRateHelper2(,I27,D27,C27,Calendar,"Annual",F27,H27,"Euribor"&amp;$H$1,0,"0D",Discounting,,,,Trigger),IF(A27="Fr",_xll.qlFraRateHelper(,I27,SUBSTITUTE(LEFT(C27,2),"M","")&amp;"M","Euribor"&amp;$H$1,,,,Trigger),IF(A27="Sf",_xll.qlFuturesRateHelper(,I27,,C27,"Euribor"&amp;$H$1,0,,Trigger),"--"))))</f>
        <v>obj_00164#0004</v>
      </c>
      <c r="K27" s="98" t="b">
        <f t="shared" si="6"/>
        <v>1</v>
      </c>
      <c r="M27" s="9" t="str">
        <v>Sw</v>
      </c>
      <c r="N27" s="9" t="str">
        <v>4Y</v>
      </c>
      <c r="O27" s="9" t="str">
        <v>obj_00164#0004</v>
      </c>
      <c r="P27" s="96">
        <f>_xll.qlRateHelperRate(O27,Trigger)</f>
        <v>-3.6700000000000001E-3</v>
      </c>
      <c r="Q27" s="10">
        <f>_xll.qlRateHelperEarliestDate(O27,Trigger)</f>
        <v>42502</v>
      </c>
      <c r="R27" s="10">
        <f>_xll.qlRateHelperPillarDate(O27,Trigger)</f>
        <v>43963</v>
      </c>
      <c r="S27" s="96">
        <v>-3.6764000861559815E-3</v>
      </c>
    </row>
    <row r="28" spans="1:19" ht="11.25" customHeight="1" x14ac:dyDescent="0.2">
      <c r="A28" s="91" t="str">
        <v>Sw</v>
      </c>
      <c r="B28" s="91" t="str">
        <v>5Y</v>
      </c>
      <c r="C28" s="91" t="str">
        <f>IF(A28="Sf",_xll.qlIMMNextCode(B28,Trigger),IF(LEFT(B28,1)="#",_xll.qlCalendarBusinessDaysBetween(Calendar,Settlementdate,DATE(LEFT(SUBSTITUTE(B28,"#",""),4),LEFT(RIGHT(SUBSTITUTE(B28,"#",""),4),2),RIGHT(SUBSTITUTE(B28,"#",""),2)),,,Trigger)-1&amp;"D",SUBSTITUTE(B28,"/","")))</f>
        <v>5Y</v>
      </c>
      <c r="D28" s="101">
        <f t="shared" si="1"/>
        <v>2</v>
      </c>
      <c r="E28" s="101" t="str">
        <f t="shared" si="2"/>
        <v>Annual</v>
      </c>
      <c r="F28" s="97" t="str">
        <f t="shared" si="3"/>
        <v>Modified Following</v>
      </c>
      <c r="G28" s="100" t="str">
        <f t="shared" si="4"/>
        <v>TRUE</v>
      </c>
      <c r="H28" s="97" t="str">
        <f t="shared" si="5"/>
        <v>30/360 (Bond Basis)</v>
      </c>
      <c r="I28" s="102">
        <v>-2.9399999999999999E-3</v>
      </c>
      <c r="J28" s="89" t="str">
        <f>IF(LEFT(A28,1)="D",_xll.qlDepositRateHelper2(,I28,IF(RIGHT(C28,1)="N","1D",C28),D28,Calendar,F28,G28,H28,,Trigger),IF(A28="Sw",_xll.qlSwapRateHelper2(,I28,D28,C28,Calendar,"Annual",F28,H28,"Euribor"&amp;$H$1,0,"0D",Discounting,,,,Trigger),IF(A28="Fr",_xll.qlFraRateHelper(,I28,SUBSTITUTE(LEFT(C28,2),"M","")&amp;"M","Euribor"&amp;$H$1,,,,Trigger),IF(A28="Sf",_xll.qlFuturesRateHelper(,I28,,C28,"Euribor"&amp;$H$1,0,,Trigger),"--"))))</f>
        <v>obj_00169#0004</v>
      </c>
      <c r="K28" s="98" t="b">
        <f t="shared" si="6"/>
        <v>1</v>
      </c>
      <c r="M28" s="9" t="str">
        <v>Sw</v>
      </c>
      <c r="N28" s="9" t="str">
        <v>5Y</v>
      </c>
      <c r="O28" s="9" t="str">
        <v>obj_00169#0004</v>
      </c>
      <c r="P28" s="96">
        <f>_xll.qlRateHelperRate(O28,Trigger)</f>
        <v>-2.9399999999999999E-3</v>
      </c>
      <c r="Q28" s="10">
        <f>_xll.qlRateHelperEarliestDate(O28,Trigger)</f>
        <v>42502</v>
      </c>
      <c r="R28" s="10">
        <f>_xll.qlRateHelperPillarDate(O28,Trigger)</f>
        <v>44328</v>
      </c>
      <c r="S28" s="96">
        <v>-2.9492451134284364E-3</v>
      </c>
    </row>
    <row r="29" spans="1:19" ht="11.25" customHeight="1" x14ac:dyDescent="0.2">
      <c r="A29" s="91" t="str">
        <v>Sw</v>
      </c>
      <c r="B29" s="91" t="str">
        <v>6Y</v>
      </c>
      <c r="C29" s="91" t="str">
        <f>IF(A29="Sf",_xll.qlIMMNextCode(B29,Trigger),IF(LEFT(B29,1)="#",_xll.qlCalendarBusinessDaysBetween(Calendar,Settlementdate,DATE(LEFT(SUBSTITUTE(B29,"#",""),4),LEFT(RIGHT(SUBSTITUTE(B29,"#",""),4),2),RIGHT(SUBSTITUTE(B29,"#",""),2)),,,Trigger)-1&amp;"D",SUBSTITUTE(B29,"/","")))</f>
        <v>6Y</v>
      </c>
      <c r="D29" s="101">
        <f t="shared" si="1"/>
        <v>2</v>
      </c>
      <c r="E29" s="101" t="str">
        <f t="shared" si="2"/>
        <v>Annual</v>
      </c>
      <c r="F29" s="97" t="str">
        <f t="shared" si="3"/>
        <v>Modified Following</v>
      </c>
      <c r="G29" s="100" t="str">
        <f t="shared" si="4"/>
        <v>TRUE</v>
      </c>
      <c r="H29" s="97" t="str">
        <f t="shared" si="5"/>
        <v>30/360 (Bond Basis)</v>
      </c>
      <c r="I29" s="102">
        <v>-1.9500000000000001E-3</v>
      </c>
      <c r="J29" s="89" t="str">
        <f>IF(LEFT(A29,1)="D",_xll.qlDepositRateHelper2(,I29,IF(RIGHT(C29,1)="N","1D",C29),D29,Calendar,F29,G29,H29,,Trigger),IF(A29="Sw",_xll.qlSwapRateHelper2(,I29,D29,C29,Calendar,"Annual",F29,H29,"Euribor"&amp;$H$1,0,"0D",Discounting,,,,Trigger),IF(A29="Fr",_xll.qlFraRateHelper(,I29,SUBSTITUTE(LEFT(C29,2),"M","")&amp;"M","Euribor"&amp;$H$1,,,,Trigger),IF(A29="Sf",_xll.qlFuturesRateHelper(,I29,,C29,"Euribor"&amp;$H$1,0,,Trigger),"--"))))</f>
        <v>obj_00185#0004</v>
      </c>
      <c r="K29" s="98" t="b">
        <f t="shared" si="6"/>
        <v>1</v>
      </c>
      <c r="M29" s="9" t="str">
        <v>Sw</v>
      </c>
      <c r="N29" s="9" t="str">
        <v>6Y</v>
      </c>
      <c r="O29" s="9" t="str">
        <v>obj_00185#0004</v>
      </c>
      <c r="P29" s="96">
        <f>_xll.qlRateHelperRate(O29,Trigger)</f>
        <v>-1.9500000000000001E-3</v>
      </c>
      <c r="Q29" s="10">
        <f>_xll.qlRateHelperEarliestDate(O29,Trigger)</f>
        <v>42502</v>
      </c>
      <c r="R29" s="10">
        <f>_xll.qlRateHelperPillarDate(O29,Trigger)</f>
        <v>44693</v>
      </c>
      <c r="S29" s="96">
        <v>-1.9606519268031745E-3</v>
      </c>
    </row>
    <row r="30" spans="1:19" ht="11.25" customHeight="1" x14ac:dyDescent="0.2">
      <c r="A30" s="91" t="str">
        <v>Sw</v>
      </c>
      <c r="B30" s="91" t="str">
        <v>7Y</v>
      </c>
      <c r="C30" s="91" t="str">
        <f>IF(A30="Sf",_xll.qlIMMNextCode(B30,Trigger),IF(LEFT(B30,1)="#",_xll.qlCalendarBusinessDaysBetween(Calendar,Settlementdate,DATE(LEFT(SUBSTITUTE(B30,"#",""),4),LEFT(RIGHT(SUBSTITUTE(B30,"#",""),4),2),RIGHT(SUBSTITUTE(B30,"#",""),2)),,,Trigger)-1&amp;"D",SUBSTITUTE(B30,"/","")))</f>
        <v>7Y</v>
      </c>
      <c r="D30" s="101">
        <f t="shared" si="1"/>
        <v>2</v>
      </c>
      <c r="E30" s="101" t="str">
        <f t="shared" si="2"/>
        <v>Annual</v>
      </c>
      <c r="F30" s="97" t="str">
        <f t="shared" si="3"/>
        <v>Modified Following</v>
      </c>
      <c r="G30" s="100" t="str">
        <f t="shared" si="4"/>
        <v>TRUE</v>
      </c>
      <c r="H30" s="97" t="str">
        <f t="shared" si="5"/>
        <v>30/360 (Bond Basis)</v>
      </c>
      <c r="I30" s="102">
        <v>-8.5000000000000006E-4</v>
      </c>
      <c r="J30" s="89" t="str">
        <f>IF(LEFT(A30,1)="D",_xll.qlDepositRateHelper2(,I30,IF(RIGHT(C30,1)="N","1D",C30),D30,Calendar,F30,G30,H30,,Trigger),IF(A30="Sw",_xll.qlSwapRateHelper2(,I30,D30,C30,Calendar,"Annual",F30,H30,"Euribor"&amp;$H$1,0,"0D",Discounting,,,,Trigger),IF(A30="Fr",_xll.qlFraRateHelper(,I30,SUBSTITUTE(LEFT(C30,2),"M","")&amp;"M","Euribor"&amp;$H$1,,,,Trigger),IF(A30="Sf",_xll.qlFuturesRateHelper(,I30,,C30,"Euribor"&amp;$H$1,0,,Trigger),"--"))))</f>
        <v>obj_0018a#0004</v>
      </c>
      <c r="K30" s="98" t="b">
        <f t="shared" si="6"/>
        <v>1</v>
      </c>
      <c r="M30" s="9" t="str">
        <v>Sw</v>
      </c>
      <c r="N30" s="9" t="str">
        <v>7Y</v>
      </c>
      <c r="O30" s="9" t="str">
        <v>obj_0018a#0004</v>
      </c>
      <c r="P30" s="96">
        <f>_xll.qlRateHelperRate(O30,Trigger)</f>
        <v>-8.5000000000000006E-4</v>
      </c>
      <c r="Q30" s="10">
        <f>_xll.qlRateHelperEarliestDate(O30,Trigger)</f>
        <v>42502</v>
      </c>
      <c r="R30" s="10">
        <f>_xll.qlRateHelperPillarDate(O30,Trigger)</f>
        <v>45058</v>
      </c>
      <c r="S30" s="96">
        <v>-8.5801458774842538E-4</v>
      </c>
    </row>
    <row r="31" spans="1:19" ht="11.25" customHeight="1" x14ac:dyDescent="0.2">
      <c r="A31" s="91" t="str">
        <v>Sw</v>
      </c>
      <c r="B31" s="91" t="str">
        <v>8Y</v>
      </c>
      <c r="C31" s="91" t="str">
        <f>IF(A31="Sf",_xll.qlIMMNextCode(B31,Trigger),IF(LEFT(B31,1)="#",_xll.qlCalendarBusinessDaysBetween(Calendar,Settlementdate,DATE(LEFT(SUBSTITUTE(B31,"#",""),4),LEFT(RIGHT(SUBSTITUTE(B31,"#",""),4),2),RIGHT(SUBSTITUTE(B31,"#",""),2)),,,Trigger)-1&amp;"D",SUBSTITUTE(B31,"/","")))</f>
        <v>8Y</v>
      </c>
      <c r="D31" s="101">
        <f t="shared" si="1"/>
        <v>2</v>
      </c>
      <c r="E31" s="101" t="str">
        <f t="shared" si="2"/>
        <v>Annual</v>
      </c>
      <c r="F31" s="97" t="str">
        <f t="shared" si="3"/>
        <v>Modified Following</v>
      </c>
      <c r="G31" s="100" t="str">
        <f t="shared" si="4"/>
        <v>TRUE</v>
      </c>
      <c r="H31" s="97" t="str">
        <f t="shared" si="5"/>
        <v>30/360 (Bond Basis)</v>
      </c>
      <c r="I31" s="102">
        <v>3.7999999999999997E-4</v>
      </c>
      <c r="J31" s="89" t="str">
        <f>IF(LEFT(A31,1)="D",_xll.qlDepositRateHelper2(,I31,IF(RIGHT(C31,1)="N","1D",C31),D31,Calendar,F31,G31,H31,,Trigger),IF(A31="Sw",_xll.qlSwapRateHelper2(,I31,D31,C31,Calendar,"Annual",F31,H31,"Euribor"&amp;$H$1,0,"0D",Discounting,,,,Trigger),IF(A31="Fr",_xll.qlFraRateHelper(,I31,SUBSTITUTE(LEFT(C31,2),"M","")&amp;"M","Euribor"&amp;$H$1,,,,Trigger),IF(A31="Sf",_xll.qlFuturesRateHelper(,I31,,C31,"Euribor"&amp;$H$1,0,,Trigger),"--"))))</f>
        <v>obj_00198#0004</v>
      </c>
      <c r="K31" s="98" t="b">
        <f t="shared" si="6"/>
        <v>1</v>
      </c>
      <c r="M31" s="9" t="str">
        <v>Sw</v>
      </c>
      <c r="N31" s="9" t="str">
        <v>8Y</v>
      </c>
      <c r="O31" s="9" t="str">
        <v>obj_00198#0004</v>
      </c>
      <c r="P31" s="96">
        <f>_xll.qlRateHelperRate(O31,Trigger)</f>
        <v>3.7999999999999997E-4</v>
      </c>
      <c r="Q31" s="10">
        <f>_xll.qlRateHelperEarliestDate(O31,Trigger)</f>
        <v>42502</v>
      </c>
      <c r="R31" s="10">
        <f>_xll.qlRateHelperPillarDate(O31,Trigger)</f>
        <v>45425</v>
      </c>
      <c r="S31" s="96">
        <v>3.8101564785732227E-4</v>
      </c>
    </row>
    <row r="32" spans="1:19" ht="11.25" customHeight="1" x14ac:dyDescent="0.2">
      <c r="A32" s="91" t="str">
        <v>Sw</v>
      </c>
      <c r="B32" s="91" t="str">
        <v>9Y</v>
      </c>
      <c r="C32" s="91" t="str">
        <f>IF(A32="Sf",_xll.qlIMMNextCode(B32,Trigger),IF(LEFT(B32,1)="#",_xll.qlCalendarBusinessDaysBetween(Calendar,Settlementdate,DATE(LEFT(SUBSTITUTE(B32,"#",""),4),LEFT(RIGHT(SUBSTITUTE(B32,"#",""),4),2),RIGHT(SUBSTITUTE(B32,"#",""),2)),,,Trigger)-1&amp;"D",SUBSTITUTE(B32,"/","")))</f>
        <v>9Y</v>
      </c>
      <c r="D32" s="101">
        <f t="shared" si="1"/>
        <v>2</v>
      </c>
      <c r="E32" s="101" t="str">
        <f t="shared" si="2"/>
        <v>Annual</v>
      </c>
      <c r="F32" s="97" t="str">
        <f t="shared" si="3"/>
        <v>Modified Following</v>
      </c>
      <c r="G32" s="100" t="str">
        <f t="shared" si="4"/>
        <v>TRUE</v>
      </c>
      <c r="H32" s="97" t="str">
        <f t="shared" si="5"/>
        <v>30/360 (Bond Basis)</v>
      </c>
      <c r="I32" s="102">
        <v>1.56E-3</v>
      </c>
      <c r="J32" s="89" t="str">
        <f>IF(LEFT(A32,1)="D",_xll.qlDepositRateHelper2(,I32,IF(RIGHT(C32,1)="N","1D",C32),D32,Calendar,F32,G32,H32,,Trigger),IF(A32="Sw",_xll.qlSwapRateHelper2(,I32,D32,C32,Calendar,"Annual",F32,H32,"Euribor"&amp;$H$1,0,"0D",Discounting,,,,Trigger),IF(A32="Fr",_xll.qlFraRateHelper(,I32,SUBSTITUTE(LEFT(C32,2),"M","")&amp;"M","Euribor"&amp;$H$1,,,,Trigger),IF(A32="Sf",_xll.qlFuturesRateHelper(,I32,,C32,"Euribor"&amp;$H$1,0,,Trigger),"--"))))</f>
        <v>obj_0015f#0004</v>
      </c>
      <c r="K32" s="98" t="b">
        <f t="shared" si="6"/>
        <v>1</v>
      </c>
      <c r="M32" s="9" t="str">
        <v>Sw</v>
      </c>
      <c r="N32" s="9" t="str">
        <v>9Y</v>
      </c>
      <c r="O32" s="9" t="str">
        <v>obj_0015f#0004</v>
      </c>
      <c r="P32" s="96">
        <f>_xll.qlRateHelperRate(O32,Trigger)</f>
        <v>1.56E-3</v>
      </c>
      <c r="Q32" s="10">
        <f>_xll.qlRateHelperEarliestDate(O32,Trigger)</f>
        <v>42502</v>
      </c>
      <c r="R32" s="10">
        <f>_xll.qlRateHelperPillarDate(O32,Trigger)</f>
        <v>45789</v>
      </c>
      <c r="S32" s="96">
        <v>1.5767419636292098E-3</v>
      </c>
    </row>
    <row r="33" spans="1:19" ht="11.25" customHeight="1" x14ac:dyDescent="0.2">
      <c r="A33" s="91" t="str">
        <v>Sw</v>
      </c>
      <c r="B33" s="91" t="str">
        <v>10Y</v>
      </c>
      <c r="C33" s="91" t="str">
        <f>IF(A33="Sf",_xll.qlIMMNextCode(B33,Trigger),IF(LEFT(B33,1)="#",_xll.qlCalendarBusinessDaysBetween(Calendar,Settlementdate,DATE(LEFT(SUBSTITUTE(B33,"#",""),4),LEFT(RIGHT(SUBSTITUTE(B33,"#",""),4),2),RIGHT(SUBSTITUTE(B33,"#",""),2)),,,Trigger)-1&amp;"D",SUBSTITUTE(B33,"/","")))</f>
        <v>10Y</v>
      </c>
      <c r="D33" s="101">
        <f t="shared" si="1"/>
        <v>2</v>
      </c>
      <c r="E33" s="101" t="str">
        <f t="shared" si="2"/>
        <v>Annual</v>
      </c>
      <c r="F33" s="97" t="str">
        <f t="shared" si="3"/>
        <v>Modified Following</v>
      </c>
      <c r="G33" s="100" t="str">
        <f t="shared" si="4"/>
        <v>TRUE</v>
      </c>
      <c r="H33" s="97" t="str">
        <f t="shared" si="5"/>
        <v>30/360 (Bond Basis)</v>
      </c>
      <c r="I33" s="102">
        <v>2.66E-3</v>
      </c>
      <c r="J33" s="89" t="str">
        <f>IF(LEFT(A33,1)="D",_xll.qlDepositRateHelper2(,I33,IF(RIGHT(C33,1)="N","1D",C33),D33,Calendar,F33,G33,H33,,Trigger),IF(A33="Sw",_xll.qlSwapRateHelper2(,I33,D33,C33,Calendar,"Annual",F33,H33,"Euribor"&amp;$H$1,0,"0D",Discounting,,,,Trigger),IF(A33="Fr",_xll.qlFraRateHelper(,I33,SUBSTITUTE(LEFT(C33,2),"M","")&amp;"M","Euribor"&amp;$H$1,,,,Trigger),IF(A33="Sf",_xll.qlFuturesRateHelper(,I33,,C33,"Euribor"&amp;$H$1,0,,Trigger),"--"))))</f>
        <v>obj_00186#0004</v>
      </c>
      <c r="K33" s="98" t="b">
        <f t="shared" si="6"/>
        <v>1</v>
      </c>
      <c r="M33" s="9" t="str">
        <v>Sw</v>
      </c>
      <c r="N33" s="9" t="str">
        <v>10Y</v>
      </c>
      <c r="O33" s="9" t="str">
        <v>obj_00186#0004</v>
      </c>
      <c r="P33" s="96">
        <f>_xll.qlRateHelperRate(O33,Trigger)</f>
        <v>2.66E-3</v>
      </c>
      <c r="Q33" s="10">
        <f>_xll.qlRateHelperEarliestDate(O33,Trigger)</f>
        <v>42502</v>
      </c>
      <c r="R33" s="10">
        <f>_xll.qlRateHelperPillarDate(O33,Trigger)</f>
        <v>46154</v>
      </c>
      <c r="S33" s="96">
        <v>2.6988140091156101E-3</v>
      </c>
    </row>
    <row r="34" spans="1:19" ht="11.25" customHeight="1" x14ac:dyDescent="0.2">
      <c r="A34" s="91" t="str">
        <v>Sw</v>
      </c>
      <c r="B34" s="91" t="str">
        <v>11Y</v>
      </c>
      <c r="C34" s="91" t="str">
        <f>IF(A34="Sf",_xll.qlIMMNextCode(B34,Trigger),IF(LEFT(B34,1)="#",_xll.qlCalendarBusinessDaysBetween(Calendar,Settlementdate,DATE(LEFT(SUBSTITUTE(B34,"#",""),4),LEFT(RIGHT(SUBSTITUTE(B34,"#",""),4),2),RIGHT(SUBSTITUTE(B34,"#",""),2)),,,Trigger)-1&amp;"D",SUBSTITUTE(B34,"/","")))</f>
        <v>11Y</v>
      </c>
      <c r="D34" s="101">
        <f t="shared" si="1"/>
        <v>2</v>
      </c>
      <c r="E34" s="101" t="str">
        <f t="shared" si="2"/>
        <v>Annual</v>
      </c>
      <c r="F34" s="97" t="str">
        <f t="shared" si="3"/>
        <v>Modified Following</v>
      </c>
      <c r="G34" s="100" t="str">
        <f t="shared" si="4"/>
        <v>TRUE</v>
      </c>
      <c r="H34" s="97" t="str">
        <f t="shared" si="5"/>
        <v>30/360 (Bond Basis)</v>
      </c>
      <c r="I34" s="102">
        <v>3.6566397099999999E-3</v>
      </c>
      <c r="J34" s="89" t="str">
        <f>IF(LEFT(A34,1)="D",_xll.qlDepositRateHelper2(,I34,IF(RIGHT(C34,1)="N","1D",C34),D34,Calendar,F34,G34,H34,,Trigger),IF(A34="Sw",_xll.qlSwapRateHelper2(,I34,D34,C34,Calendar,"Annual",F34,H34,"Euribor"&amp;$H$1,0,"0D",Discounting,,,,Trigger),IF(A34="Fr",_xll.qlFraRateHelper(,I34,SUBSTITUTE(LEFT(C34,2),"M","")&amp;"M","Euribor"&amp;$H$1,,,,Trigger),IF(A34="Sf",_xll.qlFuturesRateHelper(,I34,,C34,"Euribor"&amp;$H$1,0,,Trigger),"--"))))</f>
        <v>obj_00189#0004</v>
      </c>
      <c r="K34" s="98" t="b">
        <f t="shared" si="6"/>
        <v>1</v>
      </c>
      <c r="M34" s="9" t="str">
        <v>Sw</v>
      </c>
      <c r="N34" s="9" t="str">
        <v>11Y</v>
      </c>
      <c r="O34" s="9" t="str">
        <v>obj_00189#0004</v>
      </c>
      <c r="P34" s="96">
        <f>_xll.qlRateHelperRate(O34,Trigger)</f>
        <v>3.6566397099999999E-3</v>
      </c>
      <c r="Q34" s="10">
        <f>_xll.qlRateHelperEarliestDate(O34,Trigger)</f>
        <v>42502</v>
      </c>
      <c r="R34" s="10">
        <f>_xll.qlRateHelperPillarDate(O34,Trigger)</f>
        <v>46519</v>
      </c>
      <c r="S34" s="96">
        <v>3.7224744875732959E-3</v>
      </c>
    </row>
    <row r="35" spans="1:19" ht="11.25" customHeight="1" x14ac:dyDescent="0.2">
      <c r="A35" s="91" t="str">
        <v>Sw</v>
      </c>
      <c r="B35" s="91" t="str">
        <v>12Y</v>
      </c>
      <c r="C35" s="91" t="str">
        <f>IF(A35="Sf",_xll.qlIMMNextCode(B35,Trigger),IF(LEFT(B35,1)="#",_xll.qlCalendarBusinessDaysBetween(Calendar,Settlementdate,DATE(LEFT(SUBSTITUTE(B35,"#",""),4),LEFT(RIGHT(SUBSTITUTE(B35,"#",""),4),2),RIGHT(SUBSTITUTE(B35,"#",""),2)),,,Trigger)-1&amp;"D",SUBSTITUTE(B35,"/","")))</f>
        <v>12Y</v>
      </c>
      <c r="D35" s="101">
        <f t="shared" si="1"/>
        <v>2</v>
      </c>
      <c r="E35" s="101" t="str">
        <f t="shared" si="2"/>
        <v>Annual</v>
      </c>
      <c r="F35" s="97" t="str">
        <f t="shared" si="3"/>
        <v>Modified Following</v>
      </c>
      <c r="G35" s="100" t="str">
        <f t="shared" si="4"/>
        <v>TRUE</v>
      </c>
      <c r="H35" s="97" t="str">
        <f t="shared" si="5"/>
        <v>30/360 (Bond Basis)</v>
      </c>
      <c r="I35" s="102">
        <v>4.5500000000000002E-3</v>
      </c>
      <c r="J35" s="89" t="str">
        <f>IF(LEFT(A35,1)="D",_xll.qlDepositRateHelper2(,I35,IF(RIGHT(C35,1)="N","1D",C35),D35,Calendar,F35,G35,H35,,Trigger),IF(A35="Sw",_xll.qlSwapRateHelper2(,I35,D35,C35,Calendar,"Annual",F35,H35,"Euribor"&amp;$H$1,0,"0D",Discounting,,,,Trigger),IF(A35="Fr",_xll.qlFraRateHelper(,I35,SUBSTITUTE(LEFT(C35,2),"M","")&amp;"M","Euribor"&amp;$H$1,,,,Trigger),IF(A35="Sf",_xll.qlFuturesRateHelper(,I35,,C35,"Euribor"&amp;$H$1,0,,Trigger),"--"))))</f>
        <v>obj_00194#0004</v>
      </c>
      <c r="K35" s="98" t="b">
        <f t="shared" si="6"/>
        <v>1</v>
      </c>
      <c r="M35" s="9" t="str">
        <v>Sw</v>
      </c>
      <c r="N35" s="9" t="str">
        <v>12Y</v>
      </c>
      <c r="O35" s="9" t="str">
        <v>obj_00194#0004</v>
      </c>
      <c r="P35" s="96">
        <f>_xll.qlRateHelperRate(O35,Trigger)</f>
        <v>4.5500000000000002E-3</v>
      </c>
      <c r="Q35" s="10">
        <f>_xll.qlRateHelperEarliestDate(O35,Trigger)</f>
        <v>42502</v>
      </c>
      <c r="R35" s="10">
        <f>_xll.qlRateHelperPillarDate(O35,Trigger)</f>
        <v>46885</v>
      </c>
      <c r="S35" s="96">
        <v>4.6453413979771251E-3</v>
      </c>
    </row>
    <row r="36" spans="1:19" ht="11.25" customHeight="1" x14ac:dyDescent="0.2">
      <c r="A36" s="91" t="str">
        <v>Sw</v>
      </c>
      <c r="B36" s="91" t="str">
        <v>13Y</v>
      </c>
      <c r="C36" s="91" t="str">
        <f>IF(A36="Sf",_xll.qlIMMNextCode(B36,Trigger),IF(LEFT(B36,1)="#",_xll.qlCalendarBusinessDaysBetween(Calendar,Settlementdate,DATE(LEFT(SUBSTITUTE(B36,"#",""),4),LEFT(RIGHT(SUBSTITUTE(B36,"#",""),4),2),RIGHT(SUBSTITUTE(B36,"#",""),2)),,,Trigger)-1&amp;"D",SUBSTITUTE(B36,"/","")))</f>
        <v>13Y</v>
      </c>
      <c r="D36" s="101">
        <f t="shared" si="1"/>
        <v>2</v>
      </c>
      <c r="E36" s="101" t="str">
        <f t="shared" si="2"/>
        <v>Annual</v>
      </c>
      <c r="F36" s="97" t="str">
        <f t="shared" si="3"/>
        <v>Modified Following</v>
      </c>
      <c r="G36" s="100" t="str">
        <f t="shared" si="4"/>
        <v>TRUE</v>
      </c>
      <c r="H36" s="97" t="str">
        <f t="shared" si="5"/>
        <v>30/360 (Bond Basis)</v>
      </c>
      <c r="I36" s="102">
        <v>5.3408394899999998E-3</v>
      </c>
      <c r="J36" s="89" t="str">
        <f>IF(LEFT(A36,1)="D",_xll.qlDepositRateHelper2(,I36,IF(RIGHT(C36,1)="N","1D",C36),D36,Calendar,F36,G36,H36,,Trigger),IF(A36="Sw",_xll.qlSwapRateHelper2(,I36,D36,C36,Calendar,"Annual",F36,H36,"Euribor"&amp;$H$1,0,"0D",Discounting,,,,Trigger),IF(A36="Fr",_xll.qlFraRateHelper(,I36,SUBSTITUTE(LEFT(C36,2),"M","")&amp;"M","Euribor"&amp;$H$1,,,,Trigger),IF(A36="Sf",_xll.qlFuturesRateHelper(,I36,,C36,"Euribor"&amp;$H$1,0,,Trigger),"--"))))</f>
        <v>obj_0017f#0004</v>
      </c>
      <c r="K36" s="98" t="b">
        <f t="shared" si="6"/>
        <v>1</v>
      </c>
      <c r="M36" s="9" t="str">
        <v>Sw</v>
      </c>
      <c r="N36" s="9" t="str">
        <v>13Y</v>
      </c>
      <c r="O36" s="9" t="str">
        <v>obj_0017f#0004</v>
      </c>
      <c r="P36" s="96">
        <f>_xll.qlRateHelperRate(O36,Trigger)</f>
        <v>5.3408394899999998E-3</v>
      </c>
      <c r="Q36" s="10">
        <f>_xll.qlRateHelperEarliestDate(O36,Trigger)</f>
        <v>42502</v>
      </c>
      <c r="R36" s="10">
        <f>_xll.qlRateHelperPillarDate(O36,Trigger)</f>
        <v>47252</v>
      </c>
      <c r="S36" s="96">
        <v>5.4683427871058633E-3</v>
      </c>
    </row>
    <row r="37" spans="1:19" ht="11.25" customHeight="1" x14ac:dyDescent="0.2">
      <c r="A37" s="91" t="str">
        <v>Sw</v>
      </c>
      <c r="B37" s="91" t="str">
        <v>14Y</v>
      </c>
      <c r="C37" s="91" t="str">
        <f>IF(A37="Sf",_xll.qlIMMNextCode(B37,Trigger),IF(LEFT(B37,1)="#",_xll.qlCalendarBusinessDaysBetween(Calendar,Settlementdate,DATE(LEFT(SUBSTITUTE(B37,"#",""),4),LEFT(RIGHT(SUBSTITUTE(B37,"#",""),4),2),RIGHT(SUBSTITUTE(B37,"#",""),2)),,,Trigger)-1&amp;"D",SUBSTITUTE(B37,"/","")))</f>
        <v>14Y</v>
      </c>
      <c r="D37" s="101">
        <f t="shared" si="1"/>
        <v>2</v>
      </c>
      <c r="E37" s="101" t="str">
        <f t="shared" si="2"/>
        <v>Annual</v>
      </c>
      <c r="F37" s="97" t="str">
        <f t="shared" si="3"/>
        <v>Modified Following</v>
      </c>
      <c r="G37" s="100" t="str">
        <f t="shared" si="4"/>
        <v>TRUE</v>
      </c>
      <c r="H37" s="97" t="str">
        <f t="shared" si="5"/>
        <v>30/360 (Bond Basis)</v>
      </c>
      <c r="I37" s="102">
        <v>6.0372880699999997E-3</v>
      </c>
      <c r="J37" s="89" t="str">
        <f>IF(LEFT(A37,1)="D",_xll.qlDepositRateHelper2(,I37,IF(RIGHT(C37,1)="N","1D",C37),D37,Calendar,F37,G37,H37,,Trigger),IF(A37="Sw",_xll.qlSwapRateHelper2(,I37,D37,C37,Calendar,"Annual",F37,H37,"Euribor"&amp;$H$1,0,"0D",Discounting,,,,Trigger),IF(A37="Fr",_xll.qlFraRateHelper(,I37,SUBSTITUTE(LEFT(C37,2),"M","")&amp;"M","Euribor"&amp;$H$1,,,,Trigger),IF(A37="Sf",_xll.qlFuturesRateHelper(,I37,,C37,"Euribor"&amp;$H$1,0,,Trigger),"--"))))</f>
        <v>obj_00183#0004</v>
      </c>
      <c r="K37" s="98" t="b">
        <f t="shared" si="6"/>
        <v>1</v>
      </c>
      <c r="M37" s="9" t="str">
        <v>Sw</v>
      </c>
      <c r="N37" s="9" t="str">
        <v>14Y</v>
      </c>
      <c r="O37" s="9" t="str">
        <v>obj_00183#0004</v>
      </c>
      <c r="P37" s="96">
        <f>_xll.qlRateHelperRate(O37,Trigger)</f>
        <v>6.0372880699999997E-3</v>
      </c>
      <c r="Q37" s="10">
        <f>_xll.qlRateHelperEarliestDate(O37,Trigger)</f>
        <v>42502</v>
      </c>
      <c r="R37" s="10">
        <f>_xll.qlRateHelperPillarDate(O37,Trigger)</f>
        <v>47616</v>
      </c>
      <c r="S37" s="96">
        <v>6.1974695253456157E-3</v>
      </c>
    </row>
    <row r="38" spans="1:19" ht="11.25" customHeight="1" x14ac:dyDescent="0.2">
      <c r="A38" s="91" t="str">
        <v>Sw</v>
      </c>
      <c r="B38" s="91" t="str">
        <v>15Y</v>
      </c>
      <c r="C38" s="91" t="str">
        <f>IF(A38="Sf",_xll.qlIMMNextCode(B38,Trigger),IF(LEFT(B38,1)="#",_xll.qlCalendarBusinessDaysBetween(Calendar,Settlementdate,DATE(LEFT(SUBSTITUTE(B38,"#",""),4),LEFT(RIGHT(SUBSTITUTE(B38,"#",""),4),2),RIGHT(SUBSTITUTE(B38,"#",""),2)),,,Trigger)-1&amp;"D",SUBSTITUTE(B38,"/","")))</f>
        <v>15Y</v>
      </c>
      <c r="D38" s="101">
        <f t="shared" si="1"/>
        <v>2</v>
      </c>
      <c r="E38" s="101" t="str">
        <f t="shared" si="2"/>
        <v>Annual</v>
      </c>
      <c r="F38" s="97" t="str">
        <f t="shared" si="3"/>
        <v>Modified Following</v>
      </c>
      <c r="G38" s="100" t="str">
        <f t="shared" si="4"/>
        <v>TRUE</v>
      </c>
      <c r="H38" s="97" t="str">
        <f t="shared" si="5"/>
        <v>30/360 (Bond Basis)</v>
      </c>
      <c r="I38" s="102">
        <v>6.6300000000000005E-3</v>
      </c>
      <c r="J38" s="89" t="str">
        <f>IF(LEFT(A38,1)="D",_xll.qlDepositRateHelper2(,I38,IF(RIGHT(C38,1)="N","1D",C38),D38,Calendar,F38,G38,H38,,Trigger),IF(A38="Sw",_xll.qlSwapRateHelper2(,I38,D38,C38,Calendar,"Annual",F38,H38,"Euribor"&amp;$H$1,0,"0D",Discounting,,,,Trigger),IF(A38="Fr",_xll.qlFraRateHelper(,I38,SUBSTITUTE(LEFT(C38,2),"M","")&amp;"M","Euribor"&amp;$H$1,,,,Trigger),IF(A38="Sf",_xll.qlFuturesRateHelper(,I38,,C38,"Euribor"&amp;$H$1,0,,Trigger),"--"))))</f>
        <v>obj_0016a#0004</v>
      </c>
      <c r="K38" s="98" t="b">
        <f t="shared" si="6"/>
        <v>1</v>
      </c>
      <c r="M38" s="9" t="str">
        <v>Sw</v>
      </c>
      <c r="N38" s="9" t="str">
        <v>15Y</v>
      </c>
      <c r="O38" s="9" t="str">
        <v>obj_0016a#0004</v>
      </c>
      <c r="P38" s="96">
        <f>_xll.qlRateHelperRate(O38,Trigger)</f>
        <v>6.6300000000000005E-3</v>
      </c>
      <c r="Q38" s="10">
        <f>_xll.qlRateHelperEarliestDate(O38,Trigger)</f>
        <v>42502</v>
      </c>
      <c r="R38" s="10">
        <f>_xll.qlRateHelperPillarDate(O38,Trigger)</f>
        <v>47980</v>
      </c>
      <c r="S38" s="96">
        <v>6.8208827061189449E-3</v>
      </c>
    </row>
    <row r="39" spans="1:19" ht="11.25" customHeight="1" x14ac:dyDescent="0.2">
      <c r="A39" s="91" t="str">
        <v>Sw</v>
      </c>
      <c r="B39" s="91" t="str">
        <v>16Y</v>
      </c>
      <c r="C39" s="91" t="str">
        <f>IF(A39="Sf",_xll.qlIMMNextCode(B39,Trigger),IF(LEFT(B39,1)="#",_xll.qlCalendarBusinessDaysBetween(Calendar,Settlementdate,DATE(LEFT(SUBSTITUTE(B39,"#",""),4),LEFT(RIGHT(SUBSTITUTE(B39,"#",""),4),2),RIGHT(SUBSTITUTE(B39,"#",""),2)),,,Trigger)-1&amp;"D",SUBSTITUTE(B39,"/","")))</f>
        <v>16Y</v>
      </c>
      <c r="D39" s="101">
        <f t="shared" si="1"/>
        <v>2</v>
      </c>
      <c r="E39" s="101" t="str">
        <f t="shared" si="2"/>
        <v>Annual</v>
      </c>
      <c r="F39" s="97" t="str">
        <f t="shared" si="3"/>
        <v>Modified Following</v>
      </c>
      <c r="G39" s="100" t="str">
        <f t="shared" si="4"/>
        <v>TRUE</v>
      </c>
      <c r="H39" s="97" t="str">
        <f t="shared" si="5"/>
        <v>30/360 (Bond Basis)</v>
      </c>
      <c r="I39" s="102">
        <v>7.1293522400000002E-3</v>
      </c>
      <c r="J39" s="89" t="str">
        <f>IF(LEFT(A39,1)="D",_xll.qlDepositRateHelper2(,I39,IF(RIGHT(C39,1)="N","1D",C39),D39,Calendar,F39,G39,H39,,Trigger),IF(A39="Sw",_xll.qlSwapRateHelper2(,I39,D39,C39,Calendar,"Annual",F39,H39,"Euribor"&amp;$H$1,0,"0D",Discounting,,,,Trigger),IF(A39="Fr",_xll.qlFraRateHelper(,I39,SUBSTITUTE(LEFT(C39,2),"M","")&amp;"M","Euribor"&amp;$H$1,,,,Trigger),IF(A39="Sf",_xll.qlFuturesRateHelper(,I39,,C39,"Euribor"&amp;$H$1,0,,Trigger),"--"))))</f>
        <v>obj_00160#0004</v>
      </c>
      <c r="K39" s="98" t="b">
        <f t="shared" si="6"/>
        <v>1</v>
      </c>
      <c r="M39" s="9" t="str">
        <v>Sw</v>
      </c>
      <c r="N39" s="9" t="str">
        <v>16Y</v>
      </c>
      <c r="O39" s="9" t="str">
        <v>obj_00160#0004</v>
      </c>
      <c r="P39" s="96">
        <f>_xll.qlRateHelperRate(O39,Trigger)</f>
        <v>7.1293522400000002E-3</v>
      </c>
      <c r="Q39" s="10">
        <f>_xll.qlRateHelperEarliestDate(O39,Trigger)</f>
        <v>42502</v>
      </c>
      <c r="R39" s="10">
        <f>_xll.qlRateHelperPillarDate(O39,Trigger)</f>
        <v>48346</v>
      </c>
      <c r="S39" s="96">
        <v>7.3465886069357918E-3</v>
      </c>
    </row>
    <row r="40" spans="1:19" ht="11.25" customHeight="1" x14ac:dyDescent="0.2">
      <c r="A40" s="91" t="str">
        <v>Sw</v>
      </c>
      <c r="B40" s="91" t="str">
        <v>17Y</v>
      </c>
      <c r="C40" s="91" t="str">
        <f>IF(A40="Sf",_xll.qlIMMNextCode(B40,Trigger),IF(LEFT(B40,1)="#",_xll.qlCalendarBusinessDaysBetween(Calendar,Settlementdate,DATE(LEFT(SUBSTITUTE(B40,"#",""),4),LEFT(RIGHT(SUBSTITUTE(B40,"#",""),4),2),RIGHT(SUBSTITUTE(B40,"#",""),2)),,,Trigger)-1&amp;"D",SUBSTITUTE(B40,"/","")))</f>
        <v>17Y</v>
      </c>
      <c r="D40" s="101">
        <f t="shared" si="1"/>
        <v>2</v>
      </c>
      <c r="E40" s="101" t="str">
        <f t="shared" si="2"/>
        <v>Annual</v>
      </c>
      <c r="F40" s="97" t="str">
        <f t="shared" si="3"/>
        <v>Modified Following</v>
      </c>
      <c r="G40" s="100" t="str">
        <f t="shared" si="4"/>
        <v>TRUE</v>
      </c>
      <c r="H40" s="97" t="str">
        <f t="shared" si="5"/>
        <v>30/360 (Bond Basis)</v>
      </c>
      <c r="I40" s="102">
        <v>7.5419094099999995E-3</v>
      </c>
      <c r="J40" s="89" t="str">
        <f>IF(LEFT(A40,1)="D",_xll.qlDepositRateHelper2(,I40,IF(RIGHT(C40,1)="N","1D",C40),D40,Calendar,F40,G40,H40,,Trigger),IF(A40="Sw",_xll.qlSwapRateHelper2(,I40,D40,C40,Calendar,"Annual",F40,H40,"Euribor"&amp;$H$1,0,"0D",Discounting,,,,Trigger),IF(A40="Fr",_xll.qlFraRateHelper(,I40,SUBSTITUTE(LEFT(C40,2),"M","")&amp;"M","Euribor"&amp;$H$1,,,,Trigger),IF(A40="Sf",_xll.qlFuturesRateHelper(,I40,,C40,"Euribor"&amp;$H$1,0,,Trigger),"--"))))</f>
        <v>obj_00197#0004</v>
      </c>
      <c r="K40" s="98" t="b">
        <f t="shared" si="6"/>
        <v>1</v>
      </c>
      <c r="M40" s="9" t="str">
        <v>Sw</v>
      </c>
      <c r="N40" s="9" t="str">
        <v>17Y</v>
      </c>
      <c r="O40" s="9" t="str">
        <v>obj_00197#0004</v>
      </c>
      <c r="P40" s="96">
        <f>_xll.qlRateHelperRate(O40,Trigger)</f>
        <v>7.5419094099999995E-3</v>
      </c>
      <c r="Q40" s="10">
        <f>_xll.qlRateHelperEarliestDate(O40,Trigger)</f>
        <v>42502</v>
      </c>
      <c r="R40" s="10">
        <f>_xll.qlRateHelperPillarDate(O40,Trigger)</f>
        <v>48711</v>
      </c>
      <c r="S40" s="96">
        <v>7.7826149781626526E-3</v>
      </c>
    </row>
    <row r="41" spans="1:19" ht="11.25" customHeight="1" x14ac:dyDescent="0.2">
      <c r="A41" s="91" t="str">
        <v>Sw</v>
      </c>
      <c r="B41" s="91" t="str">
        <v>18Y</v>
      </c>
      <c r="C41" s="91" t="str">
        <f>IF(A41="Sf",_xll.qlIMMNextCode(B41,Trigger),IF(LEFT(B41,1)="#",_xll.qlCalendarBusinessDaysBetween(Calendar,Settlementdate,DATE(LEFT(SUBSTITUTE(B41,"#",""),4),LEFT(RIGHT(SUBSTITUTE(B41,"#",""),4),2),RIGHT(SUBSTITUTE(B41,"#",""),2)),,,Trigger)-1&amp;"D",SUBSTITUTE(B41,"/","")))</f>
        <v>18Y</v>
      </c>
      <c r="D41" s="101">
        <f t="shared" si="1"/>
        <v>2</v>
      </c>
      <c r="E41" s="101" t="str">
        <f t="shared" si="2"/>
        <v>Annual</v>
      </c>
      <c r="F41" s="97" t="str">
        <f t="shared" si="3"/>
        <v>Modified Following</v>
      </c>
      <c r="G41" s="100" t="str">
        <f t="shared" si="4"/>
        <v>TRUE</v>
      </c>
      <c r="H41" s="97" t="str">
        <f t="shared" si="5"/>
        <v>30/360 (Bond Basis)</v>
      </c>
      <c r="I41" s="102">
        <v>7.8811970799999992E-3</v>
      </c>
      <c r="J41" s="89" t="str">
        <f>IF(LEFT(A41,1)="D",_xll.qlDepositRateHelper2(,I41,IF(RIGHT(C41,1)="N","1D",C41),D41,Calendar,F41,G41,H41,,Trigger),IF(A41="Sw",_xll.qlSwapRateHelper2(,I41,D41,C41,Calendar,"Annual",F41,H41,"Euribor"&amp;$H$1,0,"0D",Discounting,,,,Trigger),IF(A41="Fr",_xll.qlFraRateHelper(,I41,SUBSTITUTE(LEFT(C41,2),"M","")&amp;"M","Euribor"&amp;$H$1,,,,Trigger),IF(A41="Sf",_xll.qlFuturesRateHelper(,I41,,C41,"Euribor"&amp;$H$1,0,,Trigger),"--"))))</f>
        <v>obj_0017b#0004</v>
      </c>
      <c r="K41" s="98" t="b">
        <f t="shared" si="6"/>
        <v>1</v>
      </c>
      <c r="M41" s="9" t="str">
        <v>Sw</v>
      </c>
      <c r="N41" s="9" t="str">
        <v>18Y</v>
      </c>
      <c r="O41" s="9" t="str">
        <v>obj_0017b#0004</v>
      </c>
      <c r="P41" s="96">
        <f>_xll.qlRateHelperRate(O41,Trigger)</f>
        <v>7.8811970799999992E-3</v>
      </c>
      <c r="Q41" s="10">
        <f>_xll.qlRateHelperEarliestDate(O41,Trigger)</f>
        <v>42502</v>
      </c>
      <c r="R41" s="10">
        <f>_xll.qlRateHelperPillarDate(O41,Trigger)</f>
        <v>49076</v>
      </c>
      <c r="S41" s="96">
        <v>8.1411235493035732E-3</v>
      </c>
    </row>
    <row r="42" spans="1:19" ht="11.25" customHeight="1" x14ac:dyDescent="0.2">
      <c r="A42" s="91" t="str">
        <v>Sw</v>
      </c>
      <c r="B42" s="91" t="str">
        <v>19Y</v>
      </c>
      <c r="C42" s="91" t="str">
        <f>IF(A42="Sf",_xll.qlIMMNextCode(B42,Trigger),IF(LEFT(B42,1)="#",_xll.qlCalendarBusinessDaysBetween(Calendar,Settlementdate,DATE(LEFT(SUBSTITUTE(B42,"#",""),4),LEFT(RIGHT(SUBSTITUTE(B42,"#",""),4),2),RIGHT(SUBSTITUTE(B42,"#",""),2)),,,Trigger)-1&amp;"D",SUBSTITUTE(B42,"/","")))</f>
        <v>19Y</v>
      </c>
      <c r="D42" s="101">
        <f t="shared" si="1"/>
        <v>2</v>
      </c>
      <c r="E42" s="101" t="str">
        <f t="shared" si="2"/>
        <v>Annual</v>
      </c>
      <c r="F42" s="97" t="str">
        <f t="shared" si="3"/>
        <v>Modified Following</v>
      </c>
      <c r="G42" s="100" t="str">
        <f t="shared" si="4"/>
        <v>TRUE</v>
      </c>
      <c r="H42" s="97" t="str">
        <f t="shared" si="5"/>
        <v>30/360 (Bond Basis)</v>
      </c>
      <c r="I42" s="102">
        <v>8.159265839999999E-3</v>
      </c>
      <c r="J42" s="89" t="str">
        <f>IF(LEFT(A42,1)="D",_xll.qlDepositRateHelper2(,I42,IF(RIGHT(C42,1)="N","1D",C42),D42,Calendar,F42,G42,H42,,Trigger),IF(A42="Sw",_xll.qlSwapRateHelper2(,I42,D42,C42,Calendar,"Annual",F42,H42,"Euribor"&amp;$H$1,0,"0D",Discounting,,,,Trigger),IF(A42="Fr",_xll.qlFraRateHelper(,I42,SUBSTITUTE(LEFT(C42,2),"M","")&amp;"M","Euribor"&amp;$H$1,,,,Trigger),IF(A42="Sf",_xll.qlFuturesRateHelper(,I42,,C42,"Euribor"&amp;$H$1,0,,Trigger),"--"))))</f>
        <v>obj_00187#0004</v>
      </c>
      <c r="K42" s="98" t="b">
        <f t="shared" si="6"/>
        <v>1</v>
      </c>
      <c r="M42" s="9" t="str">
        <v>Sw</v>
      </c>
      <c r="N42" s="9" t="str">
        <v>19Y</v>
      </c>
      <c r="O42" s="9" t="str">
        <v>obj_00187#0004</v>
      </c>
      <c r="P42" s="96">
        <f>_xll.qlRateHelperRate(O42,Trigger)</f>
        <v>8.159265839999999E-3</v>
      </c>
      <c r="Q42" s="10">
        <f>_xll.qlRateHelperEarliestDate(O42,Trigger)</f>
        <v>42502</v>
      </c>
      <c r="R42" s="10">
        <f>_xll.qlRateHelperPillarDate(O42,Trigger)</f>
        <v>49443</v>
      </c>
      <c r="S42" s="96">
        <v>8.4342477414844751E-3</v>
      </c>
    </row>
    <row r="43" spans="1:19" ht="11.25" customHeight="1" x14ac:dyDescent="0.2">
      <c r="A43" s="91" t="str">
        <v>Sw</v>
      </c>
      <c r="B43" s="91" t="str">
        <v>20Y</v>
      </c>
      <c r="C43" s="91" t="str">
        <f>IF(A43="Sf",_xll.qlIMMNextCode(B43,Trigger),IF(LEFT(B43,1)="#",_xll.qlCalendarBusinessDaysBetween(Calendar,Settlementdate,DATE(LEFT(SUBSTITUTE(B43,"#",""),4),LEFT(RIGHT(SUBSTITUTE(B43,"#",""),4),2),RIGHT(SUBSTITUTE(B43,"#",""),2)),,,Trigger)-1&amp;"D",SUBSTITUTE(B43,"/","")))</f>
        <v>20Y</v>
      </c>
      <c r="D43" s="101">
        <f t="shared" si="1"/>
        <v>2</v>
      </c>
      <c r="E43" s="101" t="str">
        <f t="shared" si="2"/>
        <v>Annual</v>
      </c>
      <c r="F43" s="97" t="str">
        <f t="shared" si="3"/>
        <v>Modified Following</v>
      </c>
      <c r="G43" s="100" t="str">
        <f t="shared" si="4"/>
        <v>TRUE</v>
      </c>
      <c r="H43" s="97" t="str">
        <f t="shared" si="5"/>
        <v>30/360 (Bond Basis)</v>
      </c>
      <c r="I43" s="102">
        <v>8.3899999999999999E-3</v>
      </c>
      <c r="J43" s="89" t="str">
        <f>IF(LEFT(A43,1)="D",_xll.qlDepositRateHelper2(,I43,IF(RIGHT(C43,1)="N","1D",C43),D43,Calendar,F43,G43,H43,,Trigger),IF(A43="Sw",_xll.qlSwapRateHelper2(,I43,D43,C43,Calendar,"Annual",F43,H43,"Euribor"&amp;$H$1,0,"0D",Discounting,,,,Trigger),IF(A43="Fr",_xll.qlFraRateHelper(,I43,SUBSTITUTE(LEFT(C43,2),"M","")&amp;"M","Euribor"&amp;$H$1,,,,Trigger),IF(A43="Sf",_xll.qlFuturesRateHelper(,I43,,C43,"Euribor"&amp;$H$1,0,,Trigger),"--"))))</f>
        <v>obj_00174#0004</v>
      </c>
      <c r="K43" s="98" t="b">
        <f t="shared" si="6"/>
        <v>1</v>
      </c>
      <c r="M43" s="9" t="str">
        <v>Sw</v>
      </c>
      <c r="N43" s="9" t="str">
        <v>20Y</v>
      </c>
      <c r="O43" s="9" t="str">
        <v>obj_00174#0004</v>
      </c>
      <c r="P43" s="96">
        <f>_xll.qlRateHelperRate(O43,Trigger)</f>
        <v>8.3899999999999999E-3</v>
      </c>
      <c r="Q43" s="10">
        <f>_xll.qlRateHelperEarliestDate(O43,Trigger)</f>
        <v>42502</v>
      </c>
      <c r="R43" s="10">
        <f>_xll.qlRateHelperPillarDate(O43,Trigger)</f>
        <v>49807</v>
      </c>
      <c r="S43" s="96">
        <v>8.6756221770857688E-3</v>
      </c>
    </row>
    <row r="44" spans="1:19" ht="11.25" customHeight="1" x14ac:dyDescent="0.2">
      <c r="A44" s="91" t="str">
        <v>Sw</v>
      </c>
      <c r="B44" s="91" t="str">
        <v>21Y</v>
      </c>
      <c r="C44" s="91" t="str">
        <f>IF(A44="Sf",_xll.qlIMMNextCode(B44,Trigger),IF(LEFT(B44,1)="#",_xll.qlCalendarBusinessDaysBetween(Calendar,Settlementdate,DATE(LEFT(SUBSTITUTE(B44,"#",""),4),LEFT(RIGHT(SUBSTITUTE(B44,"#",""),4),2),RIGHT(SUBSTITUTE(B44,"#",""),2)),,,Trigger)-1&amp;"D",SUBSTITUTE(B44,"/","")))</f>
        <v>21Y</v>
      </c>
      <c r="D44" s="101">
        <f t="shared" si="1"/>
        <v>2</v>
      </c>
      <c r="E44" s="101" t="str">
        <f t="shared" si="2"/>
        <v>Annual</v>
      </c>
      <c r="F44" s="97" t="str">
        <f t="shared" si="3"/>
        <v>Modified Following</v>
      </c>
      <c r="G44" s="100" t="str">
        <f t="shared" si="4"/>
        <v>TRUE</v>
      </c>
      <c r="H44" s="97" t="str">
        <f t="shared" si="5"/>
        <v>30/360 (Bond Basis)</v>
      </c>
      <c r="I44" s="102">
        <v>8.578711650000001E-3</v>
      </c>
      <c r="J44" s="89" t="str">
        <f>IF(LEFT(A44,1)="D",_xll.qlDepositRateHelper2(,I44,IF(RIGHT(C44,1)="N","1D",C44),D44,Calendar,F44,G44,H44,,Trigger),IF(A44="Sw",_xll.qlSwapRateHelper2(,I44,D44,C44,Calendar,"Annual",F44,H44,"Euribor"&amp;$H$1,0,"0D",Discounting,,,,Trigger),IF(A44="Fr",_xll.qlFraRateHelper(,I44,SUBSTITUTE(LEFT(C44,2),"M","")&amp;"M","Euribor"&amp;$H$1,,,,Trigger),IF(A44="Sf",_xll.qlFuturesRateHelper(,I44,,C44,"Euribor"&amp;$H$1,0,,Trigger),"--"))))</f>
        <v>obj_00170#0004</v>
      </c>
      <c r="K44" s="98" t="b">
        <f t="shared" si="6"/>
        <v>1</v>
      </c>
      <c r="M44" s="9" t="str">
        <v>Sw</v>
      </c>
      <c r="N44" s="9" t="str">
        <v>21Y</v>
      </c>
      <c r="O44" s="9" t="str">
        <v>obj_00170#0004</v>
      </c>
      <c r="P44" s="96">
        <f>_xll.qlRateHelperRate(O44,Trigger)</f>
        <v>8.578711650000001E-3</v>
      </c>
      <c r="Q44" s="10">
        <f>_xll.qlRateHelperEarliestDate(O44,Trigger)</f>
        <v>42502</v>
      </c>
      <c r="R44" s="10">
        <f>_xll.qlRateHelperPillarDate(O44,Trigger)</f>
        <v>50172</v>
      </c>
      <c r="S44" s="96">
        <v>8.8727327307083301E-3</v>
      </c>
    </row>
    <row r="45" spans="1:19" ht="11.25" customHeight="1" x14ac:dyDescent="0.2">
      <c r="A45" s="91" t="str">
        <v>Sw</v>
      </c>
      <c r="B45" s="91" t="str">
        <v>22Y</v>
      </c>
      <c r="C45" s="91" t="str">
        <f>IF(A45="Sf",_xll.qlIMMNextCode(B45,Trigger),IF(LEFT(B45,1)="#",_xll.qlCalendarBusinessDaysBetween(Calendar,Settlementdate,DATE(LEFT(SUBSTITUTE(B45,"#",""),4),LEFT(RIGHT(SUBSTITUTE(B45,"#",""),4),2),RIGHT(SUBSTITUTE(B45,"#",""),2)),,,Trigger)-1&amp;"D",SUBSTITUTE(B45,"/","")))</f>
        <v>22Y</v>
      </c>
      <c r="D45" s="101">
        <f t="shared" si="1"/>
        <v>2</v>
      </c>
      <c r="E45" s="101" t="str">
        <f t="shared" si="2"/>
        <v>Annual</v>
      </c>
      <c r="F45" s="97" t="str">
        <f t="shared" si="3"/>
        <v>Modified Following</v>
      </c>
      <c r="G45" s="100" t="str">
        <f t="shared" si="4"/>
        <v>TRUE</v>
      </c>
      <c r="H45" s="97" t="str">
        <f t="shared" si="5"/>
        <v>30/360 (Bond Basis)</v>
      </c>
      <c r="I45" s="102">
        <v>8.7342060799999992E-3</v>
      </c>
      <c r="J45" s="89" t="str">
        <f>IF(LEFT(A45,1)="D",_xll.qlDepositRateHelper2(,I45,IF(RIGHT(C45,1)="N","1D",C45),D45,Calendar,F45,G45,H45,,Trigger),IF(A45="Sw",_xll.qlSwapRateHelper2(,I45,D45,C45,Calendar,"Annual",F45,H45,"Euribor"&amp;$H$1,0,"0D",Discounting,,,,Trigger),IF(A45="Fr",_xll.qlFraRateHelper(,I45,SUBSTITUTE(LEFT(C45,2),"M","")&amp;"M","Euribor"&amp;$H$1,,,,Trigger),IF(A45="Sf",_xll.qlFuturesRateHelper(,I45,,C45,"Euribor"&amp;$H$1,0,,Trigger),"--"))))</f>
        <v>obj_00184#0004</v>
      </c>
      <c r="K45" s="98" t="b">
        <f t="shared" si="6"/>
        <v>1</v>
      </c>
      <c r="M45" s="9" t="str">
        <v>Sw</v>
      </c>
      <c r="N45" s="9" t="str">
        <v>22Y</v>
      </c>
      <c r="O45" s="9" t="str">
        <v>obj_00184#0004</v>
      </c>
      <c r="P45" s="96">
        <f>_xll.qlRateHelperRate(O45,Trigger)</f>
        <v>8.7342060799999992E-3</v>
      </c>
      <c r="Q45" s="10">
        <f>_xll.qlRateHelperEarliestDate(O45,Trigger)</f>
        <v>42502</v>
      </c>
      <c r="R45" s="10">
        <f>_xll.qlRateHelperPillarDate(O45,Trigger)</f>
        <v>50537</v>
      </c>
      <c r="S45" s="96">
        <v>9.0338525907780239E-3</v>
      </c>
    </row>
    <row r="46" spans="1:19" ht="11.25" customHeight="1" x14ac:dyDescent="0.2">
      <c r="A46" s="91" t="str">
        <v>Sw</v>
      </c>
      <c r="B46" s="91" t="str">
        <v>23Y</v>
      </c>
      <c r="C46" s="91" t="str">
        <f>IF(A46="Sf",_xll.qlIMMNextCode(B46,Trigger),IF(LEFT(B46,1)="#",_xll.qlCalendarBusinessDaysBetween(Calendar,Settlementdate,DATE(LEFT(SUBSTITUTE(B46,"#",""),4),LEFT(RIGHT(SUBSTITUTE(B46,"#",""),4),2),RIGHT(SUBSTITUTE(B46,"#",""),2)),,,Trigger)-1&amp;"D",SUBSTITUTE(B46,"/","")))</f>
        <v>23Y</v>
      </c>
      <c r="D46" s="101">
        <f t="shared" si="1"/>
        <v>2</v>
      </c>
      <c r="E46" s="101" t="str">
        <f t="shared" si="2"/>
        <v>Annual</v>
      </c>
      <c r="F46" s="97" t="str">
        <f t="shared" si="3"/>
        <v>Modified Following</v>
      </c>
      <c r="G46" s="100" t="str">
        <f t="shared" si="4"/>
        <v>TRUE</v>
      </c>
      <c r="H46" s="97" t="str">
        <f t="shared" si="5"/>
        <v>30/360 (Bond Basis)</v>
      </c>
      <c r="I46" s="102">
        <v>8.8600224299999995E-3</v>
      </c>
      <c r="J46" s="89" t="str">
        <f>IF(LEFT(A46,1)="D",_xll.qlDepositRateHelper2(,I46,IF(RIGHT(C46,1)="N","1D",C46),D46,Calendar,F46,G46,H46,,Trigger),IF(A46="Sw",_xll.qlSwapRateHelper2(,I46,D46,C46,Calendar,"Annual",F46,H46,"Euribor"&amp;$H$1,0,"0D",Discounting,,,,Trigger),IF(A46="Fr",_xll.qlFraRateHelper(,I46,SUBSTITUTE(LEFT(C46,2),"M","")&amp;"M","Euribor"&amp;$H$1,,,,Trigger),IF(A46="Sf",_xll.qlFuturesRateHelper(,I46,,C46,"Euribor"&amp;$H$1,0,,Trigger),"--"))))</f>
        <v>obj_00188#0004</v>
      </c>
      <c r="K46" s="98" t="b">
        <f t="shared" si="6"/>
        <v>1</v>
      </c>
      <c r="M46" s="9" t="str">
        <v>Sw</v>
      </c>
      <c r="N46" s="9" t="str">
        <v>23Y</v>
      </c>
      <c r="O46" s="9" t="str">
        <v>obj_00188#0004</v>
      </c>
      <c r="P46" s="96">
        <f>_xll.qlRateHelperRate(O46,Trigger)</f>
        <v>8.8600224299999995E-3</v>
      </c>
      <c r="Q46" s="10">
        <f>_xll.qlRateHelperEarliestDate(O46,Trigger)</f>
        <v>42502</v>
      </c>
      <c r="R46" s="10">
        <f>_xll.qlRateHelperPillarDate(O46,Trigger)</f>
        <v>50902</v>
      </c>
      <c r="S46" s="96">
        <v>9.1625847599189451E-3</v>
      </c>
    </row>
    <row r="47" spans="1:19" ht="11.25" customHeight="1" x14ac:dyDescent="0.2">
      <c r="A47" s="91" t="str">
        <v>Sw</v>
      </c>
      <c r="B47" s="91" t="str">
        <v>24Y</v>
      </c>
      <c r="C47" s="91" t="str">
        <f>IF(A47="Sf",_xll.qlIMMNextCode(B47,Trigger),IF(LEFT(B47,1)="#",_xll.qlCalendarBusinessDaysBetween(Calendar,Settlementdate,DATE(LEFT(SUBSTITUTE(B47,"#",""),4),LEFT(RIGHT(SUBSTITUTE(B47,"#",""),4),2),RIGHT(SUBSTITUTE(B47,"#",""),2)),,,Trigger)-1&amp;"D",SUBSTITUTE(B47,"/","")))</f>
        <v>24Y</v>
      </c>
      <c r="D47" s="101">
        <f t="shared" si="1"/>
        <v>2</v>
      </c>
      <c r="E47" s="101" t="str">
        <f t="shared" si="2"/>
        <v>Annual</v>
      </c>
      <c r="F47" s="97" t="str">
        <f t="shared" si="3"/>
        <v>Modified Following</v>
      </c>
      <c r="G47" s="100" t="str">
        <f t="shared" si="4"/>
        <v>TRUE</v>
      </c>
      <c r="H47" s="97" t="str">
        <f t="shared" si="5"/>
        <v>30/360 (Bond Basis)</v>
      </c>
      <c r="I47" s="102">
        <v>8.9613016800000004E-3</v>
      </c>
      <c r="J47" s="89" t="str">
        <f>IF(LEFT(A47,1)="D",_xll.qlDepositRateHelper2(,I47,IF(RIGHT(C47,1)="N","1D",C47),D47,Calendar,F47,G47,H47,,Trigger),IF(A47="Sw",_xll.qlSwapRateHelper2(,I47,D47,C47,Calendar,"Annual",F47,H47,"Euribor"&amp;$H$1,0,"0D",Discounting,,,,Trigger),IF(A47="Fr",_xll.qlFraRateHelper(,I47,SUBSTITUTE(LEFT(C47,2),"M","")&amp;"M","Euribor"&amp;$H$1,,,,Trigger),IF(A47="Sf",_xll.qlFuturesRateHelper(,I47,,C47,"Euribor"&amp;$H$1,0,,Trigger),"--"))))</f>
        <v>obj_00191#0004</v>
      </c>
      <c r="K47" s="98" t="b">
        <f t="shared" si="6"/>
        <v>1</v>
      </c>
      <c r="M47" s="9" t="str">
        <v>Sw</v>
      </c>
      <c r="N47" s="9" t="str">
        <v>24Y</v>
      </c>
      <c r="O47" s="9" t="str">
        <v>obj_00191#0004</v>
      </c>
      <c r="P47" s="96">
        <f>_xll.qlRateHelperRate(O47,Trigger)</f>
        <v>8.9613016800000004E-3</v>
      </c>
      <c r="Q47" s="10">
        <f>_xll.qlRateHelperEarliestDate(O47,Trigger)</f>
        <v>42502</v>
      </c>
      <c r="R47" s="10">
        <f>_xll.qlRateHelperPillarDate(O47,Trigger)</f>
        <v>51270</v>
      </c>
      <c r="S47" s="96">
        <v>9.2633479942198452E-3</v>
      </c>
    </row>
    <row r="48" spans="1:19" ht="11.25" customHeight="1" x14ac:dyDescent="0.2">
      <c r="A48" s="91" t="str">
        <v>Sw</v>
      </c>
      <c r="B48" s="91" t="str">
        <v>25Y</v>
      </c>
      <c r="C48" s="91" t="str">
        <f>IF(A48="Sf",_xll.qlIMMNextCode(B48,Trigger),IF(LEFT(B48,1)="#",_xll.qlCalendarBusinessDaysBetween(Calendar,Settlementdate,DATE(LEFT(SUBSTITUTE(B48,"#",""),4),LEFT(RIGHT(SUBSTITUTE(B48,"#",""),4),2),RIGHT(SUBSTITUTE(B48,"#",""),2)),,,Trigger)-1&amp;"D",SUBSTITUTE(B48,"/","")))</f>
        <v>25Y</v>
      </c>
      <c r="D48" s="101">
        <f t="shared" si="1"/>
        <v>2</v>
      </c>
      <c r="E48" s="101" t="str">
        <f t="shared" si="2"/>
        <v>Annual</v>
      </c>
      <c r="F48" s="97" t="str">
        <f t="shared" si="3"/>
        <v>Modified Following</v>
      </c>
      <c r="G48" s="100" t="str">
        <f t="shared" si="4"/>
        <v>TRUE</v>
      </c>
      <c r="H48" s="97" t="str">
        <f t="shared" si="5"/>
        <v>30/360 (Bond Basis)</v>
      </c>
      <c r="I48" s="102">
        <v>9.0399999999999994E-3</v>
      </c>
      <c r="J48" s="89" t="str">
        <f>IF(LEFT(A48,1)="D",_xll.qlDepositRateHelper2(,I48,IF(RIGHT(C48,1)="N","1D",C48),D48,Calendar,F48,G48,H48,,Trigger),IF(A48="Sw",_xll.qlSwapRateHelper2(,I48,D48,C48,Calendar,"Annual",F48,H48,"Euribor"&amp;$H$1,0,"0D",Discounting,,,,Trigger),IF(A48="Fr",_xll.qlFraRateHelper(,I48,SUBSTITUTE(LEFT(C48,2),"M","")&amp;"M","Euribor"&amp;$H$1,,,,Trigger),IF(A48="Sf",_xll.qlFuturesRateHelper(,I48,,C48,"Euribor"&amp;$H$1,0,,Trigger),"--"))))</f>
        <v>obj_0018d#0004</v>
      </c>
      <c r="K48" s="98" t="b">
        <f t="shared" si="6"/>
        <v>1</v>
      </c>
      <c r="M48" s="9" t="str">
        <v>Sw</v>
      </c>
      <c r="N48" s="9" t="str">
        <v>25Y</v>
      </c>
      <c r="O48" s="9" t="str">
        <v>obj_0018d#0004</v>
      </c>
      <c r="P48" s="96">
        <f>_xll.qlRateHelperRate(O48,Trigger)</f>
        <v>9.0399999999999994E-3</v>
      </c>
      <c r="Q48" s="10">
        <f>_xll.qlRateHelperEarliestDate(O48,Trigger)</f>
        <v>42502</v>
      </c>
      <c r="R48" s="10">
        <f>_xll.qlRateHelperPillarDate(O48,Trigger)</f>
        <v>51634</v>
      </c>
      <c r="S48" s="96">
        <v>9.3404087582646435E-3</v>
      </c>
    </row>
    <row r="49" spans="1:19" ht="11.25" customHeight="1" x14ac:dyDescent="0.2">
      <c r="A49" s="91" t="str">
        <v>Sw</v>
      </c>
      <c r="B49" s="91" t="str">
        <v>26Y</v>
      </c>
      <c r="C49" s="91" t="str">
        <f>IF(A49="Sf",_xll.qlIMMNextCode(B49,Trigger),IF(LEFT(B49,1)="#",_xll.qlCalendarBusinessDaysBetween(Calendar,Settlementdate,DATE(LEFT(SUBSTITUTE(B49,"#",""),4),LEFT(RIGHT(SUBSTITUTE(B49,"#",""),4),2),RIGHT(SUBSTITUTE(B49,"#",""),2)),,,Trigger)-1&amp;"D",SUBSTITUTE(B49,"/","")))</f>
        <v>26Y</v>
      </c>
      <c r="D49" s="101">
        <f t="shared" si="1"/>
        <v>2</v>
      </c>
      <c r="E49" s="101" t="str">
        <f t="shared" si="2"/>
        <v>Annual</v>
      </c>
      <c r="F49" s="97" t="str">
        <f t="shared" si="3"/>
        <v>Modified Following</v>
      </c>
      <c r="G49" s="100" t="str">
        <f t="shared" si="4"/>
        <v>TRUE</v>
      </c>
      <c r="H49" s="97" t="str">
        <f t="shared" si="5"/>
        <v>30/360 (Bond Basis)</v>
      </c>
      <c r="I49" s="102">
        <v>9.1001730399999994E-3</v>
      </c>
      <c r="J49" s="89" t="str">
        <f>IF(LEFT(A49,1)="D",_xll.qlDepositRateHelper2(,I49,IF(RIGHT(C49,1)="N","1D",C49),D49,Calendar,F49,G49,H49,,Trigger),IF(A49="Sw",_xll.qlSwapRateHelper2(,I49,D49,C49,Calendar,"Annual",F49,H49,"Euribor"&amp;$H$1,0,"0D",Discounting,,,,Trigger),IF(A49="Fr",_xll.qlFraRateHelper(,I49,SUBSTITUTE(LEFT(C49,2),"M","")&amp;"M","Euribor"&amp;$H$1,,,,Trigger),IF(A49="Sf",_xll.qlFuturesRateHelper(,I49,,C49,"Euribor"&amp;$H$1,0,,Trigger),"--"))))</f>
        <v>obj_0018e#0004</v>
      </c>
      <c r="K49" s="98" t="b">
        <f t="shared" si="6"/>
        <v>1</v>
      </c>
      <c r="M49" s="9" t="str">
        <v>Sw</v>
      </c>
      <c r="N49" s="9" t="str">
        <v>26Y</v>
      </c>
      <c r="O49" s="9" t="str">
        <v>obj_0018e#0004</v>
      </c>
      <c r="P49" s="96">
        <f>_xll.qlRateHelperRate(O49,Trigger)</f>
        <v>9.1001730399999994E-3</v>
      </c>
      <c r="Q49" s="10">
        <f>_xll.qlRateHelperEarliestDate(O49,Trigger)</f>
        <v>42502</v>
      </c>
      <c r="R49" s="10">
        <f>_xll.qlRateHelperPillarDate(O49,Trigger)</f>
        <v>51998</v>
      </c>
      <c r="S49" s="96">
        <v>9.3970301879399334E-3</v>
      </c>
    </row>
    <row r="50" spans="1:19" ht="11.25" customHeight="1" x14ac:dyDescent="0.2">
      <c r="A50" s="91" t="str">
        <v>Sw</v>
      </c>
      <c r="B50" s="91" t="str">
        <v>27Y</v>
      </c>
      <c r="C50" s="91" t="str">
        <f>IF(A50="Sf",_xll.qlIMMNextCode(B50,Trigger),IF(LEFT(B50,1)="#",_xll.qlCalendarBusinessDaysBetween(Calendar,Settlementdate,DATE(LEFT(SUBSTITUTE(B50,"#",""),4),LEFT(RIGHT(SUBSTITUTE(B50,"#",""),4),2),RIGHT(SUBSTITUTE(B50,"#",""),2)),,,Trigger)-1&amp;"D",SUBSTITUTE(B50,"/","")))</f>
        <v>27Y</v>
      </c>
      <c r="D50" s="101">
        <f t="shared" si="1"/>
        <v>2</v>
      </c>
      <c r="E50" s="101" t="str">
        <f t="shared" si="2"/>
        <v>Annual</v>
      </c>
      <c r="F50" s="97" t="str">
        <f t="shared" si="3"/>
        <v>Modified Following</v>
      </c>
      <c r="G50" s="100" t="str">
        <f t="shared" si="4"/>
        <v>TRUE</v>
      </c>
      <c r="H50" s="97" t="str">
        <f t="shared" si="5"/>
        <v>30/360 (Bond Basis)</v>
      </c>
      <c r="I50" s="102">
        <v>9.14591612E-3</v>
      </c>
      <c r="J50" s="89" t="str">
        <f>IF(LEFT(A50,1)="D",_xll.qlDepositRateHelper2(,I50,IF(RIGHT(C50,1)="N","1D",C50),D50,Calendar,F50,G50,H50,,Trigger),IF(A50="Sw",_xll.qlSwapRateHelper2(,I50,D50,C50,Calendar,"Annual",F50,H50,"Euribor"&amp;$H$1,0,"0D",Discounting,,,,Trigger),IF(A50="Fr",_xll.qlFraRateHelper(,I50,SUBSTITUTE(LEFT(C50,2),"M","")&amp;"M","Euribor"&amp;$H$1,,,,Trigger),IF(A50="Sf",_xll.qlFuturesRateHelper(,I50,,C50,"Euribor"&amp;$H$1,0,,Trigger),"--"))))</f>
        <v>obj_0018f#0004</v>
      </c>
      <c r="K50" s="98" t="b">
        <f t="shared" si="6"/>
        <v>1</v>
      </c>
      <c r="M50" s="9" t="str">
        <v>Sw</v>
      </c>
      <c r="N50" s="9" t="str">
        <v>27Y</v>
      </c>
      <c r="O50" s="9" t="str">
        <v>obj_0018f#0004</v>
      </c>
      <c r="P50" s="96">
        <f>_xll.qlRateHelperRate(O50,Trigger)</f>
        <v>9.14591612E-3</v>
      </c>
      <c r="Q50" s="10">
        <f>_xll.qlRateHelperEarliestDate(O50,Trigger)</f>
        <v>42502</v>
      </c>
      <c r="R50" s="10">
        <f>_xll.qlRateHelperPillarDate(O50,Trigger)</f>
        <v>52363</v>
      </c>
      <c r="S50" s="96">
        <v>9.4377605230294304E-3</v>
      </c>
    </row>
    <row r="51" spans="1:19" ht="11.25" customHeight="1" x14ac:dyDescent="0.2">
      <c r="A51" s="91" t="str">
        <v>Sw</v>
      </c>
      <c r="B51" s="91" t="str">
        <v>28Y</v>
      </c>
      <c r="C51" s="91" t="str">
        <f>IF(A51="Sf",_xll.qlIMMNextCode(B51,Trigger),IF(LEFT(B51,1)="#",_xll.qlCalendarBusinessDaysBetween(Calendar,Settlementdate,DATE(LEFT(SUBSTITUTE(B51,"#",""),4),LEFT(RIGHT(SUBSTITUTE(B51,"#",""),4),2),RIGHT(SUBSTITUTE(B51,"#",""),2)),,,Trigger)-1&amp;"D",SUBSTITUTE(B51,"/","")))</f>
        <v>28Y</v>
      </c>
      <c r="D51" s="101">
        <f t="shared" si="1"/>
        <v>2</v>
      </c>
      <c r="E51" s="101" t="str">
        <f t="shared" si="2"/>
        <v>Annual</v>
      </c>
      <c r="F51" s="97" t="str">
        <f t="shared" si="3"/>
        <v>Modified Following</v>
      </c>
      <c r="G51" s="100" t="str">
        <f t="shared" si="4"/>
        <v>TRUE</v>
      </c>
      <c r="H51" s="97" t="str">
        <f t="shared" si="5"/>
        <v>30/360 (Bond Basis)</v>
      </c>
      <c r="I51" s="102">
        <v>9.1814209699999996E-3</v>
      </c>
      <c r="J51" s="89" t="str">
        <f>IF(LEFT(A51,1)="D",_xll.qlDepositRateHelper2(,I51,IF(RIGHT(C51,1)="N","1D",C51),D51,Calendar,F51,G51,H51,,Trigger),IF(A51="Sw",_xll.qlSwapRateHelper2(,I51,D51,C51,Calendar,"Annual",F51,H51,"Euribor"&amp;$H$1,0,"0D",Discounting,,,,Trigger),IF(A51="Fr",_xll.qlFraRateHelper(,I51,SUBSTITUTE(LEFT(C51,2),"M","")&amp;"M","Euribor"&amp;$H$1,,,,Trigger),IF(A51="Sf",_xll.qlFuturesRateHelper(,I51,,C51,"Euribor"&amp;$H$1,0,,Trigger),"--"))))</f>
        <v>obj_00168#0004</v>
      </c>
      <c r="K51" s="98" t="b">
        <f t="shared" si="6"/>
        <v>1</v>
      </c>
      <c r="M51" s="9" t="str">
        <v>Sw</v>
      </c>
      <c r="N51" s="9" t="str">
        <v>28Y</v>
      </c>
      <c r="O51" s="9" t="str">
        <v>obj_00168#0004</v>
      </c>
      <c r="P51" s="96">
        <f>_xll.qlRateHelperRate(O51,Trigger)</f>
        <v>9.1814209699999996E-3</v>
      </c>
      <c r="Q51" s="10">
        <f>_xll.qlRateHelperEarliestDate(O51,Trigger)</f>
        <v>42502</v>
      </c>
      <c r="R51" s="10">
        <f>_xll.qlRateHelperPillarDate(O51,Trigger)</f>
        <v>52729</v>
      </c>
      <c r="S51" s="96">
        <v>9.4664510721156319E-3</v>
      </c>
    </row>
    <row r="52" spans="1:19" ht="11.25" customHeight="1" x14ac:dyDescent="0.2">
      <c r="A52" s="91" t="str">
        <v>Sw</v>
      </c>
      <c r="B52" s="91" t="str">
        <v>29Y</v>
      </c>
      <c r="C52" s="91" t="str">
        <f>IF(A52="Sf",_xll.qlIMMNextCode(B52,Trigger),IF(LEFT(B52,1)="#",_xll.qlCalendarBusinessDaysBetween(Calendar,Settlementdate,DATE(LEFT(SUBSTITUTE(B52,"#",""),4),LEFT(RIGHT(SUBSTITUTE(B52,"#",""),4),2),RIGHT(SUBSTITUTE(B52,"#",""),2)),,,Trigger)-1&amp;"D",SUBSTITUTE(B52,"/","")))</f>
        <v>29Y</v>
      </c>
      <c r="D52" s="101">
        <f t="shared" si="1"/>
        <v>2</v>
      </c>
      <c r="E52" s="101" t="str">
        <f t="shared" si="2"/>
        <v>Annual</v>
      </c>
      <c r="F52" s="97" t="str">
        <f t="shared" si="3"/>
        <v>Modified Following</v>
      </c>
      <c r="G52" s="100" t="str">
        <f t="shared" si="4"/>
        <v>TRUE</v>
      </c>
      <c r="H52" s="97" t="str">
        <f t="shared" si="5"/>
        <v>30/360 (Bond Basis)</v>
      </c>
      <c r="I52" s="102">
        <v>9.20807706E-3</v>
      </c>
      <c r="J52" s="89" t="str">
        <f>IF(LEFT(A52,1)="D",_xll.qlDepositRateHelper2(,I52,IF(RIGHT(C52,1)="N","1D",C52),D52,Calendar,F52,G52,H52,,Trigger),IF(A52="Sw",_xll.qlSwapRateHelper2(,I52,D52,C52,Calendar,"Annual",F52,H52,"Euribor"&amp;$H$1,0,"0D",Discounting,,,,Trigger),IF(A52="Fr",_xll.qlFraRateHelper(,I52,SUBSTITUTE(LEFT(C52,2),"M","")&amp;"M","Euribor"&amp;$H$1,,,,Trigger),IF(A52="Sf",_xll.qlFuturesRateHelper(,I52,,C52,"Euribor"&amp;$H$1,0,,Trigger),"--"))))</f>
        <v>obj_00179#0004</v>
      </c>
      <c r="K52" s="98" t="b">
        <f t="shared" si="6"/>
        <v>1</v>
      </c>
      <c r="M52" s="9" t="str">
        <v>Sw</v>
      </c>
      <c r="N52" s="9" t="str">
        <v>29Y</v>
      </c>
      <c r="O52" s="9" t="str">
        <v>obj_00179#0004</v>
      </c>
      <c r="P52" s="96">
        <f>_xll.qlRateHelperRate(O52,Trigger)</f>
        <v>9.20807706E-3</v>
      </c>
      <c r="Q52" s="10">
        <f>_xll.qlRateHelperEarliestDate(O52,Trigger)</f>
        <v>42502</v>
      </c>
      <c r="R52" s="10">
        <f>_xll.qlRateHelperPillarDate(O52,Trigger)</f>
        <v>53094</v>
      </c>
      <c r="S52" s="96">
        <v>9.48649213978002E-3</v>
      </c>
    </row>
    <row r="53" spans="1:19" ht="11.25" customHeight="1" x14ac:dyDescent="0.2">
      <c r="A53" s="91" t="str">
        <v>Sw</v>
      </c>
      <c r="B53" s="91" t="str">
        <v>30Y</v>
      </c>
      <c r="C53" s="91" t="str">
        <f>IF(A53="Sf",_xll.qlIMMNextCode(B53,Trigger),IF(LEFT(B53,1)="#",_xll.qlCalendarBusinessDaysBetween(Calendar,Settlementdate,DATE(LEFT(SUBSTITUTE(B53,"#",""),4),LEFT(RIGHT(SUBSTITUTE(B53,"#",""),4),2),RIGHT(SUBSTITUTE(B53,"#",""),2)),,,Trigger)-1&amp;"D",SUBSTITUTE(B53,"/","")))</f>
        <v>30Y</v>
      </c>
      <c r="D53" s="101">
        <f t="shared" si="1"/>
        <v>2</v>
      </c>
      <c r="E53" s="101" t="str">
        <f t="shared" si="2"/>
        <v>Annual</v>
      </c>
      <c r="F53" s="97" t="str">
        <f t="shared" si="3"/>
        <v>Modified Following</v>
      </c>
      <c r="G53" s="100" t="str">
        <f t="shared" si="4"/>
        <v>TRUE</v>
      </c>
      <c r="H53" s="97" t="str">
        <f t="shared" si="5"/>
        <v>30/360 (Bond Basis)</v>
      </c>
      <c r="I53" s="102">
        <v>9.2300000000000004E-3</v>
      </c>
      <c r="J53" s="89" t="str">
        <f>IF(LEFT(A53,1)="D",_xll.qlDepositRateHelper2(,I53,IF(RIGHT(C53,1)="N","1D",C53),D53,Calendar,F53,G53,H53,,Trigger),IF(A53="Sw",_xll.qlSwapRateHelper2(,I53,D53,C53,Calendar,"Annual",F53,H53,"Euribor"&amp;$H$1,0,"0D",Discounting,,,,Trigger),IF(A53="Fr",_xll.qlFraRateHelper(,I53,SUBSTITUTE(LEFT(C53,2),"M","")&amp;"M","Euribor"&amp;$H$1,,,,Trigger),IF(A53="Sf",_xll.qlFuturesRateHelper(,I53,,C53,"Euribor"&amp;$H$1,0,,Trigger),"--"))))</f>
        <v>obj_00172#0004</v>
      </c>
      <c r="K53" s="98" t="b">
        <f t="shared" si="6"/>
        <v>1</v>
      </c>
      <c r="M53" s="9" t="str">
        <v>Sw</v>
      </c>
      <c r="N53" s="9" t="str">
        <v>30Y</v>
      </c>
      <c r="O53" s="9" t="str">
        <v>obj_00172#0004</v>
      </c>
      <c r="P53" s="96">
        <f>_xll.qlRateHelperRate(O53,Trigger)</f>
        <v>9.2300000000000004E-3</v>
      </c>
      <c r="Q53" s="10">
        <f>_xll.qlRateHelperEarliestDate(O53,Trigger)</f>
        <v>42502</v>
      </c>
      <c r="R53" s="10">
        <f>_xll.qlRateHelperPillarDate(O53,Trigger)</f>
        <v>53461</v>
      </c>
      <c r="S53" s="96">
        <v>9.5016379370256865E-3</v>
      </c>
    </row>
    <row r="54" spans="1:19" ht="11.25" customHeight="1" x14ac:dyDescent="0.2">
      <c r="A54" s="91" t="str">
        <v>Sw</v>
      </c>
      <c r="B54" s="91" t="str">
        <v>31Y</v>
      </c>
      <c r="C54" s="91" t="str">
        <f>IF(A54="Sf",_xll.qlIMMNextCode(B54,Trigger),IF(LEFT(B54,1)="#",_xll.qlCalendarBusinessDaysBetween(Calendar,Settlementdate,DATE(LEFT(SUBSTITUTE(B54,"#",""),4),LEFT(RIGHT(SUBSTITUTE(B54,"#",""),4),2),RIGHT(SUBSTITUTE(B54,"#",""),2)),,,Trigger)-1&amp;"D",SUBSTITUTE(B54,"/","")))</f>
        <v>31Y</v>
      </c>
      <c r="D54" s="101">
        <f t="shared" si="1"/>
        <v>2</v>
      </c>
      <c r="E54" s="101" t="str">
        <f t="shared" si="2"/>
        <v>Annual</v>
      </c>
      <c r="F54" s="97" t="str">
        <f t="shared" si="3"/>
        <v>Modified Following</v>
      </c>
      <c r="G54" s="100" t="str">
        <f t="shared" si="4"/>
        <v>TRUE</v>
      </c>
      <c r="H54" s="97" t="str">
        <f t="shared" si="5"/>
        <v>30/360 (Bond Basis)</v>
      </c>
      <c r="I54" s="102">
        <v>9.2498086800000007E-3</v>
      </c>
      <c r="J54" s="89" t="str">
        <f>IF(LEFT(A54,1)="D",_xll.qlDepositRateHelper2(,I54,IF(RIGHT(C54,1)="N","1D",C54),D54,Calendar,F54,G54,H54,,Trigger),IF(A54="Sw",_xll.qlSwapRateHelper2(,I54,D54,C54,Calendar,"Annual",F54,H54,"Euribor"&amp;$H$1,0,"0D",Discounting,,,,Trigger),IF(A54="Fr",_xll.qlFraRateHelper(,I54,SUBSTITUTE(LEFT(C54,2),"M","")&amp;"M","Euribor"&amp;$H$1,,,,Trigger),IF(A54="Sf",_xll.qlFuturesRateHelper(,I54,,C54,"Euribor"&amp;$H$1,0,,Trigger),"--"))))</f>
        <v>obj_00171#0004</v>
      </c>
      <c r="K54" s="98" t="b">
        <f t="shared" si="6"/>
        <v>1</v>
      </c>
      <c r="M54" s="9" t="str">
        <v>Sw</v>
      </c>
      <c r="N54" s="9" t="str">
        <v>31Y</v>
      </c>
      <c r="O54" s="9" t="str">
        <v>obj_00171#0004</v>
      </c>
      <c r="P54" s="96">
        <f>_xll.qlRateHelperRate(O54,Trigger)</f>
        <v>9.2498086800000007E-3</v>
      </c>
      <c r="Q54" s="10">
        <f>_xll.qlRateHelperEarliestDate(O54,Trigger)</f>
        <v>42502</v>
      </c>
      <c r="R54" s="10">
        <f>_xll.qlRateHelperPillarDate(O54,Trigger)</f>
        <v>53825</v>
      </c>
      <c r="S54" s="96">
        <v>9.5150218694631944E-3</v>
      </c>
    </row>
    <row r="55" spans="1:19" ht="11.25" customHeight="1" x14ac:dyDescent="0.2">
      <c r="A55" s="91" t="str">
        <v>Sw</v>
      </c>
      <c r="B55" s="91" t="str">
        <v>32Y</v>
      </c>
      <c r="C55" s="91" t="str">
        <f>IF(A55="Sf",_xll.qlIMMNextCode(B55,Trigger),IF(LEFT(B55,1)="#",_xll.qlCalendarBusinessDaysBetween(Calendar,Settlementdate,DATE(LEFT(SUBSTITUTE(B55,"#",""),4),LEFT(RIGHT(SUBSTITUTE(B55,"#",""),4),2),RIGHT(SUBSTITUTE(B55,"#",""),2)),,,Trigger)-1&amp;"D",SUBSTITUTE(B55,"/","")))</f>
        <v>32Y</v>
      </c>
      <c r="D55" s="101">
        <f t="shared" si="1"/>
        <v>2</v>
      </c>
      <c r="E55" s="101" t="str">
        <f t="shared" si="2"/>
        <v>Annual</v>
      </c>
      <c r="F55" s="97" t="str">
        <f t="shared" si="3"/>
        <v>Modified Following</v>
      </c>
      <c r="G55" s="100" t="str">
        <f t="shared" si="4"/>
        <v>TRUE</v>
      </c>
      <c r="H55" s="97" t="str">
        <f t="shared" si="5"/>
        <v>30/360 (Bond Basis)</v>
      </c>
      <c r="I55" s="102">
        <v>9.26781206E-3</v>
      </c>
      <c r="J55" s="89" t="str">
        <f>IF(LEFT(A55,1)="D",_xll.qlDepositRateHelper2(,I55,IF(RIGHT(C55,1)="N","1D",C55),D55,Calendar,F55,G55,H55,,Trigger),IF(A55="Sw",_xll.qlSwapRateHelper2(,I55,D55,C55,Calendar,"Annual",F55,H55,"Euribor"&amp;$H$1,0,"0D",Discounting,,,,Trigger),IF(A55="Fr",_xll.qlFraRateHelper(,I55,SUBSTITUTE(LEFT(C55,2),"M","")&amp;"M","Euribor"&amp;$H$1,,,,Trigger),IF(A55="Sf",_xll.qlFuturesRateHelper(,I55,,C55,"Euribor"&amp;$H$1,0,,Trigger),"--"))))</f>
        <v>obj_00176#0004</v>
      </c>
      <c r="K55" s="98" t="b">
        <f t="shared" si="6"/>
        <v>1</v>
      </c>
      <c r="M55" s="9" t="str">
        <v>Sw</v>
      </c>
      <c r="N55" s="9" t="str">
        <v>32Y</v>
      </c>
      <c r="O55" s="9" t="str">
        <v>obj_00176#0004</v>
      </c>
      <c r="P55" s="96">
        <f>_xll.qlRateHelperRate(O55,Trigger)</f>
        <v>9.26781206E-3</v>
      </c>
      <c r="Q55" s="10">
        <f>_xll.qlRateHelperEarliestDate(O55,Trigger)</f>
        <v>42502</v>
      </c>
      <c r="R55" s="10">
        <f>_xll.qlRateHelperPillarDate(O55,Trigger)</f>
        <v>54190</v>
      </c>
      <c r="S55" s="96">
        <v>9.5260468013656317E-3</v>
      </c>
    </row>
    <row r="56" spans="1:19" ht="11.25" customHeight="1" x14ac:dyDescent="0.2">
      <c r="A56" s="91" t="str">
        <v>Sw</v>
      </c>
      <c r="B56" s="91" t="str">
        <v>33Y</v>
      </c>
      <c r="C56" s="91" t="str">
        <f>IF(A56="Sf",_xll.qlIMMNextCode(B56,Trigger),IF(LEFT(B56,1)="#",_xll.qlCalendarBusinessDaysBetween(Calendar,Settlementdate,DATE(LEFT(SUBSTITUTE(B56,"#",""),4),LEFT(RIGHT(SUBSTITUTE(B56,"#",""),4),2),RIGHT(SUBSTITUTE(B56,"#",""),2)),,,Trigger)-1&amp;"D",SUBSTITUTE(B56,"/","")))</f>
        <v>33Y</v>
      </c>
      <c r="D56" s="101">
        <f t="shared" si="1"/>
        <v>2</v>
      </c>
      <c r="E56" s="101" t="str">
        <f t="shared" si="2"/>
        <v>Annual</v>
      </c>
      <c r="F56" s="97" t="str">
        <f t="shared" si="3"/>
        <v>Modified Following</v>
      </c>
      <c r="G56" s="100" t="str">
        <f t="shared" si="4"/>
        <v>TRUE</v>
      </c>
      <c r="H56" s="97" t="str">
        <f t="shared" si="5"/>
        <v>30/360 (Bond Basis)</v>
      </c>
      <c r="I56" s="102">
        <v>9.2820582699999991E-3</v>
      </c>
      <c r="J56" s="89" t="str">
        <f>IF(LEFT(A56,1)="D",_xll.qlDepositRateHelper2(,I56,IF(RIGHT(C56,1)="N","1D",C56),D56,Calendar,F56,G56,H56,,Trigger),IF(A56="Sw",_xll.qlSwapRateHelper2(,I56,D56,C56,Calendar,"Annual",F56,H56,"Euribor"&amp;$H$1,0,"0D",Discounting,,,,Trigger),IF(A56="Fr",_xll.qlFraRateHelper(,I56,SUBSTITUTE(LEFT(C56,2),"M","")&amp;"M","Euribor"&amp;$H$1,,,,Trigger),IF(A56="Sf",_xll.qlFuturesRateHelper(,I56,,C56,"Euribor"&amp;$H$1,0,,Trigger),"--"))))</f>
        <v>obj_00182#0004</v>
      </c>
      <c r="K56" s="98" t="b">
        <f t="shared" si="6"/>
        <v>1</v>
      </c>
      <c r="M56" s="9" t="str">
        <v>Sw</v>
      </c>
      <c r="N56" s="9" t="str">
        <v>33Y</v>
      </c>
      <c r="O56" s="9" t="str">
        <v>obj_00182#0004</v>
      </c>
      <c r="P56" s="96">
        <f>_xll.qlRateHelperRate(O56,Trigger)</f>
        <v>9.2820582699999991E-3</v>
      </c>
      <c r="Q56" s="10">
        <f>_xll.qlRateHelperEarliestDate(O56,Trigger)</f>
        <v>42502</v>
      </c>
      <c r="R56" s="10">
        <f>_xll.qlRateHelperPillarDate(O56,Trigger)</f>
        <v>54555</v>
      </c>
      <c r="S56" s="96">
        <v>9.5339612849054817E-3</v>
      </c>
    </row>
    <row r="57" spans="1:19" ht="11.25" customHeight="1" x14ac:dyDescent="0.2">
      <c r="A57" s="91" t="str">
        <v>Sw</v>
      </c>
      <c r="B57" s="91" t="str">
        <v>34Y</v>
      </c>
      <c r="C57" s="91" t="str">
        <f>IF(A57="Sf",_xll.qlIMMNextCode(B57,Trigger),IF(LEFT(B57,1)="#",_xll.qlCalendarBusinessDaysBetween(Calendar,Settlementdate,DATE(LEFT(SUBSTITUTE(B57,"#",""),4),LEFT(RIGHT(SUBSTITUTE(B57,"#",""),4),2),RIGHT(SUBSTITUTE(B57,"#",""),2)),,,Trigger)-1&amp;"D",SUBSTITUTE(B57,"/","")))</f>
        <v>34Y</v>
      </c>
      <c r="D57" s="101">
        <f t="shared" si="1"/>
        <v>2</v>
      </c>
      <c r="E57" s="101" t="str">
        <f t="shared" si="2"/>
        <v>Annual</v>
      </c>
      <c r="F57" s="97" t="str">
        <f t="shared" si="3"/>
        <v>Modified Following</v>
      </c>
      <c r="G57" s="100" t="str">
        <f t="shared" si="4"/>
        <v>TRUE</v>
      </c>
      <c r="H57" s="97" t="str">
        <f t="shared" si="5"/>
        <v>30/360 (Bond Basis)</v>
      </c>
      <c r="I57" s="102">
        <v>9.2924059100000008E-3</v>
      </c>
      <c r="J57" s="89" t="str">
        <f>IF(LEFT(A57,1)="D",_xll.qlDepositRateHelper2(,I57,IF(RIGHT(C57,1)="N","1D",C57),D57,Calendar,F57,G57,H57,,Trigger),IF(A57="Sw",_xll.qlSwapRateHelper2(,I57,D57,C57,Calendar,"Annual",F57,H57,"Euribor"&amp;$H$1,0,"0D",Discounting,,,,Trigger),IF(A57="Fr",_xll.qlFraRateHelper(,I57,SUBSTITUTE(LEFT(C57,2),"M","")&amp;"M","Euribor"&amp;$H$1,,,,Trigger),IF(A57="Sf",_xll.qlFuturesRateHelper(,I57,,C57,"Euribor"&amp;$H$1,0,,Trigger),"--"))))</f>
        <v>obj_0017e#0004</v>
      </c>
      <c r="K57" s="98" t="b">
        <f t="shared" si="6"/>
        <v>1</v>
      </c>
      <c r="M57" s="9" t="str">
        <v>Sw</v>
      </c>
      <c r="N57" s="9" t="str">
        <v>34Y</v>
      </c>
      <c r="O57" s="9" t="str">
        <v>obj_0017e#0004</v>
      </c>
      <c r="P57" s="96">
        <f>_xll.qlRateHelperRate(O57,Trigger)</f>
        <v>9.2924059100000008E-3</v>
      </c>
      <c r="Q57" s="10">
        <f>_xll.qlRateHelperEarliestDate(O57,Trigger)</f>
        <v>42502</v>
      </c>
      <c r="R57" s="10">
        <f>_xll.qlRateHelperPillarDate(O57,Trigger)</f>
        <v>54920</v>
      </c>
      <c r="S57" s="96">
        <v>9.5377149779946168E-3</v>
      </c>
    </row>
    <row r="58" spans="1:19" ht="11.25" customHeight="1" x14ac:dyDescent="0.2">
      <c r="A58" s="91" t="str">
        <v>Sw</v>
      </c>
      <c r="B58" s="91" t="str">
        <v>35Y</v>
      </c>
      <c r="C58" s="91" t="str">
        <f>IF(A58="Sf",_xll.qlIMMNextCode(B58,Trigger),IF(LEFT(B58,1)="#",_xll.qlCalendarBusinessDaysBetween(Calendar,Settlementdate,DATE(LEFT(SUBSTITUTE(B58,"#",""),4),LEFT(RIGHT(SUBSTITUTE(B58,"#",""),4),2),RIGHT(SUBSTITUTE(B58,"#",""),2)),,,Trigger)-1&amp;"D",SUBSTITUTE(B58,"/","")))</f>
        <v>35Y</v>
      </c>
      <c r="D58" s="101">
        <f t="shared" si="1"/>
        <v>2</v>
      </c>
      <c r="E58" s="101" t="str">
        <f t="shared" si="2"/>
        <v>Annual</v>
      </c>
      <c r="F58" s="97" t="str">
        <f t="shared" si="3"/>
        <v>Modified Following</v>
      </c>
      <c r="G58" s="100" t="str">
        <f t="shared" si="4"/>
        <v>TRUE</v>
      </c>
      <c r="H58" s="97" t="str">
        <f t="shared" si="5"/>
        <v>30/360 (Bond Basis)</v>
      </c>
      <c r="I58" s="102">
        <v>9.2980766500000006E-3</v>
      </c>
      <c r="J58" s="89" t="str">
        <f>IF(LEFT(A58,1)="D",_xll.qlDepositRateHelper2(,I58,IF(RIGHT(C58,1)="N","1D",C58),D58,Calendar,F58,G58,H58,,Trigger),IF(A58="Sw",_xll.qlSwapRateHelper2(,I58,D58,C58,Calendar,"Annual",F58,H58,"Euribor"&amp;$H$1,0,"0D",Discounting,,,,Trigger),IF(A58="Fr",_xll.qlFraRateHelper(,I58,SUBSTITUTE(LEFT(C58,2),"M","")&amp;"M","Euribor"&amp;$H$1,,,,Trigger),IF(A58="Sf",_xll.qlFuturesRateHelper(,I58,,C58,"Euribor"&amp;$H$1,0,,Trigger),"--"))))</f>
        <v>obj_00177#0004</v>
      </c>
      <c r="K58" s="98" t="b">
        <f t="shared" si="6"/>
        <v>1</v>
      </c>
      <c r="M58" s="9" t="str">
        <v>Sw</v>
      </c>
      <c r="N58" s="9" t="str">
        <v>35Y</v>
      </c>
      <c r="O58" s="9" t="str">
        <v>obj_00177#0004</v>
      </c>
      <c r="P58" s="96">
        <f>_xll.qlRateHelperRate(O58,Trigger)</f>
        <v>9.2980766500000006E-3</v>
      </c>
      <c r="Q58" s="10">
        <f>_xll.qlRateHelperEarliestDate(O58,Trigger)</f>
        <v>42502</v>
      </c>
      <c r="R58" s="10">
        <f>_xll.qlRateHelperPillarDate(O58,Trigger)</f>
        <v>55285</v>
      </c>
      <c r="S58" s="96">
        <v>9.5363137464973251E-3</v>
      </c>
    </row>
    <row r="59" spans="1:19" ht="11.25" customHeight="1" x14ac:dyDescent="0.2">
      <c r="A59" s="91" t="str">
        <v>Sw</v>
      </c>
      <c r="B59" s="91" t="str">
        <v>36Y</v>
      </c>
      <c r="C59" s="91" t="str">
        <f>IF(A59="Sf",_xll.qlIMMNextCode(B59,Trigger),IF(LEFT(B59,1)="#",_xll.qlCalendarBusinessDaysBetween(Calendar,Settlementdate,DATE(LEFT(SUBSTITUTE(B59,"#",""),4),LEFT(RIGHT(SUBSTITUTE(B59,"#",""),4),2),RIGHT(SUBSTITUTE(B59,"#",""),2)),,,Trigger)-1&amp;"D",SUBSTITUTE(B59,"/","")))</f>
        <v>36Y</v>
      </c>
      <c r="D59" s="101">
        <f t="shared" si="1"/>
        <v>2</v>
      </c>
      <c r="E59" s="101" t="str">
        <f t="shared" si="2"/>
        <v>Annual</v>
      </c>
      <c r="F59" s="97" t="str">
        <f t="shared" si="3"/>
        <v>Modified Following</v>
      </c>
      <c r="G59" s="100" t="str">
        <f t="shared" si="4"/>
        <v>TRUE</v>
      </c>
      <c r="H59" s="97" t="str">
        <f t="shared" si="5"/>
        <v>30/360 (Bond Basis)</v>
      </c>
      <c r="I59" s="102">
        <v>9.2988418899999994E-3</v>
      </c>
      <c r="J59" s="89" t="str">
        <f>IF(LEFT(A59,1)="D",_xll.qlDepositRateHelper2(,I59,IF(RIGHT(C59,1)="N","1D",C59),D59,Calendar,F59,G59,H59,,Trigger),IF(A59="Sw",_xll.qlSwapRateHelper2(,I59,D59,C59,Calendar,"Annual",F59,H59,"Euribor"&amp;$H$1,0,"0D",Discounting,,,,Trigger),IF(A59="Fr",_xll.qlFraRateHelper(,I59,SUBSTITUTE(LEFT(C59,2),"M","")&amp;"M","Euribor"&amp;$H$1,,,,Trigger),IF(A59="Sf",_xll.qlFuturesRateHelper(,I59,,C59,"Euribor"&amp;$H$1,0,,Trigger),"--"))))</f>
        <v>obj_0018b#0004</v>
      </c>
      <c r="K59" s="98" t="b">
        <f t="shared" si="6"/>
        <v>1</v>
      </c>
      <c r="M59" s="9" t="str">
        <v>Sw</v>
      </c>
      <c r="N59" s="9" t="str">
        <v>36Y</v>
      </c>
      <c r="O59" s="9" t="str">
        <v>obj_0018b#0004</v>
      </c>
      <c r="P59" s="96">
        <f>_xll.qlRateHelperRate(O59,Trigger)</f>
        <v>9.2988418899999994E-3</v>
      </c>
      <c r="Q59" s="10">
        <f>_xll.qlRateHelperEarliestDate(O59,Trigger)</f>
        <v>42502</v>
      </c>
      <c r="R59" s="10">
        <f>_xll.qlRateHelperPillarDate(O59,Trigger)</f>
        <v>55652</v>
      </c>
      <c r="S59" s="96">
        <v>9.5286961048255507E-3</v>
      </c>
    </row>
    <row r="60" spans="1:19" ht="11.25" customHeight="1" x14ac:dyDescent="0.2">
      <c r="A60" s="91" t="str">
        <v>Sw</v>
      </c>
      <c r="B60" s="91" t="str">
        <v>37Y</v>
      </c>
      <c r="C60" s="91" t="str">
        <f>IF(A60="Sf",_xll.qlIMMNextCode(B60,Trigger),IF(LEFT(B60,1)="#",_xll.qlCalendarBusinessDaysBetween(Calendar,Settlementdate,DATE(LEFT(SUBSTITUTE(B60,"#",""),4),LEFT(RIGHT(SUBSTITUTE(B60,"#",""),4),2),RIGHT(SUBSTITUTE(B60,"#",""),2)),,,Trigger)-1&amp;"D",SUBSTITUTE(B60,"/","")))</f>
        <v>37Y</v>
      </c>
      <c r="D60" s="101">
        <f t="shared" si="1"/>
        <v>2</v>
      </c>
      <c r="E60" s="101" t="str">
        <f t="shared" si="2"/>
        <v>Annual</v>
      </c>
      <c r="F60" s="97" t="str">
        <f t="shared" si="3"/>
        <v>Modified Following</v>
      </c>
      <c r="G60" s="100" t="str">
        <f t="shared" si="4"/>
        <v>TRUE</v>
      </c>
      <c r="H60" s="97" t="str">
        <f t="shared" si="5"/>
        <v>30/360 (Bond Basis)</v>
      </c>
      <c r="I60" s="102">
        <v>9.2927971499999987E-3</v>
      </c>
      <c r="J60" s="89" t="str">
        <f>IF(LEFT(A60,1)="D",_xll.qlDepositRateHelper2(,I60,IF(RIGHT(C60,1)="N","1D",C60),D60,Calendar,F60,G60,H60,,Trigger),IF(A60="Sw",_xll.qlSwapRateHelper2(,I60,D60,C60,Calendar,"Annual",F60,H60,"Euribor"&amp;$H$1,0,"0D",Discounting,,,,Trigger),IF(A60="Fr",_xll.qlFraRateHelper(,I60,SUBSTITUTE(LEFT(C60,2),"M","")&amp;"M","Euribor"&amp;$H$1,,,,Trigger),IF(A60="Sf",_xll.qlFuturesRateHelper(,I60,,C60,"Euribor"&amp;$H$1,0,,Trigger),"--"))))</f>
        <v>obj_00167#0004</v>
      </c>
      <c r="K60" s="98" t="b">
        <f t="shared" si="6"/>
        <v>1</v>
      </c>
      <c r="M60" s="9" t="str">
        <v>Sw</v>
      </c>
      <c r="N60" s="9" t="str">
        <v>37Y</v>
      </c>
      <c r="O60" s="9" t="str">
        <v>obj_00167#0004</v>
      </c>
      <c r="P60" s="96">
        <f>_xll.qlRateHelperRate(O60,Trigger)</f>
        <v>9.2927971499999987E-3</v>
      </c>
      <c r="Q60" s="10">
        <f>_xll.qlRateHelperEarliestDate(O60,Trigger)</f>
        <v>42502</v>
      </c>
      <c r="R60" s="10">
        <f>_xll.qlRateHelperPillarDate(O60,Trigger)</f>
        <v>56016</v>
      </c>
      <c r="S60" s="96">
        <v>9.5140025157725641E-3</v>
      </c>
    </row>
    <row r="61" spans="1:19" ht="11.25" customHeight="1" x14ac:dyDescent="0.2">
      <c r="A61" s="91" t="str">
        <v>Sw</v>
      </c>
      <c r="B61" s="91" t="str">
        <v>38Y</v>
      </c>
      <c r="C61" s="91" t="str">
        <f>IF(A61="Sf",_xll.qlIMMNextCode(B61,Trigger),IF(LEFT(B61,1)="#",_xll.qlCalendarBusinessDaysBetween(Calendar,Settlementdate,DATE(LEFT(SUBSTITUTE(B61,"#",""),4),LEFT(RIGHT(SUBSTITUTE(B61,"#",""),4),2),RIGHT(SUBSTITUTE(B61,"#",""),2)),,,Trigger)-1&amp;"D",SUBSTITUTE(B61,"/","")))</f>
        <v>38Y</v>
      </c>
      <c r="D61" s="101">
        <f t="shared" si="1"/>
        <v>2</v>
      </c>
      <c r="E61" s="101" t="str">
        <f t="shared" si="2"/>
        <v>Annual</v>
      </c>
      <c r="F61" s="97" t="str">
        <f t="shared" si="3"/>
        <v>Modified Following</v>
      </c>
      <c r="G61" s="100" t="str">
        <f t="shared" si="4"/>
        <v>TRUE</v>
      </c>
      <c r="H61" s="97" t="str">
        <f t="shared" si="5"/>
        <v>30/360 (Bond Basis)</v>
      </c>
      <c r="I61" s="102">
        <v>9.2797856900000003E-3</v>
      </c>
      <c r="J61" s="89" t="str">
        <f>IF(LEFT(A61,1)="D",_xll.qlDepositRateHelper2(,I61,IF(RIGHT(C61,1)="N","1D",C61),D61,Calendar,F61,G61,H61,,Trigger),IF(A61="Sw",_xll.qlSwapRateHelper2(,I61,D61,C61,Calendar,"Annual",F61,H61,"Euribor"&amp;$H$1,0,"0D",Discounting,,,,Trigger),IF(A61="Fr",_xll.qlFraRateHelper(,I61,SUBSTITUTE(LEFT(C61,2),"M","")&amp;"M","Euribor"&amp;$H$1,,,,Trigger),IF(A61="Sf",_xll.qlFuturesRateHelper(,I61,,C61,"Euribor"&amp;$H$1,0,,Trigger),"--"))))</f>
        <v>obj_0017c#0004</v>
      </c>
      <c r="K61" s="98" t="b">
        <f t="shared" si="6"/>
        <v>1</v>
      </c>
      <c r="M61" s="9" t="str">
        <v>Sw</v>
      </c>
      <c r="N61" s="9" t="str">
        <v>38Y</v>
      </c>
      <c r="O61" s="9" t="str">
        <v>obj_0017c#0004</v>
      </c>
      <c r="P61" s="96">
        <f>_xll.qlRateHelperRate(O61,Trigger)</f>
        <v>9.2797856900000003E-3</v>
      </c>
      <c r="Q61" s="10">
        <f>_xll.qlRateHelperEarliestDate(O61,Trigger)</f>
        <v>42502</v>
      </c>
      <c r="R61" s="10">
        <f>_xll.qlRateHelperPillarDate(O61,Trigger)</f>
        <v>56381</v>
      </c>
      <c r="S61" s="96">
        <v>9.4911841957844682E-3</v>
      </c>
    </row>
    <row r="62" spans="1:19" ht="11.25" customHeight="1" x14ac:dyDescent="0.2">
      <c r="A62" s="91" t="str">
        <v>Sw</v>
      </c>
      <c r="B62" s="91" t="str">
        <v>39Y</v>
      </c>
      <c r="C62" s="91" t="str">
        <f>IF(A62="Sf",_xll.qlIMMNextCode(B62,Trigger),IF(LEFT(B62,1)="#",_xll.qlCalendarBusinessDaysBetween(Calendar,Settlementdate,DATE(LEFT(SUBSTITUTE(B62,"#",""),4),LEFT(RIGHT(SUBSTITUTE(B62,"#",""),4),2),RIGHT(SUBSTITUTE(B62,"#",""),2)),,,Trigger)-1&amp;"D",SUBSTITUTE(B62,"/","")))</f>
        <v>39Y</v>
      </c>
      <c r="D62" s="101">
        <f t="shared" si="1"/>
        <v>2</v>
      </c>
      <c r="E62" s="101" t="str">
        <f t="shared" si="2"/>
        <v>Annual</v>
      </c>
      <c r="F62" s="97" t="str">
        <f t="shared" si="3"/>
        <v>Modified Following</v>
      </c>
      <c r="G62" s="100" t="str">
        <f t="shared" si="4"/>
        <v>TRUE</v>
      </c>
      <c r="H62" s="97" t="str">
        <f t="shared" si="5"/>
        <v>30/360 (Bond Basis)</v>
      </c>
      <c r="I62" s="102">
        <v>9.258963890000001E-3</v>
      </c>
      <c r="J62" s="89" t="str">
        <f>IF(LEFT(A62,1)="D",_xll.qlDepositRateHelper2(,I62,IF(RIGHT(C62,1)="N","1D",C62),D62,Calendar,F62,G62,H62,,Trigger),IF(A62="Sw",_xll.qlSwapRateHelper2(,I62,D62,C62,Calendar,"Annual",F62,H62,"Euribor"&amp;$H$1,0,"0D",Discounting,,,,Trigger),IF(A62="Fr",_xll.qlFraRateHelper(,I62,SUBSTITUTE(LEFT(C62,2),"M","")&amp;"M","Euribor"&amp;$H$1,,,,Trigger),IF(A62="Sf",_xll.qlFuturesRateHelper(,I62,,C62,"Euribor"&amp;$H$1,0,,Trigger),"--"))))</f>
        <v>obj_00165#0004</v>
      </c>
      <c r="K62" s="98" t="b">
        <f t="shared" si="6"/>
        <v>1</v>
      </c>
      <c r="M62" s="9" t="str">
        <v>Sw</v>
      </c>
      <c r="N62" s="9" t="str">
        <v>39Y</v>
      </c>
      <c r="O62" s="9" t="str">
        <v>obj_00165#0004</v>
      </c>
      <c r="P62" s="96">
        <f>_xll.qlRateHelperRate(O62,Trigger)</f>
        <v>9.258963890000001E-3</v>
      </c>
      <c r="Q62" s="10">
        <f>_xll.qlRateHelperEarliestDate(O62,Trigger)</f>
        <v>42502</v>
      </c>
      <c r="R62" s="10">
        <f>_xll.qlRateHelperPillarDate(O62,Trigger)</f>
        <v>56746</v>
      </c>
      <c r="S62" s="96">
        <v>9.459157986274537E-3</v>
      </c>
    </row>
    <row r="63" spans="1:19" ht="11.25" customHeight="1" x14ac:dyDescent="0.2">
      <c r="A63" s="91" t="str">
        <v>Sw</v>
      </c>
      <c r="B63" s="91" t="str">
        <v>40Y</v>
      </c>
      <c r="C63" s="91" t="str">
        <f>IF(A63="Sf",_xll.qlIMMNextCode(B63,Trigger),IF(LEFT(B63,1)="#",_xll.qlCalendarBusinessDaysBetween(Calendar,Settlementdate,DATE(LEFT(SUBSTITUTE(B63,"#",""),4),LEFT(RIGHT(SUBSTITUTE(B63,"#",""),4),2),RIGHT(SUBSTITUTE(B63,"#",""),2)),,,Trigger)-1&amp;"D",SUBSTITUTE(B63,"/","")))</f>
        <v>40Y</v>
      </c>
      <c r="D63" s="101">
        <f t="shared" si="1"/>
        <v>2</v>
      </c>
      <c r="E63" s="101" t="str">
        <f t="shared" si="2"/>
        <v>Annual</v>
      </c>
      <c r="F63" s="97" t="str">
        <f t="shared" si="3"/>
        <v>Modified Following</v>
      </c>
      <c r="G63" s="100" t="str">
        <f t="shared" si="4"/>
        <v>TRUE</v>
      </c>
      <c r="H63" s="97" t="str">
        <f t="shared" si="5"/>
        <v>30/360 (Bond Basis)</v>
      </c>
      <c r="I63" s="102">
        <v>9.2300000000000004E-3</v>
      </c>
      <c r="J63" s="89" t="str">
        <f>IF(LEFT(A63,1)="D",_xll.qlDepositRateHelper2(,I63,IF(RIGHT(C63,1)="N","1D",C63),D63,Calendar,F63,G63,H63,,Trigger),IF(A63="Sw",_xll.qlSwapRateHelper2(,I63,D63,C63,Calendar,"Annual",F63,H63,"Euribor"&amp;$H$1,0,"0D",Discounting,,,,Trigger),IF(A63="Fr",_xll.qlFraRateHelper(,I63,SUBSTITUTE(LEFT(C63,2),"M","")&amp;"M","Euribor"&amp;$H$1,,,,Trigger),IF(A63="Sf",_xll.qlFuturesRateHelper(,I63,,C63,"Euribor"&amp;$H$1,0,,Trigger),"--"))))</f>
        <v>obj_0017a#0004</v>
      </c>
      <c r="K63" s="98" t="b">
        <f t="shared" si="6"/>
        <v>1</v>
      </c>
      <c r="M63" s="9" t="str">
        <v>Sw</v>
      </c>
      <c r="N63" s="9" t="str">
        <v>40Y</v>
      </c>
      <c r="O63" s="9" t="str">
        <v>obj_0017a#0004</v>
      </c>
      <c r="P63" s="96">
        <f>_xll.qlRateHelperRate(O63,Trigger)</f>
        <v>9.2300000000000004E-3</v>
      </c>
      <c r="Q63" s="10">
        <f>_xll.qlRateHelperEarliestDate(O63,Trigger)</f>
        <v>42502</v>
      </c>
      <c r="R63" s="10">
        <f>_xll.qlRateHelperPillarDate(O63,Trigger)</f>
        <v>57112</v>
      </c>
      <c r="S63" s="96">
        <v>9.4168065249273444E-3</v>
      </c>
    </row>
    <row r="64" spans="1:19" ht="11.25" customHeight="1" x14ac:dyDescent="0.2">
      <c r="A64" s="91" t="str">
        <v>Sw</v>
      </c>
      <c r="B64" s="91" t="str">
        <v>50Y</v>
      </c>
      <c r="C64" s="91" t="str">
        <f>IF(A64="Sf",_xll.qlIMMNextCode(B64,Trigger),IF(LEFT(B64,1)="#",_xll.qlCalendarBusinessDaysBetween(Calendar,Settlementdate,DATE(LEFT(SUBSTITUTE(B64,"#",""),4),LEFT(RIGHT(SUBSTITUTE(B64,"#",""),4),2),RIGHT(SUBSTITUTE(B64,"#",""),2)),,,Trigger)-1&amp;"D",SUBSTITUTE(B64,"/","")))</f>
        <v>50Y</v>
      </c>
      <c r="D64" s="101">
        <f t="shared" si="1"/>
        <v>2</v>
      </c>
      <c r="E64" s="101" t="str">
        <f t="shared" si="2"/>
        <v>Annual</v>
      </c>
      <c r="F64" s="97" t="str">
        <f t="shared" si="3"/>
        <v>Modified Following</v>
      </c>
      <c r="G64" s="100" t="str">
        <f t="shared" si="4"/>
        <v>TRUE</v>
      </c>
      <c r="H64" s="97" t="str">
        <f t="shared" si="5"/>
        <v>30/360 (Bond Basis)</v>
      </c>
      <c r="I64" s="102">
        <v>8.7100000000000007E-3</v>
      </c>
      <c r="J64" s="89" t="str">
        <f>IF(LEFT(A64,1)="D",_xll.qlDepositRateHelper2(,I64,IF(RIGHT(C64,1)="N","1D",C64),D64,Calendar,F64,G64,H64,,Trigger),IF(A64="Sw",_xll.qlSwapRateHelper2(,I64,D64,C64,Calendar,"Annual",F64,H64,"Euribor"&amp;$H$1,0,"0D",Discounting,,,,Trigger),IF(A64="Fr",_xll.qlFraRateHelper(,I64,SUBSTITUTE(LEFT(C64,2),"M","")&amp;"M","Euribor"&amp;$H$1,,,,Trigger),IF(A64="Sf",_xll.qlFuturesRateHelper(,I64,,C64,"Euribor"&amp;$H$1,0,,Trigger),"--"))))</f>
        <v>obj_0016c#0004</v>
      </c>
      <c r="K64" s="98" t="b">
        <f t="shared" ref="K64:K82" si="7">IF(ISERROR(J64),FALSE,TRUE)</f>
        <v>1</v>
      </c>
      <c r="M64" s="9" t="str">
        <v>Sw</v>
      </c>
      <c r="N64" s="9" t="str">
        <v>50Y</v>
      </c>
      <c r="O64" s="9" t="str">
        <v>obj_0016c#0004</v>
      </c>
      <c r="P64" s="96">
        <f>_xll.qlRateHelperRate(O64,Trigger)</f>
        <v>8.7100000000000007E-3</v>
      </c>
      <c r="Q64" s="10">
        <f>_xll.qlRateHelperEarliestDate(O64,Trigger)</f>
        <v>42502</v>
      </c>
      <c r="R64" s="10">
        <f>_xll.qlRateHelperPillarDate(O64,Trigger)</f>
        <v>60764</v>
      </c>
      <c r="S64" s="96">
        <v>8.7371902882918025E-3</v>
      </c>
    </row>
    <row r="65" spans="1:19" ht="11.25" customHeight="1" x14ac:dyDescent="0.2">
      <c r="A65" s="91" t="str">
        <v>Sw</v>
      </c>
      <c r="B65" s="91" t="str">
        <v>60Y</v>
      </c>
      <c r="C65" s="91" t="str">
        <f>IF(A65="Sf",_xll.qlIMMNextCode(B65,Trigger),IF(LEFT(B65,1)="#",_xll.qlCalendarBusinessDaysBetween(Calendar,Settlementdate,DATE(LEFT(SUBSTITUTE(B65,"#",""),4),LEFT(RIGHT(SUBSTITUTE(B65,"#",""),4),2),RIGHT(SUBSTITUTE(B65,"#",""),2)),,,Trigger)-1&amp;"D",SUBSTITUTE(B65,"/","")))</f>
        <v>60Y</v>
      </c>
      <c r="D65" s="101">
        <f t="shared" si="1"/>
        <v>2</v>
      </c>
      <c r="E65" s="101" t="str">
        <f t="shared" si="2"/>
        <v>Annual</v>
      </c>
      <c r="F65" s="97" t="str">
        <f t="shared" si="3"/>
        <v>Modified Following</v>
      </c>
      <c r="G65" s="100" t="str">
        <f t="shared" si="4"/>
        <v>TRUE</v>
      </c>
      <c r="H65" s="97" t="str">
        <f t="shared" si="5"/>
        <v>30/360 (Bond Basis)</v>
      </c>
      <c r="I65" s="102">
        <v>8.5599999999999999E-3</v>
      </c>
      <c r="J65" s="89" t="str">
        <f>IF(LEFT(A65,1)="D",_xll.qlDepositRateHelper2(,I65,IF(RIGHT(C65,1)="N","1D",C65),D65,Calendar,F65,G65,H65,,Trigger),IF(A65="Sw",_xll.qlSwapRateHelper2(,I65,D65,C65,Calendar,"Annual",F65,H65,"Euribor"&amp;$H$1,0,"0D",Discounting,,,,Trigger),IF(A65="Fr",_xll.qlFraRateHelper(,I65,SUBSTITUTE(LEFT(C65,2),"M","")&amp;"M","Euribor"&amp;$H$1,,,,Trigger),IF(A65="Sf",_xll.qlFuturesRateHelper(,I65,,C65,"Euribor"&amp;$H$1,0,,Trigger),"--"))))</f>
        <v>obj_0016f#0004</v>
      </c>
      <c r="K65" s="98" t="b">
        <f t="shared" si="7"/>
        <v>1</v>
      </c>
      <c r="M65" s="9" t="str">
        <v>Sw</v>
      </c>
      <c r="N65" s="9" t="str">
        <v>60Y</v>
      </c>
      <c r="O65" s="9" t="str">
        <v>obj_0016f#0004</v>
      </c>
      <c r="P65" s="96">
        <f>_xll.qlRateHelperRate(O65,Trigger)</f>
        <v>8.5599999999999999E-3</v>
      </c>
      <c r="Q65" s="10">
        <f>_xll.qlRateHelperEarliestDate(O65,Trigger)</f>
        <v>42502</v>
      </c>
      <c r="R65" s="10">
        <f>_xll.qlRateHelperPillarDate(O65,Trigger)</f>
        <v>64417</v>
      </c>
      <c r="S65" s="96">
        <v>8.5383683444949683E-3</v>
      </c>
    </row>
    <row r="66" spans="1:19" ht="11.25" customHeight="1" x14ac:dyDescent="0.2">
      <c r="A66" s="91" t="e">
        <v>#N/A</v>
      </c>
      <c r="B66" s="91" t="e">
        <v>#N/A</v>
      </c>
      <c r="C66" s="91" t="e">
        <f>IF(A66="Sf",_xll.qlIMMNextCode(B66,Trigger),IF(LEFT(B66,1)="#",_xll.qlCalendarBusinessDaysBetween(Calendar,Settlementdate,DATE(LEFT(SUBSTITUTE(B66,"#",""),4),LEFT(RIGHT(SUBSTITUTE(B66,"#",""),4),2),RIGHT(SUBSTITUTE(B66,"#",""),2)),,,Trigger)-1&amp;"D",SUBSTITUTE(B66,"/","")))</f>
        <v>#N/A</v>
      </c>
      <c r="D66" s="101" t="e">
        <f t="shared" si="1"/>
        <v>#N/A</v>
      </c>
      <c r="E66" s="101" t="e">
        <f t="shared" si="2"/>
        <v>#N/A</v>
      </c>
      <c r="F66" s="97" t="e">
        <f t="shared" si="3"/>
        <v>#N/A</v>
      </c>
      <c r="G66" s="100" t="e">
        <f t="shared" si="4"/>
        <v>#N/A</v>
      </c>
      <c r="H66" s="97" t="e">
        <f t="shared" si="5"/>
        <v>#N/A</v>
      </c>
      <c r="I66" s="102" t="e">
        <v>#N/A</v>
      </c>
      <c r="J66" s="89" t="e">
        <f>IF(LEFT(A66,1)="D",_xll.qlDepositRateHelper2(,I66,IF(RIGHT(C66,1)="N","1D",C66),D66,Calendar,F66,G66,H66,,Trigger),IF(A66="Sw",_xll.qlSwapRateHelper2(,I66,D66,C66,Calendar,"Annual",F66,H66,"Euribor"&amp;$H$1,0,"0D",Discounting,,,,Trigger),IF(A66="Fr",_xll.qlFraRateHelper(,I66,SUBSTITUTE(LEFT(C66,2),"M","")&amp;"M","Euribor"&amp;$H$1,,,,Trigger),IF(A66="Sf",_xll.qlFuturesRateHelper(,I66,,C66,"Euribor"&amp;$H$1,0,,Trigger),"--"))))</f>
        <v>#N/A</v>
      </c>
      <c r="K66" s="98" t="b">
        <f t="shared" si="7"/>
        <v>0</v>
      </c>
      <c r="M66" s="9" t="e">
        <v>#N/A</v>
      </c>
      <c r="N66" s="9" t="e">
        <v>#N/A</v>
      </c>
      <c r="O66" s="9" t="e">
        <v>#N/A</v>
      </c>
      <c r="P66" s="96" t="e">
        <f>_xll.qlRateHelperRate(O66,Trigger)</f>
        <v>#VALUE!</v>
      </c>
      <c r="Q66" s="10" t="e">
        <f>_xll.qlRateHelperEarliestDate(O66,Trigger)</f>
        <v>#VALUE!</v>
      </c>
      <c r="R66" s="10" t="e">
        <f>_xll.qlRateHelperPillarDate(O66,Trigger)</f>
        <v>#VALUE!</v>
      </c>
      <c r="S66" s="96" t="e">
        <v>#N/A</v>
      </c>
    </row>
    <row r="67" spans="1:19" ht="11.25" customHeight="1" x14ac:dyDescent="0.2">
      <c r="A67" s="91" t="e">
        <v>#N/A</v>
      </c>
      <c r="B67" s="91" t="e">
        <v>#N/A</v>
      </c>
      <c r="C67" s="91" t="e">
        <f>IF(A67="Sf",_xll.qlIMMNextCode(B67,Trigger),IF(LEFT(B67,1)="#",_xll.qlCalendarBusinessDaysBetween(Calendar,Settlementdate,DATE(LEFT(SUBSTITUTE(B67,"#",""),4),LEFT(RIGHT(SUBSTITUTE(B67,"#",""),4),2),RIGHT(SUBSTITUTE(B67,"#",""),2)),,,Trigger)-1&amp;"D",SUBSTITUTE(B67,"/","")))</f>
        <v>#N/A</v>
      </c>
      <c r="D67" s="101" t="e">
        <f t="shared" si="1"/>
        <v>#N/A</v>
      </c>
      <c r="E67" s="101" t="e">
        <f t="shared" si="2"/>
        <v>#N/A</v>
      </c>
      <c r="F67" s="97" t="e">
        <f t="shared" si="3"/>
        <v>#N/A</v>
      </c>
      <c r="G67" s="100" t="e">
        <f t="shared" si="4"/>
        <v>#N/A</v>
      </c>
      <c r="H67" s="97" t="e">
        <f t="shared" si="5"/>
        <v>#N/A</v>
      </c>
      <c r="I67" s="102" t="e">
        <v>#N/A</v>
      </c>
      <c r="J67" s="89" t="e">
        <f>IF(LEFT(A67,1)="D",_xll.qlDepositRateHelper2(,I67,IF(RIGHT(C67,1)="N","1D",C67),D67,Calendar,F67,G67,H67,,Trigger),IF(A67="Sw",_xll.qlSwapRateHelper2(,I67,D67,C67,Calendar,"Annual",F67,H67,"Euribor"&amp;$H$1,0,"0D",Discounting,,,,Trigger),IF(A67="Fr",_xll.qlFraRateHelper(,I67,SUBSTITUTE(LEFT(C67,2),"M","")&amp;"M","Euribor"&amp;$H$1,,,,Trigger),IF(A67="Sf",_xll.qlFuturesRateHelper(,I67,,C67,"Euribor"&amp;$H$1,0,,Trigger),"--"))))</f>
        <v>#N/A</v>
      </c>
      <c r="K67" s="98" t="b">
        <f t="shared" si="7"/>
        <v>0</v>
      </c>
      <c r="M67" s="9" t="e">
        <v>#N/A</v>
      </c>
      <c r="N67" s="9" t="e">
        <v>#N/A</v>
      </c>
      <c r="O67" s="9" t="e">
        <v>#N/A</v>
      </c>
      <c r="P67" s="96" t="e">
        <f>_xll.qlRateHelperRate(O67,Trigger)</f>
        <v>#VALUE!</v>
      </c>
      <c r="Q67" s="10" t="e">
        <f>_xll.qlRateHelperEarliestDate(O67,Trigger)</f>
        <v>#VALUE!</v>
      </c>
      <c r="R67" s="10" t="e">
        <f>_xll.qlRateHelperPillarDate(O67,Trigger)</f>
        <v>#VALUE!</v>
      </c>
      <c r="S67" s="96" t="e">
        <v>#N/A</v>
      </c>
    </row>
    <row r="68" spans="1:19" ht="11.25" customHeight="1" x14ac:dyDescent="0.2">
      <c r="A68" s="91" t="e">
        <v>#N/A</v>
      </c>
      <c r="B68" s="91" t="e">
        <v>#N/A</v>
      </c>
      <c r="C68" s="91" t="e">
        <f>IF(A68="Sf",_xll.qlIMMNextCode(B68,Trigger),IF(LEFT(B68,1)="#",_xll.qlCalendarBusinessDaysBetween(Calendar,Settlementdate,DATE(LEFT(SUBSTITUTE(B68,"#",""),4),LEFT(RIGHT(SUBSTITUTE(B68,"#",""),4),2),RIGHT(SUBSTITUTE(B68,"#",""),2)),,,Trigger)-1&amp;"D",SUBSTITUTE(B68,"/","")))</f>
        <v>#N/A</v>
      </c>
      <c r="D68" s="101" t="e">
        <f t="shared" ref="D68:D82" si="8">IF(C68="ON",0,IF(C68="TN",1,2))</f>
        <v>#N/A</v>
      </c>
      <c r="E68" s="101" t="e">
        <f t="shared" ref="E68:E82" si="9">IF(A68="Sw","Annual","--")</f>
        <v>#N/A</v>
      </c>
      <c r="F68" s="97" t="e">
        <f t="shared" ref="F68:F82" si="10">IF(OR(RIGHT(C68,1)="N",RIGHT(C68,1)="W"),"Following","Modified Following")</f>
        <v>#N/A</v>
      </c>
      <c r="G68" s="100" t="e">
        <f t="shared" ref="G68:G82" si="11">IF(OR(RIGHT(C68,1)="M",RIGHT(C68,1)="Y"),"TRUE","FALSE")</f>
        <v>#N/A</v>
      </c>
      <c r="H68" s="97" t="e">
        <f t="shared" ref="H68:H82" si="12">IF(A68="Sw","30/360 (Bond Basis)","Actual/360")</f>
        <v>#N/A</v>
      </c>
      <c r="I68" s="102" t="e">
        <v>#N/A</v>
      </c>
      <c r="J68" s="89" t="e">
        <f>IF(LEFT(A68,1)="D",_xll.qlDepositRateHelper2(,I68,IF(RIGHT(C68,1)="N","1D",C68),D68,Calendar,F68,G68,H68,,Trigger),IF(A68="Sw",_xll.qlSwapRateHelper2(,I68,D68,C68,Calendar,"Annual",F68,H68,"Euribor"&amp;$H$1,0,"0D",Discounting,,,,Trigger),IF(A68="Fr",_xll.qlFraRateHelper(,I68,SUBSTITUTE(LEFT(C68,2),"M","")&amp;"M","Euribor"&amp;$H$1,,,,Trigger),IF(A68="Sf",_xll.qlFuturesRateHelper(,I68,,C68,"Euribor"&amp;$H$1,0,,Trigger),"--"))))</f>
        <v>#N/A</v>
      </c>
      <c r="K68" s="98" t="b">
        <f t="shared" si="7"/>
        <v>0</v>
      </c>
      <c r="M68" s="9" t="e">
        <v>#N/A</v>
      </c>
      <c r="N68" s="9" t="e">
        <v>#N/A</v>
      </c>
      <c r="O68" s="9" t="e">
        <v>#N/A</v>
      </c>
      <c r="P68" s="96" t="e">
        <f>_xll.qlRateHelperRate(O68,Trigger)</f>
        <v>#VALUE!</v>
      </c>
      <c r="Q68" s="10" t="e">
        <f>_xll.qlRateHelperEarliestDate(O68,Trigger)</f>
        <v>#VALUE!</v>
      </c>
      <c r="R68" s="10" t="e">
        <f>_xll.qlRateHelperPillarDate(O68,Trigger)</f>
        <v>#VALUE!</v>
      </c>
      <c r="S68" s="96" t="e">
        <v>#N/A</v>
      </c>
    </row>
    <row r="69" spans="1:19" ht="11.25" customHeight="1" x14ac:dyDescent="0.2">
      <c r="A69" s="91" t="e">
        <v>#N/A</v>
      </c>
      <c r="B69" s="91" t="e">
        <v>#N/A</v>
      </c>
      <c r="C69" s="91" t="e">
        <f>IF(A69="Sf",_xll.qlIMMNextCode(B69,Trigger),IF(LEFT(B69,1)="#",_xll.qlCalendarBusinessDaysBetween(Calendar,Settlementdate,DATE(LEFT(SUBSTITUTE(B69,"#",""),4),LEFT(RIGHT(SUBSTITUTE(B69,"#",""),4),2),RIGHT(SUBSTITUTE(B69,"#",""),2)),,,Trigger)-1&amp;"D",SUBSTITUTE(B69,"/","")))</f>
        <v>#N/A</v>
      </c>
      <c r="D69" s="101" t="e">
        <f t="shared" si="8"/>
        <v>#N/A</v>
      </c>
      <c r="E69" s="101" t="e">
        <f t="shared" si="9"/>
        <v>#N/A</v>
      </c>
      <c r="F69" s="97" t="e">
        <f t="shared" si="10"/>
        <v>#N/A</v>
      </c>
      <c r="G69" s="100" t="e">
        <f t="shared" si="11"/>
        <v>#N/A</v>
      </c>
      <c r="H69" s="97" t="e">
        <f t="shared" si="12"/>
        <v>#N/A</v>
      </c>
      <c r="I69" s="102" t="e">
        <v>#N/A</v>
      </c>
      <c r="J69" s="89" t="e">
        <f>IF(LEFT(A69,1)="D",_xll.qlDepositRateHelper2(,I69,IF(RIGHT(C69,1)="N","1D",C69),D69,Calendar,F69,G69,H69,,Trigger),IF(A69="Sw",_xll.qlSwapRateHelper2(,I69,D69,C69,Calendar,"Annual",F69,H69,"Euribor"&amp;$H$1,0,"0D",Discounting,,,,Trigger),IF(A69="Fr",_xll.qlFraRateHelper(,I69,SUBSTITUTE(LEFT(C69,2),"M","")&amp;"M","Euribor"&amp;$H$1,,,,Trigger),IF(A69="Sf",_xll.qlFuturesRateHelper(,I69,,C69,"Euribor"&amp;$H$1,0,,Trigger),"--"))))</f>
        <v>#N/A</v>
      </c>
      <c r="K69" s="98" t="b">
        <f t="shared" si="7"/>
        <v>0</v>
      </c>
      <c r="M69" s="9" t="e">
        <v>#N/A</v>
      </c>
      <c r="N69" s="9" t="e">
        <v>#N/A</v>
      </c>
      <c r="O69" s="9" t="e">
        <v>#N/A</v>
      </c>
      <c r="P69" s="96" t="e">
        <f>_xll.qlRateHelperRate(O69,Trigger)</f>
        <v>#VALUE!</v>
      </c>
      <c r="Q69" s="10" t="e">
        <f>_xll.qlRateHelperEarliestDate(O69,Trigger)</f>
        <v>#VALUE!</v>
      </c>
      <c r="R69" s="10" t="e">
        <f>_xll.qlRateHelperPillarDate(O69,Trigger)</f>
        <v>#VALUE!</v>
      </c>
      <c r="S69" s="96" t="e">
        <v>#N/A</v>
      </c>
    </row>
    <row r="70" spans="1:19" ht="11.25" customHeight="1" x14ac:dyDescent="0.2">
      <c r="A70" s="91" t="e">
        <v>#N/A</v>
      </c>
      <c r="B70" s="91" t="e">
        <v>#N/A</v>
      </c>
      <c r="C70" s="91" t="e">
        <f>IF(A70="Sf",_xll.qlIMMNextCode(B70,Trigger),IF(LEFT(B70,1)="#",_xll.qlCalendarBusinessDaysBetween(Calendar,Settlementdate,DATE(LEFT(SUBSTITUTE(B70,"#",""),4),LEFT(RIGHT(SUBSTITUTE(B70,"#",""),4),2),RIGHT(SUBSTITUTE(B70,"#",""),2)),,,Trigger)-1&amp;"D",SUBSTITUTE(B70,"/","")))</f>
        <v>#N/A</v>
      </c>
      <c r="D70" s="101" t="e">
        <f t="shared" si="8"/>
        <v>#N/A</v>
      </c>
      <c r="E70" s="101" t="e">
        <f t="shared" si="9"/>
        <v>#N/A</v>
      </c>
      <c r="F70" s="97" t="e">
        <f t="shared" si="10"/>
        <v>#N/A</v>
      </c>
      <c r="G70" s="100" t="e">
        <f t="shared" si="11"/>
        <v>#N/A</v>
      </c>
      <c r="H70" s="97" t="e">
        <f t="shared" si="12"/>
        <v>#N/A</v>
      </c>
      <c r="I70" s="102" t="e">
        <v>#N/A</v>
      </c>
      <c r="J70" s="89" t="e">
        <f>IF(LEFT(A70,1)="D",_xll.qlDepositRateHelper2(,I70,IF(RIGHT(C70,1)="N","1D",C70),D70,Calendar,F70,G70,H70,,Trigger),IF(A70="Sw",_xll.qlSwapRateHelper2(,I70,D70,C70,Calendar,"Annual",F70,H70,"Euribor"&amp;$H$1,0,"0D",Discounting,,,,Trigger),IF(A70="Fr",_xll.qlFraRateHelper(,I70,SUBSTITUTE(LEFT(C70,2),"M","")&amp;"M","Euribor"&amp;$H$1,,,,Trigger),IF(A70="Sf",_xll.qlFuturesRateHelper(,I70,,C70,"Euribor"&amp;$H$1,0,,Trigger),"--"))))</f>
        <v>#N/A</v>
      </c>
      <c r="K70" s="98" t="b">
        <f t="shared" si="7"/>
        <v>0</v>
      </c>
      <c r="M70" s="9" t="e">
        <v>#N/A</v>
      </c>
      <c r="N70" s="9" t="e">
        <v>#N/A</v>
      </c>
      <c r="O70" s="9" t="e">
        <v>#N/A</v>
      </c>
      <c r="P70" s="96" t="e">
        <f>_xll.qlRateHelperRate(O70,Trigger)</f>
        <v>#VALUE!</v>
      </c>
      <c r="Q70" s="10" t="e">
        <f>_xll.qlRateHelperEarliestDate(O70,Trigger)</f>
        <v>#VALUE!</v>
      </c>
      <c r="R70" s="10" t="e">
        <f>_xll.qlRateHelperPillarDate(O70,Trigger)</f>
        <v>#VALUE!</v>
      </c>
      <c r="S70" s="96" t="e">
        <v>#N/A</v>
      </c>
    </row>
    <row r="71" spans="1:19" ht="11.25" customHeight="1" x14ac:dyDescent="0.2">
      <c r="A71" s="91" t="e">
        <v>#N/A</v>
      </c>
      <c r="B71" s="91" t="e">
        <v>#N/A</v>
      </c>
      <c r="C71" s="91" t="e">
        <f>IF(A71="Sf",_xll.qlIMMNextCode(B71,Trigger),IF(LEFT(B71,1)="#",_xll.qlCalendarBusinessDaysBetween(Calendar,Settlementdate,DATE(LEFT(SUBSTITUTE(B71,"#",""),4),LEFT(RIGHT(SUBSTITUTE(B71,"#",""),4),2),RIGHT(SUBSTITUTE(B71,"#",""),2)),,,Trigger)-1&amp;"D",SUBSTITUTE(B71,"/","")))</f>
        <v>#N/A</v>
      </c>
      <c r="D71" s="101" t="e">
        <f t="shared" si="8"/>
        <v>#N/A</v>
      </c>
      <c r="E71" s="101" t="e">
        <f t="shared" si="9"/>
        <v>#N/A</v>
      </c>
      <c r="F71" s="97" t="e">
        <f t="shared" si="10"/>
        <v>#N/A</v>
      </c>
      <c r="G71" s="100" t="e">
        <f t="shared" si="11"/>
        <v>#N/A</v>
      </c>
      <c r="H71" s="97" t="e">
        <f t="shared" si="12"/>
        <v>#N/A</v>
      </c>
      <c r="I71" s="102" t="e">
        <v>#N/A</v>
      </c>
      <c r="J71" s="89" t="e">
        <f>IF(LEFT(A71,1)="D",_xll.qlDepositRateHelper2(,I71,IF(RIGHT(C71,1)="N","1D",C71),D71,Calendar,F71,G71,H71,,Trigger),IF(A71="Sw",_xll.qlSwapRateHelper2(,I71,D71,C71,Calendar,"Annual",F71,H71,"Euribor"&amp;$H$1,0,"0D",Discounting,,,,Trigger),IF(A71="Fr",_xll.qlFraRateHelper(,I71,SUBSTITUTE(LEFT(C71,2),"M","")&amp;"M","Euribor"&amp;$H$1,,,,Trigger),IF(A71="Sf",_xll.qlFuturesRateHelper(,I71,,C71,"Euribor"&amp;$H$1,0,,Trigger),"--"))))</f>
        <v>#N/A</v>
      </c>
      <c r="K71" s="98" t="b">
        <f t="shared" si="7"/>
        <v>0</v>
      </c>
      <c r="M71" s="9" t="e">
        <v>#N/A</v>
      </c>
      <c r="N71" s="9" t="e">
        <v>#N/A</v>
      </c>
      <c r="O71" s="9" t="e">
        <v>#N/A</v>
      </c>
      <c r="P71" s="96" t="e">
        <f>_xll.qlRateHelperRate(O71,Trigger)</f>
        <v>#VALUE!</v>
      </c>
      <c r="Q71" s="10" t="e">
        <f>_xll.qlRateHelperEarliestDate(O71,Trigger)</f>
        <v>#VALUE!</v>
      </c>
      <c r="R71" s="10" t="e">
        <f>_xll.qlRateHelperPillarDate(O71,Trigger)</f>
        <v>#VALUE!</v>
      </c>
      <c r="S71" s="96" t="e">
        <v>#N/A</v>
      </c>
    </row>
    <row r="72" spans="1:19" ht="11.25" customHeight="1" x14ac:dyDescent="0.2">
      <c r="A72" s="91" t="e">
        <v>#N/A</v>
      </c>
      <c r="B72" s="91" t="e">
        <v>#N/A</v>
      </c>
      <c r="C72" s="91" t="e">
        <f>IF(A72="Sf",_xll.qlIMMNextCode(B72,Trigger),IF(LEFT(B72,1)="#",_xll.qlCalendarBusinessDaysBetween(Calendar,Settlementdate,DATE(LEFT(SUBSTITUTE(B72,"#",""),4),LEFT(RIGHT(SUBSTITUTE(B72,"#",""),4),2),RIGHT(SUBSTITUTE(B72,"#",""),2)),,,Trigger)-1&amp;"D",SUBSTITUTE(B72,"/","")))</f>
        <v>#N/A</v>
      </c>
      <c r="D72" s="101" t="e">
        <f t="shared" si="8"/>
        <v>#N/A</v>
      </c>
      <c r="E72" s="101" t="e">
        <f t="shared" si="9"/>
        <v>#N/A</v>
      </c>
      <c r="F72" s="97" t="e">
        <f t="shared" si="10"/>
        <v>#N/A</v>
      </c>
      <c r="G72" s="100" t="e">
        <f t="shared" si="11"/>
        <v>#N/A</v>
      </c>
      <c r="H72" s="97" t="e">
        <f t="shared" si="12"/>
        <v>#N/A</v>
      </c>
      <c r="I72" s="102" t="e">
        <v>#N/A</v>
      </c>
      <c r="J72" s="89" t="e">
        <f>IF(LEFT(A72,1)="D",_xll.qlDepositRateHelper2(,I72,IF(RIGHT(C72,1)="N","1D",C72),D72,Calendar,F72,G72,H72,,Trigger),IF(A72="Sw",_xll.qlSwapRateHelper2(,I72,D72,C72,Calendar,"Annual",F72,H72,"Euribor"&amp;$H$1,0,"0D",Discounting,,,,Trigger),IF(A72="Fr",_xll.qlFraRateHelper(,I72,SUBSTITUTE(LEFT(C72,2),"M","")&amp;"M","Euribor"&amp;$H$1,,,,Trigger),IF(A72="Sf",_xll.qlFuturesRateHelper(,I72,,C72,"Euribor"&amp;$H$1,0,,Trigger),"--"))))</f>
        <v>#N/A</v>
      </c>
      <c r="K72" s="98" t="b">
        <f t="shared" si="7"/>
        <v>0</v>
      </c>
      <c r="M72" s="9" t="e">
        <v>#N/A</v>
      </c>
      <c r="N72" s="9" t="e">
        <v>#N/A</v>
      </c>
      <c r="O72" s="9" t="e">
        <v>#N/A</v>
      </c>
      <c r="P72" s="96" t="e">
        <f>_xll.qlRateHelperRate(O72,Trigger)</f>
        <v>#VALUE!</v>
      </c>
      <c r="Q72" s="10" t="e">
        <f>_xll.qlRateHelperEarliestDate(O72,Trigger)</f>
        <v>#VALUE!</v>
      </c>
      <c r="R72" s="10" t="e">
        <f>_xll.qlRateHelperPillarDate(O72,Trigger)</f>
        <v>#VALUE!</v>
      </c>
      <c r="S72" s="96" t="e">
        <v>#N/A</v>
      </c>
    </row>
    <row r="73" spans="1:19" ht="11.25" customHeight="1" x14ac:dyDescent="0.2">
      <c r="A73" s="91" t="e">
        <v>#N/A</v>
      </c>
      <c r="B73" s="91" t="e">
        <v>#N/A</v>
      </c>
      <c r="C73" s="91" t="e">
        <f>IF(A73="Sf",_xll.qlIMMNextCode(B73,Trigger),IF(LEFT(B73,1)="#",_xll.qlCalendarBusinessDaysBetween(Calendar,Settlementdate,DATE(LEFT(SUBSTITUTE(B73,"#",""),4),LEFT(RIGHT(SUBSTITUTE(B73,"#",""),4),2),RIGHT(SUBSTITUTE(B73,"#",""),2)),,,Trigger)-1&amp;"D",SUBSTITUTE(B73,"/","")))</f>
        <v>#N/A</v>
      </c>
      <c r="D73" s="101" t="e">
        <f t="shared" si="8"/>
        <v>#N/A</v>
      </c>
      <c r="E73" s="101" t="e">
        <f t="shared" si="9"/>
        <v>#N/A</v>
      </c>
      <c r="F73" s="97" t="e">
        <f t="shared" si="10"/>
        <v>#N/A</v>
      </c>
      <c r="G73" s="100" t="e">
        <f t="shared" si="11"/>
        <v>#N/A</v>
      </c>
      <c r="H73" s="97" t="e">
        <f t="shared" si="12"/>
        <v>#N/A</v>
      </c>
      <c r="I73" s="102" t="e">
        <v>#N/A</v>
      </c>
      <c r="J73" s="89" t="e">
        <f>IF(LEFT(A73,1)="D",_xll.qlDepositRateHelper2(,I73,IF(RIGHT(C73,1)="N","1D",C73),D73,Calendar,F73,G73,H73,,Trigger),IF(A73="Sw",_xll.qlSwapRateHelper2(,I73,D73,C73,Calendar,"Annual",F73,H73,"Euribor"&amp;$H$1,0,"0D",Discounting,,,,Trigger),IF(A73="Fr",_xll.qlFraRateHelper(,I73,SUBSTITUTE(LEFT(C73,2),"M","")&amp;"M","Euribor"&amp;$H$1,,,,Trigger),IF(A73="Sf",_xll.qlFuturesRateHelper(,I73,,C73,"Euribor"&amp;$H$1,0,,Trigger),"--"))))</f>
        <v>#N/A</v>
      </c>
      <c r="K73" s="98" t="b">
        <f t="shared" si="7"/>
        <v>0</v>
      </c>
      <c r="M73" s="9" t="e">
        <v>#N/A</v>
      </c>
      <c r="N73" s="9" t="e">
        <v>#N/A</v>
      </c>
      <c r="O73" s="9" t="e">
        <v>#N/A</v>
      </c>
      <c r="P73" s="96" t="e">
        <f>_xll.qlRateHelperRate(O73,Trigger)</f>
        <v>#VALUE!</v>
      </c>
      <c r="Q73" s="10" t="e">
        <f>_xll.qlRateHelperEarliestDate(O73,Trigger)</f>
        <v>#VALUE!</v>
      </c>
      <c r="R73" s="10" t="e">
        <f>_xll.qlRateHelperPillarDate(O73,Trigger)</f>
        <v>#VALUE!</v>
      </c>
      <c r="S73" s="96" t="e">
        <v>#N/A</v>
      </c>
    </row>
    <row r="74" spans="1:19" ht="11.25" customHeight="1" x14ac:dyDescent="0.2">
      <c r="A74" s="91" t="e">
        <v>#N/A</v>
      </c>
      <c r="B74" s="91" t="e">
        <v>#N/A</v>
      </c>
      <c r="C74" s="91" t="e">
        <f>IF(A74="Sf",_xll.qlIMMNextCode(B74,Trigger),IF(LEFT(B74,1)="#",_xll.qlCalendarBusinessDaysBetween(Calendar,Settlementdate,DATE(LEFT(SUBSTITUTE(B74,"#",""),4),LEFT(RIGHT(SUBSTITUTE(B74,"#",""),4),2),RIGHT(SUBSTITUTE(B74,"#",""),2)),,,Trigger)-1&amp;"D",SUBSTITUTE(B74,"/","")))</f>
        <v>#N/A</v>
      </c>
      <c r="D74" s="101" t="e">
        <f t="shared" si="8"/>
        <v>#N/A</v>
      </c>
      <c r="E74" s="101" t="e">
        <f t="shared" si="9"/>
        <v>#N/A</v>
      </c>
      <c r="F74" s="97" t="e">
        <f t="shared" si="10"/>
        <v>#N/A</v>
      </c>
      <c r="G74" s="100" t="e">
        <f t="shared" si="11"/>
        <v>#N/A</v>
      </c>
      <c r="H74" s="97" t="e">
        <f t="shared" si="12"/>
        <v>#N/A</v>
      </c>
      <c r="I74" s="102" t="e">
        <v>#N/A</v>
      </c>
      <c r="J74" s="89" t="e">
        <f>IF(LEFT(A74,1)="D",_xll.qlDepositRateHelper2(,I74,IF(RIGHT(C74,1)="N","1D",C74),D74,Calendar,F74,G74,H74,,Trigger),IF(A74="Sw",_xll.qlSwapRateHelper2(,I74,D74,C74,Calendar,"Annual",F74,H74,"Euribor"&amp;$H$1,0,"0D",Discounting,,,,Trigger),IF(A74="Fr",_xll.qlFraRateHelper(,I74,SUBSTITUTE(LEFT(C74,2),"M","")&amp;"M","Euribor"&amp;$H$1,,,,Trigger),IF(A74="Sf",_xll.qlFuturesRateHelper(,I74,,C74,"Euribor"&amp;$H$1,0,,Trigger),"--"))))</f>
        <v>#N/A</v>
      </c>
      <c r="K74" s="98" t="b">
        <f t="shared" si="7"/>
        <v>0</v>
      </c>
      <c r="M74" s="9" t="e">
        <v>#N/A</v>
      </c>
      <c r="N74" s="9" t="e">
        <v>#N/A</v>
      </c>
      <c r="O74" s="9" t="e">
        <v>#N/A</v>
      </c>
      <c r="P74" s="96" t="e">
        <f>_xll.qlRateHelperRate(O74,Trigger)</f>
        <v>#VALUE!</v>
      </c>
      <c r="Q74" s="10" t="e">
        <f>_xll.qlRateHelperEarliestDate(O74,Trigger)</f>
        <v>#VALUE!</v>
      </c>
      <c r="R74" s="10" t="e">
        <f>_xll.qlRateHelperPillarDate(O74,Trigger)</f>
        <v>#VALUE!</v>
      </c>
      <c r="S74" s="96" t="e">
        <v>#N/A</v>
      </c>
    </row>
    <row r="75" spans="1:19" ht="11.25" customHeight="1" x14ac:dyDescent="0.2">
      <c r="A75" s="91" t="e">
        <v>#N/A</v>
      </c>
      <c r="B75" s="91" t="e">
        <v>#N/A</v>
      </c>
      <c r="C75" s="91" t="e">
        <f>IF(A75="Sf",_xll.qlIMMNextCode(B75,Trigger),IF(LEFT(B75,1)="#",_xll.qlCalendarBusinessDaysBetween(Calendar,Settlementdate,DATE(LEFT(SUBSTITUTE(B75,"#",""),4),LEFT(RIGHT(SUBSTITUTE(B75,"#",""),4),2),RIGHT(SUBSTITUTE(B75,"#",""),2)),,,Trigger)-1&amp;"D",SUBSTITUTE(B75,"/","")))</f>
        <v>#N/A</v>
      </c>
      <c r="D75" s="101" t="e">
        <f t="shared" si="8"/>
        <v>#N/A</v>
      </c>
      <c r="E75" s="101" t="e">
        <f t="shared" si="9"/>
        <v>#N/A</v>
      </c>
      <c r="F75" s="97" t="e">
        <f t="shared" si="10"/>
        <v>#N/A</v>
      </c>
      <c r="G75" s="100" t="e">
        <f t="shared" si="11"/>
        <v>#N/A</v>
      </c>
      <c r="H75" s="97" t="e">
        <f t="shared" si="12"/>
        <v>#N/A</v>
      </c>
      <c r="I75" s="102" t="e">
        <v>#N/A</v>
      </c>
      <c r="J75" s="89" t="e">
        <f>IF(LEFT(A75,1)="D",_xll.qlDepositRateHelper2(,I75,IF(RIGHT(C75,1)="N","1D",C75),D75,Calendar,F75,G75,H75,,Trigger),IF(A75="Sw",_xll.qlSwapRateHelper2(,I75,D75,C75,Calendar,"Annual",F75,H75,"Euribor"&amp;$H$1,0,"0D",Discounting,,,,Trigger),IF(A75="Fr",_xll.qlFraRateHelper(,I75,SUBSTITUTE(LEFT(C75,2),"M","")&amp;"M","Euribor"&amp;$H$1,,,,Trigger),IF(A75="Sf",_xll.qlFuturesRateHelper(,I75,,C75,"Euribor"&amp;$H$1,0,,Trigger),"--"))))</f>
        <v>#N/A</v>
      </c>
      <c r="K75" s="98" t="b">
        <f t="shared" si="7"/>
        <v>0</v>
      </c>
      <c r="M75" s="9" t="e">
        <v>#N/A</v>
      </c>
      <c r="N75" s="9" t="e">
        <v>#N/A</v>
      </c>
      <c r="O75" s="9" t="e">
        <v>#N/A</v>
      </c>
      <c r="P75" s="96" t="e">
        <f>_xll.qlRateHelperRate(O75,Trigger)</f>
        <v>#VALUE!</v>
      </c>
      <c r="Q75" s="10" t="e">
        <f>_xll.qlRateHelperEarliestDate(O75,Trigger)</f>
        <v>#VALUE!</v>
      </c>
      <c r="R75" s="10" t="e">
        <f>_xll.qlRateHelperPillarDate(O75,Trigger)</f>
        <v>#VALUE!</v>
      </c>
      <c r="S75" s="96" t="e">
        <v>#N/A</v>
      </c>
    </row>
    <row r="76" spans="1:19" ht="11.25" customHeight="1" x14ac:dyDescent="0.2">
      <c r="A76" s="91" t="e">
        <v>#N/A</v>
      </c>
      <c r="B76" s="91" t="e">
        <v>#N/A</v>
      </c>
      <c r="C76" s="91" t="e">
        <f>IF(A76="Sf",_xll.qlIMMNextCode(B76,Trigger),IF(LEFT(B76,1)="#",_xll.qlCalendarBusinessDaysBetween(Calendar,Settlementdate,DATE(LEFT(SUBSTITUTE(B76,"#",""),4),LEFT(RIGHT(SUBSTITUTE(B76,"#",""),4),2),RIGHT(SUBSTITUTE(B76,"#",""),2)),,,Trigger)-1&amp;"D",SUBSTITUTE(B76,"/","")))</f>
        <v>#N/A</v>
      </c>
      <c r="D76" s="101" t="e">
        <f t="shared" si="8"/>
        <v>#N/A</v>
      </c>
      <c r="E76" s="101" t="e">
        <f t="shared" si="9"/>
        <v>#N/A</v>
      </c>
      <c r="F76" s="97" t="e">
        <f t="shared" si="10"/>
        <v>#N/A</v>
      </c>
      <c r="G76" s="100" t="e">
        <f t="shared" si="11"/>
        <v>#N/A</v>
      </c>
      <c r="H76" s="97" t="e">
        <f t="shared" si="12"/>
        <v>#N/A</v>
      </c>
      <c r="I76" s="102" t="e">
        <v>#N/A</v>
      </c>
      <c r="J76" s="89" t="e">
        <f>IF(LEFT(A76,1)="D",_xll.qlDepositRateHelper2(,I76,IF(RIGHT(C76,1)="N","1D",C76),D76,Calendar,F76,G76,H76,,Trigger),IF(A76="Sw",_xll.qlSwapRateHelper2(,I76,D76,C76,Calendar,"Annual",F76,H76,"Euribor"&amp;$H$1,0,"0D",Discounting,,,,Trigger),IF(A76="Fr",_xll.qlFraRateHelper(,I76,SUBSTITUTE(LEFT(C76,2),"M","")&amp;"M","Euribor"&amp;$H$1,,,,Trigger),IF(A76="Sf",_xll.qlFuturesRateHelper(,I76,,C76,"Euribor"&amp;$H$1,0,,Trigger),"--"))))</f>
        <v>#N/A</v>
      </c>
      <c r="K76" s="98" t="b">
        <f t="shared" si="7"/>
        <v>0</v>
      </c>
      <c r="M76" s="9" t="e">
        <v>#N/A</v>
      </c>
      <c r="N76" s="9" t="e">
        <v>#N/A</v>
      </c>
      <c r="O76" s="9" t="e">
        <v>#N/A</v>
      </c>
      <c r="P76" s="96" t="e">
        <f>_xll.qlRateHelperRate(O76,Trigger)</f>
        <v>#VALUE!</v>
      </c>
      <c r="Q76" s="10" t="e">
        <f>_xll.qlRateHelperEarliestDate(O76,Trigger)</f>
        <v>#VALUE!</v>
      </c>
      <c r="R76" s="10" t="e">
        <f>_xll.qlRateHelperPillarDate(O76,Trigger)</f>
        <v>#VALUE!</v>
      </c>
      <c r="S76" s="96" t="e">
        <v>#N/A</v>
      </c>
    </row>
    <row r="77" spans="1:19" ht="11.25" customHeight="1" x14ac:dyDescent="0.2">
      <c r="A77" s="91" t="e">
        <v>#N/A</v>
      </c>
      <c r="B77" s="91" t="e">
        <v>#N/A</v>
      </c>
      <c r="C77" s="91" t="e">
        <f>IF(A77="Sf",_xll.qlIMMNextCode(B77,Trigger),IF(LEFT(B77,1)="#",_xll.qlCalendarBusinessDaysBetween(Calendar,Settlementdate,DATE(LEFT(SUBSTITUTE(B77,"#",""),4),LEFT(RIGHT(SUBSTITUTE(B77,"#",""),4),2),RIGHT(SUBSTITUTE(B77,"#",""),2)),,,Trigger)-1&amp;"D",SUBSTITUTE(B77,"/","")))</f>
        <v>#N/A</v>
      </c>
      <c r="D77" s="101" t="e">
        <f t="shared" si="8"/>
        <v>#N/A</v>
      </c>
      <c r="E77" s="101" t="e">
        <f t="shared" si="9"/>
        <v>#N/A</v>
      </c>
      <c r="F77" s="97" t="e">
        <f t="shared" si="10"/>
        <v>#N/A</v>
      </c>
      <c r="G77" s="100" t="e">
        <f t="shared" si="11"/>
        <v>#N/A</v>
      </c>
      <c r="H77" s="97" t="e">
        <f t="shared" si="12"/>
        <v>#N/A</v>
      </c>
      <c r="I77" s="102" t="e">
        <v>#N/A</v>
      </c>
      <c r="J77" s="89" t="e">
        <f>IF(LEFT(A77,1)="D",_xll.qlDepositRateHelper2(,I77,IF(RIGHT(C77,1)="N","1D",C77),D77,Calendar,F77,G77,H77,,Trigger),IF(A77="Sw",_xll.qlSwapRateHelper2(,I77,D77,C77,Calendar,"Annual",F77,H77,"Euribor"&amp;$H$1,0,"0D",Discounting,,,,Trigger),IF(A77="Fr",_xll.qlFraRateHelper(,I77,SUBSTITUTE(LEFT(C77,2),"M","")&amp;"M","Euribor"&amp;$H$1,,,,Trigger),IF(A77="Sf",_xll.qlFuturesRateHelper(,I77,,C77,"Euribor"&amp;$H$1,0,,Trigger),"--"))))</f>
        <v>#N/A</v>
      </c>
      <c r="K77" s="98" t="b">
        <f t="shared" si="7"/>
        <v>0</v>
      </c>
      <c r="M77" s="9" t="e">
        <v>#N/A</v>
      </c>
      <c r="N77" s="9" t="e">
        <v>#N/A</v>
      </c>
      <c r="O77" s="9" t="e">
        <v>#N/A</v>
      </c>
      <c r="P77" s="96" t="e">
        <f>_xll.qlRateHelperRate(O77,Trigger)</f>
        <v>#VALUE!</v>
      </c>
      <c r="Q77" s="10" t="e">
        <f>_xll.qlRateHelperEarliestDate(O77,Trigger)</f>
        <v>#VALUE!</v>
      </c>
      <c r="R77" s="10" t="e">
        <f>_xll.qlRateHelperPillarDate(O77,Trigger)</f>
        <v>#VALUE!</v>
      </c>
      <c r="S77" s="96" t="e">
        <v>#N/A</v>
      </c>
    </row>
    <row r="78" spans="1:19" ht="11.25" customHeight="1" x14ac:dyDescent="0.2">
      <c r="A78" s="91" t="e">
        <v>#N/A</v>
      </c>
      <c r="B78" s="91" t="e">
        <v>#N/A</v>
      </c>
      <c r="C78" s="91" t="e">
        <f>IF(A78="Sf",_xll.qlIMMNextCode(B78,Trigger),IF(LEFT(B78,1)="#",_xll.qlCalendarBusinessDaysBetween(Calendar,Settlementdate,DATE(LEFT(SUBSTITUTE(B78,"#",""),4),LEFT(RIGHT(SUBSTITUTE(B78,"#",""),4),2),RIGHT(SUBSTITUTE(B78,"#",""),2)),,,Trigger)-1&amp;"D",SUBSTITUTE(B78,"/","")))</f>
        <v>#N/A</v>
      </c>
      <c r="D78" s="101" t="e">
        <f t="shared" si="8"/>
        <v>#N/A</v>
      </c>
      <c r="E78" s="101" t="e">
        <f t="shared" si="9"/>
        <v>#N/A</v>
      </c>
      <c r="F78" s="97" t="e">
        <f t="shared" si="10"/>
        <v>#N/A</v>
      </c>
      <c r="G78" s="100" t="e">
        <f t="shared" si="11"/>
        <v>#N/A</v>
      </c>
      <c r="H78" s="97" t="e">
        <f t="shared" si="12"/>
        <v>#N/A</v>
      </c>
      <c r="I78" s="102" t="e">
        <v>#N/A</v>
      </c>
      <c r="J78" s="89" t="e">
        <f>IF(LEFT(A78,1)="D",_xll.qlDepositRateHelper2(,I78,IF(RIGHT(C78,1)="N","1D",C78),D78,Calendar,F78,G78,H78,,Trigger),IF(A78="Sw",_xll.qlSwapRateHelper2(,I78,D78,C78,Calendar,"Annual",F78,H78,"Euribor"&amp;$H$1,0,"0D",Discounting,,,,Trigger),IF(A78="Fr",_xll.qlFraRateHelper(,I78,SUBSTITUTE(LEFT(C78,2),"M","")&amp;"M","Euribor"&amp;$H$1,,,,Trigger),IF(A78="Sf",_xll.qlFuturesRateHelper(,I78,,C78,"Euribor"&amp;$H$1,0,,Trigger),"--"))))</f>
        <v>#N/A</v>
      </c>
      <c r="K78" s="98" t="b">
        <f t="shared" si="7"/>
        <v>0</v>
      </c>
      <c r="M78" s="9" t="e">
        <v>#N/A</v>
      </c>
      <c r="N78" s="9" t="e">
        <v>#N/A</v>
      </c>
      <c r="O78" s="9" t="e">
        <v>#N/A</v>
      </c>
      <c r="P78" s="96" t="e">
        <f>_xll.qlRateHelperRate(O78,Trigger)</f>
        <v>#VALUE!</v>
      </c>
      <c r="Q78" s="10" t="e">
        <f>_xll.qlRateHelperEarliestDate(O78,Trigger)</f>
        <v>#VALUE!</v>
      </c>
      <c r="R78" s="10" t="e">
        <f>_xll.qlRateHelperPillarDate(O78,Trigger)</f>
        <v>#VALUE!</v>
      </c>
      <c r="S78" s="96" t="e">
        <v>#N/A</v>
      </c>
    </row>
    <row r="79" spans="1:19" ht="11.25" customHeight="1" x14ac:dyDescent="0.2">
      <c r="A79" s="91" t="e">
        <v>#N/A</v>
      </c>
      <c r="B79" s="91" t="e">
        <v>#N/A</v>
      </c>
      <c r="C79" s="91" t="e">
        <f>IF(A79="Sf",_xll.qlIMMNextCode(B79,Trigger),IF(LEFT(B79,1)="#",_xll.qlCalendarBusinessDaysBetween(Calendar,Settlementdate,DATE(LEFT(SUBSTITUTE(B79,"#",""),4),LEFT(RIGHT(SUBSTITUTE(B79,"#",""),4),2),RIGHT(SUBSTITUTE(B79,"#",""),2)),,,Trigger)-1&amp;"D",SUBSTITUTE(B79,"/","")))</f>
        <v>#N/A</v>
      </c>
      <c r="D79" s="101" t="e">
        <f t="shared" si="8"/>
        <v>#N/A</v>
      </c>
      <c r="E79" s="101" t="e">
        <f t="shared" si="9"/>
        <v>#N/A</v>
      </c>
      <c r="F79" s="97" t="e">
        <f t="shared" si="10"/>
        <v>#N/A</v>
      </c>
      <c r="G79" s="100" t="e">
        <f t="shared" si="11"/>
        <v>#N/A</v>
      </c>
      <c r="H79" s="97" t="e">
        <f t="shared" si="12"/>
        <v>#N/A</v>
      </c>
      <c r="I79" s="102" t="e">
        <v>#N/A</v>
      </c>
      <c r="J79" s="89" t="e">
        <f>IF(LEFT(A79,1)="D",_xll.qlDepositRateHelper2(,I79,IF(RIGHT(C79,1)="N","1D",C79),D79,Calendar,F79,G79,H79,,Trigger),IF(A79="Sw",_xll.qlSwapRateHelper2(,I79,D79,C79,Calendar,"Annual",F79,H79,"Euribor"&amp;$H$1,0,"0D",Discounting,,,,Trigger),IF(A79="Fr",_xll.qlFraRateHelper(,I79,SUBSTITUTE(LEFT(C79,2),"M","")&amp;"M","Euribor"&amp;$H$1,,,,Trigger),IF(A79="Sf",_xll.qlFuturesRateHelper(,I79,,C79,"Euribor"&amp;$H$1,0,,Trigger),"--"))))</f>
        <v>#N/A</v>
      </c>
      <c r="K79" s="98" t="b">
        <f t="shared" si="7"/>
        <v>0</v>
      </c>
      <c r="M79" s="9" t="e">
        <v>#N/A</v>
      </c>
      <c r="N79" s="9" t="e">
        <v>#N/A</v>
      </c>
      <c r="O79" s="9" t="e">
        <v>#N/A</v>
      </c>
      <c r="P79" s="96" t="e">
        <f>_xll.qlRateHelperRate(O79,Trigger)</f>
        <v>#VALUE!</v>
      </c>
      <c r="Q79" s="10" t="e">
        <f>_xll.qlRateHelperEarliestDate(O79,Trigger)</f>
        <v>#VALUE!</v>
      </c>
      <c r="R79" s="10" t="e">
        <f>_xll.qlRateHelperPillarDate(O79,Trigger)</f>
        <v>#VALUE!</v>
      </c>
      <c r="S79" s="96" t="e">
        <v>#N/A</v>
      </c>
    </row>
    <row r="80" spans="1:19" ht="11.25" customHeight="1" x14ac:dyDescent="0.2">
      <c r="A80" s="91" t="e">
        <v>#N/A</v>
      </c>
      <c r="B80" s="91" t="e">
        <v>#N/A</v>
      </c>
      <c r="C80" s="91" t="e">
        <f>IF(A80="Sf",_xll.qlIMMNextCode(B80,Trigger),IF(LEFT(B80,1)="#",_xll.qlCalendarBusinessDaysBetween(Calendar,Settlementdate,DATE(LEFT(SUBSTITUTE(B80,"#",""),4),LEFT(RIGHT(SUBSTITUTE(B80,"#",""),4),2),RIGHT(SUBSTITUTE(B80,"#",""),2)),,,Trigger)-1&amp;"D",SUBSTITUTE(B80,"/","")))</f>
        <v>#N/A</v>
      </c>
      <c r="D80" s="101" t="e">
        <f t="shared" si="8"/>
        <v>#N/A</v>
      </c>
      <c r="E80" s="101" t="e">
        <f t="shared" si="9"/>
        <v>#N/A</v>
      </c>
      <c r="F80" s="97" t="e">
        <f t="shared" si="10"/>
        <v>#N/A</v>
      </c>
      <c r="G80" s="100" t="e">
        <f t="shared" si="11"/>
        <v>#N/A</v>
      </c>
      <c r="H80" s="97" t="e">
        <f t="shared" si="12"/>
        <v>#N/A</v>
      </c>
      <c r="I80" s="102" t="e">
        <v>#N/A</v>
      </c>
      <c r="J80" s="89" t="e">
        <f>IF(LEFT(A80,1)="D",_xll.qlDepositRateHelper2(,I80,IF(RIGHT(C80,1)="N","1D",C80),D80,Calendar,F80,G80,H80,,Trigger),IF(A80="Sw",_xll.qlSwapRateHelper2(,I80,D80,C80,Calendar,"Annual",F80,H80,"Euribor"&amp;$H$1,0,"0D",Discounting,,,,Trigger),IF(A80="Fr",_xll.qlFraRateHelper(,I80,SUBSTITUTE(LEFT(C80,2),"M","")&amp;"M","Euribor"&amp;$H$1,,,,Trigger),IF(A80="Sf",_xll.qlFuturesRateHelper(,I80,,C80,"Euribor"&amp;$H$1,0,,Trigger),"--"))))</f>
        <v>#N/A</v>
      </c>
      <c r="K80" s="98" t="b">
        <f t="shared" si="7"/>
        <v>0</v>
      </c>
      <c r="M80" s="9" t="e">
        <v>#N/A</v>
      </c>
      <c r="N80" s="9" t="e">
        <v>#N/A</v>
      </c>
      <c r="O80" s="9" t="e">
        <v>#N/A</v>
      </c>
      <c r="P80" s="96" t="e">
        <f>_xll.qlRateHelperRate(O80,Trigger)</f>
        <v>#VALUE!</v>
      </c>
      <c r="Q80" s="10" t="e">
        <f>_xll.qlRateHelperEarliestDate(O80,Trigger)</f>
        <v>#VALUE!</v>
      </c>
      <c r="R80" s="10" t="e">
        <f>_xll.qlRateHelperPillarDate(O80,Trigger)</f>
        <v>#VALUE!</v>
      </c>
      <c r="S80" s="96" t="e">
        <v>#N/A</v>
      </c>
    </row>
    <row r="81" spans="1:19" ht="11.25" customHeight="1" x14ac:dyDescent="0.2">
      <c r="A81" s="91" t="e">
        <v>#N/A</v>
      </c>
      <c r="B81" s="91" t="e">
        <v>#N/A</v>
      </c>
      <c r="C81" s="91" t="e">
        <f>IF(A81="Sf",_xll.qlIMMNextCode(B81,Trigger),IF(LEFT(B81,1)="#",_xll.qlCalendarBusinessDaysBetween(Calendar,Settlementdate,DATE(LEFT(SUBSTITUTE(B81,"#",""),4),LEFT(RIGHT(SUBSTITUTE(B81,"#",""),4),2),RIGHT(SUBSTITUTE(B81,"#",""),2)),,,Trigger)-1&amp;"D",SUBSTITUTE(B81,"/","")))</f>
        <v>#N/A</v>
      </c>
      <c r="D81" s="101" t="e">
        <f t="shared" si="8"/>
        <v>#N/A</v>
      </c>
      <c r="E81" s="101" t="e">
        <f t="shared" si="9"/>
        <v>#N/A</v>
      </c>
      <c r="F81" s="97" t="e">
        <f t="shared" si="10"/>
        <v>#N/A</v>
      </c>
      <c r="G81" s="100" t="e">
        <f t="shared" si="11"/>
        <v>#N/A</v>
      </c>
      <c r="H81" s="97" t="e">
        <f t="shared" si="12"/>
        <v>#N/A</v>
      </c>
      <c r="I81" s="102" t="e">
        <v>#N/A</v>
      </c>
      <c r="J81" s="89" t="e">
        <f>IF(LEFT(A81,1)="D",_xll.qlDepositRateHelper2(,I81,IF(RIGHT(C81,1)="N","1D",C81),D81,Calendar,F81,G81,H81,,Trigger),IF(A81="Sw",_xll.qlSwapRateHelper2(,I81,D81,C81,Calendar,"Annual",F81,H81,"Euribor"&amp;$H$1,0,"0D",Discounting,,,,Trigger),IF(A81="Fr",_xll.qlFraRateHelper(,I81,SUBSTITUTE(LEFT(C81,2),"M","")&amp;"M","Euribor"&amp;$H$1,,,,Trigger),IF(A81="Sf",_xll.qlFuturesRateHelper(,I81,,C81,"Euribor"&amp;$H$1,0,,Trigger),"--"))))</f>
        <v>#N/A</v>
      </c>
      <c r="K81" s="98" t="b">
        <f t="shared" si="7"/>
        <v>0</v>
      </c>
      <c r="M81" s="9" t="e">
        <v>#N/A</v>
      </c>
      <c r="N81" s="9" t="e">
        <v>#N/A</v>
      </c>
      <c r="O81" s="9" t="e">
        <v>#N/A</v>
      </c>
      <c r="P81" s="96" t="e">
        <f>_xll.qlRateHelperRate(O81,Trigger)</f>
        <v>#VALUE!</v>
      </c>
      <c r="Q81" s="10" t="e">
        <f>_xll.qlRateHelperEarliestDate(O81,Trigger)</f>
        <v>#VALUE!</v>
      </c>
      <c r="R81" s="10" t="e">
        <f>_xll.qlRateHelperPillarDate(O81,Trigger)</f>
        <v>#VALUE!</v>
      </c>
      <c r="S81" s="96" t="e">
        <v>#N/A</v>
      </c>
    </row>
    <row r="82" spans="1:19" ht="11.25" customHeight="1" x14ac:dyDescent="0.2">
      <c r="A82" s="6" t="e">
        <v>#N/A</v>
      </c>
      <c r="B82" s="6" t="e">
        <v>#N/A</v>
      </c>
      <c r="C82" s="6" t="e">
        <f>IF(A82="Sf",_xll.qlIMMNextCode(B82,Trigger),IF(LEFT(B82,1)="#",_xll.qlCalendarBusinessDaysBetween(Calendar,Settlementdate,DATE(LEFT(SUBSTITUTE(B82,"#",""),4),LEFT(RIGHT(SUBSTITUTE(B82,"#",""),4),2),RIGHT(SUBSTITUTE(B82,"#",""),2)),,,Trigger)-1&amp;"D",SUBSTITUTE(B82,"/","")))</f>
        <v>#N/A</v>
      </c>
      <c r="D82" s="104" t="e">
        <f t="shared" si="8"/>
        <v>#N/A</v>
      </c>
      <c r="E82" s="104" t="e">
        <f t="shared" si="9"/>
        <v>#N/A</v>
      </c>
      <c r="F82" s="2" t="e">
        <f t="shared" si="10"/>
        <v>#N/A</v>
      </c>
      <c r="G82" s="103" t="e">
        <f t="shared" si="11"/>
        <v>#N/A</v>
      </c>
      <c r="H82" s="2" t="e">
        <f t="shared" si="12"/>
        <v>#N/A</v>
      </c>
      <c r="I82" s="105" t="e">
        <v>#N/A</v>
      </c>
      <c r="J82" s="4" t="e">
        <f>IF(LEFT(A82,1)="D",_xll.qlDepositRateHelper2(,I82,IF(RIGHT(C82,1)="N","1D",C82),D82,Calendar,F82,G82,H82,,Trigger),IF(A82="Sw",_xll.qlSwapRateHelper2(,I82,D82,C82,Calendar,"Annual",F82,H82,"Euribor"&amp;$H$1,0,"0D",Discounting,,,,Trigger),IF(A82="Fr",_xll.qlFraRateHelper(,I82,SUBSTITUTE(LEFT(C82,2),"M","")&amp;"M","Euribor"&amp;$H$1,,,,Trigger),IF(A82="Sf",_xll.qlFuturesRateHelper(,I82,,C82,"Euribor"&amp;$H$1,0,,Trigger),"--"))))</f>
        <v>#N/A</v>
      </c>
      <c r="K82" s="8" t="b">
        <f t="shared" si="7"/>
        <v>0</v>
      </c>
      <c r="M82" s="11" t="e">
        <v>#N/A</v>
      </c>
      <c r="N82" s="11" t="e">
        <v>#N/A</v>
      </c>
      <c r="O82" s="11" t="e">
        <v>#N/A</v>
      </c>
      <c r="P82" s="174" t="e">
        <f>_xll.qlRateHelperRate(O82,Trigger)</f>
        <v>#VALUE!</v>
      </c>
      <c r="Q82" s="19" t="e">
        <f>_xll.qlRateHelperEarliestDate(O82,Trigger)</f>
        <v>#VALUE!</v>
      </c>
      <c r="R82" s="19" t="e">
        <f>_xll.qlRateHelperPillarDate(O82,Trigger)</f>
        <v>#VALUE!</v>
      </c>
      <c r="S82" s="174" t="e">
        <v>#N/A</v>
      </c>
    </row>
    <row r="83" spans="1:19" ht="11.25" customHeight="1" x14ac:dyDescent="0.2"/>
    <row r="84" spans="1:19" ht="11.25" customHeight="1" x14ac:dyDescent="0.2"/>
    <row r="85" spans="1:19" ht="11.25" customHeight="1" x14ac:dyDescent="0.2"/>
    <row r="86" spans="1:19" ht="11.25" customHeight="1" x14ac:dyDescent="0.2"/>
    <row r="87" spans="1:19" ht="11.25" customHeight="1" x14ac:dyDescent="0.2"/>
    <row r="88" spans="1:19" ht="11.25" customHeight="1" x14ac:dyDescent="0.2"/>
    <row r="89" spans="1:19" ht="11.25" customHeight="1" x14ac:dyDescent="0.2"/>
  </sheetData>
  <dataValidations count="3">
    <dataValidation type="list" allowBlank="1" showInputMessage="1" showErrorMessage="1" sqref="H3:H8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19:G82">
      <formula1>"Annual,Semiannual,EveryFourthMonth,Quarterly,Bimonthly,Monthly,Biweekly,Weekly,Daily,Once,NoFrequency"</formula1>
    </dataValidation>
    <dataValidation type="list" allowBlank="1" showInputMessage="1" showErrorMessage="1" sqref="F19:F82">
      <formula1>"Following,Modified Following,Preceding,Modified Preceding,Month End Reference,Unadjusted Month End,Unadjusted"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80"/>
  <sheetViews>
    <sheetView showGridLines="0" topLeftCell="K1" zoomScaleNormal="100" workbookViewId="0">
      <selection activeCell="R1" sqref="R1"/>
    </sheetView>
  </sheetViews>
  <sheetFormatPr defaultRowHeight="11.25" outlineLevelCol="1" x14ac:dyDescent="0.2"/>
  <cols>
    <col min="1" max="1" width="7.5703125" style="61" hidden="1" customWidth="1" outlineLevel="1"/>
    <col min="2" max="2" width="6" style="61" hidden="1" customWidth="1" outlineLevel="1"/>
    <col min="3" max="3" width="6" style="73" hidden="1" customWidth="1" outlineLevel="1"/>
    <col min="4" max="4" width="9.42578125" style="72" hidden="1" customWidth="1" outlineLevel="1"/>
    <col min="5" max="5" width="18.28515625" style="74" hidden="1" customWidth="1" outlineLevel="1"/>
    <col min="6" max="6" width="6" style="61" hidden="1" customWidth="1" outlineLevel="1"/>
    <col min="7" max="7" width="11" style="61" hidden="1" customWidth="1" outlineLevel="1"/>
    <col min="8" max="8" width="10.85546875" style="61" hidden="1" customWidth="1" outlineLevel="1"/>
    <col min="9" max="9" width="15.140625" style="61" hidden="1" customWidth="1" outlineLevel="1"/>
    <col min="10" max="10" width="9" style="72" hidden="1" customWidth="1" outlineLevel="1"/>
    <col min="11" max="11" width="2.7109375" style="61" customWidth="1" collapsed="1"/>
    <col min="12" max="12" width="5" style="61" bestFit="1" customWidth="1"/>
    <col min="13" max="13" width="8" style="61" customWidth="1"/>
    <col min="14" max="14" width="15.140625" style="61" hidden="1" customWidth="1" outlineLevel="1"/>
    <col min="15" max="15" width="9" style="61" bestFit="1" customWidth="1" collapsed="1"/>
    <col min="16" max="17" width="17.28515625" style="61" bestFit="1" customWidth="1"/>
    <col min="18" max="18" width="12.7109375" style="61" customWidth="1"/>
    <col min="19" max="20" width="12" style="61" bestFit="1" customWidth="1"/>
    <col min="21" max="16384" width="9.140625" style="61"/>
  </cols>
  <sheetData>
    <row r="1" spans="1:20" ht="18" customHeight="1" x14ac:dyDescent="0.2">
      <c r="B1" s="67"/>
      <c r="C1" s="68"/>
      <c r="D1" s="69"/>
      <c r="E1" s="70"/>
      <c r="F1" s="71"/>
      <c r="J1" s="69"/>
      <c r="K1" s="69"/>
      <c r="L1" s="110" t="s">
        <v>143</v>
      </c>
      <c r="M1" s="93"/>
      <c r="N1" s="93"/>
      <c r="O1" s="94"/>
      <c r="P1" s="93"/>
      <c r="Q1" s="93"/>
      <c r="R1" s="108" t="s">
        <v>229</v>
      </c>
    </row>
    <row r="2" spans="1:20" ht="21" customHeight="1" x14ac:dyDescent="0.2">
      <c r="A2" s="92" t="s">
        <v>9</v>
      </c>
      <c r="B2" s="92"/>
      <c r="C2" s="92" t="s">
        <v>1</v>
      </c>
      <c r="D2" s="92" t="s">
        <v>2</v>
      </c>
      <c r="E2" s="92" t="s">
        <v>8</v>
      </c>
      <c r="F2" s="92" t="s">
        <v>3</v>
      </c>
      <c r="G2" s="92" t="s">
        <v>4</v>
      </c>
      <c r="H2" s="92" t="s">
        <v>5</v>
      </c>
      <c r="I2" s="92" t="s">
        <v>32</v>
      </c>
      <c r="J2" s="92" t="s">
        <v>36</v>
      </c>
      <c r="L2" s="106" t="s">
        <v>9</v>
      </c>
      <c r="M2" s="106" t="s">
        <v>44</v>
      </c>
      <c r="N2" s="106" t="s">
        <v>32</v>
      </c>
      <c r="O2" s="107" t="s">
        <v>28</v>
      </c>
      <c r="P2" s="106" t="s">
        <v>26</v>
      </c>
      <c r="Q2" s="106" t="s">
        <v>225</v>
      </c>
      <c r="R2" s="95">
        <f t="array" ref="R2:R71">_xll.qlPiecewiseYieldCurveData(YieldCurve_ON,Trigger)</f>
        <v>-3.5486283614218498E-3</v>
      </c>
    </row>
    <row r="3" spans="1:20" ht="11.25" customHeight="1" x14ac:dyDescent="0.2">
      <c r="A3" s="76" t="str">
        <f t="array" ref="A3:A71">_xll.ohFilter(PastedValue!AY2:AY74,NOT(ISBLANK(PastedValue!AY2:AY74)))</f>
        <v>Dp</v>
      </c>
      <c r="B3" s="76" t="str">
        <f t="array" ref="B3:B71">_xll.ohFilter(PastedValue!BC2:BC74,NOT(ISBLANK(PastedValue!AY2:AY74)))</f>
        <v>O/N</v>
      </c>
      <c r="C3" s="77" t="str">
        <f>SUBSTITUTE(B3,"/","")</f>
        <v>ON</v>
      </c>
      <c r="D3" s="78">
        <f>IF(C3="ON",0,IF(C3="TN",1,2))</f>
        <v>0</v>
      </c>
      <c r="E3" s="79" t="str">
        <f>IF(RIGHT(C3,1)="M","Modified Following",IF(RIGHT(C3,1)="Y","Modified Following","Following"))</f>
        <v>Following</v>
      </c>
      <c r="F3" s="80" t="str">
        <f>IF(RIGHT(C3,1)="M","TRUE",IF(RIGHT(C3,1)="Y","TRUE","FALSE"))</f>
        <v>FALSE</v>
      </c>
      <c r="G3" s="81" t="s">
        <v>39</v>
      </c>
      <c r="H3" s="82">
        <f t="array" ref="H3:H71">_xll.ohFilter(PastedValue!BF2:BF74,NOT(ISBLANK(PastedValue!AY2:AY74)))/100</f>
        <v>-3.4999999999999996E-3</v>
      </c>
      <c r="I3" s="83" t="str">
        <f>IF(A3="Dp",_xll.qlDepositRateHelper2(,H3,IF(RIGHT(C3,1)="N","1D",C3),D3,Calendar,E3,F3,G3,,Trigger),_xll.qlOISRateHelper(,D3,C3,H3,"Eonia",,,Trigger))</f>
        <v>obj_00044#0004</v>
      </c>
      <c r="J3" s="78" t="b">
        <f t="shared" ref="J3:J17" si="0">IF(ISERROR(I3),FALSE,TRUE)</f>
        <v>1</v>
      </c>
      <c r="K3" s="67"/>
      <c r="L3" s="9" t="str">
        <f t="array" ref="L3:L71">_xll.ohPack(_xll.ohFilter(A3:A71,J3:J71),Trigger)</f>
        <v>Dp</v>
      </c>
      <c r="M3" s="9" t="str">
        <f t="array" ref="M3:M71">_xll.ohPack(_xll.ohFilter(C3:C71,J3:J71),Trigger)</f>
        <v>ON</v>
      </c>
      <c r="N3" s="9" t="str">
        <f t="array" ref="N3:N71">_xll.ohPack(_xll.ohFilter(I3:I71,J3:J71))</f>
        <v>obj_00044#0004</v>
      </c>
      <c r="O3" s="96">
        <f>_xll.qlRateHelperRate(N3,Trigger)</f>
        <v>-3.4999999999999996E-3</v>
      </c>
      <c r="P3" s="10">
        <f>_xll.qlRateHelperEarliestDate(N3,Trigger)</f>
        <v>42500</v>
      </c>
      <c r="Q3" s="10">
        <f>_xll.qlRateHelperPillarDate(N3,Trigger)</f>
        <v>42501</v>
      </c>
      <c r="R3" s="96">
        <v>-3.5486283614218498E-3</v>
      </c>
      <c r="T3" s="175"/>
    </row>
    <row r="4" spans="1:20" ht="11.25" customHeight="1" x14ac:dyDescent="0.2">
      <c r="A4" s="84" t="str">
        <v>Dp</v>
      </c>
      <c r="B4" s="84" t="str">
        <v>T/N</v>
      </c>
      <c r="C4" s="85" t="str">
        <f t="shared" ref="C4:C67" si="1">SUBSTITUTE(B4,"/","")</f>
        <v>TN</v>
      </c>
      <c r="D4" s="86">
        <f t="shared" ref="D4:D67" si="2">IF(C4="ON",0,IF(C4="TN",1,2))</f>
        <v>1</v>
      </c>
      <c r="E4" s="87" t="str">
        <f t="shared" ref="E4:E19" si="3">IF(RIGHT(C4,1)="M","Modified Following",IF(RIGHT(C4,1)="Y","Modified Following","Following"))</f>
        <v>Following</v>
      </c>
      <c r="F4" s="88" t="str">
        <f t="shared" ref="F4:F67" si="4">IF(RIGHT(C4,1)="M","TRUE",IF(RIGHT(C4,1)="Y","TRUE","FALSE"))</f>
        <v>FALSE</v>
      </c>
      <c r="G4" s="89" t="s">
        <v>39</v>
      </c>
      <c r="H4" s="90">
        <v>-3.4999999999999996E-3</v>
      </c>
      <c r="I4" s="91" t="str">
        <f>IF(A4="Dp",_xll.qlDepositRateHelper2(,H4,IF(RIGHT(C4,1)="N","1D",C4),D4,Calendar,E4,F4,G4,,Trigger),_xll.qlOISRateHelper(,D4,C4,H4,"Eonia",,,Trigger))</f>
        <v>obj_00045#0004</v>
      </c>
      <c r="J4" s="86" t="b">
        <f t="shared" si="0"/>
        <v>1</v>
      </c>
      <c r="K4" s="64"/>
      <c r="L4" s="9" t="str">
        <v>Dp</v>
      </c>
      <c r="M4" s="9" t="str">
        <v>TN</v>
      </c>
      <c r="N4" s="9" t="str">
        <v>obj_00045#0004</v>
      </c>
      <c r="O4" s="96">
        <f>_xll.qlRateHelperRate(N4,Trigger)</f>
        <v>-3.4999999999999996E-3</v>
      </c>
      <c r="P4" s="10">
        <f>_xll.qlRateHelperEarliestDate(N4,Trigger)</f>
        <v>42501</v>
      </c>
      <c r="Q4" s="10">
        <f>_xll.qlRateHelperPillarDate(N4,Trigger)</f>
        <v>42502</v>
      </c>
      <c r="R4" s="96">
        <v>-3.548628361437641E-3</v>
      </c>
    </row>
    <row r="5" spans="1:20" ht="11.25" customHeight="1" x14ac:dyDescent="0.2">
      <c r="A5" s="84" t="str">
        <v>Dp</v>
      </c>
      <c r="B5" s="84" t="str">
        <v>S/N</v>
      </c>
      <c r="C5" s="85" t="str">
        <f t="shared" si="1"/>
        <v>SN</v>
      </c>
      <c r="D5" s="86">
        <f t="shared" si="2"/>
        <v>2</v>
      </c>
      <c r="E5" s="87" t="str">
        <f t="shared" si="3"/>
        <v>Following</v>
      </c>
      <c r="F5" s="88" t="str">
        <f t="shared" si="4"/>
        <v>FALSE</v>
      </c>
      <c r="G5" s="89" t="s">
        <v>39</v>
      </c>
      <c r="H5" s="90">
        <v>-3.4911180900000002E-3</v>
      </c>
      <c r="I5" s="91" t="str">
        <f>IF(A5="Dp",_xll.qlDepositRateHelper2(,H5,IF(RIGHT(C5,1)="N","1D",C5),D5,Calendar,E5,F5,G5,,Trigger),_xll.qlOISRateHelper(,D5,C5,H5,"Eonia",,,Trigger))</f>
        <v>obj_00046#0004</v>
      </c>
      <c r="J5" s="86" t="b">
        <f t="shared" si="0"/>
        <v>1</v>
      </c>
      <c r="K5" s="64"/>
      <c r="L5" s="9" t="str">
        <v>Dp</v>
      </c>
      <c r="M5" s="9" t="str">
        <v>SN</v>
      </c>
      <c r="N5" s="9" t="str">
        <v>obj_00046#0004</v>
      </c>
      <c r="O5" s="96">
        <f>_xll.qlRateHelperRate(N5,Trigger)</f>
        <v>-3.4911180900000002E-3</v>
      </c>
      <c r="P5" s="10">
        <f>_xll.qlRateHelperEarliestDate(N5,Trigger)</f>
        <v>42502</v>
      </c>
      <c r="Q5" s="10">
        <f>_xll.qlRateHelperPillarDate(N5,Trigger)</f>
        <v>42503</v>
      </c>
      <c r="R5" s="96">
        <v>-3.5456265756671217E-3</v>
      </c>
      <c r="S5" s="175"/>
    </row>
    <row r="6" spans="1:20" ht="11.25" customHeight="1" x14ac:dyDescent="0.2">
      <c r="A6" s="84" t="str">
        <v>Sw</v>
      </c>
      <c r="B6" s="84" t="str">
        <v>1W</v>
      </c>
      <c r="C6" s="85" t="str">
        <f t="shared" si="1"/>
        <v>1W</v>
      </c>
      <c r="D6" s="86">
        <f t="shared" si="2"/>
        <v>2</v>
      </c>
      <c r="E6" s="87" t="str">
        <f t="shared" si="3"/>
        <v>Following</v>
      </c>
      <c r="F6" s="88" t="str">
        <f t="shared" si="4"/>
        <v>FALSE</v>
      </c>
      <c r="G6" s="89" t="s">
        <v>39</v>
      </c>
      <c r="H6" s="90">
        <v>-3.4100000000000003E-3</v>
      </c>
      <c r="I6" s="91" t="str">
        <f>IF(A6="Dp",_xll.qlDepositRateHelper2(,H6,IF(RIGHT(C6,1)="N","1D",C6),D6,Calendar,E6,F6,G6,,Trigger),_xll.qlOISRateHelper(,D6,C6,H6,"Eonia",,,Trigger))</f>
        <v>obj_00133#0003</v>
      </c>
      <c r="J6" s="86" t="b">
        <f t="shared" si="0"/>
        <v>1</v>
      </c>
      <c r="K6" s="64"/>
      <c r="L6" s="9" t="str">
        <v>Sw</v>
      </c>
      <c r="M6" s="9" t="str">
        <v>1W</v>
      </c>
      <c r="N6" s="9" t="str">
        <v>obj_00133#0003</v>
      </c>
      <c r="O6" s="96">
        <f>_xll.qlRateHelperRate(N6,Trigger)</f>
        <v>-3.4100000000000003E-3</v>
      </c>
      <c r="P6" s="10">
        <f>_xll.qlRateHelperEarliestDate(N6,Trigger)</f>
        <v>42502</v>
      </c>
      <c r="Q6" s="10">
        <f>_xll.qlRateHelperPillarDate(N6,Trigger)</f>
        <v>42509</v>
      </c>
      <c r="R6" s="96">
        <v>-3.4777318761691368E-3</v>
      </c>
    </row>
    <row r="7" spans="1:20" ht="11.25" customHeight="1" x14ac:dyDescent="0.2">
      <c r="A7" s="84" t="str">
        <v>Sw</v>
      </c>
      <c r="B7" s="84" t="str">
        <v>2W</v>
      </c>
      <c r="C7" s="85" t="str">
        <f t="shared" si="1"/>
        <v>2W</v>
      </c>
      <c r="D7" s="86">
        <f t="shared" si="2"/>
        <v>2</v>
      </c>
      <c r="E7" s="87" t="str">
        <f t="shared" si="3"/>
        <v>Following</v>
      </c>
      <c r="F7" s="88" t="str">
        <f t="shared" si="4"/>
        <v>FALSE</v>
      </c>
      <c r="G7" s="89" t="s">
        <v>39</v>
      </c>
      <c r="H7" s="90">
        <v>-3.4000000000000002E-3</v>
      </c>
      <c r="I7" s="91" t="str">
        <f>IF(A7="Dp",_xll.qlDepositRateHelper2(,H7,IF(RIGHT(C7,1)="N","1D",C7),D7,Calendar,E7,F7,G7,,Trigger),_xll.qlOISRateHelper(,D7,C7,H7,"Eonia",,,Trigger))</f>
        <v>obj_0014e#0003</v>
      </c>
      <c r="J7" s="86" t="b">
        <f t="shared" si="0"/>
        <v>1</v>
      </c>
      <c r="K7" s="64"/>
      <c r="L7" s="9" t="str">
        <v>Sw</v>
      </c>
      <c r="M7" s="9" t="str">
        <v>2W</v>
      </c>
      <c r="N7" s="9" t="str">
        <v>obj_0014e#0003</v>
      </c>
      <c r="O7" s="96">
        <f>_xll.qlRateHelperRate(N7,Trigger)</f>
        <v>-3.4000000000000002E-3</v>
      </c>
      <c r="P7" s="10">
        <f>_xll.qlRateHelperEarliestDate(N7,Trigger)</f>
        <v>42502</v>
      </c>
      <c r="Q7" s="10">
        <f>_xll.qlRateHelperPillarDate(N7,Trigger)</f>
        <v>42516</v>
      </c>
      <c r="R7" s="96">
        <v>-3.4600974194360979E-3</v>
      </c>
    </row>
    <row r="8" spans="1:20" ht="11.25" customHeight="1" x14ac:dyDescent="0.2">
      <c r="A8" s="84" t="str">
        <v>Sw</v>
      </c>
      <c r="B8" s="84" t="str">
        <v>3W</v>
      </c>
      <c r="C8" s="85" t="str">
        <f t="shared" si="1"/>
        <v>3W</v>
      </c>
      <c r="D8" s="86">
        <f t="shared" si="2"/>
        <v>2</v>
      </c>
      <c r="E8" s="87" t="str">
        <f t="shared" si="3"/>
        <v>Following</v>
      </c>
      <c r="F8" s="88" t="str">
        <f t="shared" si="4"/>
        <v>FALSE</v>
      </c>
      <c r="G8" s="89" t="s">
        <v>39</v>
      </c>
      <c r="H8" s="90">
        <v>-3.4000000000000002E-3</v>
      </c>
      <c r="I8" s="91" t="str">
        <f>IF(A8="Dp",_xll.qlDepositRateHelper2(,H8,IF(RIGHT(C8,1)="N","1D",C8),D8,Calendar,E8,F8,G8,,Trigger),_xll.qlOISRateHelper(,D8,C8,H8,"Eonia",,,Trigger))</f>
        <v>obj_0013f#0003</v>
      </c>
      <c r="J8" s="86" t="b">
        <f t="shared" si="0"/>
        <v>1</v>
      </c>
      <c r="K8" s="64"/>
      <c r="L8" s="9" t="str">
        <v>Sw</v>
      </c>
      <c r="M8" s="9" t="str">
        <v>3W</v>
      </c>
      <c r="N8" s="9" t="str">
        <v>obj_0013f#0003</v>
      </c>
      <c r="O8" s="96">
        <f>_xll.qlRateHelperRate(N8,Trigger)</f>
        <v>-3.4000000000000002E-3</v>
      </c>
      <c r="P8" s="10">
        <f>_xll.qlRateHelperEarliestDate(N8,Trigger)</f>
        <v>42502</v>
      </c>
      <c r="Q8" s="10">
        <f>_xll.qlRateHelperPillarDate(N8,Trigger)</f>
        <v>42523</v>
      </c>
      <c r="R8" s="96">
        <v>-3.4563523123289125E-3</v>
      </c>
    </row>
    <row r="9" spans="1:20" ht="11.25" customHeight="1" x14ac:dyDescent="0.2">
      <c r="A9" s="84" t="str">
        <v>Sw</v>
      </c>
      <c r="B9" s="84" t="str">
        <v>1M</v>
      </c>
      <c r="C9" s="85" t="str">
        <f t="shared" si="1"/>
        <v>1M</v>
      </c>
      <c r="D9" s="86">
        <f t="shared" si="2"/>
        <v>2</v>
      </c>
      <c r="E9" s="87" t="str">
        <f t="shared" si="3"/>
        <v>Modified Following</v>
      </c>
      <c r="F9" s="88" t="str">
        <f t="shared" si="4"/>
        <v>TRUE</v>
      </c>
      <c r="G9" s="89" t="s">
        <v>39</v>
      </c>
      <c r="H9" s="90">
        <v>-3.4000000000000002E-3</v>
      </c>
      <c r="I9" s="91" t="str">
        <f>IF(A9="Dp",_xll.qlDepositRateHelper2(,H9,IF(RIGHT(C9,1)="N","1D",C9),D9,Calendar,E9,F9,G9,,Trigger),_xll.qlOISRateHelper(,D9,C9,H9,"Eonia",,,Trigger))</f>
        <v>obj_00129#0003</v>
      </c>
      <c r="J9" s="86" t="b">
        <f t="shared" si="0"/>
        <v>1</v>
      </c>
      <c r="K9" s="64"/>
      <c r="L9" s="9" t="str">
        <v>Sw</v>
      </c>
      <c r="M9" s="9" t="str">
        <v>1M</v>
      </c>
      <c r="N9" s="9" t="str">
        <v>obj_00129#0003</v>
      </c>
      <c r="O9" s="96">
        <f>_xll.qlRateHelperRate(N9,Trigger)</f>
        <v>-3.4000000000000002E-3</v>
      </c>
      <c r="P9" s="10">
        <f>_xll.qlRateHelperEarliestDate(N9,Trigger)</f>
        <v>42502</v>
      </c>
      <c r="Q9" s="10">
        <f>_xll.qlRateHelperPillarDate(N9,Trigger)</f>
        <v>42534</v>
      </c>
      <c r="R9" s="96">
        <v>-3.4536776597232969E-3</v>
      </c>
    </row>
    <row r="10" spans="1:20" ht="11.25" customHeight="1" x14ac:dyDescent="0.2">
      <c r="A10" s="84" t="str">
        <v>Sw</v>
      </c>
      <c r="B10" s="84" t="str">
        <v>2M</v>
      </c>
      <c r="C10" s="85" t="str">
        <f t="shared" si="1"/>
        <v>2M</v>
      </c>
      <c r="D10" s="86">
        <f t="shared" si="2"/>
        <v>2</v>
      </c>
      <c r="E10" s="87" t="str">
        <f t="shared" si="3"/>
        <v>Modified Following</v>
      </c>
      <c r="F10" s="88" t="str">
        <f t="shared" si="4"/>
        <v>TRUE</v>
      </c>
      <c r="G10" s="89" t="s">
        <v>39</v>
      </c>
      <c r="H10" s="90">
        <v>-3.4100000000000003E-3</v>
      </c>
      <c r="I10" s="91" t="str">
        <f>IF(A10="Dp",_xll.qlDepositRateHelper2(,H10,IF(RIGHT(C10,1)="N","1D",C10),D10,Calendar,E10,F10,G10,,Trigger),_xll.qlOISRateHelper(,D10,C10,H10,"Eonia",,,Trigger))</f>
        <v>obj_0014b#0003</v>
      </c>
      <c r="J10" s="86" t="b">
        <f t="shared" si="0"/>
        <v>1</v>
      </c>
      <c r="K10" s="64"/>
      <c r="L10" s="9" t="str">
        <v>Sw</v>
      </c>
      <c r="M10" s="9" t="str">
        <v>2M</v>
      </c>
      <c r="N10" s="9" t="str">
        <v>obj_0014b#0003</v>
      </c>
      <c r="O10" s="96">
        <f>_xll.qlRateHelperRate(N10,Trigger)</f>
        <v>-3.4100000000000003E-3</v>
      </c>
      <c r="P10" s="10">
        <f>_xll.qlRateHelperEarliestDate(N10,Trigger)</f>
        <v>42502</v>
      </c>
      <c r="Q10" s="10">
        <f>_xll.qlRateHelperPillarDate(N10,Trigger)</f>
        <v>42563</v>
      </c>
      <c r="R10" s="96">
        <v>-3.4612259888254595E-3</v>
      </c>
    </row>
    <row r="11" spans="1:20" ht="11.25" customHeight="1" x14ac:dyDescent="0.2">
      <c r="A11" s="84" t="str">
        <v>Sw</v>
      </c>
      <c r="B11" s="84" t="str">
        <v>3M</v>
      </c>
      <c r="C11" s="85" t="str">
        <f t="shared" si="1"/>
        <v>3M</v>
      </c>
      <c r="D11" s="86">
        <f t="shared" si="2"/>
        <v>2</v>
      </c>
      <c r="E11" s="87" t="str">
        <f t="shared" si="3"/>
        <v>Modified Following</v>
      </c>
      <c r="F11" s="88" t="str">
        <f t="shared" si="4"/>
        <v>TRUE</v>
      </c>
      <c r="G11" s="89" t="s">
        <v>39</v>
      </c>
      <c r="H11" s="90">
        <v>-3.4549123999999998E-3</v>
      </c>
      <c r="I11" s="91" t="str">
        <f>IF(A11="Dp",_xll.qlDepositRateHelper2(,H11,IF(RIGHT(C11,1)="N","1D",C11),D11,Calendar,E11,F11,G11,,Trigger),_xll.qlOISRateHelper(,D11,C11,H11,"Eonia",,,Trigger))</f>
        <v>obj_00127#0003</v>
      </c>
      <c r="J11" s="86" t="b">
        <f t="shared" si="0"/>
        <v>1</v>
      </c>
      <c r="K11" s="64"/>
      <c r="L11" s="9" t="str">
        <v>Sw</v>
      </c>
      <c r="M11" s="9" t="str">
        <v>3M</v>
      </c>
      <c r="N11" s="9" t="str">
        <v>obj_00127#0003</v>
      </c>
      <c r="O11" s="96">
        <f>_xll.qlRateHelperRate(N11,Trigger)</f>
        <v>-3.4549123999999998E-3</v>
      </c>
      <c r="P11" s="10">
        <f>_xll.qlRateHelperEarliestDate(N11,Trigger)</f>
        <v>42502</v>
      </c>
      <c r="Q11" s="10">
        <f>_xll.qlRateHelperPillarDate(N11,Trigger)</f>
        <v>42594</v>
      </c>
      <c r="R11" s="96">
        <v>-3.5053846779955137E-3</v>
      </c>
    </row>
    <row r="12" spans="1:20" ht="11.25" customHeight="1" x14ac:dyDescent="0.2">
      <c r="A12" s="84" t="str">
        <v>Sw</v>
      </c>
      <c r="B12" s="84" t="str">
        <v>4M</v>
      </c>
      <c r="C12" s="85" t="str">
        <f t="shared" si="1"/>
        <v>4M</v>
      </c>
      <c r="D12" s="86">
        <f t="shared" si="2"/>
        <v>2</v>
      </c>
      <c r="E12" s="87" t="str">
        <f t="shared" si="3"/>
        <v>Modified Following</v>
      </c>
      <c r="F12" s="88" t="str">
        <f t="shared" si="4"/>
        <v>TRUE</v>
      </c>
      <c r="G12" s="89" t="s">
        <v>39</v>
      </c>
      <c r="H12" s="90">
        <v>-3.4813243700000003E-3</v>
      </c>
      <c r="I12" s="91" t="str">
        <f>IF(A12="Dp",_xll.qlDepositRateHelper2(,H12,IF(RIGHT(C12,1)="N","1D",C12),D12,Calendar,E12,F12,G12,,Trigger),_xll.qlOISRateHelper(,D12,C12,H12,"Eonia",,,Trigger))</f>
        <v>obj_0014a#0003</v>
      </c>
      <c r="J12" s="86" t="b">
        <f t="shared" si="0"/>
        <v>1</v>
      </c>
      <c r="K12" s="64"/>
      <c r="L12" s="9" t="str">
        <v>Sw</v>
      </c>
      <c r="M12" s="9" t="str">
        <v>4M</v>
      </c>
      <c r="N12" s="9" t="str">
        <v>obj_0014a#0003</v>
      </c>
      <c r="O12" s="96">
        <f>_xll.qlRateHelperRate(N12,Trigger)</f>
        <v>-3.4813243700000003E-3</v>
      </c>
      <c r="P12" s="10">
        <f>_xll.qlRateHelperEarliestDate(N12,Trigger)</f>
        <v>42502</v>
      </c>
      <c r="Q12" s="10">
        <f>_xll.qlRateHelperPillarDate(N12,Trigger)</f>
        <v>42625</v>
      </c>
      <c r="R12" s="96">
        <v>-3.5320465769683828E-3</v>
      </c>
    </row>
    <row r="13" spans="1:20" ht="11.25" customHeight="1" x14ac:dyDescent="0.2">
      <c r="A13" s="84" t="str">
        <v>Sw</v>
      </c>
      <c r="B13" s="84" t="str">
        <v>5M</v>
      </c>
      <c r="C13" s="85" t="str">
        <f t="shared" si="1"/>
        <v>5M</v>
      </c>
      <c r="D13" s="86">
        <f t="shared" si="2"/>
        <v>2</v>
      </c>
      <c r="E13" s="87" t="str">
        <f t="shared" si="3"/>
        <v>Modified Following</v>
      </c>
      <c r="F13" s="88" t="str">
        <f t="shared" si="4"/>
        <v>TRUE</v>
      </c>
      <c r="G13" s="89" t="s">
        <v>39</v>
      </c>
      <c r="H13" s="90">
        <v>-3.5386339100000001E-3</v>
      </c>
      <c r="I13" s="91" t="str">
        <f>IF(A13="Dp",_xll.qlDepositRateHelper2(,H13,IF(RIGHT(C13,1)="N","1D",C13),D13,Calendar,E13,F13,G13,,Trigger),_xll.qlOISRateHelper(,D13,C13,H13,"Eonia",,,Trigger))</f>
        <v>obj_00141#0003</v>
      </c>
      <c r="J13" s="86" t="b">
        <f t="shared" si="0"/>
        <v>1</v>
      </c>
      <c r="K13" s="64"/>
      <c r="L13" s="9" t="str">
        <v>Sw</v>
      </c>
      <c r="M13" s="9" t="str">
        <v>5M</v>
      </c>
      <c r="N13" s="9" t="str">
        <v>obj_00141#0003</v>
      </c>
      <c r="O13" s="96">
        <f>_xll.qlRateHelperRate(N13,Trigger)</f>
        <v>-3.5386339100000001E-3</v>
      </c>
      <c r="P13" s="10">
        <f>_xll.qlRateHelperEarliestDate(N13,Trigger)</f>
        <v>42502</v>
      </c>
      <c r="Q13" s="10">
        <f>_xll.qlRateHelperPillarDate(N13,Trigger)</f>
        <v>42655</v>
      </c>
      <c r="R13" s="96">
        <v>-3.5899421291143083E-3</v>
      </c>
    </row>
    <row r="14" spans="1:20" ht="11.25" customHeight="1" x14ac:dyDescent="0.2">
      <c r="A14" s="84" t="str">
        <v>Sw</v>
      </c>
      <c r="B14" s="84" t="str">
        <v>6M</v>
      </c>
      <c r="C14" s="85" t="str">
        <f t="shared" si="1"/>
        <v>6M</v>
      </c>
      <c r="D14" s="86">
        <f t="shared" si="2"/>
        <v>2</v>
      </c>
      <c r="E14" s="87" t="str">
        <f t="shared" si="3"/>
        <v>Modified Following</v>
      </c>
      <c r="F14" s="88" t="str">
        <f t="shared" si="4"/>
        <v>TRUE</v>
      </c>
      <c r="G14" s="89" t="s">
        <v>39</v>
      </c>
      <c r="H14" s="90">
        <v>-3.6003719699999998E-3</v>
      </c>
      <c r="I14" s="91" t="str">
        <f>IF(A14="Dp",_xll.qlDepositRateHelper2(,H14,IF(RIGHT(C14,1)="N","1D",C14),D14,Calendar,E14,F14,G14,,Trigger),_xll.qlOISRateHelper(,D14,C14,H14,"Eonia",,,Trigger))</f>
        <v>obj_00135#0003</v>
      </c>
      <c r="J14" s="86" t="b">
        <f t="shared" si="0"/>
        <v>1</v>
      </c>
      <c r="K14" s="64"/>
      <c r="L14" s="9" t="str">
        <v>Sw</v>
      </c>
      <c r="M14" s="9" t="str">
        <v>6M</v>
      </c>
      <c r="N14" s="9" t="str">
        <v>obj_00135#0003</v>
      </c>
      <c r="O14" s="96">
        <f>_xll.qlRateHelperRate(N14,Trigger)</f>
        <v>-3.6003719699999998E-3</v>
      </c>
      <c r="P14" s="10">
        <f>_xll.qlRateHelperEarliestDate(N14,Trigger)</f>
        <v>42502</v>
      </c>
      <c r="Q14" s="10">
        <f>_xll.qlRateHelperPillarDate(N14,Trigger)</f>
        <v>42688</v>
      </c>
      <c r="R14" s="96">
        <v>-3.6526579565152348E-3</v>
      </c>
    </row>
    <row r="15" spans="1:20" ht="11.25" customHeight="1" x14ac:dyDescent="0.2">
      <c r="A15" s="84" t="str">
        <v>Sw</v>
      </c>
      <c r="B15" s="84" t="str">
        <v>7M</v>
      </c>
      <c r="C15" s="85" t="str">
        <f t="shared" si="1"/>
        <v>7M</v>
      </c>
      <c r="D15" s="86">
        <f t="shared" si="2"/>
        <v>2</v>
      </c>
      <c r="E15" s="87" t="str">
        <f t="shared" si="3"/>
        <v>Modified Following</v>
      </c>
      <c r="F15" s="88" t="str">
        <f t="shared" si="4"/>
        <v>TRUE</v>
      </c>
      <c r="G15" s="89" t="s">
        <v>39</v>
      </c>
      <c r="H15" s="90">
        <v>-3.6459022299999999E-3</v>
      </c>
      <c r="I15" s="91" t="str">
        <f>IF(A15="Dp",_xll.qlDepositRateHelper2(,H15,IF(RIGHT(C15,1)="N","1D",C15),D15,Calendar,E15,F15,G15,,Trigger),_xll.qlOISRateHelper(,D15,C15,H15,"Eonia",,,Trigger))</f>
        <v>obj_0012d#0003</v>
      </c>
      <c r="J15" s="86" t="b">
        <f t="shared" si="0"/>
        <v>1</v>
      </c>
      <c r="K15" s="64"/>
      <c r="L15" s="9" t="str">
        <v>Sw</v>
      </c>
      <c r="M15" s="9" t="str">
        <v>7M</v>
      </c>
      <c r="N15" s="9" t="str">
        <v>obj_0012d#0003</v>
      </c>
      <c r="O15" s="96">
        <f>_xll.qlRateHelperRate(N15,Trigger)</f>
        <v>-3.6459022299999999E-3</v>
      </c>
      <c r="P15" s="10">
        <f>_xll.qlRateHelperEarliestDate(N15,Trigger)</f>
        <v>42502</v>
      </c>
      <c r="Q15" s="10">
        <f>_xll.qlRateHelperPillarDate(N15,Trigger)</f>
        <v>42716</v>
      </c>
      <c r="R15" s="96">
        <v>-3.6991445943779784E-3</v>
      </c>
    </row>
    <row r="16" spans="1:20" ht="11.25" customHeight="1" x14ac:dyDescent="0.2">
      <c r="A16" s="84" t="str">
        <v>Sw</v>
      </c>
      <c r="B16" s="84" t="str">
        <v>8M</v>
      </c>
      <c r="C16" s="85" t="str">
        <f t="shared" si="1"/>
        <v>8M</v>
      </c>
      <c r="D16" s="86">
        <f t="shared" si="2"/>
        <v>2</v>
      </c>
      <c r="E16" s="87" t="str">
        <f t="shared" si="3"/>
        <v>Modified Following</v>
      </c>
      <c r="F16" s="88" t="str">
        <f t="shared" si="4"/>
        <v>TRUE</v>
      </c>
      <c r="G16" s="89" t="s">
        <v>39</v>
      </c>
      <c r="H16" s="90">
        <v>-3.6980185700000003E-3</v>
      </c>
      <c r="I16" s="91" t="str">
        <f>IF(A16="Dp",_xll.qlDepositRateHelper2(,H16,IF(RIGHT(C16,1)="N","1D",C16),D16,Calendar,E16,F16,G16,,Trigger),_xll.qlOISRateHelper(,D16,C16,H16,"Eonia",,,Trigger))</f>
        <v>obj_00125#0003</v>
      </c>
      <c r="J16" s="86" t="b">
        <f t="shared" si="0"/>
        <v>1</v>
      </c>
      <c r="K16" s="64"/>
      <c r="L16" s="9" t="str">
        <v>Sw</v>
      </c>
      <c r="M16" s="9" t="str">
        <v>8M</v>
      </c>
      <c r="N16" s="9" t="str">
        <v>obj_00125#0003</v>
      </c>
      <c r="O16" s="96">
        <f>_xll.qlRateHelperRate(N16,Trigger)</f>
        <v>-3.6980185700000003E-3</v>
      </c>
      <c r="P16" s="10">
        <f>_xll.qlRateHelperEarliestDate(N16,Trigger)</f>
        <v>42502</v>
      </c>
      <c r="Q16" s="10">
        <f>_xll.qlRateHelperPillarDate(N16,Trigger)</f>
        <v>42747</v>
      </c>
      <c r="R16" s="96">
        <v>-3.7524421293816299E-3</v>
      </c>
    </row>
    <row r="17" spans="1:18" ht="11.25" customHeight="1" x14ac:dyDescent="0.2">
      <c r="A17" s="84" t="str">
        <v>Sw</v>
      </c>
      <c r="B17" s="84" t="str">
        <v>9M</v>
      </c>
      <c r="C17" s="85" t="str">
        <f t="shared" si="1"/>
        <v>9M</v>
      </c>
      <c r="D17" s="86">
        <f t="shared" si="2"/>
        <v>2</v>
      </c>
      <c r="E17" s="87" t="str">
        <f t="shared" si="3"/>
        <v>Modified Following</v>
      </c>
      <c r="F17" s="88" t="str">
        <f t="shared" si="4"/>
        <v>TRUE</v>
      </c>
      <c r="G17" s="89" t="s">
        <v>39</v>
      </c>
      <c r="H17" s="90">
        <v>-3.7575487600000003E-3</v>
      </c>
      <c r="I17" s="91" t="str">
        <f>IF(A17="Dp",_xll.qlDepositRateHelper2(,H17,IF(RIGHT(C17,1)="N","1D",C17),D17,Calendar,E17,F17,G17,,Trigger),_xll.qlOISRateHelper(,D17,C17,H17,"Eonia",,,Trigger))</f>
        <v>obj_00149#0003</v>
      </c>
      <c r="J17" s="86" t="b">
        <f t="shared" si="0"/>
        <v>1</v>
      </c>
      <c r="K17" s="64"/>
      <c r="L17" s="9" t="str">
        <v>Sw</v>
      </c>
      <c r="M17" s="9" t="str">
        <v>9M</v>
      </c>
      <c r="N17" s="9" t="str">
        <v>obj_00149#0003</v>
      </c>
      <c r="O17" s="96">
        <f>_xll.qlRateHelperRate(N17,Trigger)</f>
        <v>-3.7575487600000003E-3</v>
      </c>
      <c r="P17" s="10">
        <f>_xll.qlRateHelperEarliestDate(N17,Trigger)</f>
        <v>42502</v>
      </c>
      <c r="Q17" s="10">
        <f>_xll.qlRateHelperPillarDate(N17,Trigger)</f>
        <v>42779</v>
      </c>
      <c r="R17" s="96">
        <v>-3.8133436771765361E-3</v>
      </c>
    </row>
    <row r="18" spans="1:18" ht="11.25" customHeight="1" x14ac:dyDescent="0.2">
      <c r="A18" s="84" t="str">
        <v>Sw</v>
      </c>
      <c r="B18" s="84" t="str">
        <v>10M</v>
      </c>
      <c r="C18" s="85" t="str">
        <f t="shared" si="1"/>
        <v>10M</v>
      </c>
      <c r="D18" s="86">
        <f t="shared" si="2"/>
        <v>2</v>
      </c>
      <c r="E18" s="87" t="str">
        <f t="shared" si="3"/>
        <v>Modified Following</v>
      </c>
      <c r="F18" s="88" t="str">
        <f t="shared" si="4"/>
        <v>TRUE</v>
      </c>
      <c r="G18" s="89" t="s">
        <v>39</v>
      </c>
      <c r="H18" s="90">
        <v>-3.8033674699999996E-3</v>
      </c>
      <c r="I18" s="91" t="str">
        <f>IF(A18="Dp",_xll.qlDepositRateHelper2(,H18,IF(RIGHT(C18,1)="N","1D",C18),D18,Calendar,E18,F18,G18,,Trigger),_xll.qlOISRateHelper(,D18,C18,H18,"Eonia",,,Trigger))</f>
        <v>obj_0015b#0003</v>
      </c>
      <c r="J18" s="86" t="b">
        <f t="shared" ref="J18:J71" si="5">IF(ISERROR(I18),FALSE,TRUE)</f>
        <v>1</v>
      </c>
      <c r="K18" s="64"/>
      <c r="L18" s="9" t="str">
        <v>Sw</v>
      </c>
      <c r="M18" s="9" t="str">
        <v>10M</v>
      </c>
      <c r="N18" s="9" t="str">
        <v>obj_0015b#0003</v>
      </c>
      <c r="O18" s="96">
        <f>_xll.qlRateHelperRate(N18,Trigger)</f>
        <v>-3.8033674699999996E-3</v>
      </c>
      <c r="P18" s="10">
        <f>_xll.qlRateHelperEarliestDate(N18,Trigger)</f>
        <v>42502</v>
      </c>
      <c r="Q18" s="10">
        <f>_xll.qlRateHelperPillarDate(N18,Trigger)</f>
        <v>42807</v>
      </c>
      <c r="R18" s="96">
        <v>-3.8603740618045946E-3</v>
      </c>
    </row>
    <row r="19" spans="1:18" ht="11.25" customHeight="1" x14ac:dyDescent="0.2">
      <c r="A19" s="84" t="str">
        <v>Sw</v>
      </c>
      <c r="B19" s="84" t="str">
        <v>11M</v>
      </c>
      <c r="C19" s="85" t="str">
        <f t="shared" si="1"/>
        <v>11M</v>
      </c>
      <c r="D19" s="86">
        <f t="shared" si="2"/>
        <v>2</v>
      </c>
      <c r="E19" s="87" t="str">
        <f t="shared" si="3"/>
        <v>Modified Following</v>
      </c>
      <c r="F19" s="88" t="str">
        <f t="shared" si="4"/>
        <v>TRUE</v>
      </c>
      <c r="G19" s="89" t="s">
        <v>39</v>
      </c>
      <c r="H19" s="90">
        <v>-3.8464306999999999E-3</v>
      </c>
      <c r="I19" s="91" t="str">
        <f>IF(A19="Dp",_xll.qlDepositRateHelper2(,H19,IF(RIGHT(C19,1)="N","1D",C19),D19,Calendar,E19,F19,G19,,Trigger),_xll.qlOISRateHelper(,D19,C19,H19,"Eonia",,,Trigger))</f>
        <v>obj_00138#0003</v>
      </c>
      <c r="J19" s="86" t="b">
        <f t="shared" si="5"/>
        <v>1</v>
      </c>
      <c r="K19" s="64"/>
      <c r="L19" s="9" t="str">
        <v>Sw</v>
      </c>
      <c r="M19" s="9" t="str">
        <v>11M</v>
      </c>
      <c r="N19" s="9" t="str">
        <v>obj_00138#0003</v>
      </c>
      <c r="O19" s="96">
        <f>_xll.qlRateHelperRate(N19,Trigger)</f>
        <v>-3.8464306999999999E-3</v>
      </c>
      <c r="P19" s="10">
        <f>_xll.qlRateHelperEarliestDate(N19,Trigger)</f>
        <v>42502</v>
      </c>
      <c r="Q19" s="10">
        <f>_xll.qlRateHelperPillarDate(N19,Trigger)</f>
        <v>42837</v>
      </c>
      <c r="R19" s="96">
        <v>-3.9047235131698804E-3</v>
      </c>
    </row>
    <row r="20" spans="1:18" ht="11.25" customHeight="1" x14ac:dyDescent="0.2">
      <c r="A20" s="84" t="str">
        <v>Sw</v>
      </c>
      <c r="B20" s="84" t="str">
        <v>1Y</v>
      </c>
      <c r="C20" s="85" t="str">
        <f t="shared" si="1"/>
        <v>1Y</v>
      </c>
      <c r="D20" s="86">
        <f t="shared" si="2"/>
        <v>2</v>
      </c>
      <c r="E20" s="87" t="str">
        <f>IF(RIGHT(C20,1)="M","Modified Following",IF(RIGHT(C20,1)="Y","Modified Following","Following"))</f>
        <v>Modified Following</v>
      </c>
      <c r="F20" s="88" t="str">
        <f t="shared" si="4"/>
        <v>TRUE</v>
      </c>
      <c r="G20" s="89" t="s">
        <v>39</v>
      </c>
      <c r="H20" s="90">
        <v>-3.88665266E-3</v>
      </c>
      <c r="I20" s="91" t="str">
        <f>IF(A20="Dp",_xll.qlDepositRateHelper2(,H20,IF(RIGHT(C20,1)="N","1D",C20),D20,Calendar,E20,F20,G20,,Trigger),_xll.qlOISRateHelper(,D20,C20,H20,"Eonia",,,Trigger))</f>
        <v>obj_00130#0003</v>
      </c>
      <c r="J20" s="86" t="b">
        <f t="shared" si="5"/>
        <v>1</v>
      </c>
      <c r="K20" s="64"/>
      <c r="L20" s="9" t="str">
        <v>Sw</v>
      </c>
      <c r="M20" s="9" t="str">
        <v>1Y</v>
      </c>
      <c r="N20" s="9" t="str">
        <v>obj_00130#0003</v>
      </c>
      <c r="O20" s="96">
        <f>_xll.qlRateHelperRate(N20,Trigger)</f>
        <v>-3.88665266E-3</v>
      </c>
      <c r="P20" s="10">
        <f>_xll.qlRateHelperEarliestDate(N20,Trigger)</f>
        <v>42502</v>
      </c>
      <c r="Q20" s="10">
        <f>_xll.qlRateHelperPillarDate(N20,Trigger)</f>
        <v>42867</v>
      </c>
      <c r="R20" s="96">
        <v>-3.9462400089166298E-3</v>
      </c>
    </row>
    <row r="21" spans="1:18" ht="11.25" customHeight="1" x14ac:dyDescent="0.2">
      <c r="A21" s="84" t="str">
        <v>Sw</v>
      </c>
      <c r="B21" s="84" t="str">
        <v>13M</v>
      </c>
      <c r="C21" s="85" t="str">
        <f t="shared" si="1"/>
        <v>13M</v>
      </c>
      <c r="D21" s="86">
        <f t="shared" si="2"/>
        <v>2</v>
      </c>
      <c r="E21" s="87" t="str">
        <f t="shared" ref="E21:E71" si="6">IF(RIGHT(C21,1)="M","Modified Following",IF(RIGHT(C21,1)="Y","Modified Following","Following"))</f>
        <v>Modified Following</v>
      </c>
      <c r="F21" s="88" t="str">
        <f t="shared" si="4"/>
        <v>TRUE</v>
      </c>
      <c r="G21" s="89" t="s">
        <v>39</v>
      </c>
      <c r="H21" s="90">
        <v>-3.9264541400000005E-3</v>
      </c>
      <c r="I21" s="91" t="str">
        <f>IF(A21="Dp",_xll.qlDepositRateHelper2(,H21,IF(RIGHT(C21,1)="N","1D",C21),D21,Calendar,E21,F21,G21,,Trigger),_xll.qlOISRateHelper(,D21,C21,H21,"Eonia",,,Trigger))</f>
        <v>obj_00140#0003</v>
      </c>
      <c r="J21" s="86" t="b">
        <f t="shared" si="5"/>
        <v>1</v>
      </c>
      <c r="K21" s="64"/>
      <c r="L21" s="9" t="str">
        <v>Sw</v>
      </c>
      <c r="M21" s="9" t="str">
        <v>13M</v>
      </c>
      <c r="N21" s="9" t="str">
        <v>obj_00140#0003</v>
      </c>
      <c r="O21" s="96">
        <f>_xll.qlRateHelperRate(N21,Trigger)</f>
        <v>-3.9264541400000005E-3</v>
      </c>
      <c r="P21" s="10">
        <f>_xll.qlRateHelperEarliestDate(N21,Trigger)</f>
        <v>42502</v>
      </c>
      <c r="Q21" s="10">
        <f>_xll.qlRateHelperPillarDate(N21,Trigger)</f>
        <v>42898</v>
      </c>
      <c r="R21" s="96">
        <v>-3.9861029776198193E-3</v>
      </c>
    </row>
    <row r="22" spans="1:18" ht="11.25" customHeight="1" x14ac:dyDescent="0.2">
      <c r="A22" s="84" t="str">
        <v>Sw</v>
      </c>
      <c r="B22" s="84" t="str">
        <v>14M</v>
      </c>
      <c r="C22" s="85" t="str">
        <f t="shared" si="1"/>
        <v>14M</v>
      </c>
      <c r="D22" s="86">
        <f t="shared" si="2"/>
        <v>2</v>
      </c>
      <c r="E22" s="87" t="str">
        <f t="shared" si="6"/>
        <v>Modified Following</v>
      </c>
      <c r="F22" s="88" t="str">
        <f t="shared" si="4"/>
        <v>TRUE</v>
      </c>
      <c r="G22" s="89" t="s">
        <v>39</v>
      </c>
      <c r="H22" s="90">
        <v>-3.9588021800000001E-3</v>
      </c>
      <c r="I22" s="91" t="str">
        <f>IF(A22="Dp",_xll.qlDepositRateHelper2(,H22,IF(RIGHT(C22,1)="N","1D",C22),D22,Calendar,E22,F22,G22,,Trigger),_xll.qlOISRateHelper(,D22,C22,H22,"Eonia",,,Trigger))</f>
        <v>obj_0012f#0003</v>
      </c>
      <c r="J22" s="86" t="b">
        <f t="shared" si="5"/>
        <v>1</v>
      </c>
      <c r="L22" s="9" t="str">
        <v>Sw</v>
      </c>
      <c r="M22" s="9" t="str">
        <v>14M</v>
      </c>
      <c r="N22" s="9" t="str">
        <v>obj_0012f#0003</v>
      </c>
      <c r="O22" s="96">
        <f>_xll.qlRateHelperRate(N22,Trigger)</f>
        <v>-3.9588021800000001E-3</v>
      </c>
      <c r="P22" s="10">
        <f>_xll.qlRateHelperEarliestDate(N22,Trigger)</f>
        <v>42502</v>
      </c>
      <c r="Q22" s="10">
        <f>_xll.qlRateHelperPillarDate(N22,Trigger)</f>
        <v>42928</v>
      </c>
      <c r="R22" s="96">
        <v>-4.0186386117506551E-3</v>
      </c>
    </row>
    <row r="23" spans="1:18" ht="11.25" customHeight="1" x14ac:dyDescent="0.2">
      <c r="A23" s="84" t="str">
        <v>Sw</v>
      </c>
      <c r="B23" s="84" t="str">
        <v>15M</v>
      </c>
      <c r="C23" s="85" t="str">
        <f t="shared" si="1"/>
        <v>15M</v>
      </c>
      <c r="D23" s="86">
        <f t="shared" si="2"/>
        <v>2</v>
      </c>
      <c r="E23" s="87" t="str">
        <f t="shared" si="6"/>
        <v>Modified Following</v>
      </c>
      <c r="F23" s="88" t="str">
        <f t="shared" si="4"/>
        <v>TRUE</v>
      </c>
      <c r="G23" s="89" t="s">
        <v>39</v>
      </c>
      <c r="H23" s="90">
        <v>-3.9900000000000005E-3</v>
      </c>
      <c r="I23" s="91" t="str">
        <f>IF(A23="Dp",_xll.qlDepositRateHelper2(,H23,IF(RIGHT(C23,1)="N","1D",C23),D23,Calendar,E23,F23,G23,,Trigger),_xll.qlOISRateHelper(,D23,C23,H23,"Eonia",,,Trigger))</f>
        <v>obj_00142#0003</v>
      </c>
      <c r="J23" s="86" t="b">
        <f t="shared" si="5"/>
        <v>1</v>
      </c>
      <c r="L23" s="9" t="str">
        <v>Sw</v>
      </c>
      <c r="M23" s="9" t="str">
        <v>15M</v>
      </c>
      <c r="N23" s="9" t="str">
        <v>obj_00142#0003</v>
      </c>
      <c r="O23" s="96">
        <f>_xll.qlRateHelperRate(N23,Trigger)</f>
        <v>-3.9900000000000005E-3</v>
      </c>
      <c r="P23" s="10">
        <f>_xll.qlRateHelperEarliestDate(N23,Trigger)</f>
        <v>42502</v>
      </c>
      <c r="Q23" s="10">
        <f>_xll.qlRateHelperPillarDate(N23,Trigger)</f>
        <v>42961</v>
      </c>
      <c r="R23" s="96">
        <v>-4.0501305091694331E-3</v>
      </c>
    </row>
    <row r="24" spans="1:18" ht="11.25" customHeight="1" x14ac:dyDescent="0.2">
      <c r="A24" s="84" t="str">
        <v>Sw</v>
      </c>
      <c r="B24" s="84" t="str">
        <v>16M</v>
      </c>
      <c r="C24" s="85" t="str">
        <f t="shared" si="1"/>
        <v>16M</v>
      </c>
      <c r="D24" s="86">
        <f t="shared" si="2"/>
        <v>2</v>
      </c>
      <c r="E24" s="87" t="str">
        <f t="shared" si="6"/>
        <v>Modified Following</v>
      </c>
      <c r="F24" s="88" t="str">
        <f t="shared" si="4"/>
        <v>TRUE</v>
      </c>
      <c r="G24" s="89" t="s">
        <v>39</v>
      </c>
      <c r="H24" s="90">
        <v>-4.0182169400000004E-3</v>
      </c>
      <c r="I24" s="91" t="str">
        <f>IF(A24="Dp",_xll.qlDepositRateHelper2(,H24,IF(RIGHT(C24,1)="N","1D",C24),D24,Calendar,E24,F24,G24,,Trigger),_xll.qlOISRateHelper(,D24,C24,H24,"Eonia",,,Trigger))</f>
        <v>obj_00146#0003</v>
      </c>
      <c r="J24" s="86" t="b">
        <f t="shared" si="5"/>
        <v>1</v>
      </c>
      <c r="L24" s="9" t="str">
        <v>Sw</v>
      </c>
      <c r="M24" s="9" t="str">
        <v>16M</v>
      </c>
      <c r="N24" s="9" t="str">
        <v>obj_00146#0003</v>
      </c>
      <c r="O24" s="96">
        <f>_xll.qlRateHelperRate(N24,Trigger)</f>
        <v>-4.0182169400000004E-3</v>
      </c>
      <c r="P24" s="10">
        <f>_xll.qlRateHelperEarliestDate(N24,Trigger)</f>
        <v>42502</v>
      </c>
      <c r="Q24" s="10">
        <f>_xll.qlRateHelperPillarDate(N24,Trigger)</f>
        <v>42990</v>
      </c>
      <c r="R24" s="96">
        <v>-4.0785944891205675E-3</v>
      </c>
    </row>
    <row r="25" spans="1:18" ht="11.25" customHeight="1" x14ac:dyDescent="0.2">
      <c r="A25" s="84" t="str">
        <v>Sw</v>
      </c>
      <c r="B25" s="84" t="str">
        <v>17M</v>
      </c>
      <c r="C25" s="85" t="str">
        <f t="shared" si="1"/>
        <v>17M</v>
      </c>
      <c r="D25" s="86">
        <f t="shared" si="2"/>
        <v>2</v>
      </c>
      <c r="E25" s="87" t="str">
        <f t="shared" si="6"/>
        <v>Modified Following</v>
      </c>
      <c r="F25" s="88" t="str">
        <f t="shared" si="4"/>
        <v>TRUE</v>
      </c>
      <c r="G25" s="89" t="s">
        <v>39</v>
      </c>
      <c r="H25" s="90">
        <v>-4.0434503599999999E-3</v>
      </c>
      <c r="I25" s="91" t="str">
        <f>IF(A25="Dp",_xll.qlDepositRateHelper2(,H25,IF(RIGHT(C25,1)="N","1D",C25),D25,Calendar,E25,F25,G25,,Trigger),_xll.qlOISRateHelper(,D25,C25,H25,"Eonia",,,Trigger))</f>
        <v>obj_0015a#0003</v>
      </c>
      <c r="J25" s="86" t="b">
        <f t="shared" si="5"/>
        <v>1</v>
      </c>
      <c r="L25" s="9" t="str">
        <v>Sw</v>
      </c>
      <c r="M25" s="9" t="str">
        <v>17M</v>
      </c>
      <c r="N25" s="9" t="str">
        <v>obj_0015a#0003</v>
      </c>
      <c r="O25" s="96">
        <f>_xll.qlRateHelperRate(N25,Trigger)</f>
        <v>-4.0434503599999999E-3</v>
      </c>
      <c r="P25" s="10">
        <f>_xll.qlRateHelperEarliestDate(N25,Trigger)</f>
        <v>42502</v>
      </c>
      <c r="Q25" s="10">
        <f>_xll.qlRateHelperPillarDate(N25,Trigger)</f>
        <v>43020</v>
      </c>
      <c r="R25" s="96">
        <v>-4.1041833850982302E-3</v>
      </c>
    </row>
    <row r="26" spans="1:18" ht="11.25" customHeight="1" x14ac:dyDescent="0.2">
      <c r="A26" s="84" t="str">
        <v>Sw</v>
      </c>
      <c r="B26" s="84" t="str">
        <v>18M</v>
      </c>
      <c r="C26" s="85" t="str">
        <f t="shared" si="1"/>
        <v>18M</v>
      </c>
      <c r="D26" s="86">
        <f t="shared" si="2"/>
        <v>2</v>
      </c>
      <c r="E26" s="87" t="str">
        <f t="shared" si="6"/>
        <v>Modified Following</v>
      </c>
      <c r="F26" s="88" t="str">
        <f t="shared" si="4"/>
        <v>TRUE</v>
      </c>
      <c r="G26" s="89" t="s">
        <v>39</v>
      </c>
      <c r="H26" s="90">
        <v>-4.0699999999999998E-3</v>
      </c>
      <c r="I26" s="91" t="str">
        <f>IF(A26="Dp",_xll.qlDepositRateHelper2(,H26,IF(RIGHT(C26,1)="N","1D",C26),D26,Calendar,E26,F26,G26,,Trigger),_xll.qlOISRateHelper(,D26,C26,H26,"Eonia",,,Trigger))</f>
        <v>obj_0015c#0003</v>
      </c>
      <c r="J26" s="86" t="b">
        <f t="shared" si="5"/>
        <v>1</v>
      </c>
      <c r="L26" s="9" t="str">
        <v>Sw</v>
      </c>
      <c r="M26" s="9" t="str">
        <v>18M</v>
      </c>
      <c r="N26" s="9" t="str">
        <v>obj_0015c#0003</v>
      </c>
      <c r="O26" s="96">
        <f>_xll.qlRateHelperRate(N26,Trigger)</f>
        <v>-4.0699999999999998E-3</v>
      </c>
      <c r="P26" s="10">
        <f>_xll.qlRateHelperEarliestDate(N26,Trigger)</f>
        <v>42502</v>
      </c>
      <c r="Q26" s="10">
        <f>_xll.qlRateHelperPillarDate(N26,Trigger)</f>
        <v>43052</v>
      </c>
      <c r="R26" s="96">
        <v>-4.1311743406863164E-3</v>
      </c>
    </row>
    <row r="27" spans="1:18" ht="11.25" customHeight="1" x14ac:dyDescent="0.2">
      <c r="A27" s="84" t="str">
        <v>Sw</v>
      </c>
      <c r="B27" s="84" t="str">
        <v>19M</v>
      </c>
      <c r="C27" s="85" t="str">
        <f t="shared" si="1"/>
        <v>19M</v>
      </c>
      <c r="D27" s="86">
        <f t="shared" si="2"/>
        <v>2</v>
      </c>
      <c r="E27" s="87" t="str">
        <f t="shared" si="6"/>
        <v>Modified Following</v>
      </c>
      <c r="F27" s="88" t="str">
        <f t="shared" si="4"/>
        <v>TRUE</v>
      </c>
      <c r="G27" s="89" t="s">
        <v>39</v>
      </c>
      <c r="H27" s="90">
        <v>-4.0921640700000003E-3</v>
      </c>
      <c r="I27" s="91" t="str">
        <f>IF(A27="Dp",_xll.qlDepositRateHelper2(,H27,IF(RIGHT(C27,1)="N","1D",C27),D27,Calendar,E27,F27,G27,,Trigger),_xll.qlOISRateHelper(,D27,C27,H27,"Eonia",,,Trigger))</f>
        <v>obj_00144#0003</v>
      </c>
      <c r="J27" s="86" t="b">
        <f t="shared" si="5"/>
        <v>1</v>
      </c>
      <c r="L27" s="9" t="str">
        <v>Sw</v>
      </c>
      <c r="M27" s="9" t="str">
        <v>19M</v>
      </c>
      <c r="N27" s="9" t="str">
        <v>obj_00144#0003</v>
      </c>
      <c r="O27" s="96">
        <f>_xll.qlRateHelperRate(N27,Trigger)</f>
        <v>-4.0921640700000003E-3</v>
      </c>
      <c r="P27" s="10">
        <f>_xll.qlRateHelperEarliestDate(N27,Trigger)</f>
        <v>42502</v>
      </c>
      <c r="Q27" s="10">
        <f>_xll.qlRateHelperPillarDate(N27,Trigger)</f>
        <v>43081</v>
      </c>
      <c r="R27" s="96">
        <v>-4.1538106828750152E-3</v>
      </c>
    </row>
    <row r="28" spans="1:18" ht="11.25" customHeight="1" x14ac:dyDescent="0.2">
      <c r="A28" s="84" t="str">
        <v>Sw</v>
      </c>
      <c r="B28" s="84" t="str">
        <v>20M</v>
      </c>
      <c r="C28" s="85" t="str">
        <f t="shared" si="1"/>
        <v>20M</v>
      </c>
      <c r="D28" s="86">
        <f t="shared" si="2"/>
        <v>2</v>
      </c>
      <c r="E28" s="87" t="str">
        <f t="shared" si="6"/>
        <v>Modified Following</v>
      </c>
      <c r="F28" s="88" t="str">
        <f t="shared" si="4"/>
        <v>TRUE</v>
      </c>
      <c r="G28" s="89" t="s">
        <v>39</v>
      </c>
      <c r="H28" s="90">
        <v>-4.1097542999999999E-3</v>
      </c>
      <c r="I28" s="91" t="str">
        <f>IF(A28="Dp",_xll.qlDepositRateHelper2(,H28,IF(RIGHT(C28,1)="N","1D",C28),D28,Calendar,E28,F28,G28,,Trigger),_xll.qlOISRateHelper(,D28,C28,H28,"Eonia",,,Trigger))</f>
        <v>obj_00151#0003</v>
      </c>
      <c r="J28" s="86" t="b">
        <f t="shared" si="5"/>
        <v>1</v>
      </c>
      <c r="L28" s="9" t="str">
        <v>Sw</v>
      </c>
      <c r="M28" s="9" t="str">
        <v>20M</v>
      </c>
      <c r="N28" s="9" t="str">
        <v>obj_00151#0003</v>
      </c>
      <c r="O28" s="96">
        <f>_xll.qlRateHelperRate(N28,Trigger)</f>
        <v>-4.1097542999999999E-3</v>
      </c>
      <c r="P28" s="10">
        <f>_xll.qlRateHelperEarliestDate(N28,Trigger)</f>
        <v>42502</v>
      </c>
      <c r="Q28" s="10">
        <f>_xll.qlRateHelperPillarDate(N28,Trigger)</f>
        <v>43112</v>
      </c>
      <c r="R28" s="96">
        <v>-4.1718744383582723E-3</v>
      </c>
    </row>
    <row r="29" spans="1:18" ht="11.25" customHeight="1" x14ac:dyDescent="0.2">
      <c r="A29" s="84" t="str">
        <v>Sw</v>
      </c>
      <c r="B29" s="84" t="str">
        <v>21M</v>
      </c>
      <c r="C29" s="85" t="str">
        <f t="shared" si="1"/>
        <v>21M</v>
      </c>
      <c r="D29" s="86">
        <f t="shared" si="2"/>
        <v>2</v>
      </c>
      <c r="E29" s="87" t="str">
        <f t="shared" si="6"/>
        <v>Modified Following</v>
      </c>
      <c r="F29" s="88" t="str">
        <f t="shared" si="4"/>
        <v>TRUE</v>
      </c>
      <c r="G29" s="89" t="s">
        <v>39</v>
      </c>
      <c r="H29" s="90">
        <v>-4.13E-3</v>
      </c>
      <c r="I29" s="91" t="str">
        <f>IF(A29="Dp",_xll.qlDepositRateHelper2(,H29,IF(RIGHT(C29,1)="N","1D",C29),D29,Calendar,E29,F29,G29,,Trigger),_xll.qlOISRateHelper(,D29,C29,H29,"Eonia",,,Trigger))</f>
        <v>obj_0013e#0003</v>
      </c>
      <c r="J29" s="86" t="b">
        <f t="shared" si="5"/>
        <v>1</v>
      </c>
      <c r="L29" s="9" t="str">
        <v>Sw</v>
      </c>
      <c r="M29" s="9" t="str">
        <v>21M</v>
      </c>
      <c r="N29" s="9" t="str">
        <v>obj_0013e#0003</v>
      </c>
      <c r="O29" s="96">
        <f>_xll.qlRateHelperRate(N29,Trigger)</f>
        <v>-4.13E-3</v>
      </c>
      <c r="P29" s="10">
        <f>_xll.qlRateHelperEarliestDate(N29,Trigger)</f>
        <v>42502</v>
      </c>
      <c r="Q29" s="10">
        <f>_xll.qlRateHelperPillarDate(N29,Trigger)</f>
        <v>43143</v>
      </c>
      <c r="R29" s="96">
        <v>-4.192691403046022E-3</v>
      </c>
    </row>
    <row r="30" spans="1:18" ht="11.25" customHeight="1" x14ac:dyDescent="0.2">
      <c r="A30" s="84" t="str">
        <v>Sw</v>
      </c>
      <c r="B30" s="84" t="str">
        <v>22M</v>
      </c>
      <c r="C30" s="85" t="str">
        <f t="shared" si="1"/>
        <v>22M</v>
      </c>
      <c r="D30" s="86">
        <f t="shared" si="2"/>
        <v>2</v>
      </c>
      <c r="E30" s="87" t="str">
        <f t="shared" si="6"/>
        <v>Modified Following</v>
      </c>
      <c r="F30" s="88" t="str">
        <f t="shared" si="4"/>
        <v>TRUE</v>
      </c>
      <c r="G30" s="89" t="s">
        <v>39</v>
      </c>
      <c r="H30" s="90">
        <v>-4.1434776699999995E-3</v>
      </c>
      <c r="I30" s="91" t="str">
        <f>IF(A30="Dp",_xll.qlDepositRateHelper2(,H30,IF(RIGHT(C30,1)="N","1D",C30),D30,Calendar,E30,F30,G30,,Trigger),_xll.qlOISRateHelper(,D30,C30,H30,"Eonia",,,Trigger))</f>
        <v>obj_00139#0003</v>
      </c>
      <c r="J30" s="86" t="b">
        <f t="shared" si="5"/>
        <v>1</v>
      </c>
      <c r="L30" s="9" t="str">
        <v>Sw</v>
      </c>
      <c r="M30" s="9" t="str">
        <v>22M</v>
      </c>
      <c r="N30" s="9" t="str">
        <v>obj_00139#0003</v>
      </c>
      <c r="O30" s="96">
        <f>_xll.qlRateHelperRate(N30,Trigger)</f>
        <v>-4.1434776699999995E-3</v>
      </c>
      <c r="P30" s="10">
        <f>_xll.qlRateHelperEarliestDate(N30,Trigger)</f>
        <v>42502</v>
      </c>
      <c r="Q30" s="10">
        <f>_xll.qlRateHelperPillarDate(N30,Trigger)</f>
        <v>43171</v>
      </c>
      <c r="R30" s="96">
        <v>-4.20667618386137E-3</v>
      </c>
    </row>
    <row r="31" spans="1:18" ht="11.25" customHeight="1" x14ac:dyDescent="0.2">
      <c r="A31" s="84" t="str">
        <v>Sw</v>
      </c>
      <c r="B31" s="84" t="str">
        <v>23M</v>
      </c>
      <c r="C31" s="85" t="str">
        <f t="shared" si="1"/>
        <v>23M</v>
      </c>
      <c r="D31" s="86">
        <f t="shared" si="2"/>
        <v>2</v>
      </c>
      <c r="E31" s="87" t="str">
        <f t="shared" si="6"/>
        <v>Modified Following</v>
      </c>
      <c r="F31" s="88" t="str">
        <f t="shared" si="4"/>
        <v>TRUE</v>
      </c>
      <c r="G31" s="89" t="s">
        <v>39</v>
      </c>
      <c r="H31" s="90">
        <v>-4.1536690800000001E-3</v>
      </c>
      <c r="I31" s="91" t="str">
        <f>IF(A31="Dp",_xll.qlDepositRateHelper2(,H31,IF(RIGHT(C31,1)="N","1D",C31),D31,Calendar,E31,F31,G31,,Trigger),_xll.qlOISRateHelper(,D31,C31,H31,"Eonia",,,Trigger))</f>
        <v>obj_0012a#0003</v>
      </c>
      <c r="J31" s="86" t="b">
        <f t="shared" si="5"/>
        <v>1</v>
      </c>
      <c r="L31" s="9" t="str">
        <v>Sw</v>
      </c>
      <c r="M31" s="9" t="str">
        <v>23M</v>
      </c>
      <c r="N31" s="9" t="str">
        <v>obj_0012a#0003</v>
      </c>
      <c r="O31" s="96">
        <f>_xll.qlRateHelperRate(N31,Trigger)</f>
        <v>-4.1536690800000001E-3</v>
      </c>
      <c r="P31" s="10">
        <f>_xll.qlRateHelperEarliestDate(N31,Trigger)</f>
        <v>42502</v>
      </c>
      <c r="Q31" s="10">
        <f>_xll.qlRateHelperPillarDate(N31,Trigger)</f>
        <v>43202</v>
      </c>
      <c r="R31" s="96">
        <v>-4.2174118804060691E-3</v>
      </c>
    </row>
    <row r="32" spans="1:18" ht="11.25" customHeight="1" x14ac:dyDescent="0.2">
      <c r="A32" s="84" t="str">
        <v>Sw</v>
      </c>
      <c r="B32" s="84" t="str">
        <v>2Y</v>
      </c>
      <c r="C32" s="85" t="str">
        <f t="shared" si="1"/>
        <v>2Y</v>
      </c>
      <c r="D32" s="86">
        <f t="shared" si="2"/>
        <v>2</v>
      </c>
      <c r="E32" s="87" t="str">
        <f t="shared" si="6"/>
        <v>Modified Following</v>
      </c>
      <c r="F32" s="88" t="str">
        <f t="shared" si="4"/>
        <v>TRUE</v>
      </c>
      <c r="G32" s="89" t="s">
        <v>39</v>
      </c>
      <c r="H32" s="90">
        <v>-4.1599999999999996E-3</v>
      </c>
      <c r="I32" s="91" t="str">
        <f>IF(A32="Dp",_xll.qlDepositRateHelper2(,H32,IF(RIGHT(C32,1)="N","1D",C32),D32,Calendar,E32,F32,G32,,Trigger),_xll.qlOISRateHelper(,D32,C32,H32,"Eonia",,,Trigger))</f>
        <v>obj_00134#0003</v>
      </c>
      <c r="J32" s="86" t="b">
        <f t="shared" si="5"/>
        <v>1</v>
      </c>
      <c r="L32" s="9" t="str">
        <v>Sw</v>
      </c>
      <c r="M32" s="9" t="str">
        <v>2Y</v>
      </c>
      <c r="N32" s="9" t="str">
        <v>obj_00134#0003</v>
      </c>
      <c r="O32" s="96">
        <f>_xll.qlRateHelperRate(N32,Trigger)</f>
        <v>-4.1599999999999996E-3</v>
      </c>
      <c r="P32" s="10">
        <f>_xll.qlRateHelperEarliestDate(N32,Trigger)</f>
        <v>42502</v>
      </c>
      <c r="Q32" s="10">
        <f>_xll.qlRateHelperPillarDate(N32,Trigger)</f>
        <v>43234</v>
      </c>
      <c r="R32" s="96">
        <v>-4.2242910194510265E-3</v>
      </c>
    </row>
    <row r="33" spans="1:18" ht="11.25" customHeight="1" x14ac:dyDescent="0.2">
      <c r="A33" s="84" t="str">
        <v>Sw</v>
      </c>
      <c r="B33" s="84" t="str">
        <v>3Y</v>
      </c>
      <c r="C33" s="85" t="str">
        <f t="shared" si="1"/>
        <v>3Y</v>
      </c>
      <c r="D33" s="86">
        <f t="shared" si="2"/>
        <v>2</v>
      </c>
      <c r="E33" s="87" t="str">
        <f t="shared" si="6"/>
        <v>Modified Following</v>
      </c>
      <c r="F33" s="88" t="str">
        <f t="shared" si="4"/>
        <v>TRUE</v>
      </c>
      <c r="G33" s="89" t="s">
        <v>39</v>
      </c>
      <c r="H33" s="90">
        <v>-4.0200000000000001E-3</v>
      </c>
      <c r="I33" s="91" t="str">
        <f>IF(A33="Dp",_xll.qlDepositRateHelper2(,H33,IF(RIGHT(C33,1)="N","1D",C33),D33,Calendar,E33,F33,G33,,Trigger),_xll.qlOISRateHelper(,D33,C33,H33,"Eonia",,,Trigger))</f>
        <v>obj_0013a#0003</v>
      </c>
      <c r="J33" s="86" t="b">
        <f t="shared" si="5"/>
        <v>1</v>
      </c>
      <c r="L33" s="9" t="str">
        <v>Sw</v>
      </c>
      <c r="M33" s="9" t="str">
        <v>3Y</v>
      </c>
      <c r="N33" s="9" t="str">
        <v>obj_0013a#0003</v>
      </c>
      <c r="O33" s="96">
        <f>_xll.qlRateHelperRate(N33,Trigger)</f>
        <v>-4.0200000000000001E-3</v>
      </c>
      <c r="P33" s="10">
        <f>_xll.qlRateHelperEarliestDate(N33,Trigger)</f>
        <v>42502</v>
      </c>
      <c r="Q33" s="10">
        <f>_xll.qlRateHelperPillarDate(N33,Trigger)</f>
        <v>43598</v>
      </c>
      <c r="R33" s="96">
        <v>-4.0833991513849329E-3</v>
      </c>
    </row>
    <row r="34" spans="1:18" ht="11.25" customHeight="1" x14ac:dyDescent="0.2">
      <c r="A34" s="84" t="str">
        <v>Sw</v>
      </c>
      <c r="B34" s="84" t="str">
        <v>4Y</v>
      </c>
      <c r="C34" s="85" t="str">
        <f t="shared" si="1"/>
        <v>4Y</v>
      </c>
      <c r="D34" s="86">
        <f t="shared" si="2"/>
        <v>2</v>
      </c>
      <c r="E34" s="87" t="str">
        <f t="shared" si="6"/>
        <v>Modified Following</v>
      </c>
      <c r="F34" s="88" t="str">
        <f t="shared" si="4"/>
        <v>TRUE</v>
      </c>
      <c r="G34" s="89" t="s">
        <v>39</v>
      </c>
      <c r="H34" s="90">
        <v>-3.6099999999999999E-3</v>
      </c>
      <c r="I34" s="91" t="str">
        <f>IF(A34="Dp",_xll.qlDepositRateHelper2(,H34,IF(RIGHT(C34,1)="N","1D",C34),D34,Calendar,E34,F34,G34,,Trigger),_xll.qlOISRateHelper(,D34,C34,H34,"Eonia",,,Trigger))</f>
        <v>obj_0013d#0003</v>
      </c>
      <c r="J34" s="86" t="b">
        <f t="shared" si="5"/>
        <v>1</v>
      </c>
      <c r="L34" s="9" t="str">
        <v>Sw</v>
      </c>
      <c r="M34" s="9" t="str">
        <v>4Y</v>
      </c>
      <c r="N34" s="9" t="str">
        <v>obj_0013d#0003</v>
      </c>
      <c r="O34" s="96">
        <f>_xll.qlRateHelperRate(N34,Trigger)</f>
        <v>-3.6099999999999999E-3</v>
      </c>
      <c r="P34" s="10">
        <f>_xll.qlRateHelperEarliestDate(N34,Trigger)</f>
        <v>42502</v>
      </c>
      <c r="Q34" s="10">
        <f>_xll.qlRateHelperPillarDate(N34,Trigger)</f>
        <v>43963</v>
      </c>
      <c r="R34" s="96">
        <v>-3.6691209056164149E-3</v>
      </c>
    </row>
    <row r="35" spans="1:18" ht="11.25" customHeight="1" x14ac:dyDescent="0.2">
      <c r="A35" s="84" t="str">
        <v>Sw</v>
      </c>
      <c r="B35" s="84" t="str">
        <v>5Y</v>
      </c>
      <c r="C35" s="85" t="str">
        <f t="shared" si="1"/>
        <v>5Y</v>
      </c>
      <c r="D35" s="86">
        <f t="shared" si="2"/>
        <v>2</v>
      </c>
      <c r="E35" s="87" t="str">
        <f t="shared" si="6"/>
        <v>Modified Following</v>
      </c>
      <c r="F35" s="88" t="str">
        <f t="shared" si="4"/>
        <v>TRUE</v>
      </c>
      <c r="G35" s="89" t="s">
        <v>39</v>
      </c>
      <c r="H35" s="90">
        <v>-2.9199999999999999E-3</v>
      </c>
      <c r="I35" s="91" t="str">
        <f>IF(A35="Dp",_xll.qlDepositRateHelper2(,H35,IF(RIGHT(C35,1)="N","1D",C35),D35,Calendar,E35,F35,G35,,Trigger),_xll.qlOISRateHelper(,D35,C35,H35,"Eonia",,,Trigger))</f>
        <v>obj_0013c#0003</v>
      </c>
      <c r="J35" s="86" t="b">
        <f t="shared" si="5"/>
        <v>1</v>
      </c>
      <c r="L35" s="9" t="str">
        <v>Sw</v>
      </c>
      <c r="M35" s="9" t="str">
        <v>5Y</v>
      </c>
      <c r="N35" s="9" t="str">
        <v>obj_0013c#0003</v>
      </c>
      <c r="O35" s="96">
        <f>_xll.qlRateHelperRate(N35,Trigger)</f>
        <v>-2.9199999999999999E-3</v>
      </c>
      <c r="P35" s="10">
        <f>_xll.qlRateHelperEarliestDate(N35,Trigger)</f>
        <v>42502</v>
      </c>
      <c r="Q35" s="10">
        <f>_xll.qlRateHelperPillarDate(N35,Trigger)</f>
        <v>44328</v>
      </c>
      <c r="R35" s="96">
        <v>-2.9713084549944186E-3</v>
      </c>
    </row>
    <row r="36" spans="1:18" ht="11.25" customHeight="1" x14ac:dyDescent="0.2">
      <c r="A36" s="84" t="str">
        <v>Sw</v>
      </c>
      <c r="B36" s="84" t="str">
        <v>6Y</v>
      </c>
      <c r="C36" s="85" t="str">
        <f t="shared" si="1"/>
        <v>6Y</v>
      </c>
      <c r="D36" s="86">
        <f t="shared" si="2"/>
        <v>2</v>
      </c>
      <c r="E36" s="87" t="str">
        <f t="shared" si="6"/>
        <v>Modified Following</v>
      </c>
      <c r="F36" s="88" t="str">
        <f t="shared" si="4"/>
        <v>TRUE</v>
      </c>
      <c r="G36" s="89" t="s">
        <v>39</v>
      </c>
      <c r="H36" s="90">
        <v>-1.9400000000000001E-3</v>
      </c>
      <c r="I36" s="91" t="str">
        <f>IF(A36="Dp",_xll.qlDepositRateHelper2(,H36,IF(RIGHT(C36,1)="N","1D",C36),D36,Calendar,E36,F36,G36,,Trigger),_xll.qlOISRateHelper(,D36,C36,H36,"Eonia",,,Trigger))</f>
        <v>obj_00154#0003</v>
      </c>
      <c r="J36" s="86" t="b">
        <f t="shared" si="5"/>
        <v>1</v>
      </c>
      <c r="L36" s="9" t="str">
        <v>Sw</v>
      </c>
      <c r="M36" s="9" t="str">
        <v>6Y</v>
      </c>
      <c r="N36" s="9" t="str">
        <v>obj_00154#0003</v>
      </c>
      <c r="O36" s="96">
        <f>_xll.qlRateHelperRate(N36,Trigger)</f>
        <v>-1.9400000000000001E-3</v>
      </c>
      <c r="P36" s="10">
        <f>_xll.qlRateHelperEarliestDate(N36,Trigger)</f>
        <v>42502</v>
      </c>
      <c r="Q36" s="10">
        <f>_xll.qlRateHelperPillarDate(N36,Trigger)</f>
        <v>44693</v>
      </c>
      <c r="R36" s="96">
        <v>-1.9783996837624183E-3</v>
      </c>
    </row>
    <row r="37" spans="1:18" ht="11.25" customHeight="1" x14ac:dyDescent="0.2">
      <c r="A37" s="84" t="str">
        <v>Sw</v>
      </c>
      <c r="B37" s="84" t="str">
        <v>7Y</v>
      </c>
      <c r="C37" s="85" t="str">
        <f t="shared" si="1"/>
        <v>7Y</v>
      </c>
      <c r="D37" s="86">
        <f t="shared" si="2"/>
        <v>2</v>
      </c>
      <c r="E37" s="87" t="str">
        <f t="shared" si="6"/>
        <v>Modified Following</v>
      </c>
      <c r="F37" s="88" t="str">
        <f t="shared" si="4"/>
        <v>TRUE</v>
      </c>
      <c r="G37" s="89" t="s">
        <v>39</v>
      </c>
      <c r="H37" s="90">
        <v>-8.1999999999999998E-4</v>
      </c>
      <c r="I37" s="91" t="str">
        <f>IF(A37="Dp",_xll.qlDepositRateHelper2(,H37,IF(RIGHT(C37,1)="N","1D",C37),D37,Calendar,E37,F37,G37,,Trigger),_xll.qlOISRateHelper(,D37,C37,H37,"Eonia",,,Trigger))</f>
        <v>obj_00131#0003</v>
      </c>
      <c r="J37" s="86" t="b">
        <f t="shared" si="5"/>
        <v>1</v>
      </c>
      <c r="L37" s="9" t="str">
        <v>Sw</v>
      </c>
      <c r="M37" s="9" t="str">
        <v>7Y</v>
      </c>
      <c r="N37" s="9" t="str">
        <v>obj_00131#0003</v>
      </c>
      <c r="O37" s="96">
        <f>_xll.qlRateHelperRate(N37,Trigger)</f>
        <v>-8.1999999999999998E-4</v>
      </c>
      <c r="P37" s="10">
        <f>_xll.qlRateHelperEarliestDate(N37,Trigger)</f>
        <v>42502</v>
      </c>
      <c r="Q37" s="10">
        <f>_xll.qlRateHelperPillarDate(N37,Trigger)</f>
        <v>45058</v>
      </c>
      <c r="R37" s="96">
        <v>-8.3964434353133539E-4</v>
      </c>
    </row>
    <row r="38" spans="1:18" ht="11.25" customHeight="1" x14ac:dyDescent="0.2">
      <c r="A38" s="84" t="str">
        <v>Sw</v>
      </c>
      <c r="B38" s="84" t="str">
        <v>8Y</v>
      </c>
      <c r="C38" s="85" t="str">
        <f t="shared" si="1"/>
        <v>8Y</v>
      </c>
      <c r="D38" s="86">
        <f t="shared" si="2"/>
        <v>2</v>
      </c>
      <c r="E38" s="87" t="str">
        <f t="shared" si="6"/>
        <v>Modified Following</v>
      </c>
      <c r="F38" s="88" t="str">
        <f t="shared" si="4"/>
        <v>TRUE</v>
      </c>
      <c r="G38" s="89" t="s">
        <v>39</v>
      </c>
      <c r="H38" s="90">
        <v>3.7999999999999997E-4</v>
      </c>
      <c r="I38" s="91" t="str">
        <f>IF(A38="Dp",_xll.qlDepositRateHelper2(,H38,IF(RIGHT(C38,1)="N","1D",C38),D38,Calendar,E38,F38,G38,,Trigger),_xll.qlOISRateHelper(,D38,C38,H38,"Eonia",,,Trigger))</f>
        <v>obj_0012b#0003</v>
      </c>
      <c r="J38" s="86" t="b">
        <f t="shared" si="5"/>
        <v>1</v>
      </c>
      <c r="L38" s="9" t="str">
        <v>Sw</v>
      </c>
      <c r="M38" s="9" t="str">
        <v>8Y</v>
      </c>
      <c r="N38" s="9" t="str">
        <v>obj_0012b#0003</v>
      </c>
      <c r="O38" s="96">
        <f>_xll.qlRateHelperRate(N38,Trigger)</f>
        <v>3.7999999999999997E-4</v>
      </c>
      <c r="P38" s="10">
        <f>_xll.qlRateHelperEarliestDate(N38,Trigger)</f>
        <v>42502</v>
      </c>
      <c r="Q38" s="10">
        <f>_xll.qlRateHelperPillarDate(N38,Trigger)</f>
        <v>45425</v>
      </c>
      <c r="R38" s="96">
        <v>3.8652423770106951E-4</v>
      </c>
    </row>
    <row r="39" spans="1:18" ht="11.25" customHeight="1" x14ac:dyDescent="0.2">
      <c r="A39" s="84" t="str">
        <v>Sw</v>
      </c>
      <c r="B39" s="84" t="str">
        <v>9Y</v>
      </c>
      <c r="C39" s="85" t="str">
        <f t="shared" si="1"/>
        <v>9Y</v>
      </c>
      <c r="D39" s="86">
        <f t="shared" si="2"/>
        <v>2</v>
      </c>
      <c r="E39" s="87" t="str">
        <f t="shared" si="6"/>
        <v>Modified Following</v>
      </c>
      <c r="F39" s="88" t="str">
        <f t="shared" si="4"/>
        <v>TRUE</v>
      </c>
      <c r="G39" s="89" t="s">
        <v>39</v>
      </c>
      <c r="H39" s="90">
        <v>1.5299999999999999E-3</v>
      </c>
      <c r="I39" s="91" t="str">
        <f>IF(A39="Dp",_xll.qlDepositRateHelper2(,H39,IF(RIGHT(C39,1)="N","1D",C39),D39,Calendar,E39,F39,G39,,Trigger),_xll.qlOISRateHelper(,D39,C39,H39,"Eonia",,,Trigger))</f>
        <v>obj_00143#0003</v>
      </c>
      <c r="J39" s="86" t="b">
        <f t="shared" si="5"/>
        <v>1</v>
      </c>
      <c r="L39" s="9" t="str">
        <v>Sw</v>
      </c>
      <c r="M39" s="9" t="str">
        <v>9Y</v>
      </c>
      <c r="N39" s="9" t="str">
        <v>obj_00143#0003</v>
      </c>
      <c r="O39" s="96">
        <f>_xll.qlRateHelperRate(N39,Trigger)</f>
        <v>1.5299999999999999E-3</v>
      </c>
      <c r="P39" s="10">
        <f>_xll.qlRateHelperEarliestDate(N39,Trigger)</f>
        <v>42502</v>
      </c>
      <c r="Q39" s="10">
        <f>_xll.qlRateHelperPillarDate(N39,Trigger)</f>
        <v>45789</v>
      </c>
      <c r="R39" s="96">
        <v>1.5687281565761608E-3</v>
      </c>
    </row>
    <row r="40" spans="1:18" ht="11.25" customHeight="1" x14ac:dyDescent="0.2">
      <c r="A40" s="84" t="str">
        <v>Sw</v>
      </c>
      <c r="B40" s="84" t="str">
        <v>10Y</v>
      </c>
      <c r="C40" s="85" t="str">
        <f t="shared" si="1"/>
        <v>10Y</v>
      </c>
      <c r="D40" s="86">
        <f t="shared" si="2"/>
        <v>2</v>
      </c>
      <c r="E40" s="87" t="str">
        <f t="shared" si="6"/>
        <v>Modified Following</v>
      </c>
      <c r="F40" s="88" t="str">
        <f t="shared" si="4"/>
        <v>TRUE</v>
      </c>
      <c r="G40" s="89" t="s">
        <v>39</v>
      </c>
      <c r="H40" s="90">
        <v>2.5999999999999999E-3</v>
      </c>
      <c r="I40" s="91" t="str">
        <f>IF(A40="Dp",_xll.qlDepositRateHelper2(,H40,IF(RIGHT(C40,1)="N","1D",C40),D40,Calendar,E40,F40,G40,,Trigger),_xll.qlOISRateHelper(,D40,C40,H40,"Eonia",,,Trigger))</f>
        <v>obj_00148#0003</v>
      </c>
      <c r="J40" s="86" t="b">
        <f t="shared" si="5"/>
        <v>1</v>
      </c>
      <c r="L40" s="9" t="str">
        <v>Sw</v>
      </c>
      <c r="M40" s="9" t="str">
        <v>10Y</v>
      </c>
      <c r="N40" s="9" t="str">
        <v>obj_00148#0003</v>
      </c>
      <c r="O40" s="96">
        <f>_xll.qlRateHelperRate(N40,Trigger)</f>
        <v>2.5999999999999999E-3</v>
      </c>
      <c r="P40" s="10">
        <f>_xll.qlRateHelperEarliestDate(N40,Trigger)</f>
        <v>42502</v>
      </c>
      <c r="Q40" s="10">
        <f>_xll.qlRateHelperPillarDate(N40,Trigger)</f>
        <v>46154</v>
      </c>
      <c r="R40" s="96">
        <v>2.6758870309824168E-3</v>
      </c>
    </row>
    <row r="41" spans="1:18" ht="11.25" customHeight="1" x14ac:dyDescent="0.2">
      <c r="A41" s="84" t="str">
        <v>Sw</v>
      </c>
      <c r="B41" s="84" t="str">
        <v>11Y</v>
      </c>
      <c r="C41" s="85" t="str">
        <f t="shared" si="1"/>
        <v>11Y</v>
      </c>
      <c r="D41" s="86">
        <f t="shared" si="2"/>
        <v>2</v>
      </c>
      <c r="E41" s="87" t="str">
        <f t="shared" si="6"/>
        <v>Modified Following</v>
      </c>
      <c r="F41" s="88" t="str">
        <f t="shared" si="4"/>
        <v>TRUE</v>
      </c>
      <c r="G41" s="89" t="s">
        <v>39</v>
      </c>
      <c r="H41" s="90">
        <v>3.5999999999999999E-3</v>
      </c>
      <c r="I41" s="91" t="str">
        <f>IF(A41="Dp",_xll.qlDepositRateHelper2(,H41,IF(RIGHT(C41,1)="N","1D",C41),D41,Calendar,E41,F41,G41,,Trigger),_xll.qlOISRateHelper(,D41,C41,H41,"Eonia",,,Trigger))</f>
        <v>obj_0015e#0003</v>
      </c>
      <c r="J41" s="86" t="b">
        <f t="shared" si="5"/>
        <v>1</v>
      </c>
      <c r="L41" s="9" t="str">
        <v>Sw</v>
      </c>
      <c r="M41" s="9" t="str">
        <v>11Y</v>
      </c>
      <c r="N41" s="9" t="str">
        <v>obj_0015e#0003</v>
      </c>
      <c r="O41" s="96">
        <f>_xll.qlRateHelperRate(N41,Trigger)</f>
        <v>3.5999999999999999E-3</v>
      </c>
      <c r="P41" s="10">
        <f>_xll.qlRateHelperEarliestDate(N41,Trigger)</f>
        <v>42502</v>
      </c>
      <c r="Q41" s="10">
        <f>_xll.qlRateHelperPillarDate(N41,Trigger)</f>
        <v>46519</v>
      </c>
      <c r="R41" s="96">
        <v>3.7178061926211748E-3</v>
      </c>
    </row>
    <row r="42" spans="1:18" ht="11.25" customHeight="1" x14ac:dyDescent="0.2">
      <c r="A42" s="84" t="str">
        <v>Sw</v>
      </c>
      <c r="B42" s="84" t="str">
        <v>12Y</v>
      </c>
      <c r="C42" s="85" t="str">
        <f t="shared" si="1"/>
        <v>12Y</v>
      </c>
      <c r="D42" s="86">
        <f t="shared" si="2"/>
        <v>2</v>
      </c>
      <c r="E42" s="87" t="str">
        <f t="shared" si="6"/>
        <v>Modified Following</v>
      </c>
      <c r="F42" s="88" t="str">
        <f t="shared" si="4"/>
        <v>TRUE</v>
      </c>
      <c r="G42" s="89" t="s">
        <v>39</v>
      </c>
      <c r="H42" s="90">
        <v>4.4800000000000005E-3</v>
      </c>
      <c r="I42" s="91" t="str">
        <f>IF(A42="Dp",_xll.qlDepositRateHelper2(,H42,IF(RIGHT(C42,1)="N","1D",C42),D42,Calendar,E42,F42,G42,,Trigger),_xll.qlOISRateHelper(,D42,C42,H42,"Eonia",,,Trigger))</f>
        <v>obj_0014d#0003</v>
      </c>
      <c r="J42" s="86" t="b">
        <f t="shared" si="5"/>
        <v>1</v>
      </c>
      <c r="L42" s="9" t="str">
        <v>Sw</v>
      </c>
      <c r="M42" s="9" t="str">
        <v>12Y</v>
      </c>
      <c r="N42" s="9" t="str">
        <v>obj_0014d#0003</v>
      </c>
      <c r="O42" s="96">
        <f>_xll.qlRateHelperRate(N42,Trigger)</f>
        <v>4.4800000000000005E-3</v>
      </c>
      <c r="P42" s="10">
        <f>_xll.qlRateHelperEarliestDate(N42,Trigger)</f>
        <v>42502</v>
      </c>
      <c r="Q42" s="10">
        <f>_xll.qlRateHelperPillarDate(N42,Trigger)</f>
        <v>46885</v>
      </c>
      <c r="R42" s="96">
        <v>4.6407719800152071E-3</v>
      </c>
    </row>
    <row r="43" spans="1:18" ht="11.25" customHeight="1" x14ac:dyDescent="0.2">
      <c r="A43" s="84" t="str">
        <v>Sw</v>
      </c>
      <c r="B43" s="84" t="str">
        <v>13Y</v>
      </c>
      <c r="C43" s="85" t="str">
        <f t="shared" si="1"/>
        <v>13Y</v>
      </c>
      <c r="D43" s="86">
        <f t="shared" si="2"/>
        <v>2</v>
      </c>
      <c r="E43" s="87" t="str">
        <f t="shared" si="6"/>
        <v>Modified Following</v>
      </c>
      <c r="F43" s="88" t="str">
        <f t="shared" si="4"/>
        <v>TRUE</v>
      </c>
      <c r="G43" s="89" t="s">
        <v>39</v>
      </c>
      <c r="H43" s="90">
        <v>5.2539541500000002E-3</v>
      </c>
      <c r="I43" s="91" t="str">
        <f>IF(A43="Dp",_xll.qlDepositRateHelper2(,H43,IF(RIGHT(C43,1)="N","1D",C43),D43,Calendar,E43,F43,G43,,Trigger),_xll.qlOISRateHelper(,D43,C43,H43,"Eonia",,,Trigger))</f>
        <v>obj_0012e#0003</v>
      </c>
      <c r="J43" s="86" t="b">
        <f t="shared" si="5"/>
        <v>1</v>
      </c>
      <c r="L43" s="9" t="str">
        <v>Sw</v>
      </c>
      <c r="M43" s="9" t="str">
        <v>13Y</v>
      </c>
      <c r="N43" s="9" t="str">
        <v>obj_0012e#0003</v>
      </c>
      <c r="O43" s="96">
        <f>_xll.qlRateHelperRate(N43,Trigger)</f>
        <v>5.2539541500000002E-3</v>
      </c>
      <c r="P43" s="10">
        <f>_xll.qlRateHelperEarliestDate(N43,Trigger)</f>
        <v>42502</v>
      </c>
      <c r="Q43" s="10">
        <f>_xll.qlRateHelperPillarDate(N43,Trigger)</f>
        <v>47252</v>
      </c>
      <c r="R43" s="96">
        <v>5.4575575864853872E-3</v>
      </c>
    </row>
    <row r="44" spans="1:18" ht="11.25" customHeight="1" x14ac:dyDescent="0.2">
      <c r="A44" s="84" t="str">
        <v>Sw</v>
      </c>
      <c r="B44" s="84" t="str">
        <v>14Y</v>
      </c>
      <c r="C44" s="85" t="str">
        <f t="shared" si="1"/>
        <v>14Y</v>
      </c>
      <c r="D44" s="86">
        <f t="shared" si="2"/>
        <v>2</v>
      </c>
      <c r="E44" s="87" t="str">
        <f t="shared" si="6"/>
        <v>Modified Following</v>
      </c>
      <c r="F44" s="88" t="str">
        <f t="shared" si="4"/>
        <v>TRUE</v>
      </c>
      <c r="G44" s="89" t="s">
        <v>39</v>
      </c>
      <c r="H44" s="90">
        <v>5.93681255E-3</v>
      </c>
      <c r="I44" s="91" t="str">
        <f>IF(A44="Dp",_xll.qlDepositRateHelper2(,H44,IF(RIGHT(C44,1)="N","1D",C44),D44,Calendar,E44,F44,G44,,Trigger),_xll.qlOISRateHelper(,D44,C44,H44,"Eonia",,,Trigger))</f>
        <v>obj_00128#0003</v>
      </c>
      <c r="J44" s="86" t="b">
        <f t="shared" si="5"/>
        <v>1</v>
      </c>
      <c r="L44" s="9" t="str">
        <v>Sw</v>
      </c>
      <c r="M44" s="9" t="str">
        <v>14Y</v>
      </c>
      <c r="N44" s="9" t="str">
        <v>obj_00128#0003</v>
      </c>
      <c r="O44" s="96">
        <f>_xll.qlRateHelperRate(N44,Trigger)</f>
        <v>5.93681255E-3</v>
      </c>
      <c r="P44" s="10">
        <f>_xll.qlRateHelperEarliestDate(N44,Trigger)</f>
        <v>42502</v>
      </c>
      <c r="Q44" s="10">
        <f>_xll.qlRateHelperPillarDate(N44,Trigger)</f>
        <v>47616</v>
      </c>
      <c r="R44" s="96">
        <v>6.1825508702169733E-3</v>
      </c>
    </row>
    <row r="45" spans="1:18" ht="11.25" customHeight="1" x14ac:dyDescent="0.2">
      <c r="A45" s="84" t="str">
        <v>Sw</v>
      </c>
      <c r="B45" s="84" t="str">
        <v>15Y</v>
      </c>
      <c r="C45" s="85" t="str">
        <f t="shared" si="1"/>
        <v>15Y</v>
      </c>
      <c r="D45" s="86">
        <f t="shared" si="2"/>
        <v>2</v>
      </c>
      <c r="E45" s="87" t="str">
        <f t="shared" si="6"/>
        <v>Modified Following</v>
      </c>
      <c r="F45" s="88" t="str">
        <f t="shared" si="4"/>
        <v>TRUE</v>
      </c>
      <c r="G45" s="89" t="s">
        <v>39</v>
      </c>
      <c r="H45" s="90">
        <v>6.5200000000000006E-3</v>
      </c>
      <c r="I45" s="91" t="str">
        <f>IF(A45="Dp",_xll.qlDepositRateHelper2(,H45,IF(RIGHT(C45,1)="N","1D",C45),D45,Calendar,E45,F45,G45,,Trigger),_xll.qlOISRateHelper(,D45,C45,H45,"Eonia",,,Trigger))</f>
        <v>obj_00150#0003</v>
      </c>
      <c r="J45" s="86" t="b">
        <f t="shared" si="5"/>
        <v>1</v>
      </c>
      <c r="L45" s="9" t="str">
        <v>Sw</v>
      </c>
      <c r="M45" s="9" t="str">
        <v>15Y</v>
      </c>
      <c r="N45" s="9" t="str">
        <v>obj_00150#0003</v>
      </c>
      <c r="O45" s="96">
        <f>_xll.qlRateHelperRate(N45,Trigger)</f>
        <v>6.5200000000000006E-3</v>
      </c>
      <c r="P45" s="10">
        <f>_xll.qlRateHelperEarliestDate(N45,Trigger)</f>
        <v>42502</v>
      </c>
      <c r="Q45" s="10">
        <f>_xll.qlRateHelperPillarDate(N45,Trigger)</f>
        <v>47980</v>
      </c>
      <c r="R45" s="96">
        <v>6.8046066681873938E-3</v>
      </c>
    </row>
    <row r="46" spans="1:18" ht="11.25" customHeight="1" x14ac:dyDescent="0.2">
      <c r="A46" s="84" t="str">
        <v>Sw</v>
      </c>
      <c r="B46" s="84" t="str">
        <v>16Y</v>
      </c>
      <c r="C46" s="85" t="str">
        <f t="shared" si="1"/>
        <v>16Y</v>
      </c>
      <c r="D46" s="86">
        <f t="shared" si="2"/>
        <v>2</v>
      </c>
      <c r="E46" s="87" t="str">
        <f t="shared" si="6"/>
        <v>Modified Following</v>
      </c>
      <c r="F46" s="88" t="str">
        <f t="shared" si="4"/>
        <v>TRUE</v>
      </c>
      <c r="G46" s="89" t="s">
        <v>39</v>
      </c>
      <c r="H46" s="90">
        <v>7.0129927000000007E-3</v>
      </c>
      <c r="I46" s="91" t="str">
        <f>IF(A46="Dp",_xll.qlDepositRateHelper2(,H46,IF(RIGHT(C46,1)="N","1D",C46),D46,Calendar,E46,F46,G46,,Trigger),_xll.qlOISRateHelper(,D46,C46,H46,"Eonia",,,Trigger))</f>
        <v>obj_00157#0003</v>
      </c>
      <c r="J46" s="86" t="b">
        <f t="shared" si="5"/>
        <v>1</v>
      </c>
      <c r="L46" s="9" t="str">
        <v>Sw</v>
      </c>
      <c r="M46" s="9" t="str">
        <v>16Y</v>
      </c>
      <c r="N46" s="9" t="str">
        <v>obj_00157#0003</v>
      </c>
      <c r="O46" s="96">
        <f>_xll.qlRateHelperRate(N46,Trigger)</f>
        <v>7.0129927000000007E-3</v>
      </c>
      <c r="P46" s="10">
        <f>_xll.qlRateHelperEarliestDate(N46,Trigger)</f>
        <v>42502</v>
      </c>
      <c r="Q46" s="10">
        <f>_xll.qlRateHelperPillarDate(N46,Trigger)</f>
        <v>48346</v>
      </c>
      <c r="R46" s="96">
        <v>7.3321482087146672E-3</v>
      </c>
    </row>
    <row r="47" spans="1:18" ht="11.25" customHeight="1" x14ac:dyDescent="0.2">
      <c r="A47" s="84" t="str">
        <v>Sw</v>
      </c>
      <c r="B47" s="84" t="str">
        <v>17Y</v>
      </c>
      <c r="C47" s="85" t="str">
        <f t="shared" si="1"/>
        <v>17Y</v>
      </c>
      <c r="D47" s="86">
        <f t="shared" si="2"/>
        <v>2</v>
      </c>
      <c r="E47" s="87" t="str">
        <f t="shared" si="6"/>
        <v>Modified Following</v>
      </c>
      <c r="F47" s="88" t="str">
        <f t="shared" si="4"/>
        <v>TRUE</v>
      </c>
      <c r="G47" s="89" t="s">
        <v>39</v>
      </c>
      <c r="H47" s="90">
        <v>7.4235390099999998E-3</v>
      </c>
      <c r="I47" s="91" t="str">
        <f>IF(A47="Dp",_xll.qlDepositRateHelper2(,H47,IF(RIGHT(C47,1)="N","1D",C47),D47,Calendar,E47,F47,G47,,Trigger),_xll.qlOISRateHelper(,D47,C47,H47,"Eonia",,,Trigger))</f>
        <v>obj_00145#0003</v>
      </c>
      <c r="J47" s="86" t="b">
        <f t="shared" si="5"/>
        <v>1</v>
      </c>
      <c r="L47" s="9" t="str">
        <v>Sw</v>
      </c>
      <c r="M47" s="9" t="str">
        <v>17Y</v>
      </c>
      <c r="N47" s="9" t="str">
        <v>obj_00145#0003</v>
      </c>
      <c r="O47" s="96">
        <f>_xll.qlRateHelperRate(N47,Trigger)</f>
        <v>7.4235390099999998E-3</v>
      </c>
      <c r="P47" s="10">
        <f>_xll.qlRateHelperEarliestDate(N47,Trigger)</f>
        <v>42502</v>
      </c>
      <c r="Q47" s="10">
        <f>_xll.qlRateHelperPillarDate(N47,Trigger)</f>
        <v>48711</v>
      </c>
      <c r="R47" s="96">
        <v>7.7722529797220521E-3</v>
      </c>
    </row>
    <row r="48" spans="1:18" ht="11.25" customHeight="1" x14ac:dyDescent="0.2">
      <c r="A48" s="84" t="str">
        <v>Sw</v>
      </c>
      <c r="B48" s="84" t="str">
        <v>18Y</v>
      </c>
      <c r="C48" s="85" t="str">
        <f t="shared" si="1"/>
        <v>18Y</v>
      </c>
      <c r="D48" s="86">
        <f t="shared" si="2"/>
        <v>2</v>
      </c>
      <c r="E48" s="87" t="str">
        <f t="shared" si="6"/>
        <v>Modified Following</v>
      </c>
      <c r="F48" s="88" t="str">
        <f t="shared" si="4"/>
        <v>TRUE</v>
      </c>
      <c r="G48" s="89" t="s">
        <v>39</v>
      </c>
      <c r="H48" s="90">
        <v>7.7626347500000005E-3</v>
      </c>
      <c r="I48" s="91" t="str">
        <f>IF(A48="Dp",_xll.qlDepositRateHelper2(,H48,IF(RIGHT(C48,1)="N","1D",C48),D48,Calendar,E48,F48,G48,,Trigger),_xll.qlOISRateHelper(,D48,C48,H48,"Eonia",,,Trigger))</f>
        <v>obj_00147#0003</v>
      </c>
      <c r="J48" s="86" t="b">
        <f t="shared" si="5"/>
        <v>1</v>
      </c>
      <c r="L48" s="9" t="str">
        <v>Sw</v>
      </c>
      <c r="M48" s="9" t="str">
        <v>18Y</v>
      </c>
      <c r="N48" s="9" t="str">
        <v>obj_00147#0003</v>
      </c>
      <c r="O48" s="96">
        <f>_xll.qlRateHelperRate(N48,Trigger)</f>
        <v>7.7626347500000005E-3</v>
      </c>
      <c r="P48" s="10">
        <f>_xll.qlRateHelperEarliestDate(N48,Trigger)</f>
        <v>42502</v>
      </c>
      <c r="Q48" s="10">
        <f>_xll.qlRateHelperPillarDate(N48,Trigger)</f>
        <v>49076</v>
      </c>
      <c r="R48" s="96">
        <v>8.135716229026339E-3</v>
      </c>
    </row>
    <row r="49" spans="1:18" ht="11.25" customHeight="1" x14ac:dyDescent="0.2">
      <c r="A49" s="84" t="str">
        <v>Sw</v>
      </c>
      <c r="B49" s="84" t="str">
        <v>19Y</v>
      </c>
      <c r="C49" s="85" t="str">
        <f t="shared" si="1"/>
        <v>19Y</v>
      </c>
      <c r="D49" s="86">
        <f t="shared" si="2"/>
        <v>2</v>
      </c>
      <c r="E49" s="87" t="str">
        <f t="shared" si="6"/>
        <v>Modified Following</v>
      </c>
      <c r="F49" s="88" t="str">
        <f t="shared" si="4"/>
        <v>TRUE</v>
      </c>
      <c r="G49" s="89" t="s">
        <v>39</v>
      </c>
      <c r="H49" s="90">
        <v>8.0409486900000007E-3</v>
      </c>
      <c r="I49" s="91" t="str">
        <f>IF(A49="Dp",_xll.qlDepositRateHelper2(,H49,IF(RIGHT(C49,1)="N","1D",C49),D49,Calendar,E49,F49,G49,,Trigger),_xll.qlOISRateHelper(,D49,C49,H49,"Eonia",,,Trigger))</f>
        <v>obj_00137#0003</v>
      </c>
      <c r="J49" s="86" t="b">
        <f t="shared" si="5"/>
        <v>1</v>
      </c>
      <c r="L49" s="9" t="str">
        <v>Sw</v>
      </c>
      <c r="M49" s="9" t="str">
        <v>19Y</v>
      </c>
      <c r="N49" s="9" t="str">
        <v>obj_00137#0003</v>
      </c>
      <c r="O49" s="96">
        <f>_xll.qlRateHelperRate(N49,Trigger)</f>
        <v>8.0409486900000007E-3</v>
      </c>
      <c r="P49" s="10">
        <f>_xll.qlRateHelperEarliestDate(N49,Trigger)</f>
        <v>42502</v>
      </c>
      <c r="Q49" s="10">
        <f>_xll.qlRateHelperPillarDate(N49,Trigger)</f>
        <v>49443</v>
      </c>
      <c r="R49" s="96">
        <v>8.4332871114670693E-3</v>
      </c>
    </row>
    <row r="50" spans="1:18" ht="11.25" customHeight="1" x14ac:dyDescent="0.2">
      <c r="A50" s="84" t="str">
        <v>Sw</v>
      </c>
      <c r="B50" s="84" t="str">
        <v>20Y</v>
      </c>
      <c r="C50" s="85" t="str">
        <f t="shared" si="1"/>
        <v>20Y</v>
      </c>
      <c r="D50" s="86">
        <f t="shared" si="2"/>
        <v>2</v>
      </c>
      <c r="E50" s="87" t="str">
        <f t="shared" si="6"/>
        <v>Modified Following</v>
      </c>
      <c r="F50" s="88" t="str">
        <f t="shared" si="4"/>
        <v>TRUE</v>
      </c>
      <c r="G50" s="89" t="s">
        <v>39</v>
      </c>
      <c r="H50" s="90">
        <v>8.2699999999999996E-3</v>
      </c>
      <c r="I50" s="91" t="str">
        <f>IF(A50="Dp",_xll.qlDepositRateHelper2(,H50,IF(RIGHT(C50,1)="N","1D",C50),D50,Calendar,E50,F50,G50,,Trigger),_xll.qlOISRateHelper(,D50,C50,H50,"Eonia",,,Trigger))</f>
        <v>obj_00126#0003</v>
      </c>
      <c r="J50" s="86" t="b">
        <f t="shared" si="5"/>
        <v>1</v>
      </c>
      <c r="L50" s="9" t="str">
        <v>Sw</v>
      </c>
      <c r="M50" s="9" t="str">
        <v>20Y</v>
      </c>
      <c r="N50" s="9" t="str">
        <v>obj_00126#0003</v>
      </c>
      <c r="O50" s="96">
        <f>_xll.qlRateHelperRate(N50,Trigger)</f>
        <v>8.2699999999999996E-3</v>
      </c>
      <c r="P50" s="10">
        <f>_xll.qlRateHelperEarliestDate(N50,Trigger)</f>
        <v>42502</v>
      </c>
      <c r="Q50" s="10">
        <f>_xll.qlRateHelperPillarDate(N50,Trigger)</f>
        <v>49807</v>
      </c>
      <c r="R50" s="96">
        <v>8.6773746763312946E-3</v>
      </c>
    </row>
    <row r="51" spans="1:18" ht="11.25" customHeight="1" x14ac:dyDescent="0.2">
      <c r="A51" s="84" t="str">
        <v>Sw</v>
      </c>
      <c r="B51" s="84" t="str">
        <v>21Y</v>
      </c>
      <c r="C51" s="85" t="str">
        <f t="shared" si="1"/>
        <v>21Y</v>
      </c>
      <c r="D51" s="86">
        <f t="shared" si="2"/>
        <v>2</v>
      </c>
      <c r="E51" s="87" t="str">
        <f t="shared" si="6"/>
        <v>Modified Following</v>
      </c>
      <c r="F51" s="88" t="str">
        <f t="shared" si="4"/>
        <v>TRUE</v>
      </c>
      <c r="G51" s="89" t="s">
        <v>39</v>
      </c>
      <c r="H51" s="90">
        <v>8.4561481100000006E-3</v>
      </c>
      <c r="I51" s="91" t="str">
        <f>IF(A51="Dp",_xll.qlDepositRateHelper2(,H51,IF(RIGHT(C51,1)="N","1D",C51),D51,Calendar,E51,F51,G51,,Trigger),_xll.qlOISRateHelper(,D51,C51,H51,"Eonia",,,Trigger))</f>
        <v>obj_0014c#0003</v>
      </c>
      <c r="J51" s="86" t="b">
        <f t="shared" si="5"/>
        <v>1</v>
      </c>
      <c r="L51" s="9" t="str">
        <v>Sw</v>
      </c>
      <c r="M51" s="9" t="str">
        <v>21Y</v>
      </c>
      <c r="N51" s="9" t="str">
        <v>obj_0014c#0003</v>
      </c>
      <c r="O51" s="96">
        <f>_xll.qlRateHelperRate(N51,Trigger)</f>
        <v>8.4561481100000006E-3</v>
      </c>
      <c r="P51" s="10">
        <f>_xll.qlRateHelperEarliestDate(N51,Trigger)</f>
        <v>42502</v>
      </c>
      <c r="Q51" s="10">
        <f>_xll.qlRateHelperPillarDate(N51,Trigger)</f>
        <v>50172</v>
      </c>
      <c r="R51" s="96">
        <v>8.8743191050274367E-3</v>
      </c>
    </row>
    <row r="52" spans="1:18" ht="11.25" customHeight="1" x14ac:dyDescent="0.2">
      <c r="A52" s="84" t="str">
        <v>Sw</v>
      </c>
      <c r="B52" s="84" t="str">
        <v>22Y</v>
      </c>
      <c r="C52" s="85" t="str">
        <f t="shared" si="1"/>
        <v>22Y</v>
      </c>
      <c r="D52" s="86">
        <f t="shared" si="2"/>
        <v>2</v>
      </c>
      <c r="E52" s="87" t="str">
        <f t="shared" si="6"/>
        <v>Modified Following</v>
      </c>
      <c r="F52" s="88" t="str">
        <f t="shared" si="4"/>
        <v>TRUE</v>
      </c>
      <c r="G52" s="89" t="s">
        <v>39</v>
      </c>
      <c r="H52" s="90">
        <v>8.6076496399999994E-3</v>
      </c>
      <c r="I52" s="91" t="str">
        <f>IF(A52="Dp",_xll.qlDepositRateHelper2(,H52,IF(RIGHT(C52,1)="N","1D",C52),D52,Calendar,E52,F52,G52,,Trigger),_xll.qlOISRateHelper(,D52,C52,H52,"Eonia",,,Trigger))</f>
        <v>obj_00158#0003</v>
      </c>
      <c r="J52" s="86" t="b">
        <f t="shared" si="5"/>
        <v>1</v>
      </c>
      <c r="L52" s="9" t="str">
        <v>Sw</v>
      </c>
      <c r="M52" s="9" t="str">
        <v>22Y</v>
      </c>
      <c r="N52" s="9" t="str">
        <v>obj_00158#0003</v>
      </c>
      <c r="O52" s="96">
        <f>_xll.qlRateHelperRate(N52,Trigger)</f>
        <v>8.6076496399999994E-3</v>
      </c>
      <c r="P52" s="10">
        <f>_xll.qlRateHelperEarliestDate(N52,Trigger)</f>
        <v>42502</v>
      </c>
      <c r="Q52" s="10">
        <f>_xll.qlRateHelperPillarDate(N52,Trigger)</f>
        <v>50537</v>
      </c>
      <c r="R52" s="96">
        <v>9.0330953693890624E-3</v>
      </c>
    </row>
    <row r="53" spans="1:18" ht="11.25" customHeight="1" x14ac:dyDescent="0.2">
      <c r="A53" s="84" t="str">
        <v>Sw</v>
      </c>
      <c r="B53" s="84" t="str">
        <v>23Y</v>
      </c>
      <c r="C53" s="85" t="str">
        <f t="shared" si="1"/>
        <v>23Y</v>
      </c>
      <c r="D53" s="86">
        <f t="shared" si="2"/>
        <v>2</v>
      </c>
      <c r="E53" s="87" t="str">
        <f t="shared" si="6"/>
        <v>Modified Following</v>
      </c>
      <c r="F53" s="88" t="str">
        <f t="shared" si="4"/>
        <v>TRUE</v>
      </c>
      <c r="G53" s="89" t="s">
        <v>39</v>
      </c>
      <c r="H53" s="90">
        <v>8.7288417799999997E-3</v>
      </c>
      <c r="I53" s="91" t="str">
        <f>IF(A53="Dp",_xll.qlDepositRateHelper2(,H53,IF(RIGHT(C53,1)="N","1D",C53),D53,Calendar,E53,F53,G53,,Trigger),_xll.qlOISRateHelper(,D53,C53,H53,"Eonia",,,Trigger))</f>
        <v>obj_00124#0003</v>
      </c>
      <c r="J53" s="86" t="b">
        <f t="shared" si="5"/>
        <v>1</v>
      </c>
      <c r="L53" s="9" t="str">
        <v>Sw</v>
      </c>
      <c r="M53" s="9" t="str">
        <v>23Y</v>
      </c>
      <c r="N53" s="9" t="str">
        <v>obj_00124#0003</v>
      </c>
      <c r="O53" s="96">
        <f>_xll.qlRateHelperRate(N53,Trigger)</f>
        <v>8.7288417799999997E-3</v>
      </c>
      <c r="P53" s="10">
        <f>_xll.qlRateHelperEarliestDate(N53,Trigger)</f>
        <v>42502</v>
      </c>
      <c r="Q53" s="10">
        <f>_xll.qlRateHelperPillarDate(N53,Trigger)</f>
        <v>50902</v>
      </c>
      <c r="R53" s="96">
        <v>9.1582765897050139E-3</v>
      </c>
    </row>
    <row r="54" spans="1:18" ht="11.25" customHeight="1" x14ac:dyDescent="0.2">
      <c r="A54" s="84" t="str">
        <v>Sw</v>
      </c>
      <c r="B54" s="84" t="str">
        <v>24Y</v>
      </c>
      <c r="C54" s="85" t="str">
        <f t="shared" si="1"/>
        <v>24Y</v>
      </c>
      <c r="D54" s="86">
        <f t="shared" si="2"/>
        <v>2</v>
      </c>
      <c r="E54" s="87" t="str">
        <f t="shared" si="6"/>
        <v>Modified Following</v>
      </c>
      <c r="F54" s="88" t="str">
        <f t="shared" si="4"/>
        <v>TRUE</v>
      </c>
      <c r="G54" s="89" t="s">
        <v>39</v>
      </c>
      <c r="H54" s="90">
        <v>8.8247690999999993E-3</v>
      </c>
      <c r="I54" s="91" t="str">
        <f>IF(A54="Dp",_xll.qlDepositRateHelper2(,H54,IF(RIGHT(C54,1)="N","1D",C54),D54,Calendar,E54,F54,G54,,Trigger),_xll.qlOISRateHelper(,D54,C54,H54,"Eonia",,,Trigger))</f>
        <v>obj_0013b#0003</v>
      </c>
      <c r="J54" s="86" t="b">
        <f t="shared" si="5"/>
        <v>1</v>
      </c>
      <c r="L54" s="9" t="str">
        <v>Sw</v>
      </c>
      <c r="M54" s="9" t="str">
        <v>24Y</v>
      </c>
      <c r="N54" s="9" t="str">
        <v>obj_0013b#0003</v>
      </c>
      <c r="O54" s="96">
        <f>_xll.qlRateHelperRate(N54,Trigger)</f>
        <v>8.8247690999999993E-3</v>
      </c>
      <c r="P54" s="10">
        <f>_xll.qlRateHelperEarliestDate(N54,Trigger)</f>
        <v>42502</v>
      </c>
      <c r="Q54" s="10">
        <f>_xll.qlRateHelperPillarDate(N54,Trigger)</f>
        <v>51270</v>
      </c>
      <c r="R54" s="96">
        <v>9.2552323537641711E-3</v>
      </c>
    </row>
    <row r="55" spans="1:18" ht="11.25" customHeight="1" x14ac:dyDescent="0.2">
      <c r="A55" s="84" t="str">
        <v>Sw</v>
      </c>
      <c r="B55" s="84" t="str">
        <v>25Y</v>
      </c>
      <c r="C55" s="85" t="str">
        <f t="shared" si="1"/>
        <v>25Y</v>
      </c>
      <c r="D55" s="86">
        <f t="shared" si="2"/>
        <v>2</v>
      </c>
      <c r="E55" s="87" t="str">
        <f t="shared" si="6"/>
        <v>Modified Following</v>
      </c>
      <c r="F55" s="88" t="str">
        <f t="shared" si="4"/>
        <v>TRUE</v>
      </c>
      <c r="G55" s="89" t="s">
        <v>39</v>
      </c>
      <c r="H55" s="90">
        <v>8.8999999999999999E-3</v>
      </c>
      <c r="I55" s="91" t="str">
        <f>IF(A55="Dp",_xll.qlDepositRateHelper2(,H55,IF(RIGHT(C55,1)="N","1D",C55),D55,Calendar,E55,F55,G55,,Trigger),_xll.qlOISRateHelper(,D55,C55,H55,"Eonia",,,Trigger))</f>
        <v>obj_00152#0003</v>
      </c>
      <c r="J55" s="86" t="b">
        <f t="shared" si="5"/>
        <v>1</v>
      </c>
      <c r="L55" s="9" t="str">
        <v>Sw</v>
      </c>
      <c r="M55" s="9" t="str">
        <v>25Y</v>
      </c>
      <c r="N55" s="9" t="str">
        <v>obj_00152#0003</v>
      </c>
      <c r="O55" s="96">
        <f>_xll.qlRateHelperRate(N55,Trigger)</f>
        <v>8.8999999999999999E-3</v>
      </c>
      <c r="P55" s="10">
        <f>_xll.qlRateHelperEarliestDate(N55,Trigger)</f>
        <v>42502</v>
      </c>
      <c r="Q55" s="10">
        <f>_xll.qlRateHelperPillarDate(N55,Trigger)</f>
        <v>51634</v>
      </c>
      <c r="R55" s="96">
        <v>9.329332438364658E-3</v>
      </c>
    </row>
    <row r="56" spans="1:18" ht="11.25" customHeight="1" x14ac:dyDescent="0.2">
      <c r="A56" s="84" t="str">
        <v>Sw</v>
      </c>
      <c r="B56" s="84" t="str">
        <v>26Y</v>
      </c>
      <c r="C56" s="85" t="str">
        <f t="shared" si="1"/>
        <v>26Y</v>
      </c>
      <c r="D56" s="86">
        <f t="shared" si="2"/>
        <v>2</v>
      </c>
      <c r="E56" s="87" t="str">
        <f t="shared" si="6"/>
        <v>Modified Following</v>
      </c>
      <c r="F56" s="88" t="str">
        <f t="shared" si="4"/>
        <v>TRUE</v>
      </c>
      <c r="G56" s="89" t="s">
        <v>39</v>
      </c>
      <c r="H56" s="90">
        <v>8.9582498700000006E-3</v>
      </c>
      <c r="I56" s="91" t="str">
        <f>IF(A56="Dp",_xll.qlDepositRateHelper2(,H56,IF(RIGHT(C56,1)="N","1D",C56),D56,Calendar,E56,F56,G56,,Trigger),_xll.qlOISRateHelper(,D56,C56,H56,"Eonia",,,Trigger))</f>
        <v>obj_0012c#0003</v>
      </c>
      <c r="J56" s="86" t="b">
        <f t="shared" si="5"/>
        <v>1</v>
      </c>
      <c r="L56" s="9" t="str">
        <v>Sw</v>
      </c>
      <c r="M56" s="9" t="str">
        <v>26Y</v>
      </c>
      <c r="N56" s="9" t="str">
        <v>obj_0012c#0003</v>
      </c>
      <c r="O56" s="96">
        <f>_xll.qlRateHelperRate(N56,Trigger)</f>
        <v>8.9582498700000006E-3</v>
      </c>
      <c r="P56" s="10">
        <f>_xll.qlRateHelperEarliestDate(N56,Trigger)</f>
        <v>42502</v>
      </c>
      <c r="Q56" s="10">
        <f>_xll.qlRateHelperPillarDate(N56,Trigger)</f>
        <v>51998</v>
      </c>
      <c r="R56" s="96">
        <v>9.3845158741240071E-3</v>
      </c>
    </row>
    <row r="57" spans="1:18" ht="11.25" customHeight="1" x14ac:dyDescent="0.2">
      <c r="A57" s="84" t="str">
        <v>Sw</v>
      </c>
      <c r="B57" s="84" t="str">
        <v>27Y</v>
      </c>
      <c r="C57" s="85" t="str">
        <f t="shared" si="1"/>
        <v>27Y</v>
      </c>
      <c r="D57" s="86">
        <f t="shared" si="2"/>
        <v>2</v>
      </c>
      <c r="E57" s="87" t="str">
        <f t="shared" si="6"/>
        <v>Modified Following</v>
      </c>
      <c r="F57" s="88" t="str">
        <f t="shared" si="4"/>
        <v>TRUE</v>
      </c>
      <c r="G57" s="89" t="s">
        <v>39</v>
      </c>
      <c r="H57" s="90">
        <v>9.0034494899999991E-3</v>
      </c>
      <c r="I57" s="91" t="str">
        <f>IF(A57="Dp",_xll.qlDepositRateHelper2(,H57,IF(RIGHT(C57,1)="N","1D",C57),D57,Calendar,E57,F57,G57,,Trigger),_xll.qlOISRateHelper(,D57,C57,H57,"Eonia",,,Trigger))</f>
        <v>obj_00132#0003</v>
      </c>
      <c r="J57" s="86" t="b">
        <f t="shared" si="5"/>
        <v>1</v>
      </c>
      <c r="L57" s="9" t="str">
        <v>Sw</v>
      </c>
      <c r="M57" s="9" t="str">
        <v>27Y</v>
      </c>
      <c r="N57" s="9" t="str">
        <v>obj_00132#0003</v>
      </c>
      <c r="O57" s="96">
        <f>_xll.qlRateHelperRate(N57,Trigger)</f>
        <v>9.0034494899999991E-3</v>
      </c>
      <c r="P57" s="10">
        <f>_xll.qlRateHelperEarliestDate(N57,Trigger)</f>
        <v>42502</v>
      </c>
      <c r="Q57" s="10">
        <f>_xll.qlRateHelperPillarDate(N57,Trigger)</f>
        <v>52363</v>
      </c>
      <c r="R57" s="96">
        <v>9.4251975169187142E-3</v>
      </c>
    </row>
    <row r="58" spans="1:18" ht="11.25" customHeight="1" x14ac:dyDescent="0.2">
      <c r="A58" s="84" t="str">
        <v>Sw</v>
      </c>
      <c r="B58" s="84" t="str">
        <v>28Y</v>
      </c>
      <c r="C58" s="85" t="str">
        <f t="shared" si="1"/>
        <v>28Y</v>
      </c>
      <c r="D58" s="86">
        <f t="shared" si="2"/>
        <v>2</v>
      </c>
      <c r="E58" s="87" t="str">
        <f t="shared" si="6"/>
        <v>Modified Following</v>
      </c>
      <c r="F58" s="88" t="str">
        <f t="shared" si="4"/>
        <v>TRUE</v>
      </c>
      <c r="G58" s="89" t="s">
        <v>39</v>
      </c>
      <c r="H58" s="90">
        <v>9.0386934900000011E-3</v>
      </c>
      <c r="I58" s="91" t="str">
        <f>IF(A58="Dp",_xll.qlDepositRateHelper2(,H58,IF(RIGHT(C58,1)="N","1D",C58),D58,Calendar,E58,F58,G58,,Trigger),_xll.qlOISRateHelper(,D58,C58,H58,"Eonia",,,Trigger))</f>
        <v>obj_0014f#0003</v>
      </c>
      <c r="J58" s="86" t="b">
        <f t="shared" si="5"/>
        <v>1</v>
      </c>
      <c r="L58" s="9" t="str">
        <v>Sw</v>
      </c>
      <c r="M58" s="9" t="str">
        <v>28Y</v>
      </c>
      <c r="N58" s="9" t="str">
        <v>obj_0014f#0003</v>
      </c>
      <c r="O58" s="96">
        <f>_xll.qlRateHelperRate(N58,Trigger)</f>
        <v>9.0386934900000011E-3</v>
      </c>
      <c r="P58" s="10">
        <f>_xll.qlRateHelperEarliestDate(N58,Trigger)</f>
        <v>42502</v>
      </c>
      <c r="Q58" s="10">
        <f>_xll.qlRateHelperPillarDate(N58,Trigger)</f>
        <v>52729</v>
      </c>
      <c r="R58" s="96">
        <v>9.4549044748804666E-3</v>
      </c>
    </row>
    <row r="59" spans="1:18" ht="11.25" customHeight="1" x14ac:dyDescent="0.2">
      <c r="A59" s="84" t="str">
        <v>Sw</v>
      </c>
      <c r="B59" s="84" t="str">
        <v>29Y</v>
      </c>
      <c r="C59" s="85" t="str">
        <f t="shared" si="1"/>
        <v>29Y</v>
      </c>
      <c r="D59" s="86">
        <f t="shared" si="2"/>
        <v>2</v>
      </c>
      <c r="E59" s="87" t="str">
        <f t="shared" si="6"/>
        <v>Modified Following</v>
      </c>
      <c r="F59" s="88" t="str">
        <f t="shared" si="4"/>
        <v>TRUE</v>
      </c>
      <c r="G59" s="89" t="s">
        <v>39</v>
      </c>
      <c r="H59" s="90">
        <v>9.0665484600000006E-3</v>
      </c>
      <c r="I59" s="91" t="str">
        <f>IF(A59="Dp",_xll.qlDepositRateHelper2(,H59,IF(RIGHT(C59,1)="N","1D",C59),D59,Calendar,E59,F59,G59,,Trigger),_xll.qlOISRateHelper(,D59,C59,H59,"Eonia",,,Trigger))</f>
        <v>obj_00153#0003</v>
      </c>
      <c r="J59" s="86" t="b">
        <f t="shared" si="5"/>
        <v>1</v>
      </c>
      <c r="L59" s="9" t="str">
        <v>Sw</v>
      </c>
      <c r="M59" s="9" t="str">
        <v>29Y</v>
      </c>
      <c r="N59" s="9" t="str">
        <v>obj_00153#0003</v>
      </c>
      <c r="O59" s="96">
        <f>_xll.qlRateHelperRate(N59,Trigger)</f>
        <v>9.0665484600000006E-3</v>
      </c>
      <c r="P59" s="10">
        <f>_xll.qlRateHelperEarliestDate(N59,Trigger)</f>
        <v>42502</v>
      </c>
      <c r="Q59" s="10">
        <f>_xll.qlRateHelperPillarDate(N59,Trigger)</f>
        <v>53094</v>
      </c>
      <c r="R59" s="96">
        <v>9.4766469931748514E-3</v>
      </c>
    </row>
    <row r="60" spans="1:18" ht="11.25" customHeight="1" x14ac:dyDescent="0.2">
      <c r="A60" s="84" t="str">
        <v>Sw</v>
      </c>
      <c r="B60" s="84" t="str">
        <v>30Y</v>
      </c>
      <c r="C60" s="85" t="str">
        <f t="shared" si="1"/>
        <v>30Y</v>
      </c>
      <c r="D60" s="86">
        <f t="shared" si="2"/>
        <v>2</v>
      </c>
      <c r="E60" s="87" t="str">
        <f t="shared" si="6"/>
        <v>Modified Following</v>
      </c>
      <c r="F60" s="88" t="str">
        <f t="shared" si="4"/>
        <v>TRUE</v>
      </c>
      <c r="G60" s="89" t="s">
        <v>39</v>
      </c>
      <c r="H60" s="90">
        <v>9.0900000000000009E-3</v>
      </c>
      <c r="I60" s="91" t="str">
        <f>IF(A60="Dp",_xll.qlDepositRateHelper2(,H60,IF(RIGHT(C60,1)="N","1D",C60),D60,Calendar,E60,F60,G60,,Trigger),_xll.qlOISRateHelper(,D60,C60,H60,"Eonia",,,Trigger))</f>
        <v>obj_00155#0003</v>
      </c>
      <c r="J60" s="86" t="b">
        <f t="shared" si="5"/>
        <v>1</v>
      </c>
      <c r="L60" s="9" t="str">
        <v>Sw</v>
      </c>
      <c r="M60" s="9" t="str">
        <v>30Y</v>
      </c>
      <c r="N60" s="9" t="str">
        <v>obj_00155#0003</v>
      </c>
      <c r="O60" s="96">
        <f>_xll.qlRateHelperRate(N60,Trigger)</f>
        <v>9.0900000000000009E-3</v>
      </c>
      <c r="P60" s="10">
        <f>_xll.qlRateHelperEarliestDate(N60,Trigger)</f>
        <v>42502</v>
      </c>
      <c r="Q60" s="10">
        <f>_xll.qlRateHelperPillarDate(N60,Trigger)</f>
        <v>53461</v>
      </c>
      <c r="R60" s="96">
        <v>9.4937909601153607E-3</v>
      </c>
    </row>
    <row r="61" spans="1:18" ht="11.25" customHeight="1" x14ac:dyDescent="0.2">
      <c r="A61" s="84" t="str">
        <v>Sw</v>
      </c>
      <c r="B61" s="84" t="str">
        <v>35Y</v>
      </c>
      <c r="C61" s="85" t="str">
        <f t="shared" si="1"/>
        <v>35Y</v>
      </c>
      <c r="D61" s="86">
        <f t="shared" si="2"/>
        <v>2</v>
      </c>
      <c r="E61" s="87" t="str">
        <f t="shared" si="6"/>
        <v>Modified Following</v>
      </c>
      <c r="F61" s="88" t="str">
        <f t="shared" si="4"/>
        <v>TRUE</v>
      </c>
      <c r="G61" s="89" t="s">
        <v>39</v>
      </c>
      <c r="H61" s="90">
        <v>9.1647180399999986E-3</v>
      </c>
      <c r="I61" s="91" t="str">
        <f>IF(A61="Dp",_xll.qlDepositRateHelper2(,H61,IF(RIGHT(C61,1)="N","1D",C61),D61,Calendar,E61,F61,G61,,Trigger),_xll.qlOISRateHelper(,D61,C61,H61,"Eonia",,,Trigger))</f>
        <v>obj_00159#0003</v>
      </c>
      <c r="J61" s="86" t="b">
        <f t="shared" si="5"/>
        <v>1</v>
      </c>
      <c r="L61" s="9" t="str">
        <v>Sw</v>
      </c>
      <c r="M61" s="9" t="str">
        <v>35Y</v>
      </c>
      <c r="N61" s="9" t="str">
        <v>obj_00159#0003</v>
      </c>
      <c r="O61" s="96">
        <f>_xll.qlRateHelperRate(N61,Trigger)</f>
        <v>9.1647180399999986E-3</v>
      </c>
      <c r="P61" s="10">
        <f>_xll.qlRateHelperEarliestDate(N61,Trigger)</f>
        <v>42502</v>
      </c>
      <c r="Q61" s="10">
        <f>_xll.qlRateHelperPillarDate(N61,Trigger)</f>
        <v>55285</v>
      </c>
      <c r="R61" s="96">
        <v>9.5376994711751165E-3</v>
      </c>
    </row>
    <row r="62" spans="1:18" ht="11.25" customHeight="1" x14ac:dyDescent="0.2">
      <c r="A62" s="84" t="str">
        <v>Sw</v>
      </c>
      <c r="B62" s="84" t="str">
        <v>40Y</v>
      </c>
      <c r="C62" s="85" t="str">
        <f t="shared" si="1"/>
        <v>40Y</v>
      </c>
      <c r="D62" s="86">
        <f t="shared" si="2"/>
        <v>2</v>
      </c>
      <c r="E62" s="87" t="str">
        <f t="shared" si="6"/>
        <v>Modified Following</v>
      </c>
      <c r="F62" s="88" t="str">
        <f t="shared" si="4"/>
        <v>TRUE</v>
      </c>
      <c r="G62" s="89" t="s">
        <v>39</v>
      </c>
      <c r="H62" s="90">
        <v>9.1000000000000004E-3</v>
      </c>
      <c r="I62" s="91" t="str">
        <f>IF(A62="Dp",_xll.qlDepositRateHelper2(,H62,IF(RIGHT(C62,1)="N","1D",C62),D62,Calendar,E62,F62,G62,,Trigger),_xll.qlOISRateHelper(,D62,C62,H62,"Eonia",,,Trigger))</f>
        <v>obj_0015d#0003</v>
      </c>
      <c r="J62" s="86" t="b">
        <f t="shared" si="5"/>
        <v>1</v>
      </c>
      <c r="L62" s="9" t="str">
        <v>Sw</v>
      </c>
      <c r="M62" s="9" t="str">
        <v>40Y</v>
      </c>
      <c r="N62" s="9" t="str">
        <v>obj_0015d#0003</v>
      </c>
      <c r="O62" s="96">
        <f>_xll.qlRateHelperRate(N62,Trigger)</f>
        <v>9.1000000000000004E-3</v>
      </c>
      <c r="P62" s="10">
        <f>_xll.qlRateHelperEarliestDate(N62,Trigger)</f>
        <v>42502</v>
      </c>
      <c r="Q62" s="10">
        <f>_xll.qlRateHelperPillarDate(N62,Trigger)</f>
        <v>57112</v>
      </c>
      <c r="R62" s="96">
        <v>9.4216115015845776E-3</v>
      </c>
    </row>
    <row r="63" spans="1:18" ht="11.25" customHeight="1" x14ac:dyDescent="0.2">
      <c r="A63" s="84" t="str">
        <v>Sw</v>
      </c>
      <c r="B63" s="84" t="str">
        <v>50Y</v>
      </c>
      <c r="C63" s="85" t="str">
        <f t="shared" si="1"/>
        <v>50Y</v>
      </c>
      <c r="D63" s="86">
        <f t="shared" si="2"/>
        <v>2</v>
      </c>
      <c r="E63" s="87" t="str">
        <f t="shared" si="6"/>
        <v>Modified Following</v>
      </c>
      <c r="F63" s="88" t="str">
        <f t="shared" si="4"/>
        <v>TRUE</v>
      </c>
      <c r="G63" s="89" t="s">
        <v>39</v>
      </c>
      <c r="H63" s="90">
        <v>8.5799999999999991E-3</v>
      </c>
      <c r="I63" s="91" t="str">
        <f>IF(A63="Dp",_xll.qlDepositRateHelper2(,H63,IF(RIGHT(C63,1)="N","1D",C63),D63,Calendar,E63,F63,G63,,Trigger),_xll.qlOISRateHelper(,D63,C63,H63,"Eonia",,,Trigger))</f>
        <v>obj_00156#0003</v>
      </c>
      <c r="J63" s="86" t="b">
        <f t="shared" si="5"/>
        <v>1</v>
      </c>
      <c r="L63" s="9" t="str">
        <v>Sw</v>
      </c>
      <c r="M63" s="9" t="str">
        <v>50Y</v>
      </c>
      <c r="N63" s="9" t="str">
        <v>obj_00156#0003</v>
      </c>
      <c r="O63" s="96">
        <f>_xll.qlRateHelperRate(N63,Trigger)</f>
        <v>8.5799999999999991E-3</v>
      </c>
      <c r="P63" s="10">
        <f>_xll.qlRateHelperEarliestDate(N63,Trigger)</f>
        <v>42502</v>
      </c>
      <c r="Q63" s="10">
        <f>_xll.qlRateHelperPillarDate(N63,Trigger)</f>
        <v>60764</v>
      </c>
      <c r="R63" s="96">
        <v>8.7313675208955822E-3</v>
      </c>
    </row>
    <row r="64" spans="1:18" ht="11.25" customHeight="1" x14ac:dyDescent="0.2">
      <c r="A64" s="84" t="str">
        <v>Sw</v>
      </c>
      <c r="B64" s="84" t="str">
        <v>60Y</v>
      </c>
      <c r="C64" s="85" t="str">
        <f t="shared" si="1"/>
        <v>60Y</v>
      </c>
      <c r="D64" s="86">
        <f t="shared" si="2"/>
        <v>2</v>
      </c>
      <c r="E64" s="87" t="str">
        <f t="shared" si="6"/>
        <v>Modified Following</v>
      </c>
      <c r="F64" s="88" t="str">
        <f t="shared" si="4"/>
        <v>TRUE</v>
      </c>
      <c r="G64" s="89" t="s">
        <v>39</v>
      </c>
      <c r="H64" s="90">
        <v>8.4399999999999996E-3</v>
      </c>
      <c r="I64" s="91" t="str">
        <f>IF(A64="Dp",_xll.qlDepositRateHelper2(,H64,IF(RIGHT(C64,1)="N","1D",C64),D64,Calendar,E64,F64,G64,,Trigger),_xll.qlOISRateHelper(,D64,C64,H64,"Eonia",,,Trigger))</f>
        <v>obj_00136#0003</v>
      </c>
      <c r="J64" s="86" t="b">
        <f t="shared" si="5"/>
        <v>1</v>
      </c>
      <c r="L64" s="9" t="str">
        <v>Sw</v>
      </c>
      <c r="M64" s="9" t="str">
        <v>60Y</v>
      </c>
      <c r="N64" s="9" t="str">
        <v>obj_00136#0003</v>
      </c>
      <c r="O64" s="96">
        <f>_xll.qlRateHelperRate(N64,Trigger)</f>
        <v>8.4399999999999996E-3</v>
      </c>
      <c r="P64" s="10">
        <f>_xll.qlRateHelperEarliestDate(N64,Trigger)</f>
        <v>42502</v>
      </c>
      <c r="Q64" s="10">
        <f>_xll.qlRateHelperPillarDate(N64,Trigger)</f>
        <v>64417</v>
      </c>
      <c r="R64" s="96">
        <v>8.542891010254499E-3</v>
      </c>
    </row>
    <row r="65" spans="1:18" ht="11.25" customHeight="1" x14ac:dyDescent="0.2">
      <c r="A65" s="84" t="e">
        <v>#N/A</v>
      </c>
      <c r="B65" s="84" t="e">
        <v>#N/A</v>
      </c>
      <c r="C65" s="85" t="e">
        <f t="shared" si="1"/>
        <v>#N/A</v>
      </c>
      <c r="D65" s="86" t="e">
        <f t="shared" si="2"/>
        <v>#N/A</v>
      </c>
      <c r="E65" s="87" t="e">
        <f t="shared" si="6"/>
        <v>#N/A</v>
      </c>
      <c r="F65" s="88" t="e">
        <f t="shared" si="4"/>
        <v>#N/A</v>
      </c>
      <c r="G65" s="89" t="s">
        <v>39</v>
      </c>
      <c r="H65" s="90" t="e">
        <v>#N/A</v>
      </c>
      <c r="I65" s="91" t="e">
        <f>IF(A65="Dp",_xll.qlDepositRateHelper2(,H65,IF(RIGHT(C65,1)="N","1D",C65),D65,Calendar,E65,F65,G65,,Trigger),_xll.qlOISRateHelper(,D65,C65,H65,"Eonia",,,Trigger))</f>
        <v>#N/A</v>
      </c>
      <c r="J65" s="86" t="b">
        <f t="shared" si="5"/>
        <v>0</v>
      </c>
      <c r="L65" s="9" t="e">
        <v>#N/A</v>
      </c>
      <c r="M65" s="9" t="e">
        <v>#N/A</v>
      </c>
      <c r="N65" s="9" t="e">
        <v>#N/A</v>
      </c>
      <c r="O65" s="96" t="e">
        <f>_xll.qlRateHelperRate(N65,Trigger)</f>
        <v>#VALUE!</v>
      </c>
      <c r="P65" s="10" t="e">
        <f>_xll.qlRateHelperEarliestDate(N65,Trigger)</f>
        <v>#VALUE!</v>
      </c>
      <c r="Q65" s="10" t="e">
        <f>_xll.qlRateHelperPillarDate(N65,Trigger)</f>
        <v>#VALUE!</v>
      </c>
      <c r="R65" s="96" t="e">
        <v>#N/A</v>
      </c>
    </row>
    <row r="66" spans="1:18" ht="11.25" customHeight="1" x14ac:dyDescent="0.2">
      <c r="A66" s="84" t="e">
        <v>#N/A</v>
      </c>
      <c r="B66" s="84" t="e">
        <v>#N/A</v>
      </c>
      <c r="C66" s="85" t="e">
        <f t="shared" si="1"/>
        <v>#N/A</v>
      </c>
      <c r="D66" s="86" t="e">
        <f t="shared" si="2"/>
        <v>#N/A</v>
      </c>
      <c r="E66" s="87" t="e">
        <f t="shared" si="6"/>
        <v>#N/A</v>
      </c>
      <c r="F66" s="88" t="e">
        <f t="shared" si="4"/>
        <v>#N/A</v>
      </c>
      <c r="G66" s="89" t="s">
        <v>39</v>
      </c>
      <c r="H66" s="90" t="e">
        <v>#N/A</v>
      </c>
      <c r="I66" s="91" t="e">
        <f>IF(A66="Dp",_xll.qlDepositRateHelper2(,H66,IF(RIGHT(C66,1)="N","1D",C66),D66,Calendar,E66,F66,G66,,Trigger),_xll.qlOISRateHelper(,D66,C66,H66,"Eonia",,,Trigger))</f>
        <v>#N/A</v>
      </c>
      <c r="J66" s="86" t="b">
        <f t="shared" si="5"/>
        <v>0</v>
      </c>
      <c r="L66" s="9" t="e">
        <v>#N/A</v>
      </c>
      <c r="M66" s="9" t="e">
        <v>#N/A</v>
      </c>
      <c r="N66" s="9" t="e">
        <v>#N/A</v>
      </c>
      <c r="O66" s="96" t="e">
        <f>_xll.qlRateHelperRate(N66,Trigger)</f>
        <v>#VALUE!</v>
      </c>
      <c r="P66" s="10" t="e">
        <f>_xll.qlRateHelperEarliestDate(N66,Trigger)</f>
        <v>#VALUE!</v>
      </c>
      <c r="Q66" s="10" t="e">
        <f>_xll.qlRateHelperPillarDate(N66,Trigger)</f>
        <v>#VALUE!</v>
      </c>
      <c r="R66" s="96" t="e">
        <v>#N/A</v>
      </c>
    </row>
    <row r="67" spans="1:18" ht="11.25" customHeight="1" x14ac:dyDescent="0.2">
      <c r="A67" s="84" t="e">
        <v>#N/A</v>
      </c>
      <c r="B67" s="84" t="e">
        <v>#N/A</v>
      </c>
      <c r="C67" s="85" t="e">
        <f t="shared" si="1"/>
        <v>#N/A</v>
      </c>
      <c r="D67" s="86" t="e">
        <f t="shared" si="2"/>
        <v>#N/A</v>
      </c>
      <c r="E67" s="87" t="e">
        <f t="shared" si="6"/>
        <v>#N/A</v>
      </c>
      <c r="F67" s="88" t="e">
        <f t="shared" si="4"/>
        <v>#N/A</v>
      </c>
      <c r="G67" s="89" t="s">
        <v>39</v>
      </c>
      <c r="H67" s="90" t="e">
        <v>#N/A</v>
      </c>
      <c r="I67" s="91" t="e">
        <f>IF(A67="Dp",_xll.qlDepositRateHelper2(,H67,IF(RIGHT(C67,1)="N","1D",C67),D67,Calendar,E67,F67,G67,,Trigger),_xll.qlOISRateHelper(,D67,C67,H67,"Eonia",,,Trigger))</f>
        <v>#N/A</v>
      </c>
      <c r="J67" s="86" t="b">
        <f t="shared" si="5"/>
        <v>0</v>
      </c>
      <c r="L67" s="9" t="e">
        <v>#N/A</v>
      </c>
      <c r="M67" s="9" t="e">
        <v>#N/A</v>
      </c>
      <c r="N67" s="9" t="e">
        <v>#N/A</v>
      </c>
      <c r="O67" s="96" t="e">
        <f>_xll.qlRateHelperRate(N67,Trigger)</f>
        <v>#VALUE!</v>
      </c>
      <c r="P67" s="10" t="e">
        <f>_xll.qlRateHelperEarliestDate(N67,Trigger)</f>
        <v>#VALUE!</v>
      </c>
      <c r="Q67" s="10" t="e">
        <f>_xll.qlRateHelperPillarDate(N67,Trigger)</f>
        <v>#VALUE!</v>
      </c>
      <c r="R67" s="96" t="e">
        <v>#N/A</v>
      </c>
    </row>
    <row r="68" spans="1:18" ht="11.25" customHeight="1" x14ac:dyDescent="0.2">
      <c r="A68" s="84" t="e">
        <v>#N/A</v>
      </c>
      <c r="B68" s="84" t="e">
        <v>#N/A</v>
      </c>
      <c r="C68" s="85" t="e">
        <f t="shared" ref="C68:C71" si="7">SUBSTITUTE(B68,"/","")</f>
        <v>#N/A</v>
      </c>
      <c r="D68" s="86" t="e">
        <f t="shared" ref="D68:D71" si="8">IF(C68="ON",0,IF(C68="TN",1,2))</f>
        <v>#N/A</v>
      </c>
      <c r="E68" s="87" t="e">
        <f t="shared" si="6"/>
        <v>#N/A</v>
      </c>
      <c r="F68" s="88" t="e">
        <f t="shared" ref="F68:F71" si="9">IF(RIGHT(C68,1)="M","TRUE",IF(RIGHT(C68,1)="Y","TRUE","FALSE"))</f>
        <v>#N/A</v>
      </c>
      <c r="G68" s="89" t="s">
        <v>39</v>
      </c>
      <c r="H68" s="90" t="e">
        <v>#N/A</v>
      </c>
      <c r="I68" s="91" t="e">
        <f>IF(A68="Dp",_xll.qlDepositRateHelper2(,H68,IF(RIGHT(C68,1)="N","1D",C68),D68,Calendar,E68,F68,G68,,Trigger),_xll.qlOISRateHelper(,D68,C68,H68,"Eonia",,,Trigger))</f>
        <v>#N/A</v>
      </c>
      <c r="J68" s="86" t="b">
        <f t="shared" si="5"/>
        <v>0</v>
      </c>
      <c r="L68" s="9" t="e">
        <v>#N/A</v>
      </c>
      <c r="M68" s="9" t="e">
        <v>#N/A</v>
      </c>
      <c r="N68" s="9" t="e">
        <v>#N/A</v>
      </c>
      <c r="O68" s="96" t="e">
        <f>_xll.qlRateHelperRate(N68,Trigger)</f>
        <v>#VALUE!</v>
      </c>
      <c r="P68" s="10" t="e">
        <f>_xll.qlRateHelperEarliestDate(N68,Trigger)</f>
        <v>#VALUE!</v>
      </c>
      <c r="Q68" s="10" t="e">
        <f>_xll.qlRateHelperPillarDate(N68,Trigger)</f>
        <v>#VALUE!</v>
      </c>
      <c r="R68" s="96" t="e">
        <v>#N/A</v>
      </c>
    </row>
    <row r="69" spans="1:18" ht="11.25" customHeight="1" x14ac:dyDescent="0.2">
      <c r="A69" s="84" t="e">
        <v>#N/A</v>
      </c>
      <c r="B69" s="84" t="e">
        <v>#N/A</v>
      </c>
      <c r="C69" s="85" t="e">
        <f t="shared" si="7"/>
        <v>#N/A</v>
      </c>
      <c r="D69" s="86" t="e">
        <f t="shared" si="8"/>
        <v>#N/A</v>
      </c>
      <c r="E69" s="87" t="e">
        <f t="shared" si="6"/>
        <v>#N/A</v>
      </c>
      <c r="F69" s="88" t="e">
        <f t="shared" si="9"/>
        <v>#N/A</v>
      </c>
      <c r="G69" s="89" t="s">
        <v>39</v>
      </c>
      <c r="H69" s="90" t="e">
        <v>#N/A</v>
      </c>
      <c r="I69" s="91" t="e">
        <f>IF(A69="Dp",_xll.qlDepositRateHelper2(,H69,IF(RIGHT(C69,1)="N","1D",C69),D69,Calendar,E69,F69,G69,,Trigger),_xll.qlOISRateHelper(,D69,C69,H69,"Eonia",,,Trigger))</f>
        <v>#N/A</v>
      </c>
      <c r="J69" s="86" t="b">
        <f t="shared" si="5"/>
        <v>0</v>
      </c>
      <c r="L69" s="9" t="e">
        <v>#N/A</v>
      </c>
      <c r="M69" s="9" t="e">
        <v>#N/A</v>
      </c>
      <c r="N69" s="9" t="e">
        <v>#N/A</v>
      </c>
      <c r="O69" s="96" t="e">
        <f>_xll.qlRateHelperRate(N69,Trigger)</f>
        <v>#VALUE!</v>
      </c>
      <c r="P69" s="10" t="e">
        <f>_xll.qlRateHelperEarliestDate(N69,Trigger)</f>
        <v>#VALUE!</v>
      </c>
      <c r="Q69" s="10" t="e">
        <f>_xll.qlRateHelperPillarDate(N69,Trigger)</f>
        <v>#VALUE!</v>
      </c>
      <c r="R69" s="96" t="e">
        <v>#N/A</v>
      </c>
    </row>
    <row r="70" spans="1:18" ht="11.25" customHeight="1" x14ac:dyDescent="0.2">
      <c r="A70" s="84" t="e">
        <v>#N/A</v>
      </c>
      <c r="B70" s="84" t="e">
        <v>#N/A</v>
      </c>
      <c r="C70" s="85" t="e">
        <f t="shared" si="7"/>
        <v>#N/A</v>
      </c>
      <c r="D70" s="86" t="e">
        <f t="shared" si="8"/>
        <v>#N/A</v>
      </c>
      <c r="E70" s="87" t="e">
        <f t="shared" si="6"/>
        <v>#N/A</v>
      </c>
      <c r="F70" s="88" t="e">
        <f t="shared" si="9"/>
        <v>#N/A</v>
      </c>
      <c r="G70" s="89" t="s">
        <v>39</v>
      </c>
      <c r="H70" s="90" t="e">
        <v>#N/A</v>
      </c>
      <c r="I70" s="91" t="e">
        <f>IF(A70="Dp",_xll.qlDepositRateHelper2(,H70,IF(RIGHT(C70,1)="N","1D",C70),D70,Calendar,E70,F70,G70,,Trigger),_xll.qlOISRateHelper(,D70,C70,H70,"Eonia",,,Trigger))</f>
        <v>#N/A</v>
      </c>
      <c r="J70" s="86" t="b">
        <f t="shared" si="5"/>
        <v>0</v>
      </c>
      <c r="L70" s="9" t="e">
        <v>#N/A</v>
      </c>
      <c r="M70" s="9" t="e">
        <v>#N/A</v>
      </c>
      <c r="N70" s="9" t="e">
        <v>#N/A</v>
      </c>
      <c r="O70" s="96" t="e">
        <f>_xll.qlRateHelperRate(N70,Trigger)</f>
        <v>#VALUE!</v>
      </c>
      <c r="P70" s="10" t="e">
        <f>_xll.qlRateHelperEarliestDate(N70,Trigger)</f>
        <v>#VALUE!</v>
      </c>
      <c r="Q70" s="10" t="e">
        <f>_xll.qlRateHelperPillarDate(N70,Trigger)</f>
        <v>#VALUE!</v>
      </c>
      <c r="R70" s="96" t="e">
        <v>#N/A</v>
      </c>
    </row>
    <row r="71" spans="1:18" ht="11.25" customHeight="1" x14ac:dyDescent="0.2">
      <c r="A71" s="3" t="e">
        <v>#N/A</v>
      </c>
      <c r="B71" s="3" t="e">
        <v>#N/A</v>
      </c>
      <c r="C71" s="15" t="e">
        <f t="shared" si="7"/>
        <v>#N/A</v>
      </c>
      <c r="D71" s="13" t="e">
        <f t="shared" si="8"/>
        <v>#N/A</v>
      </c>
      <c r="E71" s="14" t="e">
        <f t="shared" si="6"/>
        <v>#N/A</v>
      </c>
      <c r="F71" s="16" t="e">
        <f t="shared" si="9"/>
        <v>#N/A</v>
      </c>
      <c r="G71" s="4" t="s">
        <v>39</v>
      </c>
      <c r="H71" s="5" t="e">
        <v>#N/A</v>
      </c>
      <c r="I71" s="6" t="e">
        <f>IF(A71="Dp",_xll.qlDepositRateHelper2(,H71,IF(RIGHT(C71,1)="N","1D",C71),D71,Calendar,E71,F71,G71,,Trigger),_xll.qlOISRateHelper(,D71,C71,H71,"Eonia",,,Trigger))</f>
        <v>#N/A</v>
      </c>
      <c r="J71" s="13" t="b">
        <f t="shared" si="5"/>
        <v>0</v>
      </c>
      <c r="L71" s="11" t="e">
        <v>#N/A</v>
      </c>
      <c r="M71" s="11" t="e">
        <v>#N/A</v>
      </c>
      <c r="N71" s="11" t="e">
        <v>#N/A</v>
      </c>
      <c r="O71" s="174" t="e">
        <f>_xll.qlRateHelperRate(N71,Trigger)</f>
        <v>#VALUE!</v>
      </c>
      <c r="P71" s="19" t="e">
        <f>_xll.qlRateHelperEarliestDate(N71,Trigger)</f>
        <v>#VALUE!</v>
      </c>
      <c r="Q71" s="19" t="e">
        <f>_xll.qlRateHelperPillarDate(N71,Trigger)</f>
        <v>#VALUE!</v>
      </c>
      <c r="R71" s="174" t="e">
        <v>#N/A</v>
      </c>
    </row>
    <row r="72" spans="1:18" ht="11.25" customHeight="1" x14ac:dyDescent="0.2"/>
    <row r="73" spans="1:18" ht="11.25" customHeight="1" x14ac:dyDescent="0.2"/>
    <row r="74" spans="1:18" ht="11.25" customHeight="1" x14ac:dyDescent="0.2"/>
    <row r="75" spans="1:18" ht="11.25" customHeight="1" x14ac:dyDescent="0.2"/>
    <row r="76" spans="1:18" ht="11.25" customHeight="1" x14ac:dyDescent="0.2"/>
    <row r="77" spans="1:18" ht="11.25" customHeight="1" x14ac:dyDescent="0.2"/>
    <row r="78" spans="1:18" ht="11.25" customHeight="1" x14ac:dyDescent="0.2"/>
    <row r="79" spans="1:18" ht="11.25" customHeight="1" x14ac:dyDescent="0.2"/>
    <row r="80" spans="1:18" ht="11.25" customHeight="1" x14ac:dyDescent="0.2"/>
  </sheetData>
  <dataValidations count="1">
    <dataValidation type="list" allowBlank="1" showInputMessage="1" showErrorMessage="1" sqref="G3:G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E30"/>
  <sheetViews>
    <sheetView workbookViewId="0">
      <selection activeCell="I2" sqref="I2"/>
    </sheetView>
  </sheetViews>
  <sheetFormatPr defaultRowHeight="11.25" x14ac:dyDescent="0.2"/>
  <cols>
    <col min="1" max="2" width="2.7109375" style="125" customWidth="1"/>
    <col min="3" max="3" width="11" style="125" bestFit="1" customWidth="1"/>
    <col min="4" max="4" width="16" style="125" bestFit="1" customWidth="1"/>
    <col min="5" max="5" width="17.28515625" style="125" bestFit="1" customWidth="1"/>
    <col min="6" max="6" width="2.7109375" style="125" customWidth="1"/>
    <col min="7" max="7" width="15.28515625" style="125" bestFit="1" customWidth="1"/>
    <col min="8" max="8" width="12" style="125" bestFit="1" customWidth="1"/>
    <col min="9" max="9" width="15.140625" style="125" bestFit="1" customWidth="1"/>
    <col min="10" max="10" width="31.7109375" style="125" bestFit="1" customWidth="1"/>
    <col min="11" max="12" width="17.7109375" style="125" customWidth="1"/>
    <col min="13" max="13" width="2.7109375" style="125" customWidth="1"/>
    <col min="14" max="14" width="6" style="125" bestFit="1" customWidth="1"/>
    <col min="15" max="15" width="11.140625" style="125" bestFit="1" customWidth="1"/>
    <col min="16" max="16" width="17.28515625" style="125" bestFit="1" customWidth="1"/>
    <col min="17" max="17" width="8" style="125" bestFit="1" customWidth="1"/>
    <col min="18" max="18" width="9.85546875" style="125" bestFit="1" customWidth="1"/>
    <col min="19" max="19" width="8.140625" style="125" bestFit="1" customWidth="1"/>
    <col min="20" max="20" width="12.140625" style="125" bestFit="1" customWidth="1"/>
    <col min="21" max="21" width="9.85546875" style="125" bestFit="1" customWidth="1"/>
    <col min="22" max="22" width="12" style="125" bestFit="1" customWidth="1"/>
    <col min="23" max="23" width="8" style="125" bestFit="1" customWidth="1"/>
    <col min="24" max="24" width="13.140625" style="125" bestFit="1" customWidth="1"/>
    <col min="25" max="25" width="8" style="125" bestFit="1" customWidth="1"/>
    <col min="26" max="26" width="2.7109375" style="125" customWidth="1"/>
    <col min="27" max="27" width="15.5703125" style="125" bestFit="1" customWidth="1"/>
    <col min="28" max="28" width="7.140625" style="125" bestFit="1" customWidth="1"/>
    <col min="29" max="30" width="2.7109375" style="125" customWidth="1"/>
    <col min="31" max="16384" width="9.140625" style="125"/>
  </cols>
  <sheetData>
    <row r="1" spans="2:31" s="111" customFormat="1" x14ac:dyDescent="0.2">
      <c r="AD1" s="125"/>
    </row>
    <row r="2" spans="2:31" s="111" customFormat="1" ht="11.25" customHeight="1" x14ac:dyDescent="0.2">
      <c r="B2" s="138"/>
      <c r="C2" s="139"/>
      <c r="D2" s="139"/>
      <c r="E2" s="139"/>
      <c r="F2" s="139"/>
      <c r="G2" s="139"/>
      <c r="H2" s="126" t="s">
        <v>42</v>
      </c>
      <c r="I2" s="159" t="s">
        <v>43</v>
      </c>
      <c r="J2" s="139"/>
      <c r="K2" s="139"/>
      <c r="L2" s="139"/>
      <c r="M2" s="139"/>
      <c r="N2" s="139"/>
      <c r="O2" s="129"/>
      <c r="P2" s="129"/>
      <c r="Q2" s="129"/>
      <c r="R2" s="129"/>
      <c r="S2" s="129"/>
      <c r="T2" s="129"/>
      <c r="U2" s="129"/>
      <c r="V2" s="129"/>
      <c r="W2" s="140">
        <f>MAX(Y5:Y8)</f>
        <v>0</v>
      </c>
      <c r="X2" s="129"/>
      <c r="Y2" s="129"/>
      <c r="Z2" s="132"/>
      <c r="AD2" s="125"/>
    </row>
    <row r="3" spans="2:31" s="111" customFormat="1" ht="22.5" customHeight="1" x14ac:dyDescent="0.2">
      <c r="B3" s="34"/>
      <c r="C3" s="126" t="s">
        <v>45</v>
      </c>
      <c r="D3" s="126" t="str">
        <f t="shared" ref="D3:D8" si="0">UPPER(Currency)&amp;$C3</f>
        <v>EURSTD</v>
      </c>
      <c r="E3" s="113" t="str">
        <f>_xll.qlRelinkableHandleYieldTermStructure(D3,,Permanent,Trigger,ObjectOverwrite)</f>
        <v>EURSTD#0003</v>
      </c>
      <c r="F3" s="112" t="str">
        <f>_xll.ohRangeRetrieveError(E3)</f>
        <v/>
      </c>
      <c r="G3" s="7"/>
      <c r="H3" s="7"/>
      <c r="I3" s="7"/>
      <c r="J3" s="7"/>
      <c r="K3" s="127" t="s">
        <v>157</v>
      </c>
      <c r="L3" s="127" t="s">
        <v>158</v>
      </c>
      <c r="M3" s="1"/>
      <c r="N3" s="127" t="s">
        <v>44</v>
      </c>
      <c r="O3" s="127" t="s">
        <v>68</v>
      </c>
      <c r="P3" s="127" t="s">
        <v>69</v>
      </c>
      <c r="Q3" s="127" t="s">
        <v>70</v>
      </c>
      <c r="R3" s="127" t="s">
        <v>47</v>
      </c>
      <c r="S3" s="127" t="s">
        <v>48</v>
      </c>
      <c r="T3" s="127" t="s">
        <v>49</v>
      </c>
      <c r="U3" s="127" t="s">
        <v>50</v>
      </c>
      <c r="V3" s="127" t="s">
        <v>51</v>
      </c>
      <c r="W3" s="127" t="s">
        <v>52</v>
      </c>
      <c r="X3" s="127" t="s">
        <v>53</v>
      </c>
      <c r="Y3" s="127"/>
      <c r="Z3" s="134"/>
      <c r="AD3" s="125"/>
    </row>
    <row r="4" spans="2:31" s="111" customFormat="1" ht="11.25" customHeight="1" x14ac:dyDescent="0.2">
      <c r="B4" s="34"/>
      <c r="C4" s="143" t="s">
        <v>54</v>
      </c>
      <c r="D4" s="143" t="str">
        <f t="shared" si="0"/>
        <v>EURON</v>
      </c>
      <c r="E4" s="144" t="str">
        <f>_xll.qlRelinkableHandleYieldTermStructure(D4,,Permanent,Trigger,ObjectOverwrite)</f>
        <v>EURON#0003</v>
      </c>
      <c r="F4" s="145" t="str">
        <f>_xll.ohRangeRetrieveError(E4)</f>
        <v/>
      </c>
      <c r="G4" s="144" t="s">
        <v>46</v>
      </c>
      <c r="H4" s="144" t="s">
        <v>46</v>
      </c>
      <c r="I4" s="144" t="str">
        <f>_xll.qlEonia(G4,E4,Permanent,Trigger,ObjectOverwrite)</f>
        <v>Eonia#0003</v>
      </c>
      <c r="J4" s="144" t="str">
        <f>_xll.qlLastFixingQuote(H4&amp;"LastFixing_Quote",I4,Permanent,Trigger,ObjectOverwrite)</f>
        <v>EoniaLastFixing_Quote#0003</v>
      </c>
      <c r="K4" s="152" t="str">
        <f>_xll.ohRangeRetrieveError(I4)</f>
        <v/>
      </c>
      <c r="L4" s="153" t="str">
        <f>_xll.ohRangeRetrieveError(J4)</f>
        <v/>
      </c>
      <c r="M4" s="1"/>
      <c r="N4" s="114" t="s">
        <v>54</v>
      </c>
      <c r="O4" s="114" t="s">
        <v>55</v>
      </c>
      <c r="P4" s="115">
        <f>$G$16</f>
        <v>42500</v>
      </c>
      <c r="Q4" s="116" t="e">
        <f>H16</f>
        <v>#N/A</v>
      </c>
      <c r="R4" s="114" t="e">
        <f>IF(AND(ISNUMBER(Q4),Q4&lt;&gt;0%,_xll.ohTrigger(Trigger)+1),TRUE,FALSE)</f>
        <v>#N/A</v>
      </c>
      <c r="S4" s="114" t="e">
        <f>IF($R4,_xll.qlIndexAddFixings(T4,P4,Q4/100,TRUE,ISERROR($U7)),NA())</f>
        <v>#N/A</v>
      </c>
      <c r="T4" s="114" t="str">
        <f>I4</f>
        <v>Eonia#0003</v>
      </c>
      <c r="U4" s="114" t="e">
        <f>_xll.qlIndexFixing(T4,P4,TRUE,R4)</f>
        <v>#NUM!</v>
      </c>
      <c r="V4" s="114" t="e">
        <f>IF(S4,_xll.qlIndexFixing(T4,P4,FALSE,R4),"-")</f>
        <v>#N/A</v>
      </c>
      <c r="W4" s="114" t="e">
        <f>U4-V4</f>
        <v>#NUM!</v>
      </c>
      <c r="X4" s="114" t="e">
        <f>_xll.qlIndexFixing(T4,P4,TRUE,$V4)</f>
        <v>#NUM!</v>
      </c>
      <c r="Y4" s="114">
        <f>IF(ISERROR(W4),0,ABS(W4))</f>
        <v>0</v>
      </c>
      <c r="Z4" s="134"/>
      <c r="AD4" s="125"/>
    </row>
    <row r="5" spans="2:31" s="111" customFormat="1" ht="11.25" customHeight="1" x14ac:dyDescent="0.2">
      <c r="B5" s="34"/>
      <c r="C5" s="146" t="s">
        <v>6</v>
      </c>
      <c r="D5" s="146" t="str">
        <f t="shared" si="0"/>
        <v>EUR1M</v>
      </c>
      <c r="E5" s="147" t="str">
        <f>_xll.qlRelinkableHandleYieldTermStructure(D5,,Permanent,Trigger,ObjectOverwrite)</f>
        <v>EUR1M#0003</v>
      </c>
      <c r="F5" s="148" t="str">
        <f>_xll.ohRangeRetrieveError(E5)</f>
        <v/>
      </c>
      <c r="G5" s="147" t="s">
        <v>6</v>
      </c>
      <c r="H5" s="147" t="str">
        <f>PROPER(Currency)&amp;FamilyName&amp;$G5</f>
        <v>Euribor1M</v>
      </c>
      <c r="I5" s="147" t="str">
        <f>_xll.qlEuribor(H5,G5,E5,Permanent,Trigger,ObjectOverwrite)</f>
        <v>Euribor1M#0003</v>
      </c>
      <c r="J5" s="147" t="str">
        <f>_xll.qlLastFixingQuote(H5&amp;"LastFixing_Quote",I5,Permanent,Trigger,ObjectOverwrite)</f>
        <v>Euribor1MLastFixing_Quote#0003</v>
      </c>
      <c r="K5" s="154" t="str">
        <f>_xll.ohRangeRetrieveError(I5)</f>
        <v/>
      </c>
      <c r="L5" s="155" t="str">
        <f>_xll.ohRangeRetrieveError(J5)</f>
        <v/>
      </c>
      <c r="M5" s="1"/>
      <c r="N5" s="114" t="s">
        <v>6</v>
      </c>
      <c r="O5" s="114" t="str">
        <f>Currency&amp;"IBOR"&amp;$N5&amp;"D="</f>
        <v>EURIBOR1MD=</v>
      </c>
      <c r="P5" s="115">
        <f>$G$16</f>
        <v>42500</v>
      </c>
      <c r="Q5" s="116">
        <f>I16</f>
        <v>-0.34899999999999998</v>
      </c>
      <c r="R5" s="114" t="b">
        <f>IF(AND(ISNUMBER(Q5),Q5&lt;&gt;0%,_xll.ohTrigger(Trigger)+1),TRUE,FALSE)</f>
        <v>1</v>
      </c>
      <c r="S5" s="114" t="b">
        <f>IF($R5,_xll.qlIndexAddFixings(T5,P5,Q5/100,TRUE,ISERROR($U8)),NA())</f>
        <v>1</v>
      </c>
      <c r="T5" s="114" t="str">
        <f>I5</f>
        <v>Euribor1M#0003</v>
      </c>
      <c r="U5" s="114" t="e">
        <f>_xll.qlIndexFixing(T5,P5,TRUE,R5)</f>
        <v>#NUM!</v>
      </c>
      <c r="V5" s="114">
        <f>IF(S5,_xll.qlIndexFixing(T5,P5,FALSE,R5),"-")</f>
        <v>-3.4899999999999996E-3</v>
      </c>
      <c r="W5" s="114" t="e">
        <f>U5-V5</f>
        <v>#NUM!</v>
      </c>
      <c r="X5" s="114" t="e">
        <f>_xll.qlIndexFixing(T5,P5,TRUE,$V5)</f>
        <v>#NUM!</v>
      </c>
      <c r="Y5" s="114">
        <f>IF(ISERROR(W5),0,ABS(W5))</f>
        <v>0</v>
      </c>
      <c r="Z5" s="134"/>
      <c r="AD5" s="125"/>
    </row>
    <row r="6" spans="2:31" s="111" customFormat="1" ht="11.25" customHeight="1" x14ac:dyDescent="0.2">
      <c r="B6" s="34"/>
      <c r="C6" s="146" t="s">
        <v>0</v>
      </c>
      <c r="D6" s="146" t="str">
        <f t="shared" si="0"/>
        <v>EUR3M</v>
      </c>
      <c r="E6" s="147" t="str">
        <f>_xll.qlRelinkableHandleYieldTermStructure(D6,,Permanent,Trigger,ObjectOverwrite)</f>
        <v>EUR3M#0003</v>
      </c>
      <c r="F6" s="148" t="str">
        <f>_xll.ohRangeRetrieveError(E6)</f>
        <v/>
      </c>
      <c r="G6" s="147" t="s">
        <v>0</v>
      </c>
      <c r="H6" s="147" t="str">
        <f>PROPER(Currency)&amp;FamilyName&amp;$G6</f>
        <v>Euribor3M</v>
      </c>
      <c r="I6" s="147" t="str">
        <f>_xll.qlEuribor(H6,G6,E6,Permanent,Trigger,ObjectOverwrite)</f>
        <v>Euribor3M#0003</v>
      </c>
      <c r="J6" s="147" t="str">
        <f>_xll.qlLastFixingQuote(H6&amp;"LastFixing_Quote",I6,Permanent,Trigger,ObjectOverwrite)</f>
        <v>Euribor3MLastFixing_Quote#0003</v>
      </c>
      <c r="K6" s="154" t="str">
        <f>_xll.ohRangeRetrieveError(I6)</f>
        <v/>
      </c>
      <c r="L6" s="155" t="str">
        <f>_xll.ohRangeRetrieveError(J6)</f>
        <v/>
      </c>
      <c r="M6" s="1"/>
      <c r="N6" s="117" t="s">
        <v>0</v>
      </c>
      <c r="O6" s="117" t="str">
        <f>Currency&amp;"IBOR"&amp;$N6&amp;"D="</f>
        <v>EURIBOR3MD=</v>
      </c>
      <c r="P6" s="118">
        <f t="shared" ref="P6:P8" si="1">$G$16</f>
        <v>42500</v>
      </c>
      <c r="Q6" s="119">
        <f>J16</f>
        <v>-0.26</v>
      </c>
      <c r="R6" s="117" t="b">
        <f>IF(AND(ISNUMBER(Q6),Q6&lt;&gt;0%,_xll.ohTrigger(Trigger)+1),TRUE,FALSE)</f>
        <v>1</v>
      </c>
      <c r="S6" s="117" t="b">
        <f>IF($R6,_xll.qlIndexAddFixings(T6,P6,Q6/100,TRUE,ISERROR($U9)),NA())</f>
        <v>1</v>
      </c>
      <c r="T6" s="117" t="str">
        <f>I6</f>
        <v>Euribor3M#0003</v>
      </c>
      <c r="U6" s="117" t="e">
        <f>_xll.qlIndexFixing(T6,P6,TRUE,R6)</f>
        <v>#NUM!</v>
      </c>
      <c r="V6" s="117">
        <f>IF(S6,_xll.qlIndexFixing(T6,P6,FALSE,R6),"-")</f>
        <v>-2.5999999999999999E-3</v>
      </c>
      <c r="W6" s="117" t="e">
        <f>U6-V6</f>
        <v>#NUM!</v>
      </c>
      <c r="X6" s="117" t="e">
        <f>_xll.qlIndexFixing(T6,P6,TRUE,$V6)</f>
        <v>#NUM!</v>
      </c>
      <c r="Y6" s="117">
        <f>IF(ISERROR(W6),0,ABS(W6))</f>
        <v>0</v>
      </c>
      <c r="Z6" s="134"/>
      <c r="AD6" s="125"/>
    </row>
    <row r="7" spans="2:31" s="111" customFormat="1" ht="11.25" customHeight="1" x14ac:dyDescent="0.2">
      <c r="B7" s="34"/>
      <c r="C7" s="146" t="s">
        <v>7</v>
      </c>
      <c r="D7" s="146" t="str">
        <f t="shared" si="0"/>
        <v>EUR6M</v>
      </c>
      <c r="E7" s="147" t="str">
        <f>_xll.qlRelinkableHandleYieldTermStructure(D7,,Permanent,Trigger,ObjectOverwrite)</f>
        <v>EUR6M#0003</v>
      </c>
      <c r="F7" s="148" t="str">
        <f>_xll.ohRangeRetrieveError(E7)</f>
        <v/>
      </c>
      <c r="G7" s="147" t="s">
        <v>7</v>
      </c>
      <c r="H7" s="147" t="str">
        <f>PROPER(Currency)&amp;FamilyName&amp;$G7</f>
        <v>Euribor6M</v>
      </c>
      <c r="I7" s="147" t="str">
        <f>_xll.qlEuribor(H7,G7,E7,Permanent,Trigger,ObjectOverwrite)</f>
        <v>Euribor6M#0003</v>
      </c>
      <c r="J7" s="147" t="str">
        <f>_xll.qlLastFixingQuote(H7&amp;"LastFixing_Quote",I7,Permanent,Trigger,ObjectOverwrite)</f>
        <v>Euribor6MLastFixing_Quote#0003</v>
      </c>
      <c r="K7" s="154" t="str">
        <f>_xll.ohRangeRetrieveError(I7)</f>
        <v/>
      </c>
      <c r="L7" s="155" t="str">
        <f>_xll.ohRangeRetrieveError(J7)</f>
        <v/>
      </c>
      <c r="M7" s="1"/>
      <c r="N7" s="117" t="s">
        <v>7</v>
      </c>
      <c r="O7" s="117" t="str">
        <f>Currency&amp;"IBOR"&amp;$N7&amp;"D="</f>
        <v>EURIBOR6MD=</v>
      </c>
      <c r="P7" s="118">
        <f t="shared" si="1"/>
        <v>42500</v>
      </c>
      <c r="Q7" s="119">
        <f>K16</f>
        <v>-0.14399999999999999</v>
      </c>
      <c r="R7" s="117" t="b">
        <f>IF(AND(ISNUMBER(Q7),Q7&lt;&gt;0%,_xll.ohTrigger(Trigger)+1),TRUE,FALSE)</f>
        <v>1</v>
      </c>
      <c r="S7" s="117" t="b">
        <f>IF($R7,_xll.qlIndexAddFixings(T7,P7,Q7/100,TRUE,ISERROR(#REF!)),NA())</f>
        <v>1</v>
      </c>
      <c r="T7" s="117" t="str">
        <f>I7</f>
        <v>Euribor6M#0003</v>
      </c>
      <c r="U7" s="117" t="e">
        <f>_xll.qlIndexFixing(T7,P7,TRUE,R7)</f>
        <v>#NUM!</v>
      </c>
      <c r="V7" s="117">
        <f>IF(S7,_xll.qlIndexFixing(T7,P7,FALSE,R7),"-")</f>
        <v>-1.4399999999999999E-3</v>
      </c>
      <c r="W7" s="117" t="e">
        <f>U7-V7</f>
        <v>#NUM!</v>
      </c>
      <c r="X7" s="117" t="e">
        <f>_xll.qlIndexFixing(T7,P7,TRUE,$V7)</f>
        <v>#NUM!</v>
      </c>
      <c r="Y7" s="117">
        <f>IF(ISERROR(W7),0,ABS(W7))</f>
        <v>0</v>
      </c>
      <c r="Z7" s="134"/>
      <c r="AD7" s="125"/>
    </row>
    <row r="8" spans="2:31" s="111" customFormat="1" ht="11.25" customHeight="1" x14ac:dyDescent="0.2">
      <c r="B8" s="34"/>
      <c r="C8" s="149" t="s">
        <v>40</v>
      </c>
      <c r="D8" s="149" t="str">
        <f t="shared" si="0"/>
        <v>EUR1Y</v>
      </c>
      <c r="E8" s="150" t="str">
        <f>_xll.qlRelinkableHandleYieldTermStructure(D8,,Permanent,Trigger,ObjectOverwrite)</f>
        <v>EUR1Y#0003</v>
      </c>
      <c r="F8" s="151" t="str">
        <f>_xll.ohRangeRetrieveError(E8)</f>
        <v/>
      </c>
      <c r="G8" s="150" t="s">
        <v>40</v>
      </c>
      <c r="H8" s="150" t="str">
        <f>PROPER(Currency)&amp;FamilyName&amp;$G8</f>
        <v>Euribor1Y</v>
      </c>
      <c r="I8" s="150" t="str">
        <f>_xll.qlEuribor(H8,G8,E8,Permanent,Trigger,ObjectOverwrite)</f>
        <v>Euribor1Y#0003</v>
      </c>
      <c r="J8" s="150" t="str">
        <f>_xll.qlLastFixingQuote(H8&amp;"LastFixing_Quote",I8,Permanent,Trigger,ObjectOverwrite)</f>
        <v>Euribor1YLastFixing_Quote#0003</v>
      </c>
      <c r="K8" s="156" t="str">
        <f>_xll.ohRangeRetrieveError(I8)</f>
        <v/>
      </c>
      <c r="L8" s="157" t="str">
        <f>_xll.ohRangeRetrieveError(J8)</f>
        <v/>
      </c>
      <c r="M8" s="1"/>
      <c r="N8" s="120" t="s">
        <v>40</v>
      </c>
      <c r="O8" s="120" t="str">
        <f>Currency&amp;"IBOR"&amp;$N8&amp;"D="</f>
        <v>EURIBOR1YD=</v>
      </c>
      <c r="P8" s="121">
        <f t="shared" si="1"/>
        <v>42500</v>
      </c>
      <c r="Q8" s="122">
        <f>L16</f>
        <v>-1.2999999999999999E-2</v>
      </c>
      <c r="R8" s="120" t="b">
        <f>IF(AND(ISNUMBER(Q8),Q8&lt;&gt;0%,_xll.ohTrigger(Trigger)+1),TRUE,FALSE)</f>
        <v>1</v>
      </c>
      <c r="S8" s="120" t="b">
        <f>IF($R8,_xll.qlIndexAddFixings(T8,P8,Q8/100,TRUE,ISERROR(#REF!)),NA())</f>
        <v>1</v>
      </c>
      <c r="T8" s="120" t="str">
        <f>I8</f>
        <v>Euribor1Y#0003</v>
      </c>
      <c r="U8" s="120" t="e">
        <f>_xll.qlIndexFixing(T8,P8,TRUE,R8)</f>
        <v>#NUM!</v>
      </c>
      <c r="V8" s="120">
        <f>IF(S8,_xll.qlIndexFixing(T8,P8,FALSE,R8),"-")</f>
        <v>-1.2999999999999999E-4</v>
      </c>
      <c r="W8" s="120" t="e">
        <f>U8-V8</f>
        <v>#NUM!</v>
      </c>
      <c r="X8" s="120" t="e">
        <f>_xll.qlIndexFixing(T8,P8,TRUE,$V8)</f>
        <v>#NUM!</v>
      </c>
      <c r="Y8" s="120">
        <f>IF(ISERROR(W8),0,ABS(W8))</f>
        <v>0</v>
      </c>
      <c r="Z8" s="134"/>
      <c r="AD8" s="125"/>
    </row>
    <row r="9" spans="2:31" s="111" customFormat="1" ht="11.25" customHeight="1" x14ac:dyDescent="0.2">
      <c r="B9" s="141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7"/>
      <c r="AD9" s="125"/>
    </row>
    <row r="10" spans="2:31" s="111" customFormat="1" ht="11.25" customHeight="1" x14ac:dyDescent="0.2">
      <c r="AD10" s="125"/>
    </row>
    <row r="11" spans="2:31" s="111" customFormat="1" ht="11.25" customHeight="1" x14ac:dyDescent="0.2">
      <c r="B11" s="125"/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AD11" s="125"/>
    </row>
    <row r="12" spans="2:31" s="111" customFormat="1" ht="18" customHeight="1" x14ac:dyDescent="0.2">
      <c r="B12" s="128"/>
      <c r="C12" s="129"/>
      <c r="D12" s="130"/>
      <c r="E12" s="129"/>
      <c r="F12" s="129"/>
      <c r="G12" s="129"/>
      <c r="H12" s="129"/>
      <c r="I12" s="129"/>
      <c r="J12" s="129"/>
      <c r="K12" s="131"/>
      <c r="L12" s="129"/>
      <c r="M12" s="132"/>
      <c r="AB12" s="125"/>
      <c r="AC12" s="125"/>
      <c r="AD12" s="125"/>
      <c r="AE12" s="125"/>
    </row>
    <row r="13" spans="2:31" s="111" customFormat="1" ht="22.5" customHeight="1" x14ac:dyDescent="0.2">
      <c r="B13" s="133"/>
      <c r="C13" s="126" t="s">
        <v>67</v>
      </c>
      <c r="D13" s="21" t="s">
        <v>60</v>
      </c>
      <c r="E13" s="20" t="s">
        <v>61</v>
      </c>
      <c r="F13" s="123"/>
      <c r="G13" s="127" t="str">
        <f>_xll.RHistory(O4:O8,D13:E13,D14,,"CH:In;Fd TSREPEAT:N SORT:"&amp;"DESC",G14)</f>
        <v>Paused at 15:51:57</v>
      </c>
      <c r="H13" s="123"/>
      <c r="I13" s="123"/>
      <c r="J13" s="123"/>
      <c r="K13" s="123"/>
      <c r="L13" s="123"/>
      <c r="M13" s="134"/>
      <c r="AB13" s="125"/>
      <c r="AC13" s="125"/>
      <c r="AD13" s="125"/>
      <c r="AE13" s="125"/>
    </row>
    <row r="14" spans="2:31" s="111" customFormat="1" ht="11.25" customHeight="1" x14ac:dyDescent="0.2">
      <c r="B14" s="133"/>
      <c r="C14" s="126" t="s">
        <v>59</v>
      </c>
      <c r="D14" s="22" t="str">
        <f>"START:"&amp;D15&amp; " END:"&amp;D16&amp;" INTERVAL:1D"</f>
        <v>START:42500 END:42500 INTERVAL:1D</v>
      </c>
      <c r="E14" s="123"/>
      <c r="F14" s="123"/>
      <c r="G14" s="127"/>
      <c r="H14" s="126" t="s">
        <v>55</v>
      </c>
      <c r="I14" s="126" t="s">
        <v>62</v>
      </c>
      <c r="J14" s="126" t="s">
        <v>63</v>
      </c>
      <c r="K14" s="126" t="s">
        <v>64</v>
      </c>
      <c r="L14" s="126" t="s">
        <v>65</v>
      </c>
      <c r="M14" s="134"/>
      <c r="AB14" s="125"/>
      <c r="AC14" s="125"/>
      <c r="AD14" s="125"/>
      <c r="AE14" s="125"/>
    </row>
    <row r="15" spans="2:31" s="111" customFormat="1" ht="11.25" customHeight="1" x14ac:dyDescent="0.2">
      <c r="B15" s="133"/>
      <c r="C15" s="126" t="s">
        <v>56</v>
      </c>
      <c r="D15" s="124">
        <f>Evaluationdate</f>
        <v>42500</v>
      </c>
      <c r="E15" s="123"/>
      <c r="F15" s="123"/>
      <c r="G15" s="158" t="s">
        <v>159</v>
      </c>
      <c r="H15" s="112" t="s">
        <v>226</v>
      </c>
      <c r="I15" s="112" t="s">
        <v>66</v>
      </c>
      <c r="J15" s="112" t="s">
        <v>66</v>
      </c>
      <c r="K15" s="112" t="s">
        <v>66</v>
      </c>
      <c r="L15" s="112" t="s">
        <v>66</v>
      </c>
      <c r="M15" s="134"/>
      <c r="AB15" s="125"/>
      <c r="AC15" s="125"/>
      <c r="AD15" s="125"/>
      <c r="AE15" s="125"/>
    </row>
    <row r="16" spans="2:31" s="111" customFormat="1" ht="11.25" customHeight="1" x14ac:dyDescent="0.2">
      <c r="B16" s="133"/>
      <c r="C16" s="126" t="s">
        <v>58</v>
      </c>
      <c r="D16" s="124">
        <f>D15</f>
        <v>42500</v>
      </c>
      <c r="E16" s="123"/>
      <c r="F16" s="123"/>
      <c r="G16" s="124">
        <v>42500</v>
      </c>
      <c r="H16" s="112" t="e">
        <v>#N/A</v>
      </c>
      <c r="I16" s="112">
        <v>-0.34899999999999998</v>
      </c>
      <c r="J16" s="112">
        <v>-0.26</v>
      </c>
      <c r="K16" s="112">
        <v>-0.14399999999999999</v>
      </c>
      <c r="L16" s="112">
        <v>-1.2999999999999999E-2</v>
      </c>
      <c r="M16" s="134"/>
      <c r="AB16" s="125"/>
      <c r="AC16" s="125"/>
      <c r="AD16" s="125"/>
      <c r="AE16" s="125"/>
    </row>
    <row r="17" spans="2:13" ht="11.25" customHeight="1" x14ac:dyDescent="0.2">
      <c r="B17" s="135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7"/>
    </row>
    <row r="18" spans="2:13" ht="11.25" customHeight="1" x14ac:dyDescent="0.2"/>
    <row r="19" spans="2:13" ht="11.25" customHeight="1" x14ac:dyDescent="0.2"/>
    <row r="20" spans="2:13" ht="11.25" customHeight="1" x14ac:dyDescent="0.2"/>
    <row r="21" spans="2:13" ht="11.25" customHeight="1" x14ac:dyDescent="0.2"/>
    <row r="24" spans="2:13" ht="24" customHeight="1" x14ac:dyDescent="0.2"/>
    <row r="25" spans="2:13" ht="11.25" customHeight="1" x14ac:dyDescent="0.2"/>
    <row r="26" spans="2:13" ht="11.25" customHeight="1" x14ac:dyDescent="0.2"/>
    <row r="27" spans="2:13" ht="11.25" customHeight="1" x14ac:dyDescent="0.2"/>
    <row r="28" spans="2:13" ht="11.25" customHeight="1" x14ac:dyDescent="0.2"/>
    <row r="29" spans="2:13" ht="11.25" customHeight="1" x14ac:dyDescent="0.2"/>
    <row r="30" spans="2:13" ht="11.25" customHeight="1" x14ac:dyDescent="0.2"/>
  </sheetData>
  <conditionalFormatting sqref="W4:W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showGridLines="0" workbookViewId="0"/>
  </sheetViews>
  <sheetFormatPr defaultRowHeight="11.25" x14ac:dyDescent="0.2"/>
  <cols>
    <col min="1" max="1" width="4" style="61" bestFit="1" customWidth="1"/>
    <col min="2" max="2" width="10" style="172" bestFit="1" customWidth="1"/>
    <col min="3" max="3" width="15.140625" style="61" bestFit="1" customWidth="1"/>
    <col min="4" max="4" width="10" style="172" bestFit="1" customWidth="1"/>
    <col min="5" max="5" width="10" style="61" customWidth="1"/>
    <col min="6" max="7" width="2" style="61" bestFit="1" customWidth="1"/>
    <col min="8" max="8" width="12" style="61" bestFit="1" customWidth="1"/>
    <col min="9" max="9" width="2" style="61" bestFit="1" customWidth="1"/>
    <col min="10" max="10" width="2.7109375" style="61" customWidth="1"/>
    <col min="11" max="11" width="4" style="61" bestFit="1" customWidth="1"/>
    <col min="12" max="12" width="10" style="172" bestFit="1" customWidth="1"/>
    <col min="13" max="13" width="16.140625" style="61" bestFit="1" customWidth="1"/>
    <col min="14" max="14" width="10" style="172" bestFit="1" customWidth="1"/>
    <col min="15" max="15" width="17.28515625" style="61" bestFit="1" customWidth="1"/>
    <col min="16" max="17" width="2" style="61" bestFit="1" customWidth="1"/>
    <col min="18" max="18" width="12" style="61" bestFit="1" customWidth="1"/>
    <col min="19" max="19" width="2" style="61" bestFit="1" customWidth="1"/>
    <col min="20" max="20" width="2.7109375" style="61" customWidth="1"/>
    <col min="21" max="21" width="4" style="61" bestFit="1" customWidth="1"/>
    <col min="22" max="22" width="10" style="172" bestFit="1" customWidth="1"/>
    <col min="23" max="23" width="16.140625" style="61" bestFit="1" customWidth="1"/>
    <col min="24" max="24" width="10" style="172" bestFit="1" customWidth="1"/>
    <col min="25" max="25" width="10" style="61" bestFit="1" customWidth="1"/>
    <col min="26" max="27" width="2" style="61" bestFit="1" customWidth="1"/>
    <col min="28" max="28" width="12" style="61" bestFit="1" customWidth="1"/>
    <col min="29" max="29" width="2" style="61" bestFit="1" customWidth="1"/>
    <col min="30" max="30" width="2.7109375" style="61" customWidth="1"/>
    <col min="31" max="31" width="4" style="61" bestFit="1" customWidth="1"/>
    <col min="32" max="32" width="10" style="172" bestFit="1" customWidth="1"/>
    <col min="33" max="33" width="16.140625" style="61" bestFit="1" customWidth="1"/>
    <col min="34" max="34" width="10" style="172" bestFit="1" customWidth="1"/>
    <col min="35" max="35" width="5" style="61" bestFit="1" customWidth="1"/>
    <col min="36" max="37" width="2" style="61" bestFit="1" customWidth="1"/>
    <col min="38" max="38" width="13.140625" style="61" bestFit="1" customWidth="1"/>
    <col min="39" max="39" width="2" style="61" bestFit="1" customWidth="1"/>
    <col min="40" max="40" width="2.7109375" style="61" customWidth="1"/>
    <col min="41" max="41" width="4" style="61" bestFit="1" customWidth="1"/>
    <col min="42" max="42" width="10" style="172" bestFit="1" customWidth="1"/>
    <col min="43" max="43" width="16.140625" style="61" bestFit="1" customWidth="1"/>
    <col min="44" max="44" width="10" style="172" bestFit="1" customWidth="1"/>
    <col min="45" max="45" width="10" style="61" bestFit="1" customWidth="1"/>
    <col min="46" max="47" width="2" style="61" bestFit="1" customWidth="1"/>
    <col min="48" max="48" width="12" style="61" bestFit="1" customWidth="1"/>
    <col min="49" max="49" width="2" style="61" bestFit="1" customWidth="1"/>
    <col min="50" max="50" width="2.7109375" style="61" customWidth="1"/>
    <col min="51" max="51" width="4" style="61" bestFit="1" customWidth="1"/>
    <col min="52" max="52" width="10" style="172" bestFit="1" customWidth="1"/>
    <col min="53" max="53" width="7" style="61" bestFit="1" customWidth="1"/>
    <col min="54" max="54" width="10" style="172" bestFit="1" customWidth="1"/>
    <col min="55" max="55" width="4" style="61" bestFit="1" customWidth="1"/>
    <col min="56" max="57" width="2" style="61" bestFit="1" customWidth="1"/>
    <col min="58" max="58" width="11" style="61" bestFit="1" customWidth="1"/>
    <col min="59" max="59" width="2" style="61" bestFit="1" customWidth="1"/>
    <col min="60" max="16384" width="9.140625" style="61"/>
  </cols>
  <sheetData>
    <row r="1" spans="1:59" ht="12" thickBot="1" x14ac:dyDescent="0.25">
      <c r="A1" s="162" t="s">
        <v>24</v>
      </c>
      <c r="B1" s="169" t="s">
        <v>72</v>
      </c>
      <c r="C1" s="163"/>
      <c r="D1" s="173"/>
      <c r="E1" s="164"/>
      <c r="F1" s="164"/>
      <c r="G1" s="164"/>
      <c r="H1" s="164"/>
      <c r="I1" s="165"/>
      <c r="K1" s="162" t="s">
        <v>24</v>
      </c>
      <c r="L1" s="169" t="s">
        <v>115</v>
      </c>
      <c r="M1" s="163"/>
      <c r="N1" s="173"/>
      <c r="O1" s="164"/>
      <c r="P1" s="164"/>
      <c r="Q1" s="164"/>
      <c r="R1" s="164"/>
      <c r="S1" s="165"/>
      <c r="U1" s="162" t="s">
        <v>24</v>
      </c>
      <c r="V1" s="169" t="s">
        <v>119</v>
      </c>
      <c r="W1" s="163"/>
      <c r="X1" s="173"/>
      <c r="Y1" s="164"/>
      <c r="Z1" s="164"/>
      <c r="AA1" s="164"/>
      <c r="AB1" s="164"/>
      <c r="AC1" s="165"/>
      <c r="AE1" s="162" t="s">
        <v>24</v>
      </c>
      <c r="AF1" s="169" t="s">
        <v>138</v>
      </c>
      <c r="AG1" s="163"/>
      <c r="AH1" s="173"/>
      <c r="AI1" s="164"/>
      <c r="AJ1" s="164"/>
      <c r="AK1" s="164"/>
      <c r="AL1" s="164"/>
      <c r="AM1" s="165"/>
      <c r="AO1" s="162" t="s">
        <v>24</v>
      </c>
      <c r="AP1" s="169" t="s">
        <v>120</v>
      </c>
      <c r="AQ1" s="163"/>
      <c r="AR1" s="173"/>
      <c r="AS1" s="164"/>
      <c r="AT1" s="164"/>
      <c r="AU1" s="164"/>
      <c r="AV1" s="164"/>
      <c r="AW1" s="165"/>
      <c r="AY1" s="162" t="s">
        <v>24</v>
      </c>
      <c r="AZ1" s="169" t="s">
        <v>121</v>
      </c>
      <c r="BA1" s="163"/>
      <c r="BB1" s="173"/>
      <c r="BC1" s="164"/>
      <c r="BD1" s="164"/>
      <c r="BE1" s="164"/>
      <c r="BF1" s="164"/>
      <c r="BG1" s="165"/>
    </row>
    <row r="2" spans="1:59" x14ac:dyDescent="0.2">
      <c r="A2" s="160" t="s">
        <v>160</v>
      </c>
      <c r="B2" s="170">
        <v>42501</v>
      </c>
      <c r="C2" s="9" t="s">
        <v>161</v>
      </c>
      <c r="D2" s="170">
        <v>42502</v>
      </c>
      <c r="E2" s="9" t="s">
        <v>75</v>
      </c>
      <c r="F2" s="9">
        <v>0</v>
      </c>
      <c r="G2" s="9">
        <v>0</v>
      </c>
      <c r="H2" s="161">
        <v>-0.26093025800000003</v>
      </c>
      <c r="I2" s="17">
        <v>0</v>
      </c>
      <c r="K2" s="160" t="s">
        <v>35</v>
      </c>
      <c r="L2" s="170">
        <v>42499</v>
      </c>
      <c r="M2" s="9" t="s">
        <v>116</v>
      </c>
      <c r="N2" s="170">
        <v>42500</v>
      </c>
      <c r="O2" s="9" t="s">
        <v>73</v>
      </c>
      <c r="P2" s="9">
        <v>0</v>
      </c>
      <c r="Q2" s="9">
        <v>0</v>
      </c>
      <c r="R2" s="161">
        <v>-0.34999989999999997</v>
      </c>
      <c r="S2" s="17">
        <v>0</v>
      </c>
      <c r="U2" s="160" t="s">
        <v>160</v>
      </c>
      <c r="V2" s="170">
        <v>42501</v>
      </c>
      <c r="W2" s="9" t="s">
        <v>181</v>
      </c>
      <c r="X2" s="170">
        <v>42502</v>
      </c>
      <c r="Y2" s="9" t="s">
        <v>75</v>
      </c>
      <c r="Z2" s="9">
        <v>0</v>
      </c>
      <c r="AA2" s="9">
        <v>0</v>
      </c>
      <c r="AB2" s="161">
        <v>-0.15181024200000001</v>
      </c>
      <c r="AC2" s="17">
        <v>0</v>
      </c>
      <c r="AE2" s="160" t="s">
        <v>160</v>
      </c>
      <c r="AF2" s="170">
        <v>42501</v>
      </c>
      <c r="AG2" s="9" t="s">
        <v>221</v>
      </c>
      <c r="AH2" s="170">
        <v>42502</v>
      </c>
      <c r="AI2" s="9" t="s">
        <v>75</v>
      </c>
      <c r="AJ2" s="9">
        <v>0</v>
      </c>
      <c r="AK2" s="9">
        <v>0</v>
      </c>
      <c r="AL2" s="161">
        <v>-0.34630999400000001</v>
      </c>
      <c r="AM2" s="17">
        <v>0</v>
      </c>
      <c r="AO2" s="160" t="s">
        <v>160</v>
      </c>
      <c r="AP2" s="170">
        <v>42501</v>
      </c>
      <c r="AQ2" s="9" t="s">
        <v>203</v>
      </c>
      <c r="AR2" s="170">
        <v>42502</v>
      </c>
      <c r="AS2" s="9" t="s">
        <v>75</v>
      </c>
      <c r="AT2" s="9">
        <v>0</v>
      </c>
      <c r="AU2" s="9">
        <v>0</v>
      </c>
      <c r="AV2" s="161">
        <v>3.029884E-2</v>
      </c>
      <c r="AW2" s="17">
        <v>0</v>
      </c>
      <c r="AY2" s="160" t="s">
        <v>35</v>
      </c>
      <c r="AZ2" s="170">
        <v>42499</v>
      </c>
      <c r="BA2" s="9" t="s">
        <v>219</v>
      </c>
      <c r="BB2" s="170">
        <v>42500</v>
      </c>
      <c r="BC2" s="9" t="s">
        <v>73</v>
      </c>
      <c r="BD2" s="9">
        <v>0</v>
      </c>
      <c r="BE2" s="9">
        <v>0</v>
      </c>
      <c r="BF2" s="161">
        <v>-0.35</v>
      </c>
      <c r="BG2" s="17">
        <v>0</v>
      </c>
    </row>
    <row r="3" spans="1:59" x14ac:dyDescent="0.2">
      <c r="A3" s="160" t="s">
        <v>160</v>
      </c>
      <c r="B3" s="170">
        <v>42501</v>
      </c>
      <c r="C3" s="9" t="s">
        <v>161</v>
      </c>
      <c r="D3" s="170">
        <v>42508</v>
      </c>
      <c r="E3" s="9" t="s">
        <v>76</v>
      </c>
      <c r="F3" s="9">
        <v>0</v>
      </c>
      <c r="G3" s="9">
        <v>0</v>
      </c>
      <c r="H3" s="161">
        <v>-0.26092458400000001</v>
      </c>
      <c r="I3" s="17">
        <v>0</v>
      </c>
      <c r="K3" s="160" t="s">
        <v>35</v>
      </c>
      <c r="L3" s="170">
        <v>42500</v>
      </c>
      <c r="M3" s="9" t="s">
        <v>116</v>
      </c>
      <c r="N3" s="170">
        <v>42501</v>
      </c>
      <c r="O3" s="9" t="s">
        <v>74</v>
      </c>
      <c r="P3" s="9">
        <v>0</v>
      </c>
      <c r="Q3" s="9">
        <v>0</v>
      </c>
      <c r="R3" s="161">
        <v>-0.35</v>
      </c>
      <c r="S3" s="17">
        <v>0</v>
      </c>
      <c r="U3" s="160" t="s">
        <v>160</v>
      </c>
      <c r="V3" s="170">
        <v>42501</v>
      </c>
      <c r="W3" s="9" t="s">
        <v>181</v>
      </c>
      <c r="X3" s="170">
        <v>42508</v>
      </c>
      <c r="Y3" s="9" t="s">
        <v>76</v>
      </c>
      <c r="Z3" s="9">
        <v>0</v>
      </c>
      <c r="AA3" s="9">
        <v>0</v>
      </c>
      <c r="AB3" s="161">
        <v>-0.151808322</v>
      </c>
      <c r="AC3" s="17">
        <v>0</v>
      </c>
      <c r="AE3" s="160" t="s">
        <v>160</v>
      </c>
      <c r="AF3" s="170">
        <v>42501</v>
      </c>
      <c r="AG3" s="9" t="s">
        <v>221</v>
      </c>
      <c r="AH3" s="170">
        <v>42508</v>
      </c>
      <c r="AI3" s="9" t="s">
        <v>76</v>
      </c>
      <c r="AJ3" s="9">
        <v>0</v>
      </c>
      <c r="AK3" s="9">
        <v>0</v>
      </c>
      <c r="AL3" s="161">
        <v>-0.3463</v>
      </c>
      <c r="AM3" s="17">
        <v>0</v>
      </c>
      <c r="AO3" s="160" t="s">
        <v>160</v>
      </c>
      <c r="AP3" s="170">
        <v>42501</v>
      </c>
      <c r="AQ3" s="9" t="s">
        <v>203</v>
      </c>
      <c r="AR3" s="170">
        <v>42508</v>
      </c>
      <c r="AS3" s="9" t="s">
        <v>76</v>
      </c>
      <c r="AT3" s="9">
        <v>0</v>
      </c>
      <c r="AU3" s="9">
        <v>0</v>
      </c>
      <c r="AV3" s="161">
        <v>3.0298915999999999E-2</v>
      </c>
      <c r="AW3" s="17">
        <v>0</v>
      </c>
      <c r="AY3" s="160" t="s">
        <v>35</v>
      </c>
      <c r="AZ3" s="170">
        <v>42500</v>
      </c>
      <c r="BA3" s="9" t="s">
        <v>219</v>
      </c>
      <c r="BB3" s="170">
        <v>42501</v>
      </c>
      <c r="BC3" s="9" t="s">
        <v>74</v>
      </c>
      <c r="BD3" s="9">
        <v>0</v>
      </c>
      <c r="BE3" s="9">
        <v>0</v>
      </c>
      <c r="BF3" s="161">
        <v>-0.35</v>
      </c>
      <c r="BG3" s="17">
        <v>0</v>
      </c>
    </row>
    <row r="4" spans="1:59" x14ac:dyDescent="0.2">
      <c r="A4" s="160" t="s">
        <v>160</v>
      </c>
      <c r="B4" s="170">
        <v>42501</v>
      </c>
      <c r="C4" s="9" t="s">
        <v>161</v>
      </c>
      <c r="D4" s="170">
        <v>42515</v>
      </c>
      <c r="E4" s="9" t="s">
        <v>77</v>
      </c>
      <c r="F4" s="9">
        <v>0</v>
      </c>
      <c r="G4" s="9">
        <v>0</v>
      </c>
      <c r="H4" s="161">
        <v>-0.26091796499999997</v>
      </c>
      <c r="I4" s="17">
        <v>0</v>
      </c>
      <c r="K4" s="160" t="s">
        <v>35</v>
      </c>
      <c r="L4" s="170">
        <v>42501</v>
      </c>
      <c r="M4" s="9" t="s">
        <v>116</v>
      </c>
      <c r="N4" s="170">
        <v>42502</v>
      </c>
      <c r="O4" s="9" t="s">
        <v>75</v>
      </c>
      <c r="P4" s="9">
        <v>0</v>
      </c>
      <c r="Q4" s="9">
        <v>0</v>
      </c>
      <c r="R4" s="161">
        <v>-0.35</v>
      </c>
      <c r="S4" s="17">
        <v>0</v>
      </c>
      <c r="U4" s="160" t="s">
        <v>160</v>
      </c>
      <c r="V4" s="170">
        <v>42501</v>
      </c>
      <c r="W4" s="9" t="s">
        <v>181</v>
      </c>
      <c r="X4" s="170">
        <v>42515</v>
      </c>
      <c r="Y4" s="9" t="s">
        <v>77</v>
      </c>
      <c r="Z4" s="9">
        <v>0</v>
      </c>
      <c r="AA4" s="9">
        <v>0</v>
      </c>
      <c r="AB4" s="161">
        <v>-0.15180608100000001</v>
      </c>
      <c r="AC4" s="17">
        <v>0</v>
      </c>
      <c r="AE4" s="160" t="s">
        <v>160</v>
      </c>
      <c r="AF4" s="170">
        <v>42501</v>
      </c>
      <c r="AG4" s="9" t="s">
        <v>221</v>
      </c>
      <c r="AH4" s="170">
        <v>42515</v>
      </c>
      <c r="AI4" s="9" t="s">
        <v>77</v>
      </c>
      <c r="AJ4" s="9">
        <v>0</v>
      </c>
      <c r="AK4" s="9">
        <v>0</v>
      </c>
      <c r="AL4" s="161">
        <v>-0.34660000000000002</v>
      </c>
      <c r="AM4" s="17">
        <v>0</v>
      </c>
      <c r="AO4" s="160" t="s">
        <v>160</v>
      </c>
      <c r="AP4" s="170">
        <v>42501</v>
      </c>
      <c r="AQ4" s="9" t="s">
        <v>203</v>
      </c>
      <c r="AR4" s="170">
        <v>42515</v>
      </c>
      <c r="AS4" s="9" t="s">
        <v>77</v>
      </c>
      <c r="AT4" s="9">
        <v>0</v>
      </c>
      <c r="AU4" s="9">
        <v>0</v>
      </c>
      <c r="AV4" s="161">
        <v>3.0299005E-2</v>
      </c>
      <c r="AW4" s="17">
        <v>0</v>
      </c>
      <c r="AY4" s="160" t="s">
        <v>35</v>
      </c>
      <c r="AZ4" s="170">
        <v>42501</v>
      </c>
      <c r="BA4" s="9" t="s">
        <v>219</v>
      </c>
      <c r="BB4" s="170">
        <v>42502</v>
      </c>
      <c r="BC4" s="9" t="s">
        <v>75</v>
      </c>
      <c r="BD4" s="9">
        <v>0</v>
      </c>
      <c r="BE4" s="9">
        <v>0</v>
      </c>
      <c r="BF4" s="161">
        <v>-0.349111809</v>
      </c>
      <c r="BG4" s="17">
        <v>0</v>
      </c>
    </row>
    <row r="5" spans="1:59" x14ac:dyDescent="0.2">
      <c r="A5" s="160" t="s">
        <v>160</v>
      </c>
      <c r="B5" s="170">
        <v>42501</v>
      </c>
      <c r="C5" s="9" t="s">
        <v>161</v>
      </c>
      <c r="D5" s="170">
        <v>42522</v>
      </c>
      <c r="E5" s="9" t="s">
        <v>78</v>
      </c>
      <c r="F5" s="9">
        <v>0</v>
      </c>
      <c r="G5" s="9">
        <v>0</v>
      </c>
      <c r="H5" s="161">
        <v>-0.26091134599999999</v>
      </c>
      <c r="I5" s="17">
        <v>0</v>
      </c>
      <c r="K5" s="160" t="s">
        <v>35</v>
      </c>
      <c r="L5" s="170">
        <v>42501</v>
      </c>
      <c r="M5" s="9" t="s">
        <v>116</v>
      </c>
      <c r="N5" s="170">
        <v>42508</v>
      </c>
      <c r="O5" s="9" t="s">
        <v>76</v>
      </c>
      <c r="P5" s="9">
        <v>0</v>
      </c>
      <c r="Q5" s="9">
        <v>0</v>
      </c>
      <c r="R5" s="161">
        <v>-0.35</v>
      </c>
      <c r="S5" s="17">
        <v>0</v>
      </c>
      <c r="U5" s="160" t="s">
        <v>160</v>
      </c>
      <c r="V5" s="170">
        <v>42501</v>
      </c>
      <c r="W5" s="9" t="s">
        <v>181</v>
      </c>
      <c r="X5" s="170">
        <v>42522</v>
      </c>
      <c r="Y5" s="9" t="s">
        <v>78</v>
      </c>
      <c r="Z5" s="9">
        <v>0</v>
      </c>
      <c r="AA5" s="9">
        <v>0</v>
      </c>
      <c r="AB5" s="161">
        <v>-0.15180384099999999</v>
      </c>
      <c r="AC5" s="17">
        <v>0</v>
      </c>
      <c r="AE5" s="160" t="s">
        <v>160</v>
      </c>
      <c r="AF5" s="170">
        <v>42501</v>
      </c>
      <c r="AG5" s="9" t="s">
        <v>221</v>
      </c>
      <c r="AH5" s="170">
        <v>42522</v>
      </c>
      <c r="AI5" s="9" t="s">
        <v>78</v>
      </c>
      <c r="AJ5" s="9">
        <v>0</v>
      </c>
      <c r="AK5" s="9">
        <v>0</v>
      </c>
      <c r="AL5" s="161">
        <v>-0.34760000000000002</v>
      </c>
      <c r="AM5" s="17">
        <v>0</v>
      </c>
      <c r="AO5" s="160" t="s">
        <v>160</v>
      </c>
      <c r="AP5" s="170">
        <v>42501</v>
      </c>
      <c r="AQ5" s="9" t="s">
        <v>203</v>
      </c>
      <c r="AR5" s="170">
        <v>42522</v>
      </c>
      <c r="AS5" s="9" t="s">
        <v>78</v>
      </c>
      <c r="AT5" s="9">
        <v>0</v>
      </c>
      <c r="AU5" s="9">
        <v>0</v>
      </c>
      <c r="AV5" s="161">
        <v>3.0299095000000002E-2</v>
      </c>
      <c r="AW5" s="17">
        <v>0</v>
      </c>
      <c r="AY5" s="160" t="s">
        <v>34</v>
      </c>
      <c r="AZ5" s="170">
        <v>42501</v>
      </c>
      <c r="BA5" s="9" t="s">
        <v>220</v>
      </c>
      <c r="BB5" s="170">
        <v>42508</v>
      </c>
      <c r="BC5" s="9" t="s">
        <v>76</v>
      </c>
      <c r="BD5" s="9">
        <v>0</v>
      </c>
      <c r="BE5" s="9">
        <v>0</v>
      </c>
      <c r="BF5" s="161">
        <v>-0.34100000000000003</v>
      </c>
      <c r="BG5" s="17">
        <v>0</v>
      </c>
    </row>
    <row r="6" spans="1:59" x14ac:dyDescent="0.2">
      <c r="A6" s="160" t="s">
        <v>35</v>
      </c>
      <c r="B6" s="170">
        <v>42501</v>
      </c>
      <c r="C6" s="9" t="s">
        <v>162</v>
      </c>
      <c r="D6" s="170">
        <v>42534</v>
      </c>
      <c r="E6" s="9" t="s">
        <v>6</v>
      </c>
      <c r="F6" s="9">
        <v>0</v>
      </c>
      <c r="G6" s="9">
        <v>0</v>
      </c>
      <c r="H6" s="161">
        <v>-0.26090000000000002</v>
      </c>
      <c r="I6" s="17">
        <v>0</v>
      </c>
      <c r="K6" s="160" t="s">
        <v>35</v>
      </c>
      <c r="L6" s="170">
        <v>42501</v>
      </c>
      <c r="M6" s="9" t="s">
        <v>116</v>
      </c>
      <c r="N6" s="170">
        <v>42515</v>
      </c>
      <c r="O6" s="9" t="s">
        <v>77</v>
      </c>
      <c r="P6" s="9">
        <v>0</v>
      </c>
      <c r="Q6" s="9">
        <v>0</v>
      </c>
      <c r="R6" s="161">
        <v>-0.35</v>
      </c>
      <c r="S6" s="17">
        <v>0</v>
      </c>
      <c r="U6" s="160" t="s">
        <v>35</v>
      </c>
      <c r="V6" s="170">
        <v>42501</v>
      </c>
      <c r="W6" s="9" t="s">
        <v>182</v>
      </c>
      <c r="X6" s="170">
        <v>42534</v>
      </c>
      <c r="Y6" s="9" t="s">
        <v>6</v>
      </c>
      <c r="Z6" s="9">
        <v>0</v>
      </c>
      <c r="AA6" s="9">
        <v>0</v>
      </c>
      <c r="AB6" s="161">
        <v>-0.15179999999999999</v>
      </c>
      <c r="AC6" s="17">
        <v>0</v>
      </c>
      <c r="AE6" s="160" t="s">
        <v>35</v>
      </c>
      <c r="AF6" s="170">
        <v>42501</v>
      </c>
      <c r="AG6" s="9" t="s">
        <v>222</v>
      </c>
      <c r="AH6" s="170">
        <v>42534</v>
      </c>
      <c r="AI6" s="9" t="s">
        <v>6</v>
      </c>
      <c r="AJ6" s="9">
        <v>0</v>
      </c>
      <c r="AK6" s="9">
        <v>0</v>
      </c>
      <c r="AL6" s="161">
        <v>-0.34899999999999998</v>
      </c>
      <c r="AM6" s="17">
        <v>0</v>
      </c>
      <c r="AO6" s="160" t="s">
        <v>35</v>
      </c>
      <c r="AP6" s="170">
        <v>42501</v>
      </c>
      <c r="AQ6" s="9" t="s">
        <v>204</v>
      </c>
      <c r="AR6" s="170">
        <v>42534</v>
      </c>
      <c r="AS6" s="9" t="s">
        <v>6</v>
      </c>
      <c r="AT6" s="9">
        <v>0</v>
      </c>
      <c r="AU6" s="9">
        <v>0</v>
      </c>
      <c r="AV6" s="161">
        <v>3.0299248000000001E-2</v>
      </c>
      <c r="AW6" s="17">
        <v>0</v>
      </c>
      <c r="AY6" s="160" t="s">
        <v>34</v>
      </c>
      <c r="AZ6" s="170">
        <v>42501</v>
      </c>
      <c r="BA6" s="9" t="s">
        <v>220</v>
      </c>
      <c r="BB6" s="170">
        <v>42515</v>
      </c>
      <c r="BC6" s="9" t="s">
        <v>77</v>
      </c>
      <c r="BD6" s="9">
        <v>0</v>
      </c>
      <c r="BE6" s="9">
        <v>0</v>
      </c>
      <c r="BF6" s="161">
        <v>-0.34</v>
      </c>
      <c r="BG6" s="17">
        <v>0</v>
      </c>
    </row>
    <row r="7" spans="1:59" x14ac:dyDescent="0.2">
      <c r="A7" s="160" t="s">
        <v>35</v>
      </c>
      <c r="B7" s="170">
        <v>42501</v>
      </c>
      <c r="C7" s="9" t="s">
        <v>162</v>
      </c>
      <c r="D7" s="170">
        <v>42562</v>
      </c>
      <c r="E7" s="9" t="s">
        <v>79</v>
      </c>
      <c r="F7" s="9">
        <v>0</v>
      </c>
      <c r="G7" s="9">
        <v>0</v>
      </c>
      <c r="H7" s="161">
        <v>-0.2586</v>
      </c>
      <c r="I7" s="17">
        <v>0</v>
      </c>
      <c r="K7" s="160" t="s">
        <v>35</v>
      </c>
      <c r="L7" s="170">
        <v>42501</v>
      </c>
      <c r="M7" s="9" t="s">
        <v>116</v>
      </c>
      <c r="N7" s="170">
        <v>42522</v>
      </c>
      <c r="O7" s="9" t="s">
        <v>78</v>
      </c>
      <c r="P7" s="9">
        <v>0</v>
      </c>
      <c r="Q7" s="9">
        <v>0</v>
      </c>
      <c r="R7" s="161">
        <v>-0.34</v>
      </c>
      <c r="S7" s="17">
        <v>0</v>
      </c>
      <c r="U7" s="160" t="s">
        <v>35</v>
      </c>
      <c r="V7" s="170">
        <v>42501</v>
      </c>
      <c r="W7" s="9" t="s">
        <v>182</v>
      </c>
      <c r="X7" s="170">
        <v>42562</v>
      </c>
      <c r="Y7" s="9" t="s">
        <v>79</v>
      </c>
      <c r="Z7" s="9">
        <v>0</v>
      </c>
      <c r="AA7" s="9">
        <v>0</v>
      </c>
      <c r="AB7" s="161">
        <v>-0.14829999999999999</v>
      </c>
      <c r="AC7" s="17">
        <v>0</v>
      </c>
      <c r="AE7" s="160" t="s">
        <v>34</v>
      </c>
      <c r="AF7" s="170">
        <v>42501</v>
      </c>
      <c r="AG7" s="9" t="s">
        <v>223</v>
      </c>
      <c r="AH7" s="170">
        <v>42562</v>
      </c>
      <c r="AI7" s="9" t="s">
        <v>79</v>
      </c>
      <c r="AJ7" s="9">
        <v>0</v>
      </c>
      <c r="AK7" s="9">
        <v>0</v>
      </c>
      <c r="AL7" s="161">
        <v>-0.35099999999999998</v>
      </c>
      <c r="AM7" s="17">
        <v>0</v>
      </c>
      <c r="AO7" s="160" t="s">
        <v>35</v>
      </c>
      <c r="AP7" s="170">
        <v>42501</v>
      </c>
      <c r="AQ7" s="9" t="s">
        <v>204</v>
      </c>
      <c r="AR7" s="170">
        <v>42562</v>
      </c>
      <c r="AS7" s="9" t="s">
        <v>79</v>
      </c>
      <c r="AT7" s="9">
        <v>0</v>
      </c>
      <c r="AU7" s="9">
        <v>0</v>
      </c>
      <c r="AV7" s="161">
        <v>3.0299605E-2</v>
      </c>
      <c r="AW7" s="17">
        <v>0</v>
      </c>
      <c r="AY7" s="160" t="s">
        <v>34</v>
      </c>
      <c r="AZ7" s="170">
        <v>42501</v>
      </c>
      <c r="BA7" s="9" t="s">
        <v>220</v>
      </c>
      <c r="BB7" s="170">
        <v>42522</v>
      </c>
      <c r="BC7" s="9" t="s">
        <v>78</v>
      </c>
      <c r="BD7" s="9">
        <v>0</v>
      </c>
      <c r="BE7" s="9">
        <v>0</v>
      </c>
      <c r="BF7" s="161">
        <v>-0.34</v>
      </c>
      <c r="BG7" s="17">
        <v>0</v>
      </c>
    </row>
    <row r="8" spans="1:59" x14ac:dyDescent="0.2">
      <c r="A8" s="160" t="s">
        <v>35</v>
      </c>
      <c r="B8" s="170">
        <v>42501</v>
      </c>
      <c r="C8" s="9" t="s">
        <v>162</v>
      </c>
      <c r="D8" s="170">
        <v>42593</v>
      </c>
      <c r="E8" s="9" t="s">
        <v>0</v>
      </c>
      <c r="F8" s="9">
        <v>0</v>
      </c>
      <c r="G8" s="9">
        <v>0</v>
      </c>
      <c r="H8" s="161">
        <v>-0.2596</v>
      </c>
      <c r="I8" s="17">
        <v>0</v>
      </c>
      <c r="K8" s="160" t="s">
        <v>35</v>
      </c>
      <c r="L8" s="170">
        <v>42501</v>
      </c>
      <c r="M8" s="9" t="s">
        <v>116</v>
      </c>
      <c r="N8" s="170">
        <v>42534</v>
      </c>
      <c r="O8" s="9" t="s">
        <v>6</v>
      </c>
      <c r="P8" s="9">
        <v>0</v>
      </c>
      <c r="Q8" s="9">
        <v>0</v>
      </c>
      <c r="R8" s="161">
        <v>-0.34</v>
      </c>
      <c r="S8" s="17">
        <v>0</v>
      </c>
      <c r="U8" s="160" t="s">
        <v>35</v>
      </c>
      <c r="V8" s="170">
        <v>42501</v>
      </c>
      <c r="W8" s="9" t="s">
        <v>182</v>
      </c>
      <c r="X8" s="170">
        <v>42593</v>
      </c>
      <c r="Y8" s="9" t="s">
        <v>0</v>
      </c>
      <c r="Z8" s="9">
        <v>0</v>
      </c>
      <c r="AA8" s="9">
        <v>0</v>
      </c>
      <c r="AB8" s="161">
        <v>-0.1477</v>
      </c>
      <c r="AC8" s="17">
        <v>0</v>
      </c>
      <c r="AE8" s="160" t="s">
        <v>34</v>
      </c>
      <c r="AF8" s="170">
        <v>42501</v>
      </c>
      <c r="AG8" s="9" t="s">
        <v>223</v>
      </c>
      <c r="AH8" s="170">
        <v>42593</v>
      </c>
      <c r="AI8" s="9" t="s">
        <v>0</v>
      </c>
      <c r="AJ8" s="9">
        <v>0</v>
      </c>
      <c r="AK8" s="9">
        <v>0</v>
      </c>
      <c r="AL8" s="161">
        <v>-0.35299999999999998</v>
      </c>
      <c r="AM8" s="17">
        <v>0</v>
      </c>
      <c r="AO8" s="160" t="s">
        <v>35</v>
      </c>
      <c r="AP8" s="170">
        <v>42501</v>
      </c>
      <c r="AQ8" s="9" t="s">
        <v>204</v>
      </c>
      <c r="AR8" s="170">
        <v>42593</v>
      </c>
      <c r="AS8" s="9" t="s">
        <v>0</v>
      </c>
      <c r="AT8" s="9">
        <v>0</v>
      </c>
      <c r="AU8" s="9">
        <v>0</v>
      </c>
      <c r="AV8" s="161">
        <v>3.0300000000000001E-2</v>
      </c>
      <c r="AW8" s="17">
        <v>0</v>
      </c>
      <c r="AY8" s="160" t="s">
        <v>34</v>
      </c>
      <c r="AZ8" s="170">
        <v>42501</v>
      </c>
      <c r="BA8" s="9" t="s">
        <v>220</v>
      </c>
      <c r="BB8" s="170">
        <v>42534</v>
      </c>
      <c r="BC8" s="9" t="s">
        <v>6</v>
      </c>
      <c r="BD8" s="9">
        <v>0</v>
      </c>
      <c r="BE8" s="9">
        <v>0</v>
      </c>
      <c r="BF8" s="161">
        <v>-0.34</v>
      </c>
      <c r="BG8" s="17">
        <v>0</v>
      </c>
    </row>
    <row r="9" spans="1:59" x14ac:dyDescent="0.2">
      <c r="A9" s="160" t="s">
        <v>163</v>
      </c>
      <c r="B9" s="170">
        <v>42534</v>
      </c>
      <c r="C9" s="9" t="s">
        <v>164</v>
      </c>
      <c r="D9" s="170">
        <v>42626</v>
      </c>
      <c r="E9" s="9" t="s">
        <v>165</v>
      </c>
      <c r="F9" s="9">
        <v>0</v>
      </c>
      <c r="G9" s="9">
        <v>0</v>
      </c>
      <c r="H9" s="161">
        <v>-0.25800000000000001</v>
      </c>
      <c r="I9" s="17">
        <v>0</v>
      </c>
      <c r="K9" s="160" t="s">
        <v>35</v>
      </c>
      <c r="L9" s="170">
        <v>42501</v>
      </c>
      <c r="M9" s="9" t="s">
        <v>116</v>
      </c>
      <c r="N9" s="170">
        <v>42562</v>
      </c>
      <c r="O9" s="9" t="s">
        <v>79</v>
      </c>
      <c r="P9" s="9">
        <v>0</v>
      </c>
      <c r="Q9" s="9">
        <v>0</v>
      </c>
      <c r="R9" s="161">
        <v>-0.28999999999999998</v>
      </c>
      <c r="S9" s="17">
        <v>0</v>
      </c>
      <c r="T9" s="166"/>
      <c r="U9" s="160" t="s">
        <v>35</v>
      </c>
      <c r="V9" s="170">
        <v>42501</v>
      </c>
      <c r="W9" s="9" t="s">
        <v>182</v>
      </c>
      <c r="X9" s="170">
        <v>42625</v>
      </c>
      <c r="Y9" s="9" t="s">
        <v>80</v>
      </c>
      <c r="Z9" s="9">
        <v>0</v>
      </c>
      <c r="AA9" s="9">
        <v>0</v>
      </c>
      <c r="AB9" s="161">
        <v>-0.1452</v>
      </c>
      <c r="AC9" s="17">
        <v>0</v>
      </c>
      <c r="AE9" s="160" t="s">
        <v>34</v>
      </c>
      <c r="AF9" s="170">
        <v>42501</v>
      </c>
      <c r="AG9" s="9" t="s">
        <v>223</v>
      </c>
      <c r="AH9" s="170">
        <v>42625</v>
      </c>
      <c r="AI9" s="9" t="s">
        <v>80</v>
      </c>
      <c r="AJ9" s="9">
        <v>0</v>
      </c>
      <c r="AK9" s="9">
        <v>0</v>
      </c>
      <c r="AL9" s="161">
        <v>-0.35399999999999998</v>
      </c>
      <c r="AM9" s="17">
        <v>0</v>
      </c>
      <c r="AO9" s="160" t="s">
        <v>35</v>
      </c>
      <c r="AP9" s="170">
        <v>42501</v>
      </c>
      <c r="AQ9" s="9" t="s">
        <v>204</v>
      </c>
      <c r="AR9" s="170">
        <v>42625</v>
      </c>
      <c r="AS9" s="9" t="s">
        <v>80</v>
      </c>
      <c r="AT9" s="9">
        <v>0</v>
      </c>
      <c r="AU9" s="9">
        <v>0</v>
      </c>
      <c r="AV9" s="161">
        <v>2.7542556999999999E-2</v>
      </c>
      <c r="AW9" s="17">
        <v>0</v>
      </c>
      <c r="AY9" s="160" t="s">
        <v>34</v>
      </c>
      <c r="AZ9" s="170">
        <v>42501</v>
      </c>
      <c r="BA9" s="9" t="s">
        <v>220</v>
      </c>
      <c r="BB9" s="170">
        <v>42562</v>
      </c>
      <c r="BC9" s="9" t="s">
        <v>79</v>
      </c>
      <c r="BD9" s="9">
        <v>0</v>
      </c>
      <c r="BE9" s="9">
        <v>0</v>
      </c>
      <c r="BF9" s="161">
        <v>-0.34100000000000003</v>
      </c>
      <c r="BG9" s="17">
        <v>0</v>
      </c>
    </row>
    <row r="10" spans="1:59" x14ac:dyDescent="0.2">
      <c r="A10" s="160" t="s">
        <v>163</v>
      </c>
      <c r="B10" s="170">
        <v>42562</v>
      </c>
      <c r="C10" s="9" t="s">
        <v>164</v>
      </c>
      <c r="D10" s="170">
        <v>42654</v>
      </c>
      <c r="E10" s="9" t="s">
        <v>166</v>
      </c>
      <c r="F10" s="9">
        <v>0</v>
      </c>
      <c r="G10" s="9">
        <v>0</v>
      </c>
      <c r="H10" s="161">
        <v>-0.26300000000000001</v>
      </c>
      <c r="I10" s="17">
        <v>0</v>
      </c>
      <c r="K10" s="160" t="s">
        <v>35</v>
      </c>
      <c r="L10" s="170">
        <v>42501</v>
      </c>
      <c r="M10" s="9" t="s">
        <v>116</v>
      </c>
      <c r="N10" s="170">
        <v>42593</v>
      </c>
      <c r="O10" s="9" t="s">
        <v>0</v>
      </c>
      <c r="P10" s="9">
        <v>0</v>
      </c>
      <c r="Q10" s="9">
        <v>0</v>
      </c>
      <c r="R10" s="161">
        <v>-0.25</v>
      </c>
      <c r="S10" s="17">
        <v>0</v>
      </c>
      <c r="U10" s="160" t="s">
        <v>35</v>
      </c>
      <c r="V10" s="170">
        <v>42501</v>
      </c>
      <c r="W10" s="9" t="s">
        <v>182</v>
      </c>
      <c r="X10" s="170">
        <v>42654</v>
      </c>
      <c r="Y10" s="9" t="s">
        <v>81</v>
      </c>
      <c r="Z10" s="9">
        <v>0</v>
      </c>
      <c r="AA10" s="9">
        <v>0</v>
      </c>
      <c r="AB10" s="161">
        <v>-0.1462</v>
      </c>
      <c r="AC10" s="17">
        <v>0</v>
      </c>
      <c r="AE10" s="160" t="s">
        <v>34</v>
      </c>
      <c r="AF10" s="170">
        <v>42501</v>
      </c>
      <c r="AG10" s="9" t="s">
        <v>223</v>
      </c>
      <c r="AH10" s="170">
        <v>42654</v>
      </c>
      <c r="AI10" s="9" t="s">
        <v>81</v>
      </c>
      <c r="AJ10" s="9">
        <v>0</v>
      </c>
      <c r="AK10" s="9">
        <v>0</v>
      </c>
      <c r="AL10" s="161">
        <v>-0.35799999999999998</v>
      </c>
      <c r="AM10" s="17">
        <v>0</v>
      </c>
      <c r="AO10" s="160" t="s">
        <v>35</v>
      </c>
      <c r="AP10" s="170">
        <v>42501</v>
      </c>
      <c r="AQ10" s="9" t="s">
        <v>204</v>
      </c>
      <c r="AR10" s="170">
        <v>42654</v>
      </c>
      <c r="AS10" s="9" t="s">
        <v>81</v>
      </c>
      <c r="AT10" s="9">
        <v>0</v>
      </c>
      <c r="AU10" s="9">
        <v>0</v>
      </c>
      <c r="AV10" s="161">
        <v>2.1956694999999998E-2</v>
      </c>
      <c r="AW10" s="17">
        <v>0</v>
      </c>
      <c r="AY10" s="160" t="s">
        <v>34</v>
      </c>
      <c r="AZ10" s="170">
        <v>42501</v>
      </c>
      <c r="BA10" s="9" t="s">
        <v>220</v>
      </c>
      <c r="BB10" s="170">
        <v>42593</v>
      </c>
      <c r="BC10" s="9" t="s">
        <v>0</v>
      </c>
      <c r="BD10" s="9">
        <v>0</v>
      </c>
      <c r="BE10" s="9">
        <v>0</v>
      </c>
      <c r="BF10" s="161">
        <v>-0.34549123999999998</v>
      </c>
      <c r="BG10" s="17">
        <v>0</v>
      </c>
    </row>
    <row r="11" spans="1:59" x14ac:dyDescent="0.2">
      <c r="A11" s="160" t="s">
        <v>163</v>
      </c>
      <c r="B11" s="170">
        <v>42593</v>
      </c>
      <c r="C11" s="9" t="s">
        <v>164</v>
      </c>
      <c r="D11" s="170">
        <v>42685</v>
      </c>
      <c r="E11" s="9" t="s">
        <v>167</v>
      </c>
      <c r="F11" s="9">
        <v>0</v>
      </c>
      <c r="G11" s="9">
        <v>0</v>
      </c>
      <c r="H11" s="161">
        <v>-0.26800000000000002</v>
      </c>
      <c r="I11" s="17">
        <v>0</v>
      </c>
      <c r="K11" s="160" t="s">
        <v>35</v>
      </c>
      <c r="L11" s="170">
        <v>42501</v>
      </c>
      <c r="M11" s="9" t="s">
        <v>116</v>
      </c>
      <c r="N11" s="170">
        <v>42625</v>
      </c>
      <c r="O11" s="9" t="s">
        <v>80</v>
      </c>
      <c r="P11" s="9">
        <v>0</v>
      </c>
      <c r="Q11" s="9">
        <v>0</v>
      </c>
      <c r="R11" s="161">
        <v>-0.21</v>
      </c>
      <c r="S11" s="17">
        <v>0</v>
      </c>
      <c r="U11" s="160" t="s">
        <v>35</v>
      </c>
      <c r="V11" s="170">
        <v>42501</v>
      </c>
      <c r="W11" s="9" t="s">
        <v>182</v>
      </c>
      <c r="X11" s="170">
        <v>42685</v>
      </c>
      <c r="Y11" s="9" t="s">
        <v>7</v>
      </c>
      <c r="Z11" s="9">
        <v>0</v>
      </c>
      <c r="AA11" s="9">
        <v>0</v>
      </c>
      <c r="AB11" s="161">
        <v>-0.14729999999999999</v>
      </c>
      <c r="AC11" s="17">
        <v>0</v>
      </c>
      <c r="AE11" s="160" t="s">
        <v>34</v>
      </c>
      <c r="AF11" s="170">
        <v>42501</v>
      </c>
      <c r="AG11" s="9" t="s">
        <v>223</v>
      </c>
      <c r="AH11" s="170">
        <v>42685</v>
      </c>
      <c r="AI11" s="9" t="s">
        <v>7</v>
      </c>
      <c r="AJ11" s="9">
        <v>0</v>
      </c>
      <c r="AK11" s="9">
        <v>0</v>
      </c>
      <c r="AL11" s="161">
        <v>-0.36299999999999999</v>
      </c>
      <c r="AM11" s="17">
        <v>0</v>
      </c>
      <c r="AO11" s="160" t="s">
        <v>35</v>
      </c>
      <c r="AP11" s="170">
        <v>42501</v>
      </c>
      <c r="AQ11" s="9" t="s">
        <v>204</v>
      </c>
      <c r="AR11" s="170">
        <v>42685</v>
      </c>
      <c r="AS11" s="9" t="s">
        <v>7</v>
      </c>
      <c r="AT11" s="9">
        <v>0</v>
      </c>
      <c r="AU11" s="9">
        <v>0</v>
      </c>
      <c r="AV11" s="161">
        <v>1.54E-2</v>
      </c>
      <c r="AW11" s="17">
        <v>0</v>
      </c>
      <c r="AY11" s="160" t="s">
        <v>34</v>
      </c>
      <c r="AZ11" s="170">
        <v>42501</v>
      </c>
      <c r="BA11" s="9" t="s">
        <v>220</v>
      </c>
      <c r="BB11" s="170">
        <v>42625</v>
      </c>
      <c r="BC11" s="9" t="s">
        <v>80</v>
      </c>
      <c r="BD11" s="9">
        <v>0</v>
      </c>
      <c r="BE11" s="9">
        <v>0</v>
      </c>
      <c r="BF11" s="161">
        <v>-0.34813243700000002</v>
      </c>
      <c r="BG11" s="17">
        <v>0</v>
      </c>
    </row>
    <row r="12" spans="1:59" x14ac:dyDescent="0.2">
      <c r="A12" s="160" t="s">
        <v>163</v>
      </c>
      <c r="B12" s="170">
        <v>42625</v>
      </c>
      <c r="C12" s="9" t="s">
        <v>164</v>
      </c>
      <c r="D12" s="170">
        <v>42716</v>
      </c>
      <c r="E12" s="9" t="s">
        <v>168</v>
      </c>
      <c r="F12" s="9">
        <v>0</v>
      </c>
      <c r="G12" s="9">
        <v>0</v>
      </c>
      <c r="H12" s="161">
        <v>-0.27300000000000002</v>
      </c>
      <c r="I12" s="17">
        <v>0</v>
      </c>
      <c r="K12" s="160" t="s">
        <v>35</v>
      </c>
      <c r="L12" s="170">
        <v>42501</v>
      </c>
      <c r="M12" s="9" t="s">
        <v>116</v>
      </c>
      <c r="N12" s="170">
        <v>42654</v>
      </c>
      <c r="O12" s="9" t="s">
        <v>81</v>
      </c>
      <c r="P12" s="9">
        <v>0</v>
      </c>
      <c r="Q12" s="9">
        <v>0</v>
      </c>
      <c r="R12" s="161">
        <v>-0.17</v>
      </c>
      <c r="S12" s="17">
        <v>0</v>
      </c>
      <c r="U12" s="160" t="s">
        <v>163</v>
      </c>
      <c r="V12" s="170">
        <v>42534</v>
      </c>
      <c r="W12" s="9" t="s">
        <v>183</v>
      </c>
      <c r="X12" s="170">
        <v>42717</v>
      </c>
      <c r="Y12" s="9" t="s">
        <v>184</v>
      </c>
      <c r="Z12" s="9">
        <v>0</v>
      </c>
      <c r="AA12" s="9">
        <v>0</v>
      </c>
      <c r="AB12" s="161">
        <v>-0.14599999999999999</v>
      </c>
      <c r="AC12" s="17">
        <v>0</v>
      </c>
      <c r="AE12" s="160" t="s">
        <v>34</v>
      </c>
      <c r="AF12" s="170">
        <v>42501</v>
      </c>
      <c r="AG12" s="9" t="s">
        <v>223</v>
      </c>
      <c r="AH12" s="170">
        <v>42716</v>
      </c>
      <c r="AI12" s="9" t="s">
        <v>82</v>
      </c>
      <c r="AJ12" s="9">
        <v>0</v>
      </c>
      <c r="AK12" s="9">
        <v>0</v>
      </c>
      <c r="AL12" s="161">
        <v>-0.36799999999999999</v>
      </c>
      <c r="AM12" s="17">
        <v>0</v>
      </c>
      <c r="AO12" s="160" t="s">
        <v>35</v>
      </c>
      <c r="AP12" s="170">
        <v>42501</v>
      </c>
      <c r="AQ12" s="9" t="s">
        <v>204</v>
      </c>
      <c r="AR12" s="170">
        <v>42716</v>
      </c>
      <c r="AS12" s="9" t="s">
        <v>82</v>
      </c>
      <c r="AT12" s="9">
        <v>0</v>
      </c>
      <c r="AU12" s="9">
        <v>0</v>
      </c>
      <c r="AV12" s="161">
        <v>9.6293669999999998E-3</v>
      </c>
      <c r="AW12" s="17">
        <v>0</v>
      </c>
      <c r="AY12" s="160" t="s">
        <v>34</v>
      </c>
      <c r="AZ12" s="170">
        <v>42501</v>
      </c>
      <c r="BA12" s="9" t="s">
        <v>220</v>
      </c>
      <c r="BB12" s="170">
        <v>42654</v>
      </c>
      <c r="BC12" s="9" t="s">
        <v>81</v>
      </c>
      <c r="BD12" s="9">
        <v>0</v>
      </c>
      <c r="BE12" s="9">
        <v>0</v>
      </c>
      <c r="BF12" s="161">
        <v>-0.35386339100000003</v>
      </c>
      <c r="BG12" s="17">
        <v>0</v>
      </c>
    </row>
    <row r="13" spans="1:59" x14ac:dyDescent="0.2">
      <c r="A13" s="160" t="s">
        <v>163</v>
      </c>
      <c r="B13" s="170">
        <v>42654</v>
      </c>
      <c r="C13" s="9" t="s">
        <v>164</v>
      </c>
      <c r="D13" s="170">
        <v>42746</v>
      </c>
      <c r="E13" s="9" t="s">
        <v>169</v>
      </c>
      <c r="F13" s="9">
        <v>0</v>
      </c>
      <c r="G13" s="9">
        <v>0</v>
      </c>
      <c r="H13" s="161">
        <v>-0.27700000000000002</v>
      </c>
      <c r="I13" s="17">
        <v>0</v>
      </c>
      <c r="K13" s="160" t="s">
        <v>35</v>
      </c>
      <c r="L13" s="170">
        <v>42501</v>
      </c>
      <c r="M13" s="9" t="s">
        <v>116</v>
      </c>
      <c r="N13" s="170">
        <v>42685</v>
      </c>
      <c r="O13" s="9" t="s">
        <v>7</v>
      </c>
      <c r="P13" s="9">
        <v>0</v>
      </c>
      <c r="Q13" s="9">
        <v>0</v>
      </c>
      <c r="R13" s="161">
        <v>-0.14000000000000001</v>
      </c>
      <c r="S13" s="17">
        <v>0</v>
      </c>
      <c r="U13" s="160" t="s">
        <v>163</v>
      </c>
      <c r="V13" s="170">
        <v>42562</v>
      </c>
      <c r="W13" s="9" t="s">
        <v>183</v>
      </c>
      <c r="X13" s="170">
        <v>42746</v>
      </c>
      <c r="Y13" s="9" t="s">
        <v>185</v>
      </c>
      <c r="Z13" s="9">
        <v>0</v>
      </c>
      <c r="AA13" s="9">
        <v>0</v>
      </c>
      <c r="AB13" s="161">
        <v>-0.14699999999999999</v>
      </c>
      <c r="AC13" s="17">
        <v>0</v>
      </c>
      <c r="AE13" s="160" t="s">
        <v>34</v>
      </c>
      <c r="AF13" s="170">
        <v>42501</v>
      </c>
      <c r="AG13" s="9" t="s">
        <v>223</v>
      </c>
      <c r="AH13" s="170">
        <v>42746</v>
      </c>
      <c r="AI13" s="9" t="s">
        <v>122</v>
      </c>
      <c r="AJ13" s="9">
        <v>0</v>
      </c>
      <c r="AK13" s="9">
        <v>0</v>
      </c>
      <c r="AL13" s="161">
        <v>-0.372</v>
      </c>
      <c r="AM13" s="17">
        <v>0</v>
      </c>
      <c r="AO13" s="160" t="s">
        <v>35</v>
      </c>
      <c r="AP13" s="170">
        <v>42501</v>
      </c>
      <c r="AQ13" s="9" t="s">
        <v>204</v>
      </c>
      <c r="AR13" s="170">
        <v>42746</v>
      </c>
      <c r="AS13" s="9" t="s">
        <v>122</v>
      </c>
      <c r="AT13" s="9">
        <v>0</v>
      </c>
      <c r="AU13" s="9">
        <v>0</v>
      </c>
      <c r="AV13" s="161">
        <v>4.4537759999999996E-3</v>
      </c>
      <c r="AW13" s="17">
        <v>0</v>
      </c>
      <c r="AY13" s="160" t="s">
        <v>34</v>
      </c>
      <c r="AZ13" s="170">
        <v>42501</v>
      </c>
      <c r="BA13" s="9" t="s">
        <v>220</v>
      </c>
      <c r="BB13" s="170">
        <v>42685</v>
      </c>
      <c r="BC13" s="9" t="s">
        <v>7</v>
      </c>
      <c r="BD13" s="9">
        <v>0</v>
      </c>
      <c r="BE13" s="9">
        <v>0</v>
      </c>
      <c r="BF13" s="161">
        <v>-0.36003719699999998</v>
      </c>
      <c r="BG13" s="17">
        <v>0</v>
      </c>
    </row>
    <row r="14" spans="1:59" x14ac:dyDescent="0.2">
      <c r="A14" s="160" t="s">
        <v>163</v>
      </c>
      <c r="B14" s="170">
        <v>42685</v>
      </c>
      <c r="C14" s="9" t="s">
        <v>164</v>
      </c>
      <c r="D14" s="170">
        <v>42779</v>
      </c>
      <c r="E14" s="9" t="s">
        <v>170</v>
      </c>
      <c r="F14" s="9">
        <v>0</v>
      </c>
      <c r="G14" s="9">
        <v>0</v>
      </c>
      <c r="H14" s="161">
        <v>-0.28399999999999997</v>
      </c>
      <c r="I14" s="17">
        <v>0</v>
      </c>
      <c r="K14" s="160" t="s">
        <v>35</v>
      </c>
      <c r="L14" s="170">
        <v>42501</v>
      </c>
      <c r="M14" s="9" t="s">
        <v>116</v>
      </c>
      <c r="N14" s="170">
        <v>42716</v>
      </c>
      <c r="O14" s="9" t="s">
        <v>82</v>
      </c>
      <c r="P14" s="9">
        <v>0</v>
      </c>
      <c r="Q14" s="9">
        <v>0</v>
      </c>
      <c r="R14" s="161">
        <v>-0.12</v>
      </c>
      <c r="S14" s="17">
        <v>0</v>
      </c>
      <c r="U14" s="160" t="s">
        <v>163</v>
      </c>
      <c r="V14" s="170">
        <v>42593</v>
      </c>
      <c r="W14" s="9" t="s">
        <v>183</v>
      </c>
      <c r="X14" s="170">
        <v>42779</v>
      </c>
      <c r="Y14" s="9" t="s">
        <v>186</v>
      </c>
      <c r="Z14" s="9">
        <v>0</v>
      </c>
      <c r="AA14" s="9">
        <v>0</v>
      </c>
      <c r="AB14" s="161">
        <v>-0.151</v>
      </c>
      <c r="AC14" s="17">
        <v>0</v>
      </c>
      <c r="AE14" s="160" t="s">
        <v>34</v>
      </c>
      <c r="AF14" s="170">
        <v>42501</v>
      </c>
      <c r="AG14" s="9" t="s">
        <v>223</v>
      </c>
      <c r="AH14" s="170">
        <v>42779</v>
      </c>
      <c r="AI14" s="9" t="s">
        <v>123</v>
      </c>
      <c r="AJ14" s="9">
        <v>0</v>
      </c>
      <c r="AK14" s="9">
        <v>0</v>
      </c>
      <c r="AL14" s="161">
        <v>-0.379</v>
      </c>
      <c r="AM14" s="17">
        <v>0</v>
      </c>
      <c r="AO14" s="160" t="s">
        <v>35</v>
      </c>
      <c r="AP14" s="170">
        <v>42501</v>
      </c>
      <c r="AQ14" s="9" t="s">
        <v>204</v>
      </c>
      <c r="AR14" s="170">
        <v>42779</v>
      </c>
      <c r="AS14" s="9" t="s">
        <v>123</v>
      </c>
      <c r="AT14" s="9">
        <v>0</v>
      </c>
      <c r="AU14" s="9">
        <v>0</v>
      </c>
      <c r="AV14" s="161">
        <v>-6.9999999999999999E-4</v>
      </c>
      <c r="AW14" s="17">
        <v>0</v>
      </c>
      <c r="AY14" s="160" t="s">
        <v>34</v>
      </c>
      <c r="AZ14" s="170">
        <v>42501</v>
      </c>
      <c r="BA14" s="9" t="s">
        <v>220</v>
      </c>
      <c r="BB14" s="170">
        <v>42716</v>
      </c>
      <c r="BC14" s="9" t="s">
        <v>82</v>
      </c>
      <c r="BD14" s="9">
        <v>0</v>
      </c>
      <c r="BE14" s="9">
        <v>0</v>
      </c>
      <c r="BF14" s="161">
        <v>-0.36459022299999999</v>
      </c>
      <c r="BG14" s="17">
        <v>0</v>
      </c>
    </row>
    <row r="15" spans="1:59" x14ac:dyDescent="0.2">
      <c r="A15" s="160" t="s">
        <v>163</v>
      </c>
      <c r="B15" s="170">
        <v>42716</v>
      </c>
      <c r="C15" s="9" t="s">
        <v>164</v>
      </c>
      <c r="D15" s="170">
        <v>42807</v>
      </c>
      <c r="E15" s="9" t="s">
        <v>171</v>
      </c>
      <c r="F15" s="9">
        <v>0</v>
      </c>
      <c r="G15" s="9">
        <v>0</v>
      </c>
      <c r="H15" s="161">
        <v>-0.29199999999999998</v>
      </c>
      <c r="I15" s="17">
        <v>0</v>
      </c>
      <c r="K15" s="160" t="s">
        <v>35</v>
      </c>
      <c r="L15" s="170">
        <v>42501</v>
      </c>
      <c r="M15" s="9" t="s">
        <v>117</v>
      </c>
      <c r="N15" s="170">
        <v>42725</v>
      </c>
      <c r="O15" s="9" t="s">
        <v>179</v>
      </c>
      <c r="P15" s="9">
        <v>0</v>
      </c>
      <c r="Q15" s="9">
        <v>0</v>
      </c>
      <c r="R15" s="161">
        <v>-0.111</v>
      </c>
      <c r="S15" s="17">
        <v>0</v>
      </c>
      <c r="U15" s="160" t="s">
        <v>163</v>
      </c>
      <c r="V15" s="170">
        <v>42625</v>
      </c>
      <c r="W15" s="9" t="s">
        <v>183</v>
      </c>
      <c r="X15" s="170">
        <v>42807</v>
      </c>
      <c r="Y15" s="9" t="s">
        <v>187</v>
      </c>
      <c r="Z15" s="9">
        <v>0</v>
      </c>
      <c r="AA15" s="9">
        <v>0</v>
      </c>
      <c r="AB15" s="161">
        <v>-0.156</v>
      </c>
      <c r="AC15" s="17">
        <v>0</v>
      </c>
      <c r="AE15" s="160" t="s">
        <v>34</v>
      </c>
      <c r="AF15" s="170">
        <v>42501</v>
      </c>
      <c r="AG15" s="9" t="s">
        <v>223</v>
      </c>
      <c r="AH15" s="170">
        <v>42807</v>
      </c>
      <c r="AI15" s="9" t="s">
        <v>124</v>
      </c>
      <c r="AJ15" s="9">
        <v>0</v>
      </c>
      <c r="AK15" s="9">
        <v>0</v>
      </c>
      <c r="AL15" s="161">
        <v>-0.38300000000000001</v>
      </c>
      <c r="AM15" s="17">
        <v>0</v>
      </c>
      <c r="AO15" s="160" t="s">
        <v>35</v>
      </c>
      <c r="AP15" s="170">
        <v>42501</v>
      </c>
      <c r="AQ15" s="9" t="s">
        <v>204</v>
      </c>
      <c r="AR15" s="170">
        <v>42807</v>
      </c>
      <c r="AS15" s="9" t="s">
        <v>124</v>
      </c>
      <c r="AT15" s="9">
        <v>0</v>
      </c>
      <c r="AU15" s="9">
        <v>0</v>
      </c>
      <c r="AV15" s="161">
        <v>-4.6709869999999997E-3</v>
      </c>
      <c r="AW15" s="17">
        <v>0</v>
      </c>
      <c r="AY15" s="160" t="s">
        <v>34</v>
      </c>
      <c r="AZ15" s="170">
        <v>42501</v>
      </c>
      <c r="BA15" s="9" t="s">
        <v>220</v>
      </c>
      <c r="BB15" s="170">
        <v>42746</v>
      </c>
      <c r="BC15" s="9" t="s">
        <v>122</v>
      </c>
      <c r="BD15" s="9">
        <v>0</v>
      </c>
      <c r="BE15" s="9">
        <v>0</v>
      </c>
      <c r="BF15" s="161">
        <v>-0.36980185700000001</v>
      </c>
      <c r="BG15" s="17">
        <v>0</v>
      </c>
    </row>
    <row r="16" spans="1:59" x14ac:dyDescent="0.2">
      <c r="A16" s="160" t="s">
        <v>163</v>
      </c>
      <c r="B16" s="170">
        <v>42746</v>
      </c>
      <c r="C16" s="9" t="s">
        <v>164</v>
      </c>
      <c r="D16" s="170">
        <v>42836</v>
      </c>
      <c r="E16" s="9" t="s">
        <v>172</v>
      </c>
      <c r="F16" s="9">
        <v>0</v>
      </c>
      <c r="G16" s="9">
        <v>0</v>
      </c>
      <c r="H16" s="161">
        <v>-0.29599999999999999</v>
      </c>
      <c r="I16" s="17">
        <v>0</v>
      </c>
      <c r="K16" s="160" t="s">
        <v>33</v>
      </c>
      <c r="L16" s="170">
        <v>42725</v>
      </c>
      <c r="M16" s="9" t="s">
        <v>118</v>
      </c>
      <c r="N16" s="170">
        <v>42815</v>
      </c>
      <c r="O16" s="10">
        <v>42705</v>
      </c>
      <c r="P16" s="9">
        <v>0</v>
      </c>
      <c r="Q16" s="9">
        <v>0</v>
      </c>
      <c r="R16" s="161">
        <v>100.29225</v>
      </c>
      <c r="S16" s="17">
        <v>0</v>
      </c>
      <c r="U16" s="160" t="s">
        <v>163</v>
      </c>
      <c r="V16" s="170">
        <v>42654</v>
      </c>
      <c r="W16" s="9" t="s">
        <v>183</v>
      </c>
      <c r="X16" s="170">
        <v>42836</v>
      </c>
      <c r="Y16" s="9" t="s">
        <v>188</v>
      </c>
      <c r="Z16" s="9">
        <v>0</v>
      </c>
      <c r="AA16" s="9">
        <v>0</v>
      </c>
      <c r="AB16" s="161">
        <v>-0.158</v>
      </c>
      <c r="AC16" s="17">
        <v>0</v>
      </c>
      <c r="AE16" s="160" t="s">
        <v>34</v>
      </c>
      <c r="AF16" s="170">
        <v>42501</v>
      </c>
      <c r="AG16" s="9" t="s">
        <v>223</v>
      </c>
      <c r="AH16" s="170">
        <v>42836</v>
      </c>
      <c r="AI16" s="9" t="s">
        <v>125</v>
      </c>
      <c r="AJ16" s="9">
        <v>0</v>
      </c>
      <c r="AK16" s="9">
        <v>0</v>
      </c>
      <c r="AL16" s="161">
        <v>-0.38700000000000001</v>
      </c>
      <c r="AM16" s="17">
        <v>0</v>
      </c>
      <c r="AO16" s="160" t="s">
        <v>35</v>
      </c>
      <c r="AP16" s="170">
        <v>42501</v>
      </c>
      <c r="AQ16" s="9" t="s">
        <v>204</v>
      </c>
      <c r="AR16" s="170">
        <v>42836</v>
      </c>
      <c r="AS16" s="9" t="s">
        <v>125</v>
      </c>
      <c r="AT16" s="9">
        <v>0</v>
      </c>
      <c r="AU16" s="9">
        <v>0</v>
      </c>
      <c r="AV16" s="161">
        <v>-8.8849759999999993E-3</v>
      </c>
      <c r="AW16" s="17">
        <v>0</v>
      </c>
      <c r="AY16" s="160" t="s">
        <v>34</v>
      </c>
      <c r="AZ16" s="170">
        <v>42501</v>
      </c>
      <c r="BA16" s="9" t="s">
        <v>220</v>
      </c>
      <c r="BB16" s="170">
        <v>42779</v>
      </c>
      <c r="BC16" s="9" t="s">
        <v>123</v>
      </c>
      <c r="BD16" s="9">
        <v>0</v>
      </c>
      <c r="BE16" s="9">
        <v>0</v>
      </c>
      <c r="BF16" s="161">
        <v>-0.37575487600000002</v>
      </c>
      <c r="BG16" s="17">
        <v>0</v>
      </c>
    </row>
    <row r="17" spans="1:59" x14ac:dyDescent="0.2">
      <c r="A17" s="160" t="s">
        <v>163</v>
      </c>
      <c r="B17" s="170">
        <v>42779</v>
      </c>
      <c r="C17" s="9" t="s">
        <v>164</v>
      </c>
      <c r="D17" s="170">
        <v>42870</v>
      </c>
      <c r="E17" s="9" t="s">
        <v>173</v>
      </c>
      <c r="F17" s="9">
        <v>0</v>
      </c>
      <c r="G17" s="9">
        <v>0</v>
      </c>
      <c r="H17" s="161">
        <v>-0.29899999999999999</v>
      </c>
      <c r="I17" s="17">
        <v>0</v>
      </c>
      <c r="K17" s="160" t="s">
        <v>33</v>
      </c>
      <c r="L17" s="170">
        <v>42809</v>
      </c>
      <c r="M17" s="9" t="s">
        <v>118</v>
      </c>
      <c r="N17" s="170">
        <v>42901</v>
      </c>
      <c r="O17" s="10">
        <v>42795</v>
      </c>
      <c r="P17" s="9">
        <v>0</v>
      </c>
      <c r="Q17" s="9">
        <v>0</v>
      </c>
      <c r="R17" s="161">
        <v>100.30225</v>
      </c>
      <c r="S17" s="17">
        <v>0</v>
      </c>
      <c r="U17" s="160" t="s">
        <v>163</v>
      </c>
      <c r="V17" s="170">
        <v>42685</v>
      </c>
      <c r="W17" s="9" t="s">
        <v>183</v>
      </c>
      <c r="X17" s="170">
        <v>42866</v>
      </c>
      <c r="Y17" s="9" t="s">
        <v>189</v>
      </c>
      <c r="Z17" s="9">
        <v>0</v>
      </c>
      <c r="AA17" s="9">
        <v>0</v>
      </c>
      <c r="AB17" s="161">
        <v>-0.161</v>
      </c>
      <c r="AC17" s="17">
        <v>0</v>
      </c>
      <c r="AE17" s="160" t="s">
        <v>34</v>
      </c>
      <c r="AF17" s="170">
        <v>42501</v>
      </c>
      <c r="AG17" s="9" t="s">
        <v>223</v>
      </c>
      <c r="AH17" s="170">
        <v>42866</v>
      </c>
      <c r="AI17" s="9" t="s">
        <v>139</v>
      </c>
      <c r="AJ17" s="9">
        <v>0</v>
      </c>
      <c r="AK17" s="9">
        <v>0</v>
      </c>
      <c r="AL17" s="161">
        <v>-0.39100000000000001</v>
      </c>
      <c r="AM17" s="17">
        <v>0</v>
      </c>
      <c r="AO17" s="160" t="s">
        <v>35</v>
      </c>
      <c r="AP17" s="170">
        <v>42501</v>
      </c>
      <c r="AQ17" s="9" t="s">
        <v>204</v>
      </c>
      <c r="AR17" s="170">
        <v>42866</v>
      </c>
      <c r="AS17" s="9" t="s">
        <v>139</v>
      </c>
      <c r="AT17" s="9">
        <v>0</v>
      </c>
      <c r="AU17" s="9">
        <v>0</v>
      </c>
      <c r="AV17" s="161">
        <v>-1.4E-2</v>
      </c>
      <c r="AW17" s="17">
        <v>0</v>
      </c>
      <c r="AY17" s="160" t="s">
        <v>34</v>
      </c>
      <c r="AZ17" s="170">
        <v>42501</v>
      </c>
      <c r="BA17" s="9" t="s">
        <v>220</v>
      </c>
      <c r="BB17" s="170">
        <v>42807</v>
      </c>
      <c r="BC17" s="9" t="s">
        <v>124</v>
      </c>
      <c r="BD17" s="9">
        <v>0</v>
      </c>
      <c r="BE17" s="9">
        <v>0</v>
      </c>
      <c r="BF17" s="161">
        <v>-0.38033674699999998</v>
      </c>
      <c r="BG17" s="17">
        <v>0</v>
      </c>
    </row>
    <row r="18" spans="1:59" x14ac:dyDescent="0.2">
      <c r="A18" s="160" t="s">
        <v>163</v>
      </c>
      <c r="B18" s="170">
        <v>42807</v>
      </c>
      <c r="C18" s="9" t="s">
        <v>164</v>
      </c>
      <c r="D18" s="170">
        <v>42899</v>
      </c>
      <c r="E18" s="9" t="s">
        <v>174</v>
      </c>
      <c r="F18" s="9">
        <v>0</v>
      </c>
      <c r="G18" s="9">
        <v>0</v>
      </c>
      <c r="H18" s="161">
        <v>-0.30099999999999999</v>
      </c>
      <c r="I18" s="17">
        <v>0</v>
      </c>
      <c r="K18" s="160" t="s">
        <v>33</v>
      </c>
      <c r="L18" s="170">
        <v>42907</v>
      </c>
      <c r="M18" s="9" t="s">
        <v>118</v>
      </c>
      <c r="N18" s="170">
        <v>42999</v>
      </c>
      <c r="O18" s="10">
        <v>42887</v>
      </c>
      <c r="P18" s="9">
        <v>0</v>
      </c>
      <c r="Q18" s="9">
        <v>0</v>
      </c>
      <c r="R18" s="161">
        <v>100.30725</v>
      </c>
      <c r="S18" s="17">
        <v>0</v>
      </c>
      <c r="U18" s="160" t="s">
        <v>163</v>
      </c>
      <c r="V18" s="170">
        <v>42716</v>
      </c>
      <c r="W18" s="9" t="s">
        <v>183</v>
      </c>
      <c r="X18" s="170">
        <v>42898</v>
      </c>
      <c r="Y18" s="9" t="s">
        <v>190</v>
      </c>
      <c r="Z18" s="9">
        <v>0</v>
      </c>
      <c r="AA18" s="9">
        <v>0</v>
      </c>
      <c r="AB18" s="161">
        <v>-0.16500000000000001</v>
      </c>
      <c r="AC18" s="17">
        <v>0</v>
      </c>
      <c r="AE18" s="160" t="s">
        <v>34</v>
      </c>
      <c r="AF18" s="170">
        <v>42501</v>
      </c>
      <c r="AG18" s="9" t="s">
        <v>224</v>
      </c>
      <c r="AH18" s="170">
        <v>42958</v>
      </c>
      <c r="AI18" s="9" t="s">
        <v>128</v>
      </c>
      <c r="AJ18" s="9">
        <v>0</v>
      </c>
      <c r="AK18" s="9">
        <v>0</v>
      </c>
      <c r="AL18" s="161">
        <v>-0.40745996899999998</v>
      </c>
      <c r="AM18" s="17">
        <v>0</v>
      </c>
      <c r="AO18" s="160" t="s">
        <v>163</v>
      </c>
      <c r="AP18" s="170">
        <v>42534</v>
      </c>
      <c r="AQ18" s="9" t="s">
        <v>205</v>
      </c>
      <c r="AR18" s="170">
        <v>42899</v>
      </c>
      <c r="AS18" s="9" t="s">
        <v>206</v>
      </c>
      <c r="AT18" s="9">
        <v>0</v>
      </c>
      <c r="AU18" s="9">
        <v>0</v>
      </c>
      <c r="AV18" s="161">
        <v>-2.3E-2</v>
      </c>
      <c r="AW18" s="17">
        <v>0</v>
      </c>
      <c r="AY18" s="160" t="s">
        <v>34</v>
      </c>
      <c r="AZ18" s="170">
        <v>42501</v>
      </c>
      <c r="BA18" s="9" t="s">
        <v>220</v>
      </c>
      <c r="BB18" s="170">
        <v>42836</v>
      </c>
      <c r="BC18" s="9" t="s">
        <v>125</v>
      </c>
      <c r="BD18" s="9">
        <v>0</v>
      </c>
      <c r="BE18" s="9">
        <v>0</v>
      </c>
      <c r="BF18" s="161">
        <v>-0.38464306999999998</v>
      </c>
      <c r="BG18" s="17">
        <v>0</v>
      </c>
    </row>
    <row r="19" spans="1:59" x14ac:dyDescent="0.2">
      <c r="A19" s="160" t="s">
        <v>163</v>
      </c>
      <c r="B19" s="170">
        <v>42836</v>
      </c>
      <c r="C19" s="9" t="s">
        <v>164</v>
      </c>
      <c r="D19" s="170">
        <v>42927</v>
      </c>
      <c r="E19" s="9" t="s">
        <v>175</v>
      </c>
      <c r="F19" s="9">
        <v>0</v>
      </c>
      <c r="G19" s="9">
        <v>0</v>
      </c>
      <c r="H19" s="161">
        <v>-0.30299999999999999</v>
      </c>
      <c r="I19" s="17">
        <v>0</v>
      </c>
      <c r="K19" s="160" t="s">
        <v>33</v>
      </c>
      <c r="L19" s="170">
        <v>42998</v>
      </c>
      <c r="M19" s="9" t="s">
        <v>118</v>
      </c>
      <c r="N19" s="170">
        <v>43089</v>
      </c>
      <c r="O19" s="9">
        <v>42979</v>
      </c>
      <c r="P19" s="9">
        <v>0</v>
      </c>
      <c r="Q19" s="9">
        <v>0</v>
      </c>
      <c r="R19" s="161">
        <v>100.3125</v>
      </c>
      <c r="S19" s="17">
        <v>0</v>
      </c>
      <c r="U19" s="160" t="s">
        <v>163</v>
      </c>
      <c r="V19" s="170">
        <v>42746</v>
      </c>
      <c r="W19" s="9" t="s">
        <v>183</v>
      </c>
      <c r="X19" s="170">
        <v>42927</v>
      </c>
      <c r="Y19" s="9" t="s">
        <v>191</v>
      </c>
      <c r="Z19" s="9">
        <v>0</v>
      </c>
      <c r="AA19" s="9">
        <v>0</v>
      </c>
      <c r="AB19" s="161">
        <v>-0.16800000000000001</v>
      </c>
      <c r="AC19" s="17">
        <v>0</v>
      </c>
      <c r="AE19" s="160" t="s">
        <v>34</v>
      </c>
      <c r="AF19" s="170">
        <v>42501</v>
      </c>
      <c r="AG19" s="9" t="s">
        <v>224</v>
      </c>
      <c r="AH19" s="170">
        <v>43052</v>
      </c>
      <c r="AI19" s="9" t="s">
        <v>131</v>
      </c>
      <c r="AJ19" s="9">
        <v>0</v>
      </c>
      <c r="AK19" s="9">
        <v>0</v>
      </c>
      <c r="AL19" s="161">
        <v>-0.41502884200000001</v>
      </c>
      <c r="AM19" s="17">
        <v>0</v>
      </c>
      <c r="AO19" s="160" t="s">
        <v>163</v>
      </c>
      <c r="AP19" s="170">
        <v>42562</v>
      </c>
      <c r="AQ19" s="9" t="s">
        <v>205</v>
      </c>
      <c r="AR19" s="170">
        <v>42927</v>
      </c>
      <c r="AS19" s="9" t="s">
        <v>207</v>
      </c>
      <c r="AT19" s="9">
        <v>0</v>
      </c>
      <c r="AU19" s="9">
        <v>0</v>
      </c>
      <c r="AV19" s="161">
        <v>-2.4E-2</v>
      </c>
      <c r="AW19" s="17">
        <v>0</v>
      </c>
      <c r="AY19" s="160" t="s">
        <v>34</v>
      </c>
      <c r="AZ19" s="170">
        <v>42501</v>
      </c>
      <c r="BA19" s="9" t="s">
        <v>220</v>
      </c>
      <c r="BB19" s="170">
        <v>42866</v>
      </c>
      <c r="BC19" s="9" t="s">
        <v>40</v>
      </c>
      <c r="BD19" s="9">
        <v>0</v>
      </c>
      <c r="BE19" s="9">
        <v>0</v>
      </c>
      <c r="BF19" s="161">
        <v>-0.38866526600000001</v>
      </c>
      <c r="BG19" s="17">
        <v>0</v>
      </c>
    </row>
    <row r="20" spans="1:59" x14ac:dyDescent="0.2">
      <c r="A20" s="160" t="s">
        <v>163</v>
      </c>
      <c r="B20" s="170">
        <v>42866</v>
      </c>
      <c r="C20" s="9" t="s">
        <v>164</v>
      </c>
      <c r="D20" s="170">
        <v>42958</v>
      </c>
      <c r="E20" s="9" t="s">
        <v>176</v>
      </c>
      <c r="F20" s="9">
        <v>0</v>
      </c>
      <c r="G20" s="9">
        <v>0</v>
      </c>
      <c r="H20" s="161">
        <v>-0.30599999999999999</v>
      </c>
      <c r="I20" s="17">
        <v>0</v>
      </c>
      <c r="K20" s="160" t="s">
        <v>33</v>
      </c>
      <c r="L20" s="170">
        <v>43089</v>
      </c>
      <c r="M20" s="9" t="s">
        <v>118</v>
      </c>
      <c r="N20" s="170">
        <v>43179</v>
      </c>
      <c r="O20" s="9">
        <v>43070</v>
      </c>
      <c r="P20" s="9">
        <v>0</v>
      </c>
      <c r="Q20" s="9">
        <v>0</v>
      </c>
      <c r="R20" s="161">
        <v>100.30275</v>
      </c>
      <c r="S20" s="17">
        <v>0</v>
      </c>
      <c r="U20" s="160" t="s">
        <v>163</v>
      </c>
      <c r="V20" s="170">
        <v>42779</v>
      </c>
      <c r="W20" s="9" t="s">
        <v>183</v>
      </c>
      <c r="X20" s="170">
        <v>42961</v>
      </c>
      <c r="Y20" s="9" t="s">
        <v>192</v>
      </c>
      <c r="Z20" s="9">
        <v>0</v>
      </c>
      <c r="AA20" s="9">
        <v>0</v>
      </c>
      <c r="AB20" s="161">
        <v>-0.17</v>
      </c>
      <c r="AC20" s="17">
        <v>0</v>
      </c>
      <c r="AE20" s="160" t="s">
        <v>34</v>
      </c>
      <c r="AF20" s="170">
        <v>42501</v>
      </c>
      <c r="AG20" s="9" t="s">
        <v>224</v>
      </c>
      <c r="AH20" s="170">
        <v>43143</v>
      </c>
      <c r="AI20" s="9" t="s">
        <v>134</v>
      </c>
      <c r="AJ20" s="9">
        <v>0</v>
      </c>
      <c r="AK20" s="9">
        <v>0</v>
      </c>
      <c r="AL20" s="161">
        <v>-0.41952513699999999</v>
      </c>
      <c r="AM20" s="17">
        <v>0</v>
      </c>
      <c r="AO20" s="160" t="s">
        <v>163</v>
      </c>
      <c r="AP20" s="170">
        <v>42593</v>
      </c>
      <c r="AQ20" s="9" t="s">
        <v>205</v>
      </c>
      <c r="AR20" s="170">
        <v>42958</v>
      </c>
      <c r="AS20" s="9" t="s">
        <v>208</v>
      </c>
      <c r="AT20" s="9">
        <v>0</v>
      </c>
      <c r="AU20" s="9">
        <v>0</v>
      </c>
      <c r="AV20" s="161">
        <v>-2.5000000000000001E-2</v>
      </c>
      <c r="AW20" s="17">
        <v>0</v>
      </c>
      <c r="AY20" s="160" t="s">
        <v>34</v>
      </c>
      <c r="AZ20" s="170">
        <v>42501</v>
      </c>
      <c r="BA20" s="9" t="s">
        <v>220</v>
      </c>
      <c r="BB20" s="170">
        <v>42898</v>
      </c>
      <c r="BC20" s="9" t="s">
        <v>126</v>
      </c>
      <c r="BD20" s="9">
        <v>0</v>
      </c>
      <c r="BE20" s="9">
        <v>0</v>
      </c>
      <c r="BF20" s="161">
        <v>-0.39264541400000003</v>
      </c>
      <c r="BG20" s="17">
        <v>0</v>
      </c>
    </row>
    <row r="21" spans="1:59" x14ac:dyDescent="0.2">
      <c r="A21" s="160" t="s">
        <v>33</v>
      </c>
      <c r="B21" s="170">
        <v>42907</v>
      </c>
      <c r="C21" s="9" t="s">
        <v>177</v>
      </c>
      <c r="D21" s="170">
        <v>42999</v>
      </c>
      <c r="E21" s="9">
        <v>42887</v>
      </c>
      <c r="F21" s="9">
        <v>0</v>
      </c>
      <c r="G21" s="9">
        <v>0</v>
      </c>
      <c r="H21" s="161">
        <v>100.30725</v>
      </c>
      <c r="I21" s="17">
        <v>0</v>
      </c>
      <c r="K21" s="160" t="s">
        <v>33</v>
      </c>
      <c r="L21" s="170">
        <v>43180</v>
      </c>
      <c r="M21" s="9" t="s">
        <v>118</v>
      </c>
      <c r="N21" s="170">
        <v>43272</v>
      </c>
      <c r="O21" s="9">
        <v>43160</v>
      </c>
      <c r="P21" s="9">
        <v>0</v>
      </c>
      <c r="Q21" s="9">
        <v>0</v>
      </c>
      <c r="R21" s="161">
        <v>100.291</v>
      </c>
      <c r="S21" s="17">
        <v>0</v>
      </c>
      <c r="U21" s="160" t="s">
        <v>163</v>
      </c>
      <c r="V21" s="170">
        <v>42807</v>
      </c>
      <c r="W21" s="9" t="s">
        <v>183</v>
      </c>
      <c r="X21" s="170">
        <v>42991</v>
      </c>
      <c r="Y21" s="9" t="s">
        <v>193</v>
      </c>
      <c r="Z21" s="9">
        <v>0</v>
      </c>
      <c r="AA21" s="9">
        <v>0</v>
      </c>
      <c r="AB21" s="161">
        <v>-0.17199999999999999</v>
      </c>
      <c r="AC21" s="17">
        <v>0</v>
      </c>
      <c r="AE21" s="160" t="s">
        <v>34</v>
      </c>
      <c r="AF21" s="170">
        <v>42501</v>
      </c>
      <c r="AG21" s="9" t="s">
        <v>224</v>
      </c>
      <c r="AH21" s="170">
        <v>43231</v>
      </c>
      <c r="AI21" s="9" t="s">
        <v>137</v>
      </c>
      <c r="AJ21" s="9">
        <v>0</v>
      </c>
      <c r="AK21" s="9">
        <v>0</v>
      </c>
      <c r="AL21" s="161">
        <v>-0.42</v>
      </c>
      <c r="AM21" s="17">
        <v>0</v>
      </c>
      <c r="AO21" s="160" t="s">
        <v>163</v>
      </c>
      <c r="AP21" s="170">
        <v>42625</v>
      </c>
      <c r="AQ21" s="9" t="s">
        <v>205</v>
      </c>
      <c r="AR21" s="170">
        <v>42990</v>
      </c>
      <c r="AS21" s="9" t="s">
        <v>209</v>
      </c>
      <c r="AT21" s="9">
        <v>0</v>
      </c>
      <c r="AU21" s="9">
        <v>0</v>
      </c>
      <c r="AV21" s="161">
        <v>-2.5000000000000001E-2</v>
      </c>
      <c r="AW21" s="17">
        <v>0</v>
      </c>
      <c r="AY21" s="160" t="s">
        <v>34</v>
      </c>
      <c r="AZ21" s="170">
        <v>42501</v>
      </c>
      <c r="BA21" s="9" t="s">
        <v>220</v>
      </c>
      <c r="BB21" s="170">
        <v>42927</v>
      </c>
      <c r="BC21" s="9" t="s">
        <v>127</v>
      </c>
      <c r="BD21" s="9">
        <v>0</v>
      </c>
      <c r="BE21" s="9">
        <v>0</v>
      </c>
      <c r="BF21" s="161">
        <v>-0.39588021800000001</v>
      </c>
      <c r="BG21" s="17">
        <v>0</v>
      </c>
    </row>
    <row r="22" spans="1:59" x14ac:dyDescent="0.2">
      <c r="A22" s="160" t="s">
        <v>33</v>
      </c>
      <c r="B22" s="170">
        <v>42998</v>
      </c>
      <c r="C22" s="9" t="s">
        <v>177</v>
      </c>
      <c r="D22" s="170">
        <v>43089</v>
      </c>
      <c r="E22" s="9">
        <v>42979</v>
      </c>
      <c r="F22" s="9">
        <v>0</v>
      </c>
      <c r="G22" s="9">
        <v>0</v>
      </c>
      <c r="H22" s="161">
        <v>100.3125</v>
      </c>
      <c r="I22" s="17">
        <v>0</v>
      </c>
      <c r="K22" s="160" t="s">
        <v>34</v>
      </c>
      <c r="L22" s="170">
        <v>42501</v>
      </c>
      <c r="M22" s="9" t="s">
        <v>180</v>
      </c>
      <c r="N22" s="170">
        <v>43598</v>
      </c>
      <c r="O22" s="9" t="s">
        <v>83</v>
      </c>
      <c r="P22" s="9">
        <v>0</v>
      </c>
      <c r="Q22" s="9">
        <v>0</v>
      </c>
      <c r="R22" s="161">
        <v>-0.13700000000000001</v>
      </c>
      <c r="S22" s="17">
        <v>0</v>
      </c>
      <c r="U22" s="160" t="s">
        <v>163</v>
      </c>
      <c r="V22" s="170">
        <v>42836</v>
      </c>
      <c r="W22" s="9" t="s">
        <v>183</v>
      </c>
      <c r="X22" s="170">
        <v>43019</v>
      </c>
      <c r="Y22" s="9" t="s">
        <v>194</v>
      </c>
      <c r="Z22" s="9">
        <v>0</v>
      </c>
      <c r="AA22" s="9">
        <v>0</v>
      </c>
      <c r="AB22" s="161">
        <v>-0.17199999999999999</v>
      </c>
      <c r="AC22" s="17">
        <v>0</v>
      </c>
      <c r="AE22" s="160" t="s">
        <v>34</v>
      </c>
      <c r="AF22" s="170">
        <v>42501</v>
      </c>
      <c r="AG22" s="9" t="s">
        <v>224</v>
      </c>
      <c r="AH22" s="170">
        <v>43325</v>
      </c>
      <c r="AI22" s="9" t="s">
        <v>140</v>
      </c>
      <c r="AJ22" s="9">
        <v>0</v>
      </c>
      <c r="AK22" s="9">
        <v>0</v>
      </c>
      <c r="AL22" s="161">
        <v>-0.42081255699999998</v>
      </c>
      <c r="AM22" s="17">
        <v>0</v>
      </c>
      <c r="AO22" s="160" t="s">
        <v>163</v>
      </c>
      <c r="AP22" s="170">
        <v>42654</v>
      </c>
      <c r="AQ22" s="9" t="s">
        <v>205</v>
      </c>
      <c r="AR22" s="170">
        <v>43019</v>
      </c>
      <c r="AS22" s="9" t="s">
        <v>210</v>
      </c>
      <c r="AT22" s="9">
        <v>0</v>
      </c>
      <c r="AU22" s="9">
        <v>0</v>
      </c>
      <c r="AV22" s="161">
        <v>-2.4E-2</v>
      </c>
      <c r="AW22" s="17">
        <v>0</v>
      </c>
      <c r="AY22" s="160" t="s">
        <v>34</v>
      </c>
      <c r="AZ22" s="170">
        <v>42501</v>
      </c>
      <c r="BA22" s="9" t="s">
        <v>220</v>
      </c>
      <c r="BB22" s="170">
        <v>42958</v>
      </c>
      <c r="BC22" s="9" t="s">
        <v>128</v>
      </c>
      <c r="BD22" s="9">
        <v>0</v>
      </c>
      <c r="BE22" s="9">
        <v>0</v>
      </c>
      <c r="BF22" s="161">
        <v>-0.39900000000000002</v>
      </c>
      <c r="BG22" s="17">
        <v>0</v>
      </c>
    </row>
    <row r="23" spans="1:59" x14ac:dyDescent="0.2">
      <c r="A23" s="160" t="s">
        <v>33</v>
      </c>
      <c r="B23" s="170">
        <v>43089</v>
      </c>
      <c r="C23" s="9" t="s">
        <v>177</v>
      </c>
      <c r="D23" s="170">
        <v>43179</v>
      </c>
      <c r="E23" s="9">
        <v>43070</v>
      </c>
      <c r="F23" s="9">
        <v>0</v>
      </c>
      <c r="G23" s="9">
        <v>0</v>
      </c>
      <c r="H23" s="161">
        <v>100.30275</v>
      </c>
      <c r="I23" s="17">
        <v>0</v>
      </c>
      <c r="K23" s="160" t="s">
        <v>34</v>
      </c>
      <c r="L23" s="170">
        <v>42501</v>
      </c>
      <c r="M23" s="9" t="s">
        <v>180</v>
      </c>
      <c r="N23" s="170">
        <v>43962</v>
      </c>
      <c r="O23" s="9" t="s">
        <v>84</v>
      </c>
      <c r="P23" s="9">
        <v>0</v>
      </c>
      <c r="Q23" s="9">
        <v>0</v>
      </c>
      <c r="R23" s="161">
        <v>-8.3000000000000004E-2</v>
      </c>
      <c r="S23" s="17">
        <v>0</v>
      </c>
      <c r="U23" s="160" t="s">
        <v>163</v>
      </c>
      <c r="V23" s="170">
        <v>42866</v>
      </c>
      <c r="W23" s="9" t="s">
        <v>183</v>
      </c>
      <c r="X23" s="170">
        <v>43052</v>
      </c>
      <c r="Y23" s="9" t="s">
        <v>195</v>
      </c>
      <c r="Z23" s="9">
        <v>0</v>
      </c>
      <c r="AA23" s="9">
        <v>0</v>
      </c>
      <c r="AB23" s="161">
        <v>-0.17299999999999999</v>
      </c>
      <c r="AC23" s="17">
        <v>0</v>
      </c>
      <c r="AE23" s="160" t="s">
        <v>34</v>
      </c>
      <c r="AF23" s="170">
        <v>42501</v>
      </c>
      <c r="AG23" s="9" t="s">
        <v>224</v>
      </c>
      <c r="AH23" s="170">
        <v>43416</v>
      </c>
      <c r="AI23" s="9" t="s">
        <v>141</v>
      </c>
      <c r="AJ23" s="9">
        <v>0</v>
      </c>
      <c r="AK23" s="9">
        <v>0</v>
      </c>
      <c r="AL23" s="161">
        <v>-0.41969690300000001</v>
      </c>
      <c r="AM23" s="17">
        <v>0</v>
      </c>
      <c r="AO23" s="160" t="s">
        <v>163</v>
      </c>
      <c r="AP23" s="170">
        <v>42685</v>
      </c>
      <c r="AQ23" s="9" t="s">
        <v>205</v>
      </c>
      <c r="AR23" s="170">
        <v>43052</v>
      </c>
      <c r="AS23" s="9" t="s">
        <v>211</v>
      </c>
      <c r="AT23" s="9">
        <v>0</v>
      </c>
      <c r="AU23" s="9">
        <v>0</v>
      </c>
      <c r="AV23" s="161">
        <v>-2.3E-2</v>
      </c>
      <c r="AW23" s="17">
        <v>0</v>
      </c>
      <c r="AY23" s="160" t="s">
        <v>34</v>
      </c>
      <c r="AZ23" s="170">
        <v>42501</v>
      </c>
      <c r="BA23" s="9" t="s">
        <v>220</v>
      </c>
      <c r="BB23" s="170">
        <v>42989</v>
      </c>
      <c r="BC23" s="9" t="s">
        <v>129</v>
      </c>
      <c r="BD23" s="9">
        <v>0</v>
      </c>
      <c r="BE23" s="9">
        <v>0</v>
      </c>
      <c r="BF23" s="161">
        <v>-0.40182169400000001</v>
      </c>
      <c r="BG23" s="17">
        <v>0</v>
      </c>
    </row>
    <row r="24" spans="1:59" x14ac:dyDescent="0.2">
      <c r="A24" s="160" t="s">
        <v>33</v>
      </c>
      <c r="B24" s="170">
        <v>43180</v>
      </c>
      <c r="C24" s="9" t="s">
        <v>177</v>
      </c>
      <c r="D24" s="170">
        <v>43272</v>
      </c>
      <c r="E24" s="9">
        <v>43160</v>
      </c>
      <c r="F24" s="9">
        <v>0</v>
      </c>
      <c r="G24" s="9">
        <v>0</v>
      </c>
      <c r="H24" s="161">
        <v>100.291</v>
      </c>
      <c r="I24" s="17">
        <v>0</v>
      </c>
      <c r="K24" s="160" t="s">
        <v>34</v>
      </c>
      <c r="L24" s="170">
        <v>42501</v>
      </c>
      <c r="M24" s="9" t="s">
        <v>180</v>
      </c>
      <c r="N24" s="170">
        <v>44327</v>
      </c>
      <c r="O24" s="9" t="s">
        <v>85</v>
      </c>
      <c r="P24" s="9">
        <v>0</v>
      </c>
      <c r="Q24" s="9">
        <v>0</v>
      </c>
      <c r="R24" s="161">
        <v>-6.0000000000000001E-3</v>
      </c>
      <c r="S24" s="17">
        <v>0</v>
      </c>
      <c r="U24" s="160" t="s">
        <v>163</v>
      </c>
      <c r="V24" s="170">
        <v>42898</v>
      </c>
      <c r="W24" s="9" t="s">
        <v>183</v>
      </c>
      <c r="X24" s="170">
        <v>43081</v>
      </c>
      <c r="Y24" s="9" t="s">
        <v>196</v>
      </c>
      <c r="Z24" s="9">
        <v>0</v>
      </c>
      <c r="AA24" s="9">
        <v>0</v>
      </c>
      <c r="AB24" s="161">
        <v>-0.17399999999999999</v>
      </c>
      <c r="AC24" s="17">
        <v>0</v>
      </c>
      <c r="AE24" s="160" t="s">
        <v>34</v>
      </c>
      <c r="AF24" s="170">
        <v>42501</v>
      </c>
      <c r="AG24" s="9" t="s">
        <v>224</v>
      </c>
      <c r="AH24" s="170">
        <v>43507</v>
      </c>
      <c r="AI24" s="9" t="s">
        <v>142</v>
      </c>
      <c r="AJ24" s="9">
        <v>0</v>
      </c>
      <c r="AK24" s="9">
        <v>0</v>
      </c>
      <c r="AL24" s="161">
        <v>-0.41652036399999998</v>
      </c>
      <c r="AM24" s="17">
        <v>0</v>
      </c>
      <c r="AO24" s="160" t="s">
        <v>163</v>
      </c>
      <c r="AP24" s="170">
        <v>42716</v>
      </c>
      <c r="AQ24" s="9" t="s">
        <v>205</v>
      </c>
      <c r="AR24" s="170">
        <v>43081</v>
      </c>
      <c r="AS24" s="9" t="s">
        <v>212</v>
      </c>
      <c r="AT24" s="9">
        <v>0</v>
      </c>
      <c r="AU24" s="9">
        <v>0</v>
      </c>
      <c r="AV24" s="161">
        <v>-2.3E-2</v>
      </c>
      <c r="AW24" s="17">
        <v>0</v>
      </c>
      <c r="AY24" s="160" t="s">
        <v>34</v>
      </c>
      <c r="AZ24" s="170">
        <v>42501</v>
      </c>
      <c r="BA24" s="9" t="s">
        <v>220</v>
      </c>
      <c r="BB24" s="170">
        <v>43019</v>
      </c>
      <c r="BC24" s="9" t="s">
        <v>130</v>
      </c>
      <c r="BD24" s="9">
        <v>0</v>
      </c>
      <c r="BE24" s="9">
        <v>0</v>
      </c>
      <c r="BF24" s="161">
        <v>-0.40434503599999999</v>
      </c>
      <c r="BG24" s="17">
        <v>0</v>
      </c>
    </row>
    <row r="25" spans="1:59" x14ac:dyDescent="0.2">
      <c r="A25" s="160" t="s">
        <v>33</v>
      </c>
      <c r="B25" s="170">
        <v>43271</v>
      </c>
      <c r="C25" s="9" t="s">
        <v>177</v>
      </c>
      <c r="D25" s="170">
        <v>43363</v>
      </c>
      <c r="E25" s="9">
        <v>43252</v>
      </c>
      <c r="F25" s="9">
        <v>0</v>
      </c>
      <c r="G25" s="9">
        <v>0</v>
      </c>
      <c r="H25" s="161">
        <v>100.26875</v>
      </c>
      <c r="I25" s="17">
        <v>0</v>
      </c>
      <c r="K25" s="160" t="s">
        <v>34</v>
      </c>
      <c r="L25" s="170">
        <v>42501</v>
      </c>
      <c r="M25" s="9" t="s">
        <v>180</v>
      </c>
      <c r="N25" s="170">
        <v>44692</v>
      </c>
      <c r="O25" s="9" t="s">
        <v>86</v>
      </c>
      <c r="P25" s="9">
        <v>0</v>
      </c>
      <c r="Q25" s="9">
        <v>0</v>
      </c>
      <c r="R25" s="161">
        <v>9.0999999999999998E-2</v>
      </c>
      <c r="S25" s="17">
        <v>0</v>
      </c>
      <c r="U25" s="160" t="s">
        <v>163</v>
      </c>
      <c r="V25" s="170">
        <v>42927</v>
      </c>
      <c r="W25" s="9" t="s">
        <v>183</v>
      </c>
      <c r="X25" s="170">
        <v>43111</v>
      </c>
      <c r="Y25" s="9" t="s">
        <v>197</v>
      </c>
      <c r="Z25" s="9">
        <v>0</v>
      </c>
      <c r="AA25" s="9">
        <v>0</v>
      </c>
      <c r="AB25" s="161">
        <v>-0.17199999999999999</v>
      </c>
      <c r="AC25" s="17">
        <v>0</v>
      </c>
      <c r="AE25" s="160" t="s">
        <v>34</v>
      </c>
      <c r="AF25" s="170">
        <v>42501</v>
      </c>
      <c r="AG25" s="9" t="s">
        <v>224</v>
      </c>
      <c r="AH25" s="170">
        <v>43598</v>
      </c>
      <c r="AI25" s="9" t="s">
        <v>83</v>
      </c>
      <c r="AJ25" s="9">
        <v>0</v>
      </c>
      <c r="AK25" s="9">
        <v>0</v>
      </c>
      <c r="AL25" s="161">
        <v>-0.41</v>
      </c>
      <c r="AM25" s="17">
        <v>0</v>
      </c>
      <c r="AO25" s="160" t="s">
        <v>163</v>
      </c>
      <c r="AP25" s="170">
        <v>42746</v>
      </c>
      <c r="AQ25" s="9" t="s">
        <v>205</v>
      </c>
      <c r="AR25" s="170">
        <v>43111</v>
      </c>
      <c r="AS25" s="9" t="s">
        <v>213</v>
      </c>
      <c r="AT25" s="9">
        <v>0</v>
      </c>
      <c r="AU25" s="9">
        <v>0</v>
      </c>
      <c r="AV25" s="161">
        <v>-2.1999999999999999E-2</v>
      </c>
      <c r="AW25" s="17">
        <v>0</v>
      </c>
      <c r="AY25" s="160" t="s">
        <v>34</v>
      </c>
      <c r="AZ25" s="170">
        <v>42501</v>
      </c>
      <c r="BA25" s="9" t="s">
        <v>220</v>
      </c>
      <c r="BB25" s="170">
        <v>43052</v>
      </c>
      <c r="BC25" s="9" t="s">
        <v>131</v>
      </c>
      <c r="BD25" s="9">
        <v>0</v>
      </c>
      <c r="BE25" s="9">
        <v>0</v>
      </c>
      <c r="BF25" s="161">
        <v>-0.40699999999999997</v>
      </c>
      <c r="BG25" s="17">
        <v>0</v>
      </c>
    </row>
    <row r="26" spans="1:59" x14ac:dyDescent="0.2">
      <c r="A26" s="160" t="s">
        <v>33</v>
      </c>
      <c r="B26" s="170">
        <v>43362</v>
      </c>
      <c r="C26" s="9" t="s">
        <v>177</v>
      </c>
      <c r="D26" s="170">
        <v>43453</v>
      </c>
      <c r="E26" s="9">
        <v>43344</v>
      </c>
      <c r="F26" s="9">
        <v>0</v>
      </c>
      <c r="G26" s="9">
        <v>0</v>
      </c>
      <c r="H26" s="161">
        <v>100.23950000000001</v>
      </c>
      <c r="I26" s="17">
        <v>0</v>
      </c>
      <c r="K26" s="160" t="s">
        <v>34</v>
      </c>
      <c r="L26" s="170">
        <v>42501</v>
      </c>
      <c r="M26" s="9" t="s">
        <v>180</v>
      </c>
      <c r="N26" s="170">
        <v>45057</v>
      </c>
      <c r="O26" s="9" t="s">
        <v>87</v>
      </c>
      <c r="P26" s="9">
        <v>0</v>
      </c>
      <c r="Q26" s="9">
        <v>0</v>
      </c>
      <c r="R26" s="161">
        <v>0.2</v>
      </c>
      <c r="S26" s="17">
        <v>0</v>
      </c>
      <c r="U26" s="160" t="s">
        <v>163</v>
      </c>
      <c r="V26" s="170">
        <v>42958</v>
      </c>
      <c r="W26" s="9" t="s">
        <v>183</v>
      </c>
      <c r="X26" s="170">
        <v>43143</v>
      </c>
      <c r="Y26" s="9" t="s">
        <v>198</v>
      </c>
      <c r="Z26" s="9">
        <v>0</v>
      </c>
      <c r="AA26" s="9">
        <v>0</v>
      </c>
      <c r="AB26" s="161">
        <v>-0.17199999999999999</v>
      </c>
      <c r="AC26" s="17">
        <v>0</v>
      </c>
      <c r="AE26" s="160" t="s">
        <v>34</v>
      </c>
      <c r="AF26" s="170">
        <v>42501</v>
      </c>
      <c r="AG26" s="9" t="s">
        <v>224</v>
      </c>
      <c r="AH26" s="170">
        <v>43962</v>
      </c>
      <c r="AI26" s="9" t="s">
        <v>84</v>
      </c>
      <c r="AJ26" s="9">
        <v>0</v>
      </c>
      <c r="AK26" s="9">
        <v>0</v>
      </c>
      <c r="AL26" s="161">
        <v>-0.36699999999999999</v>
      </c>
      <c r="AM26" s="17">
        <v>0</v>
      </c>
      <c r="AO26" s="160" t="s">
        <v>163</v>
      </c>
      <c r="AP26" s="170">
        <v>42779</v>
      </c>
      <c r="AQ26" s="9" t="s">
        <v>205</v>
      </c>
      <c r="AR26" s="170">
        <v>43144</v>
      </c>
      <c r="AS26" s="9" t="s">
        <v>214</v>
      </c>
      <c r="AT26" s="9">
        <v>0</v>
      </c>
      <c r="AU26" s="9">
        <v>0</v>
      </c>
      <c r="AV26" s="161">
        <v>-0.02</v>
      </c>
      <c r="AW26" s="17">
        <v>0</v>
      </c>
      <c r="AY26" s="160" t="s">
        <v>34</v>
      </c>
      <c r="AZ26" s="170">
        <v>42501</v>
      </c>
      <c r="BA26" s="9" t="s">
        <v>220</v>
      </c>
      <c r="BB26" s="170">
        <v>43080</v>
      </c>
      <c r="BC26" s="9" t="s">
        <v>132</v>
      </c>
      <c r="BD26" s="9">
        <v>0</v>
      </c>
      <c r="BE26" s="9">
        <v>0</v>
      </c>
      <c r="BF26" s="161">
        <v>-0.409216407</v>
      </c>
      <c r="BG26" s="17">
        <v>0</v>
      </c>
    </row>
    <row r="27" spans="1:59" x14ac:dyDescent="0.2">
      <c r="A27" s="160" t="s">
        <v>34</v>
      </c>
      <c r="B27" s="170">
        <v>42501</v>
      </c>
      <c r="C27" s="9" t="s">
        <v>178</v>
      </c>
      <c r="D27" s="170">
        <v>43598</v>
      </c>
      <c r="E27" s="9" t="s">
        <v>83</v>
      </c>
      <c r="F27" s="9">
        <v>0</v>
      </c>
      <c r="G27" s="9">
        <v>0</v>
      </c>
      <c r="H27" s="161">
        <v>-0.27500000000000002</v>
      </c>
      <c r="I27" s="17">
        <v>0</v>
      </c>
      <c r="K27" s="160" t="s">
        <v>34</v>
      </c>
      <c r="L27" s="170">
        <v>42501</v>
      </c>
      <c r="M27" s="9" t="s">
        <v>180</v>
      </c>
      <c r="N27" s="170">
        <v>45425</v>
      </c>
      <c r="O27" s="9" t="s">
        <v>88</v>
      </c>
      <c r="P27" s="9">
        <v>0</v>
      </c>
      <c r="Q27" s="9">
        <v>0</v>
      </c>
      <c r="R27" s="161">
        <v>0.315</v>
      </c>
      <c r="S27" s="17">
        <v>0</v>
      </c>
      <c r="U27" s="160" t="s">
        <v>163</v>
      </c>
      <c r="V27" s="170">
        <v>42989</v>
      </c>
      <c r="W27" s="9" t="s">
        <v>183</v>
      </c>
      <c r="X27" s="170">
        <v>43171</v>
      </c>
      <c r="Y27" s="9" t="s">
        <v>199</v>
      </c>
      <c r="Z27" s="9">
        <v>0</v>
      </c>
      <c r="AA27" s="9">
        <v>0</v>
      </c>
      <c r="AB27" s="161">
        <v>-0.17100000000000001</v>
      </c>
      <c r="AC27" s="17">
        <v>0</v>
      </c>
      <c r="AE27" s="160" t="s">
        <v>34</v>
      </c>
      <c r="AF27" s="170">
        <v>42501</v>
      </c>
      <c r="AG27" s="9" t="s">
        <v>224</v>
      </c>
      <c r="AH27" s="170">
        <v>44327</v>
      </c>
      <c r="AI27" s="9" t="s">
        <v>85</v>
      </c>
      <c r="AJ27" s="9">
        <v>0</v>
      </c>
      <c r="AK27" s="9">
        <v>0</v>
      </c>
      <c r="AL27" s="161">
        <v>-0.29399999999999998</v>
      </c>
      <c r="AM27" s="17">
        <v>0</v>
      </c>
      <c r="AO27" s="160" t="s">
        <v>163</v>
      </c>
      <c r="AP27" s="170">
        <v>42807</v>
      </c>
      <c r="AQ27" s="9" t="s">
        <v>205</v>
      </c>
      <c r="AR27" s="170">
        <v>43172</v>
      </c>
      <c r="AS27" s="9" t="s">
        <v>215</v>
      </c>
      <c r="AT27" s="9">
        <v>0</v>
      </c>
      <c r="AU27" s="9">
        <v>0</v>
      </c>
      <c r="AV27" s="161">
        <v>-1.9E-2</v>
      </c>
      <c r="AW27" s="17">
        <v>0</v>
      </c>
      <c r="AY27" s="160" t="s">
        <v>34</v>
      </c>
      <c r="AZ27" s="170">
        <v>42501</v>
      </c>
      <c r="BA27" s="9" t="s">
        <v>220</v>
      </c>
      <c r="BB27" s="170">
        <v>43111</v>
      </c>
      <c r="BC27" s="9" t="s">
        <v>133</v>
      </c>
      <c r="BD27" s="9">
        <v>0</v>
      </c>
      <c r="BE27" s="9">
        <v>0</v>
      </c>
      <c r="BF27" s="161">
        <v>-0.41097542999999997</v>
      </c>
      <c r="BG27" s="17">
        <v>0</v>
      </c>
    </row>
    <row r="28" spans="1:59" x14ac:dyDescent="0.2">
      <c r="A28" s="160" t="s">
        <v>34</v>
      </c>
      <c r="B28" s="170">
        <v>42501</v>
      </c>
      <c r="C28" s="9" t="s">
        <v>178</v>
      </c>
      <c r="D28" s="170">
        <v>43962</v>
      </c>
      <c r="E28" s="9" t="s">
        <v>84</v>
      </c>
      <c r="F28" s="9">
        <v>0</v>
      </c>
      <c r="G28" s="9">
        <v>0</v>
      </c>
      <c r="H28" s="161">
        <v>-0.22800000000000001</v>
      </c>
      <c r="I28" s="17">
        <v>0</v>
      </c>
      <c r="K28" s="160" t="s">
        <v>34</v>
      </c>
      <c r="L28" s="170">
        <v>42501</v>
      </c>
      <c r="M28" s="9" t="s">
        <v>180</v>
      </c>
      <c r="N28" s="170">
        <v>45789</v>
      </c>
      <c r="O28" s="9" t="s">
        <v>89</v>
      </c>
      <c r="P28" s="9">
        <v>0</v>
      </c>
      <c r="Q28" s="9">
        <v>0</v>
      </c>
      <c r="R28" s="161">
        <v>0.42399999999999999</v>
      </c>
      <c r="S28" s="17">
        <v>0</v>
      </c>
      <c r="U28" s="160" t="s">
        <v>163</v>
      </c>
      <c r="V28" s="170">
        <v>43019</v>
      </c>
      <c r="W28" s="9" t="s">
        <v>183</v>
      </c>
      <c r="X28" s="170">
        <v>43201</v>
      </c>
      <c r="Y28" s="9" t="s">
        <v>200</v>
      </c>
      <c r="Z28" s="9">
        <v>0</v>
      </c>
      <c r="AA28" s="9">
        <v>0</v>
      </c>
      <c r="AB28" s="161">
        <v>-0.16800000000000001</v>
      </c>
      <c r="AC28" s="17">
        <v>0</v>
      </c>
      <c r="AE28" s="160" t="s">
        <v>34</v>
      </c>
      <c r="AF28" s="170">
        <v>42501</v>
      </c>
      <c r="AG28" s="9" t="s">
        <v>224</v>
      </c>
      <c r="AH28" s="170">
        <v>44692</v>
      </c>
      <c r="AI28" s="9" t="s">
        <v>86</v>
      </c>
      <c r="AJ28" s="9">
        <v>0</v>
      </c>
      <c r="AK28" s="9">
        <v>0</v>
      </c>
      <c r="AL28" s="161">
        <v>-0.19500000000000001</v>
      </c>
      <c r="AM28" s="17">
        <v>0</v>
      </c>
      <c r="AO28" s="160" t="s">
        <v>163</v>
      </c>
      <c r="AP28" s="170">
        <v>42836</v>
      </c>
      <c r="AQ28" s="9" t="s">
        <v>205</v>
      </c>
      <c r="AR28" s="170">
        <v>43201</v>
      </c>
      <c r="AS28" s="9" t="s">
        <v>216</v>
      </c>
      <c r="AT28" s="9">
        <v>0</v>
      </c>
      <c r="AU28" s="9">
        <v>0</v>
      </c>
      <c r="AV28" s="161">
        <v>-1.6E-2</v>
      </c>
      <c r="AW28" s="17">
        <v>0</v>
      </c>
      <c r="AY28" s="160" t="s">
        <v>34</v>
      </c>
      <c r="AZ28" s="170">
        <v>42501</v>
      </c>
      <c r="BA28" s="9" t="s">
        <v>220</v>
      </c>
      <c r="BB28" s="170">
        <v>43143</v>
      </c>
      <c r="BC28" s="9" t="s">
        <v>134</v>
      </c>
      <c r="BD28" s="9">
        <v>0</v>
      </c>
      <c r="BE28" s="9">
        <v>0</v>
      </c>
      <c r="BF28" s="161">
        <v>-0.41299999999999998</v>
      </c>
      <c r="BG28" s="17">
        <v>0</v>
      </c>
    </row>
    <row r="29" spans="1:59" x14ac:dyDescent="0.2">
      <c r="A29" s="160" t="s">
        <v>34</v>
      </c>
      <c r="B29" s="170">
        <v>42501</v>
      </c>
      <c r="C29" s="9" t="s">
        <v>178</v>
      </c>
      <c r="D29" s="170">
        <v>44327</v>
      </c>
      <c r="E29" s="9" t="s">
        <v>85</v>
      </c>
      <c r="F29" s="9">
        <v>0</v>
      </c>
      <c r="G29" s="9">
        <v>0</v>
      </c>
      <c r="H29" s="161">
        <v>-0.156</v>
      </c>
      <c r="I29" s="17">
        <v>0</v>
      </c>
      <c r="K29" s="160" t="s">
        <v>34</v>
      </c>
      <c r="L29" s="170">
        <v>42501</v>
      </c>
      <c r="M29" s="9" t="s">
        <v>180</v>
      </c>
      <c r="N29" s="170">
        <v>46153</v>
      </c>
      <c r="O29" s="9" t="s">
        <v>90</v>
      </c>
      <c r="P29" s="9">
        <v>0</v>
      </c>
      <c r="Q29" s="9">
        <v>0</v>
      </c>
      <c r="R29" s="161">
        <v>0.52400000000000002</v>
      </c>
      <c r="S29" s="17">
        <v>0</v>
      </c>
      <c r="U29" s="160" t="s">
        <v>163</v>
      </c>
      <c r="V29" s="170">
        <v>43052</v>
      </c>
      <c r="W29" s="9" t="s">
        <v>183</v>
      </c>
      <c r="X29" s="170">
        <v>43234</v>
      </c>
      <c r="Y29" s="9" t="s">
        <v>201</v>
      </c>
      <c r="Z29" s="9">
        <v>0</v>
      </c>
      <c r="AA29" s="9">
        <v>0</v>
      </c>
      <c r="AB29" s="161">
        <v>-0.16400000000000001</v>
      </c>
      <c r="AC29" s="17">
        <v>0</v>
      </c>
      <c r="AE29" s="160" t="s">
        <v>34</v>
      </c>
      <c r="AF29" s="170">
        <v>42501</v>
      </c>
      <c r="AG29" s="9" t="s">
        <v>224</v>
      </c>
      <c r="AH29" s="170">
        <v>45057</v>
      </c>
      <c r="AI29" s="9" t="s">
        <v>87</v>
      </c>
      <c r="AJ29" s="9">
        <v>0</v>
      </c>
      <c r="AK29" s="9">
        <v>0</v>
      </c>
      <c r="AL29" s="161">
        <v>-8.5000000000000006E-2</v>
      </c>
      <c r="AM29" s="17">
        <v>0</v>
      </c>
      <c r="AO29" s="160" t="s">
        <v>163</v>
      </c>
      <c r="AP29" s="170">
        <v>42866</v>
      </c>
      <c r="AQ29" s="9" t="s">
        <v>205</v>
      </c>
      <c r="AR29" s="170">
        <v>43231</v>
      </c>
      <c r="AS29" s="9" t="s">
        <v>217</v>
      </c>
      <c r="AT29" s="9">
        <v>0</v>
      </c>
      <c r="AU29" s="9">
        <v>0</v>
      </c>
      <c r="AV29" s="161">
        <v>-1.2E-2</v>
      </c>
      <c r="AW29" s="17">
        <v>0</v>
      </c>
      <c r="AY29" s="160" t="s">
        <v>34</v>
      </c>
      <c r="AZ29" s="170">
        <v>42501</v>
      </c>
      <c r="BA29" s="9" t="s">
        <v>220</v>
      </c>
      <c r="BB29" s="170">
        <v>43171</v>
      </c>
      <c r="BC29" s="9" t="s">
        <v>135</v>
      </c>
      <c r="BD29" s="9">
        <v>0</v>
      </c>
      <c r="BE29" s="9">
        <v>0</v>
      </c>
      <c r="BF29" s="161">
        <v>-0.41434776699999998</v>
      </c>
      <c r="BG29" s="17">
        <v>0</v>
      </c>
    </row>
    <row r="30" spans="1:59" x14ac:dyDescent="0.2">
      <c r="A30" s="160" t="s">
        <v>34</v>
      </c>
      <c r="B30" s="170">
        <v>42501</v>
      </c>
      <c r="C30" s="9" t="s">
        <v>178</v>
      </c>
      <c r="D30" s="170">
        <v>44692</v>
      </c>
      <c r="E30" s="9" t="s">
        <v>86</v>
      </c>
      <c r="F30" s="9">
        <v>0</v>
      </c>
      <c r="G30" s="9">
        <v>0</v>
      </c>
      <c r="H30" s="161">
        <v>-5.8000000000000003E-2</v>
      </c>
      <c r="I30" s="17">
        <v>0</v>
      </c>
      <c r="K30" s="160" t="s">
        <v>34</v>
      </c>
      <c r="L30" s="170">
        <v>42501</v>
      </c>
      <c r="M30" s="9" t="s">
        <v>180</v>
      </c>
      <c r="N30" s="170">
        <v>46518</v>
      </c>
      <c r="O30" s="9" t="s">
        <v>91</v>
      </c>
      <c r="P30" s="9">
        <v>0</v>
      </c>
      <c r="Q30" s="9">
        <v>0</v>
      </c>
      <c r="R30" s="161">
        <v>0.61550472700000003</v>
      </c>
      <c r="S30" s="17">
        <v>0</v>
      </c>
      <c r="U30" s="160" t="s">
        <v>163</v>
      </c>
      <c r="V30" s="170">
        <v>43231</v>
      </c>
      <c r="W30" s="9" t="s">
        <v>183</v>
      </c>
      <c r="X30" s="170">
        <v>43416</v>
      </c>
      <c r="Y30" s="9" t="s">
        <v>202</v>
      </c>
      <c r="Z30" s="9">
        <v>0</v>
      </c>
      <c r="AA30" s="9">
        <v>0</v>
      </c>
      <c r="AB30" s="161">
        <v>-0.123023824</v>
      </c>
      <c r="AC30" s="17">
        <v>0</v>
      </c>
      <c r="AE30" s="160" t="s">
        <v>34</v>
      </c>
      <c r="AF30" s="170">
        <v>42501</v>
      </c>
      <c r="AG30" s="9" t="s">
        <v>224</v>
      </c>
      <c r="AH30" s="170">
        <v>45425</v>
      </c>
      <c r="AI30" s="9" t="s">
        <v>88</v>
      </c>
      <c r="AJ30" s="9">
        <v>0</v>
      </c>
      <c r="AK30" s="9">
        <v>0</v>
      </c>
      <c r="AL30" s="161">
        <v>3.7999999999999999E-2</v>
      </c>
      <c r="AM30" s="17">
        <v>0</v>
      </c>
      <c r="AO30" s="160" t="s">
        <v>34</v>
      </c>
      <c r="AP30" s="170">
        <v>42501</v>
      </c>
      <c r="AQ30" s="9" t="s">
        <v>218</v>
      </c>
      <c r="AR30" s="170">
        <v>43598</v>
      </c>
      <c r="AS30" s="9" t="s">
        <v>83</v>
      </c>
      <c r="AT30" s="9">
        <v>0</v>
      </c>
      <c r="AU30" s="9">
        <v>0</v>
      </c>
      <c r="AV30" s="161">
        <v>1.7999999999999999E-2</v>
      </c>
      <c r="AW30" s="17">
        <v>0</v>
      </c>
      <c r="AY30" s="160" t="s">
        <v>34</v>
      </c>
      <c r="AZ30" s="170">
        <v>42501</v>
      </c>
      <c r="BA30" s="9" t="s">
        <v>220</v>
      </c>
      <c r="BB30" s="170">
        <v>43201</v>
      </c>
      <c r="BC30" s="9" t="s">
        <v>136</v>
      </c>
      <c r="BD30" s="9">
        <v>0</v>
      </c>
      <c r="BE30" s="9">
        <v>0</v>
      </c>
      <c r="BF30" s="161">
        <v>-0.41536690799999998</v>
      </c>
      <c r="BG30" s="17">
        <v>0</v>
      </c>
    </row>
    <row r="31" spans="1:59" x14ac:dyDescent="0.2">
      <c r="A31" s="160" t="s">
        <v>34</v>
      </c>
      <c r="B31" s="170">
        <v>42501</v>
      </c>
      <c r="C31" s="9" t="s">
        <v>178</v>
      </c>
      <c r="D31" s="170">
        <v>45057</v>
      </c>
      <c r="E31" s="9" t="s">
        <v>87</v>
      </c>
      <c r="F31" s="9">
        <v>0</v>
      </c>
      <c r="G31" s="9">
        <v>0</v>
      </c>
      <c r="H31" s="161">
        <v>5.3999999999999999E-2</v>
      </c>
      <c r="I31" s="17">
        <v>0</v>
      </c>
      <c r="K31" s="160" t="s">
        <v>34</v>
      </c>
      <c r="L31" s="170">
        <v>42501</v>
      </c>
      <c r="M31" s="9" t="s">
        <v>180</v>
      </c>
      <c r="N31" s="170">
        <v>46884</v>
      </c>
      <c r="O31" s="9" t="s">
        <v>92</v>
      </c>
      <c r="P31" s="9">
        <v>0</v>
      </c>
      <c r="Q31" s="9">
        <v>0</v>
      </c>
      <c r="R31" s="161">
        <v>0.69799999999999995</v>
      </c>
      <c r="S31" s="17">
        <v>0</v>
      </c>
      <c r="U31" s="160" t="s">
        <v>34</v>
      </c>
      <c r="V31" s="170">
        <v>42501</v>
      </c>
      <c r="W31" s="9" t="s">
        <v>180</v>
      </c>
      <c r="X31" s="170">
        <v>43598</v>
      </c>
      <c r="Y31" s="9" t="s">
        <v>83</v>
      </c>
      <c r="Z31" s="9">
        <v>0</v>
      </c>
      <c r="AA31" s="9">
        <v>0</v>
      </c>
      <c r="AB31" s="161">
        <v>-0.13700000000000001</v>
      </c>
      <c r="AC31" s="17">
        <v>0</v>
      </c>
      <c r="AE31" s="160" t="s">
        <v>34</v>
      </c>
      <c r="AF31" s="170">
        <v>42501</v>
      </c>
      <c r="AG31" s="9" t="s">
        <v>224</v>
      </c>
      <c r="AH31" s="170">
        <v>45789</v>
      </c>
      <c r="AI31" s="9" t="s">
        <v>89</v>
      </c>
      <c r="AJ31" s="9">
        <v>0</v>
      </c>
      <c r="AK31" s="9">
        <v>0</v>
      </c>
      <c r="AL31" s="161">
        <v>0.156</v>
      </c>
      <c r="AM31" s="17">
        <v>0</v>
      </c>
      <c r="AO31" s="160" t="s">
        <v>34</v>
      </c>
      <c r="AP31" s="170">
        <v>42501</v>
      </c>
      <c r="AQ31" s="9" t="s">
        <v>218</v>
      </c>
      <c r="AR31" s="170">
        <v>43962</v>
      </c>
      <c r="AS31" s="9" t="s">
        <v>84</v>
      </c>
      <c r="AT31" s="9">
        <v>0</v>
      </c>
      <c r="AU31" s="9">
        <v>0</v>
      </c>
      <c r="AV31" s="161">
        <v>7.1999999999999995E-2</v>
      </c>
      <c r="AW31" s="17">
        <v>0</v>
      </c>
      <c r="AY31" s="160" t="s">
        <v>34</v>
      </c>
      <c r="AZ31" s="170">
        <v>42501</v>
      </c>
      <c r="BA31" s="9" t="s">
        <v>220</v>
      </c>
      <c r="BB31" s="170">
        <v>43231</v>
      </c>
      <c r="BC31" s="9" t="s">
        <v>137</v>
      </c>
      <c r="BD31" s="9">
        <v>0</v>
      </c>
      <c r="BE31" s="9">
        <v>0</v>
      </c>
      <c r="BF31" s="161">
        <v>-0.41599999999999998</v>
      </c>
      <c r="BG31" s="17">
        <v>0</v>
      </c>
    </row>
    <row r="32" spans="1:59" x14ac:dyDescent="0.2">
      <c r="A32" s="160" t="s">
        <v>34</v>
      </c>
      <c r="B32" s="170">
        <v>42501</v>
      </c>
      <c r="C32" s="9" t="s">
        <v>178</v>
      </c>
      <c r="D32" s="170">
        <v>45425</v>
      </c>
      <c r="E32" s="9" t="s">
        <v>88</v>
      </c>
      <c r="F32" s="9">
        <v>0</v>
      </c>
      <c r="G32" s="9">
        <v>0</v>
      </c>
      <c r="H32" s="161">
        <v>0.17299999999999999</v>
      </c>
      <c r="I32" s="17">
        <v>0</v>
      </c>
      <c r="K32" s="160" t="s">
        <v>34</v>
      </c>
      <c r="L32" s="170">
        <v>42501</v>
      </c>
      <c r="M32" s="9" t="s">
        <v>180</v>
      </c>
      <c r="N32" s="170">
        <v>47249</v>
      </c>
      <c r="O32" s="9" t="s">
        <v>93</v>
      </c>
      <c r="P32" s="9">
        <v>0</v>
      </c>
      <c r="Q32" s="9">
        <v>0</v>
      </c>
      <c r="R32" s="161">
        <v>0.76994708000000001</v>
      </c>
      <c r="S32" s="17">
        <v>0</v>
      </c>
      <c r="U32" s="160" t="s">
        <v>34</v>
      </c>
      <c r="V32" s="170">
        <v>42501</v>
      </c>
      <c r="W32" s="9" t="s">
        <v>180</v>
      </c>
      <c r="X32" s="170">
        <v>43962</v>
      </c>
      <c r="Y32" s="9" t="s">
        <v>84</v>
      </c>
      <c r="Z32" s="9">
        <v>0</v>
      </c>
      <c r="AA32" s="9">
        <v>0</v>
      </c>
      <c r="AB32" s="161">
        <v>-8.3000000000000004E-2</v>
      </c>
      <c r="AC32" s="17">
        <v>0</v>
      </c>
      <c r="AE32" s="160" t="s">
        <v>34</v>
      </c>
      <c r="AF32" s="170">
        <v>42501</v>
      </c>
      <c r="AG32" s="9" t="s">
        <v>224</v>
      </c>
      <c r="AH32" s="170">
        <v>46153</v>
      </c>
      <c r="AI32" s="9" t="s">
        <v>90</v>
      </c>
      <c r="AJ32" s="9">
        <v>0</v>
      </c>
      <c r="AK32" s="9">
        <v>0</v>
      </c>
      <c r="AL32" s="161">
        <v>0.26600000000000001</v>
      </c>
      <c r="AM32" s="17">
        <v>0</v>
      </c>
      <c r="AO32" s="160" t="s">
        <v>34</v>
      </c>
      <c r="AP32" s="170">
        <v>42501</v>
      </c>
      <c r="AQ32" s="9" t="s">
        <v>218</v>
      </c>
      <c r="AR32" s="170">
        <v>44327</v>
      </c>
      <c r="AS32" s="9" t="s">
        <v>85</v>
      </c>
      <c r="AT32" s="9">
        <v>0</v>
      </c>
      <c r="AU32" s="9">
        <v>0</v>
      </c>
      <c r="AV32" s="161">
        <v>0.14799999999999999</v>
      </c>
      <c r="AW32" s="17">
        <v>0</v>
      </c>
      <c r="AY32" s="160" t="s">
        <v>34</v>
      </c>
      <c r="AZ32" s="170">
        <v>42501</v>
      </c>
      <c r="BA32" s="9" t="s">
        <v>220</v>
      </c>
      <c r="BB32" s="170">
        <v>43598</v>
      </c>
      <c r="BC32" s="9" t="s">
        <v>83</v>
      </c>
      <c r="BD32" s="9">
        <v>0</v>
      </c>
      <c r="BE32" s="9">
        <v>0</v>
      </c>
      <c r="BF32" s="161">
        <v>-0.40200000000000002</v>
      </c>
      <c r="BG32" s="17">
        <v>0</v>
      </c>
    </row>
    <row r="33" spans="1:59" x14ac:dyDescent="0.2">
      <c r="A33" s="160" t="s">
        <v>34</v>
      </c>
      <c r="B33" s="170">
        <v>42501</v>
      </c>
      <c r="C33" s="9" t="s">
        <v>178</v>
      </c>
      <c r="D33" s="170">
        <v>45789</v>
      </c>
      <c r="E33" s="9" t="s">
        <v>89</v>
      </c>
      <c r="F33" s="9">
        <v>0</v>
      </c>
      <c r="G33" s="9">
        <v>0</v>
      </c>
      <c r="H33" s="161">
        <v>0.28799999999999998</v>
      </c>
      <c r="I33" s="17">
        <v>0</v>
      </c>
      <c r="K33" s="160" t="s">
        <v>34</v>
      </c>
      <c r="L33" s="170">
        <v>42501</v>
      </c>
      <c r="M33" s="9" t="s">
        <v>180</v>
      </c>
      <c r="N33" s="170">
        <v>11091</v>
      </c>
      <c r="O33" s="9" t="s">
        <v>94</v>
      </c>
      <c r="P33" s="9">
        <v>0</v>
      </c>
      <c r="Q33" s="9">
        <v>0</v>
      </c>
      <c r="R33" s="161">
        <v>0.83211671300000001</v>
      </c>
      <c r="S33" s="17">
        <v>0</v>
      </c>
      <c r="U33" s="160" t="s">
        <v>34</v>
      </c>
      <c r="V33" s="170">
        <v>42501</v>
      </c>
      <c r="W33" s="9" t="s">
        <v>180</v>
      </c>
      <c r="X33" s="170">
        <v>44327</v>
      </c>
      <c r="Y33" s="9" t="s">
        <v>85</v>
      </c>
      <c r="Z33" s="9">
        <v>0</v>
      </c>
      <c r="AA33" s="9">
        <v>0</v>
      </c>
      <c r="AB33" s="161">
        <v>-6.0000000000000001E-3</v>
      </c>
      <c r="AC33" s="17">
        <v>0</v>
      </c>
      <c r="AE33" s="160" t="s">
        <v>34</v>
      </c>
      <c r="AF33" s="170">
        <v>42501</v>
      </c>
      <c r="AG33" s="9" t="s">
        <v>224</v>
      </c>
      <c r="AH33" s="170">
        <v>46518</v>
      </c>
      <c r="AI33" s="9" t="s">
        <v>91</v>
      </c>
      <c r="AJ33" s="9">
        <v>0</v>
      </c>
      <c r="AK33" s="9">
        <v>0</v>
      </c>
      <c r="AL33" s="161">
        <v>0.36566397099999998</v>
      </c>
      <c r="AM33" s="17">
        <v>0</v>
      </c>
      <c r="AO33" s="160" t="s">
        <v>34</v>
      </c>
      <c r="AP33" s="170">
        <v>42501</v>
      </c>
      <c r="AQ33" s="9" t="s">
        <v>218</v>
      </c>
      <c r="AR33" s="170">
        <v>44692</v>
      </c>
      <c r="AS33" s="9" t="s">
        <v>86</v>
      </c>
      <c r="AT33" s="9">
        <v>0</v>
      </c>
      <c r="AU33" s="9">
        <v>0</v>
      </c>
      <c r="AV33" s="161">
        <v>0.24399999999999999</v>
      </c>
      <c r="AW33" s="17">
        <v>0</v>
      </c>
      <c r="AY33" s="160" t="s">
        <v>34</v>
      </c>
      <c r="AZ33" s="170">
        <v>42501</v>
      </c>
      <c r="BA33" s="9" t="s">
        <v>220</v>
      </c>
      <c r="BB33" s="170">
        <v>43962</v>
      </c>
      <c r="BC33" s="9" t="s">
        <v>84</v>
      </c>
      <c r="BD33" s="9">
        <v>0</v>
      </c>
      <c r="BE33" s="9">
        <v>0</v>
      </c>
      <c r="BF33" s="161">
        <v>-0.36099999999999999</v>
      </c>
      <c r="BG33" s="17">
        <v>0</v>
      </c>
    </row>
    <row r="34" spans="1:59" x14ac:dyDescent="0.2">
      <c r="A34" s="160" t="s">
        <v>34</v>
      </c>
      <c r="B34" s="170">
        <v>42501</v>
      </c>
      <c r="C34" s="9" t="s">
        <v>178</v>
      </c>
      <c r="D34" s="170">
        <v>46153</v>
      </c>
      <c r="E34" s="9" t="s">
        <v>90</v>
      </c>
      <c r="F34" s="9">
        <v>0</v>
      </c>
      <c r="G34" s="9">
        <v>0</v>
      </c>
      <c r="H34" s="161">
        <v>0.39500000000000002</v>
      </c>
      <c r="I34" s="17">
        <v>0</v>
      </c>
      <c r="K34" s="160" t="s">
        <v>34</v>
      </c>
      <c r="L34" s="170">
        <v>42501</v>
      </c>
      <c r="M34" s="9" t="s">
        <v>180</v>
      </c>
      <c r="N34" s="170">
        <v>11455</v>
      </c>
      <c r="O34" s="9" t="s">
        <v>95</v>
      </c>
      <c r="P34" s="9">
        <v>0</v>
      </c>
      <c r="Q34" s="9">
        <v>0</v>
      </c>
      <c r="R34" s="161">
        <v>0.88400000000000001</v>
      </c>
      <c r="S34" s="17">
        <v>0</v>
      </c>
      <c r="U34" s="160" t="s">
        <v>34</v>
      </c>
      <c r="V34" s="170">
        <v>42501</v>
      </c>
      <c r="W34" s="9" t="s">
        <v>180</v>
      </c>
      <c r="X34" s="170">
        <v>44692</v>
      </c>
      <c r="Y34" s="9" t="s">
        <v>86</v>
      </c>
      <c r="Z34" s="9">
        <v>0</v>
      </c>
      <c r="AA34" s="9">
        <v>0</v>
      </c>
      <c r="AB34" s="161">
        <v>9.0999999999999998E-2</v>
      </c>
      <c r="AC34" s="17">
        <v>0</v>
      </c>
      <c r="AE34" s="160" t="s">
        <v>34</v>
      </c>
      <c r="AF34" s="170">
        <v>42501</v>
      </c>
      <c r="AG34" s="9" t="s">
        <v>224</v>
      </c>
      <c r="AH34" s="170">
        <v>46884</v>
      </c>
      <c r="AI34" s="9" t="s">
        <v>92</v>
      </c>
      <c r="AJ34" s="9">
        <v>0</v>
      </c>
      <c r="AK34" s="9">
        <v>0</v>
      </c>
      <c r="AL34" s="161">
        <v>0.45500000000000002</v>
      </c>
      <c r="AM34" s="17">
        <v>0</v>
      </c>
      <c r="AO34" s="160" t="s">
        <v>34</v>
      </c>
      <c r="AP34" s="170">
        <v>42501</v>
      </c>
      <c r="AQ34" s="9" t="s">
        <v>218</v>
      </c>
      <c r="AR34" s="170">
        <v>45057</v>
      </c>
      <c r="AS34" s="9" t="s">
        <v>87</v>
      </c>
      <c r="AT34" s="9">
        <v>0</v>
      </c>
      <c r="AU34" s="9">
        <v>0</v>
      </c>
      <c r="AV34" s="161">
        <v>0.34799999999999998</v>
      </c>
      <c r="AW34" s="17">
        <v>0</v>
      </c>
      <c r="AY34" s="160" t="s">
        <v>34</v>
      </c>
      <c r="AZ34" s="170">
        <v>42501</v>
      </c>
      <c r="BA34" s="9" t="s">
        <v>220</v>
      </c>
      <c r="BB34" s="170">
        <v>44327</v>
      </c>
      <c r="BC34" s="9" t="s">
        <v>85</v>
      </c>
      <c r="BD34" s="9">
        <v>0</v>
      </c>
      <c r="BE34" s="9">
        <v>0</v>
      </c>
      <c r="BF34" s="161">
        <v>-0.29199999999999998</v>
      </c>
      <c r="BG34" s="17">
        <v>0</v>
      </c>
    </row>
    <row r="35" spans="1:59" x14ac:dyDescent="0.2">
      <c r="A35" s="160" t="s">
        <v>34</v>
      </c>
      <c r="B35" s="170">
        <v>42501</v>
      </c>
      <c r="C35" s="9" t="s">
        <v>178</v>
      </c>
      <c r="D35" s="170">
        <v>46518</v>
      </c>
      <c r="E35" s="9" t="s">
        <v>91</v>
      </c>
      <c r="F35" s="9">
        <v>0</v>
      </c>
      <c r="G35" s="9">
        <v>0</v>
      </c>
      <c r="H35" s="161">
        <v>0.49281857400000001</v>
      </c>
      <c r="I35" s="17">
        <v>0</v>
      </c>
      <c r="K35" s="160" t="s">
        <v>34</v>
      </c>
      <c r="L35" s="170">
        <v>42501</v>
      </c>
      <c r="M35" s="9" t="s">
        <v>180</v>
      </c>
      <c r="N35" s="170">
        <v>11820</v>
      </c>
      <c r="O35" s="9" t="s">
        <v>96</v>
      </c>
      <c r="P35" s="9">
        <v>0</v>
      </c>
      <c r="Q35" s="9">
        <v>0</v>
      </c>
      <c r="R35" s="161">
        <v>0.92684162599999997</v>
      </c>
      <c r="S35" s="17">
        <v>0</v>
      </c>
      <c r="U35" s="160" t="s">
        <v>34</v>
      </c>
      <c r="V35" s="170">
        <v>42501</v>
      </c>
      <c r="W35" s="9" t="s">
        <v>180</v>
      </c>
      <c r="X35" s="170">
        <v>45057</v>
      </c>
      <c r="Y35" s="9" t="s">
        <v>87</v>
      </c>
      <c r="Z35" s="9">
        <v>0</v>
      </c>
      <c r="AA35" s="9">
        <v>0</v>
      </c>
      <c r="AB35" s="161">
        <v>0.2</v>
      </c>
      <c r="AC35" s="17">
        <v>0</v>
      </c>
      <c r="AE35" s="160" t="s">
        <v>34</v>
      </c>
      <c r="AF35" s="170">
        <v>42501</v>
      </c>
      <c r="AG35" s="9" t="s">
        <v>224</v>
      </c>
      <c r="AH35" s="170">
        <v>47249</v>
      </c>
      <c r="AI35" s="9" t="s">
        <v>93</v>
      </c>
      <c r="AJ35" s="9">
        <v>0</v>
      </c>
      <c r="AK35" s="9">
        <v>0</v>
      </c>
      <c r="AL35" s="161">
        <v>0.534083949</v>
      </c>
      <c r="AM35" s="17">
        <v>0</v>
      </c>
      <c r="AO35" s="160" t="s">
        <v>34</v>
      </c>
      <c r="AP35" s="170">
        <v>42501</v>
      </c>
      <c r="AQ35" s="9" t="s">
        <v>218</v>
      </c>
      <c r="AR35" s="170">
        <v>45425</v>
      </c>
      <c r="AS35" s="9" t="s">
        <v>88</v>
      </c>
      <c r="AT35" s="9">
        <v>0</v>
      </c>
      <c r="AU35" s="9">
        <v>0</v>
      </c>
      <c r="AV35" s="161">
        <v>0.45700000000000002</v>
      </c>
      <c r="AW35" s="17">
        <v>0</v>
      </c>
      <c r="AY35" s="160" t="s">
        <v>34</v>
      </c>
      <c r="AZ35" s="170">
        <v>42501</v>
      </c>
      <c r="BA35" s="9" t="s">
        <v>220</v>
      </c>
      <c r="BB35" s="170">
        <v>44692</v>
      </c>
      <c r="BC35" s="9" t="s">
        <v>86</v>
      </c>
      <c r="BD35" s="9">
        <v>0</v>
      </c>
      <c r="BE35" s="9">
        <v>0</v>
      </c>
      <c r="BF35" s="161">
        <v>-0.19400000000000001</v>
      </c>
      <c r="BG35" s="17">
        <v>0</v>
      </c>
    </row>
    <row r="36" spans="1:59" x14ac:dyDescent="0.2">
      <c r="A36" s="160" t="s">
        <v>34</v>
      </c>
      <c r="B36" s="170">
        <v>42501</v>
      </c>
      <c r="C36" s="9" t="s">
        <v>178</v>
      </c>
      <c r="D36" s="170">
        <v>46884</v>
      </c>
      <c r="E36" s="9" t="s">
        <v>92</v>
      </c>
      <c r="F36" s="9">
        <v>0</v>
      </c>
      <c r="G36" s="9">
        <v>0</v>
      </c>
      <c r="H36" s="161">
        <v>0.58099999999999996</v>
      </c>
      <c r="I36" s="17">
        <v>0</v>
      </c>
      <c r="K36" s="160" t="s">
        <v>34</v>
      </c>
      <c r="L36" s="170">
        <v>42501</v>
      </c>
      <c r="M36" s="9" t="s">
        <v>180</v>
      </c>
      <c r="N36" s="170">
        <v>12185</v>
      </c>
      <c r="O36" s="9" t="s">
        <v>97</v>
      </c>
      <c r="P36" s="9">
        <v>0</v>
      </c>
      <c r="Q36" s="9">
        <v>0</v>
      </c>
      <c r="R36" s="161">
        <v>0.96126716999999995</v>
      </c>
      <c r="S36" s="17">
        <v>0</v>
      </c>
      <c r="U36" s="160" t="s">
        <v>34</v>
      </c>
      <c r="V36" s="170">
        <v>42501</v>
      </c>
      <c r="W36" s="9" t="s">
        <v>180</v>
      </c>
      <c r="X36" s="170">
        <v>45425</v>
      </c>
      <c r="Y36" s="9" t="s">
        <v>88</v>
      </c>
      <c r="Z36" s="9">
        <v>0</v>
      </c>
      <c r="AA36" s="9">
        <v>0</v>
      </c>
      <c r="AB36" s="161">
        <v>0.315</v>
      </c>
      <c r="AC36" s="17">
        <v>0</v>
      </c>
      <c r="AE36" s="160" t="s">
        <v>34</v>
      </c>
      <c r="AF36" s="170">
        <v>42501</v>
      </c>
      <c r="AG36" s="9" t="s">
        <v>224</v>
      </c>
      <c r="AH36" s="170">
        <v>11091</v>
      </c>
      <c r="AI36" s="9" t="s">
        <v>94</v>
      </c>
      <c r="AJ36" s="9">
        <v>0</v>
      </c>
      <c r="AK36" s="9">
        <v>0</v>
      </c>
      <c r="AL36" s="161">
        <v>0.60372880699999998</v>
      </c>
      <c r="AM36" s="17">
        <v>0</v>
      </c>
      <c r="AO36" s="160" t="s">
        <v>34</v>
      </c>
      <c r="AP36" s="170">
        <v>42501</v>
      </c>
      <c r="AQ36" s="9" t="s">
        <v>218</v>
      </c>
      <c r="AR36" s="170">
        <v>45789</v>
      </c>
      <c r="AS36" s="9" t="s">
        <v>89</v>
      </c>
      <c r="AT36" s="9">
        <v>0</v>
      </c>
      <c r="AU36" s="9">
        <v>0</v>
      </c>
      <c r="AV36" s="161">
        <v>0.55900000000000005</v>
      </c>
      <c r="AW36" s="17">
        <v>0</v>
      </c>
      <c r="AY36" s="160" t="s">
        <v>34</v>
      </c>
      <c r="AZ36" s="170">
        <v>42501</v>
      </c>
      <c r="BA36" s="9" t="s">
        <v>220</v>
      </c>
      <c r="BB36" s="170">
        <v>45057</v>
      </c>
      <c r="BC36" s="9" t="s">
        <v>87</v>
      </c>
      <c r="BD36" s="9">
        <v>0</v>
      </c>
      <c r="BE36" s="9">
        <v>0</v>
      </c>
      <c r="BF36" s="161">
        <v>-8.2000000000000003E-2</v>
      </c>
      <c r="BG36" s="17">
        <v>0</v>
      </c>
    </row>
    <row r="37" spans="1:59" x14ac:dyDescent="0.2">
      <c r="A37" s="160" t="s">
        <v>34</v>
      </c>
      <c r="B37" s="170">
        <v>42501</v>
      </c>
      <c r="C37" s="9" t="s">
        <v>178</v>
      </c>
      <c r="D37" s="170">
        <v>47249</v>
      </c>
      <c r="E37" s="9" t="s">
        <v>93</v>
      </c>
      <c r="F37" s="9">
        <v>0</v>
      </c>
      <c r="G37" s="9">
        <v>0</v>
      </c>
      <c r="H37" s="161">
        <v>0.658493459</v>
      </c>
      <c r="I37" s="17">
        <v>0</v>
      </c>
      <c r="K37" s="160" t="s">
        <v>34</v>
      </c>
      <c r="L37" s="170">
        <v>42501</v>
      </c>
      <c r="M37" s="9" t="s">
        <v>180</v>
      </c>
      <c r="N37" s="170">
        <v>12550</v>
      </c>
      <c r="O37" s="9" t="s">
        <v>98</v>
      </c>
      <c r="P37" s="9">
        <v>0</v>
      </c>
      <c r="Q37" s="9">
        <v>0</v>
      </c>
      <c r="R37" s="161">
        <v>0.98862792899999996</v>
      </c>
      <c r="S37" s="17">
        <v>0</v>
      </c>
      <c r="U37" s="160" t="s">
        <v>34</v>
      </c>
      <c r="V37" s="170">
        <v>42501</v>
      </c>
      <c r="W37" s="9" t="s">
        <v>180</v>
      </c>
      <c r="X37" s="170">
        <v>45789</v>
      </c>
      <c r="Y37" s="9" t="s">
        <v>89</v>
      </c>
      <c r="Z37" s="9">
        <v>0</v>
      </c>
      <c r="AA37" s="9">
        <v>0</v>
      </c>
      <c r="AB37" s="161">
        <v>0.42399999999999999</v>
      </c>
      <c r="AC37" s="17">
        <v>0</v>
      </c>
      <c r="AE37" s="160" t="s">
        <v>34</v>
      </c>
      <c r="AF37" s="170">
        <v>42501</v>
      </c>
      <c r="AG37" s="9" t="s">
        <v>224</v>
      </c>
      <c r="AH37" s="170">
        <v>11455</v>
      </c>
      <c r="AI37" s="9" t="s">
        <v>95</v>
      </c>
      <c r="AJ37" s="9">
        <v>0</v>
      </c>
      <c r="AK37" s="9">
        <v>0</v>
      </c>
      <c r="AL37" s="161">
        <v>0.66300000000000003</v>
      </c>
      <c r="AM37" s="17">
        <v>0</v>
      </c>
      <c r="AO37" s="160" t="s">
        <v>34</v>
      </c>
      <c r="AP37" s="170">
        <v>42501</v>
      </c>
      <c r="AQ37" s="9" t="s">
        <v>218</v>
      </c>
      <c r="AR37" s="170">
        <v>46153</v>
      </c>
      <c r="AS37" s="9" t="s">
        <v>90</v>
      </c>
      <c r="AT37" s="9">
        <v>0</v>
      </c>
      <c r="AU37" s="9">
        <v>0</v>
      </c>
      <c r="AV37" s="161">
        <v>0.65200000000000002</v>
      </c>
      <c r="AW37" s="17">
        <v>0</v>
      </c>
      <c r="AY37" s="160" t="s">
        <v>34</v>
      </c>
      <c r="AZ37" s="170">
        <v>42501</v>
      </c>
      <c r="BA37" s="9" t="s">
        <v>220</v>
      </c>
      <c r="BB37" s="170">
        <v>45425</v>
      </c>
      <c r="BC37" s="9" t="s">
        <v>88</v>
      </c>
      <c r="BD37" s="9">
        <v>0</v>
      </c>
      <c r="BE37" s="9">
        <v>0</v>
      </c>
      <c r="BF37" s="161">
        <v>3.7999999999999999E-2</v>
      </c>
      <c r="BG37" s="17">
        <v>0</v>
      </c>
    </row>
    <row r="38" spans="1:59" x14ac:dyDescent="0.2">
      <c r="A38" s="160" t="s">
        <v>34</v>
      </c>
      <c r="B38" s="170">
        <v>42501</v>
      </c>
      <c r="C38" s="9" t="s">
        <v>178</v>
      </c>
      <c r="D38" s="170">
        <v>11091</v>
      </c>
      <c r="E38" s="9" t="s">
        <v>94</v>
      </c>
      <c r="F38" s="9">
        <v>0</v>
      </c>
      <c r="G38" s="9">
        <v>0</v>
      </c>
      <c r="H38" s="161">
        <v>0.72606599400000005</v>
      </c>
      <c r="I38" s="17">
        <v>0</v>
      </c>
      <c r="K38" s="160" t="s">
        <v>34</v>
      </c>
      <c r="L38" s="170">
        <v>42501</v>
      </c>
      <c r="M38" s="9" t="s">
        <v>180</v>
      </c>
      <c r="N38" s="170">
        <v>12915</v>
      </c>
      <c r="O38" s="9" t="s">
        <v>99</v>
      </c>
      <c r="P38" s="9">
        <v>0</v>
      </c>
      <c r="Q38" s="9">
        <v>0</v>
      </c>
      <c r="R38" s="161">
        <v>1.0100916369999999</v>
      </c>
      <c r="S38" s="17">
        <v>0</v>
      </c>
      <c r="U38" s="160" t="s">
        <v>34</v>
      </c>
      <c r="V38" s="170">
        <v>42501</v>
      </c>
      <c r="W38" s="9" t="s">
        <v>180</v>
      </c>
      <c r="X38" s="170">
        <v>46153</v>
      </c>
      <c r="Y38" s="9" t="s">
        <v>90</v>
      </c>
      <c r="Z38" s="9">
        <v>0</v>
      </c>
      <c r="AA38" s="9">
        <v>0</v>
      </c>
      <c r="AB38" s="161">
        <v>0.52400000000000002</v>
      </c>
      <c r="AC38" s="17">
        <v>0</v>
      </c>
      <c r="AE38" s="160" t="s">
        <v>34</v>
      </c>
      <c r="AF38" s="170">
        <v>42501</v>
      </c>
      <c r="AG38" s="9" t="s">
        <v>224</v>
      </c>
      <c r="AH38" s="170">
        <v>11820</v>
      </c>
      <c r="AI38" s="9" t="s">
        <v>96</v>
      </c>
      <c r="AJ38" s="9">
        <v>0</v>
      </c>
      <c r="AK38" s="9">
        <v>0</v>
      </c>
      <c r="AL38" s="161">
        <v>0.71293522399999998</v>
      </c>
      <c r="AM38" s="17">
        <v>0</v>
      </c>
      <c r="AO38" s="160" t="s">
        <v>34</v>
      </c>
      <c r="AP38" s="170">
        <v>42501</v>
      </c>
      <c r="AQ38" s="9" t="s">
        <v>218</v>
      </c>
      <c r="AR38" s="170">
        <v>46518</v>
      </c>
      <c r="AS38" s="9" t="s">
        <v>91</v>
      </c>
      <c r="AT38" s="9">
        <v>0</v>
      </c>
      <c r="AU38" s="9">
        <v>0</v>
      </c>
      <c r="AV38" s="161">
        <v>0.73725371100000003</v>
      </c>
      <c r="AW38" s="17">
        <v>0</v>
      </c>
      <c r="AY38" s="160" t="s">
        <v>34</v>
      </c>
      <c r="AZ38" s="170">
        <v>42501</v>
      </c>
      <c r="BA38" s="9" t="s">
        <v>220</v>
      </c>
      <c r="BB38" s="170">
        <v>45789</v>
      </c>
      <c r="BC38" s="9" t="s">
        <v>89</v>
      </c>
      <c r="BD38" s="9">
        <v>0</v>
      </c>
      <c r="BE38" s="9">
        <v>0</v>
      </c>
      <c r="BF38" s="161">
        <v>0.153</v>
      </c>
      <c r="BG38" s="17">
        <v>0</v>
      </c>
    </row>
    <row r="39" spans="1:59" x14ac:dyDescent="0.2">
      <c r="A39" s="160" t="s">
        <v>34</v>
      </c>
      <c r="B39" s="170">
        <v>42501</v>
      </c>
      <c r="C39" s="9" t="s">
        <v>178</v>
      </c>
      <c r="D39" s="170">
        <v>11455</v>
      </c>
      <c r="E39" s="9" t="s">
        <v>95</v>
      </c>
      <c r="F39" s="9">
        <v>0</v>
      </c>
      <c r="G39" s="9">
        <v>0</v>
      </c>
      <c r="H39" s="161">
        <v>0.78300000000000003</v>
      </c>
      <c r="I39" s="17">
        <v>0</v>
      </c>
      <c r="K39" s="160" t="s">
        <v>34</v>
      </c>
      <c r="L39" s="170">
        <v>42501</v>
      </c>
      <c r="M39" s="9" t="s">
        <v>180</v>
      </c>
      <c r="N39" s="170">
        <v>13282</v>
      </c>
      <c r="O39" s="9" t="s">
        <v>100</v>
      </c>
      <c r="P39" s="9">
        <v>0</v>
      </c>
      <c r="Q39" s="9">
        <v>0</v>
      </c>
      <c r="R39" s="161">
        <v>1.0269999999999999</v>
      </c>
      <c r="S39" s="17">
        <v>0</v>
      </c>
      <c r="U39" s="160" t="s">
        <v>34</v>
      </c>
      <c r="V39" s="170">
        <v>42501</v>
      </c>
      <c r="W39" s="9" t="s">
        <v>180</v>
      </c>
      <c r="X39" s="170">
        <v>46518</v>
      </c>
      <c r="Y39" s="9" t="s">
        <v>91</v>
      </c>
      <c r="Z39" s="9">
        <v>0</v>
      </c>
      <c r="AA39" s="9">
        <v>0</v>
      </c>
      <c r="AB39" s="161">
        <v>0.61550472700000003</v>
      </c>
      <c r="AC39" s="17">
        <v>0</v>
      </c>
      <c r="AE39" s="160" t="s">
        <v>34</v>
      </c>
      <c r="AF39" s="170">
        <v>42501</v>
      </c>
      <c r="AG39" s="9" t="s">
        <v>224</v>
      </c>
      <c r="AH39" s="170">
        <v>12185</v>
      </c>
      <c r="AI39" s="9" t="s">
        <v>97</v>
      </c>
      <c r="AJ39" s="9">
        <v>0</v>
      </c>
      <c r="AK39" s="9">
        <v>0</v>
      </c>
      <c r="AL39" s="161">
        <v>0.75419094099999995</v>
      </c>
      <c r="AM39" s="17">
        <v>0</v>
      </c>
      <c r="AO39" s="160" t="s">
        <v>34</v>
      </c>
      <c r="AP39" s="170">
        <v>42501</v>
      </c>
      <c r="AQ39" s="9" t="s">
        <v>218</v>
      </c>
      <c r="AR39" s="170">
        <v>46884</v>
      </c>
      <c r="AS39" s="9" t="s">
        <v>92</v>
      </c>
      <c r="AT39" s="9">
        <v>0</v>
      </c>
      <c r="AU39" s="9">
        <v>0</v>
      </c>
      <c r="AV39" s="161">
        <v>0.81399999999999995</v>
      </c>
      <c r="AW39" s="17">
        <v>0</v>
      </c>
      <c r="AY39" s="160" t="s">
        <v>34</v>
      </c>
      <c r="AZ39" s="170">
        <v>42501</v>
      </c>
      <c r="BA39" s="9" t="s">
        <v>220</v>
      </c>
      <c r="BB39" s="170">
        <v>46153</v>
      </c>
      <c r="BC39" s="9" t="s">
        <v>90</v>
      </c>
      <c r="BD39" s="9">
        <v>0</v>
      </c>
      <c r="BE39" s="9">
        <v>0</v>
      </c>
      <c r="BF39" s="161">
        <v>0.26</v>
      </c>
      <c r="BG39" s="17">
        <v>0</v>
      </c>
    </row>
    <row r="40" spans="1:59" x14ac:dyDescent="0.2">
      <c r="A40" s="160" t="s">
        <v>34</v>
      </c>
      <c r="B40" s="170">
        <v>42501</v>
      </c>
      <c r="C40" s="9" t="s">
        <v>178</v>
      </c>
      <c r="D40" s="170">
        <v>11820</v>
      </c>
      <c r="E40" s="9" t="s">
        <v>96</v>
      </c>
      <c r="F40" s="9">
        <v>0</v>
      </c>
      <c r="G40" s="9">
        <v>0</v>
      </c>
      <c r="H40" s="161">
        <v>0.83048275500000002</v>
      </c>
      <c r="I40" s="17">
        <v>0</v>
      </c>
      <c r="K40" s="160" t="s">
        <v>34</v>
      </c>
      <c r="L40" s="170">
        <v>42501</v>
      </c>
      <c r="M40" s="9" t="s">
        <v>180</v>
      </c>
      <c r="N40" s="170">
        <v>13646</v>
      </c>
      <c r="O40" s="9" t="s">
        <v>101</v>
      </c>
      <c r="P40" s="9">
        <v>0</v>
      </c>
      <c r="Q40" s="9">
        <v>0</v>
      </c>
      <c r="R40" s="161">
        <v>1.039902866</v>
      </c>
      <c r="S40" s="17">
        <v>0</v>
      </c>
      <c r="U40" s="160" t="s">
        <v>34</v>
      </c>
      <c r="V40" s="170">
        <v>42501</v>
      </c>
      <c r="W40" s="9" t="s">
        <v>180</v>
      </c>
      <c r="X40" s="170">
        <v>46884</v>
      </c>
      <c r="Y40" s="9" t="s">
        <v>92</v>
      </c>
      <c r="Z40" s="9">
        <v>0</v>
      </c>
      <c r="AA40" s="9">
        <v>0</v>
      </c>
      <c r="AB40" s="161">
        <v>0.69799999999999995</v>
      </c>
      <c r="AC40" s="17">
        <v>0</v>
      </c>
      <c r="AE40" s="160" t="s">
        <v>34</v>
      </c>
      <c r="AF40" s="170">
        <v>42501</v>
      </c>
      <c r="AG40" s="9" t="s">
        <v>224</v>
      </c>
      <c r="AH40" s="170">
        <v>12550</v>
      </c>
      <c r="AI40" s="9" t="s">
        <v>98</v>
      </c>
      <c r="AJ40" s="9">
        <v>0</v>
      </c>
      <c r="AK40" s="9">
        <v>0</v>
      </c>
      <c r="AL40" s="161">
        <v>0.78811970799999997</v>
      </c>
      <c r="AM40" s="17">
        <v>0</v>
      </c>
      <c r="AO40" s="160" t="s">
        <v>34</v>
      </c>
      <c r="AP40" s="170">
        <v>42501</v>
      </c>
      <c r="AQ40" s="9" t="s">
        <v>218</v>
      </c>
      <c r="AR40" s="170">
        <v>47249</v>
      </c>
      <c r="AS40" s="9" t="s">
        <v>93</v>
      </c>
      <c r="AT40" s="9">
        <v>0</v>
      </c>
      <c r="AU40" s="9">
        <v>0</v>
      </c>
      <c r="AV40" s="161">
        <v>0.88028668300000001</v>
      </c>
      <c r="AW40" s="17">
        <v>0</v>
      </c>
      <c r="AY40" s="160" t="s">
        <v>34</v>
      </c>
      <c r="AZ40" s="170">
        <v>42501</v>
      </c>
      <c r="BA40" s="9" t="s">
        <v>220</v>
      </c>
      <c r="BB40" s="170">
        <v>46518</v>
      </c>
      <c r="BC40" s="9" t="s">
        <v>91</v>
      </c>
      <c r="BD40" s="9">
        <v>0</v>
      </c>
      <c r="BE40" s="9">
        <v>0</v>
      </c>
      <c r="BF40" s="161">
        <v>0.36</v>
      </c>
      <c r="BG40" s="17">
        <v>0</v>
      </c>
    </row>
    <row r="41" spans="1:59" x14ac:dyDescent="0.2">
      <c r="A41" s="160" t="s">
        <v>34</v>
      </c>
      <c r="B41" s="170">
        <v>42501</v>
      </c>
      <c r="C41" s="9" t="s">
        <v>178</v>
      </c>
      <c r="D41" s="170">
        <v>12185</v>
      </c>
      <c r="E41" s="9" t="s">
        <v>97</v>
      </c>
      <c r="F41" s="9">
        <v>0</v>
      </c>
      <c r="G41" s="9">
        <v>0</v>
      </c>
      <c r="H41" s="161">
        <v>0.86918320900000001</v>
      </c>
      <c r="I41" s="17">
        <v>0</v>
      </c>
      <c r="K41" s="160" t="s">
        <v>34</v>
      </c>
      <c r="L41" s="170">
        <v>42501</v>
      </c>
      <c r="M41" s="9" t="s">
        <v>180</v>
      </c>
      <c r="N41" s="170">
        <v>14011</v>
      </c>
      <c r="O41" s="9" t="s">
        <v>102</v>
      </c>
      <c r="P41" s="9">
        <v>0</v>
      </c>
      <c r="Q41" s="9">
        <v>0</v>
      </c>
      <c r="R41" s="161">
        <v>1.0496907170000001</v>
      </c>
      <c r="S41" s="17">
        <v>0</v>
      </c>
      <c r="U41" s="160" t="s">
        <v>34</v>
      </c>
      <c r="V41" s="170">
        <v>42501</v>
      </c>
      <c r="W41" s="9" t="s">
        <v>180</v>
      </c>
      <c r="X41" s="170">
        <v>47249</v>
      </c>
      <c r="Y41" s="9" t="s">
        <v>93</v>
      </c>
      <c r="Z41" s="9">
        <v>0</v>
      </c>
      <c r="AA41" s="9">
        <v>0</v>
      </c>
      <c r="AB41" s="161">
        <v>0.76994708000000001</v>
      </c>
      <c r="AC41" s="17">
        <v>0</v>
      </c>
      <c r="AE41" s="160" t="s">
        <v>34</v>
      </c>
      <c r="AF41" s="170">
        <v>42501</v>
      </c>
      <c r="AG41" s="9" t="s">
        <v>224</v>
      </c>
      <c r="AH41" s="170">
        <v>12915</v>
      </c>
      <c r="AI41" s="9" t="s">
        <v>99</v>
      </c>
      <c r="AJ41" s="9">
        <v>0</v>
      </c>
      <c r="AK41" s="9">
        <v>0</v>
      </c>
      <c r="AL41" s="161">
        <v>0.81592658399999995</v>
      </c>
      <c r="AM41" s="17">
        <v>0</v>
      </c>
      <c r="AO41" s="160" t="s">
        <v>34</v>
      </c>
      <c r="AP41" s="170">
        <v>42501</v>
      </c>
      <c r="AQ41" s="9" t="s">
        <v>218</v>
      </c>
      <c r="AR41" s="170">
        <v>11091</v>
      </c>
      <c r="AS41" s="9" t="s">
        <v>94</v>
      </c>
      <c r="AT41" s="9">
        <v>0</v>
      </c>
      <c r="AU41" s="9">
        <v>0</v>
      </c>
      <c r="AV41" s="161">
        <v>0.93701078500000001</v>
      </c>
      <c r="AW41" s="17">
        <v>0</v>
      </c>
      <c r="AY41" s="160" t="s">
        <v>34</v>
      </c>
      <c r="AZ41" s="170">
        <v>42501</v>
      </c>
      <c r="BA41" s="9" t="s">
        <v>220</v>
      </c>
      <c r="BB41" s="170">
        <v>46884</v>
      </c>
      <c r="BC41" s="9" t="s">
        <v>92</v>
      </c>
      <c r="BD41" s="9">
        <v>0</v>
      </c>
      <c r="BE41" s="9">
        <v>0</v>
      </c>
      <c r="BF41" s="161">
        <v>0.44800000000000001</v>
      </c>
      <c r="BG41" s="17">
        <v>0</v>
      </c>
    </row>
    <row r="42" spans="1:59" x14ac:dyDescent="0.2">
      <c r="A42" s="160" t="s">
        <v>34</v>
      </c>
      <c r="B42" s="170">
        <v>42501</v>
      </c>
      <c r="C42" s="9" t="s">
        <v>178</v>
      </c>
      <c r="D42" s="170">
        <v>12550</v>
      </c>
      <c r="E42" s="9" t="s">
        <v>98</v>
      </c>
      <c r="F42" s="9">
        <v>0</v>
      </c>
      <c r="G42" s="9">
        <v>0</v>
      </c>
      <c r="H42" s="161">
        <v>0.90049142400000004</v>
      </c>
      <c r="I42" s="17">
        <v>0</v>
      </c>
      <c r="K42" s="160" t="s">
        <v>34</v>
      </c>
      <c r="L42" s="170">
        <v>42501</v>
      </c>
      <c r="M42" s="9" t="s">
        <v>180</v>
      </c>
      <c r="N42" s="170">
        <v>14376</v>
      </c>
      <c r="O42" s="9" t="s">
        <v>103</v>
      </c>
      <c r="P42" s="9">
        <v>0</v>
      </c>
      <c r="Q42" s="9">
        <v>0</v>
      </c>
      <c r="R42" s="161">
        <v>1.056804002</v>
      </c>
      <c r="S42" s="17">
        <v>0</v>
      </c>
      <c r="U42" s="160" t="s">
        <v>34</v>
      </c>
      <c r="V42" s="170">
        <v>42501</v>
      </c>
      <c r="W42" s="9" t="s">
        <v>180</v>
      </c>
      <c r="X42" s="170">
        <v>11091</v>
      </c>
      <c r="Y42" s="9" t="s">
        <v>94</v>
      </c>
      <c r="Z42" s="9">
        <v>0</v>
      </c>
      <c r="AA42" s="9">
        <v>0</v>
      </c>
      <c r="AB42" s="161">
        <v>0.83211671300000001</v>
      </c>
      <c r="AC42" s="17">
        <v>0</v>
      </c>
      <c r="AE42" s="160" t="s">
        <v>34</v>
      </c>
      <c r="AF42" s="170">
        <v>42501</v>
      </c>
      <c r="AG42" s="9" t="s">
        <v>224</v>
      </c>
      <c r="AH42" s="170">
        <v>13282</v>
      </c>
      <c r="AI42" s="9" t="s">
        <v>100</v>
      </c>
      <c r="AJ42" s="9">
        <v>0</v>
      </c>
      <c r="AK42" s="9">
        <v>0</v>
      </c>
      <c r="AL42" s="161">
        <v>0.83899999999999997</v>
      </c>
      <c r="AM42" s="17">
        <v>0</v>
      </c>
      <c r="AO42" s="160" t="s">
        <v>34</v>
      </c>
      <c r="AP42" s="170">
        <v>42501</v>
      </c>
      <c r="AQ42" s="9" t="s">
        <v>218</v>
      </c>
      <c r="AR42" s="170">
        <v>11455</v>
      </c>
      <c r="AS42" s="9" t="s">
        <v>95</v>
      </c>
      <c r="AT42" s="9">
        <v>0</v>
      </c>
      <c r="AU42" s="9">
        <v>0</v>
      </c>
      <c r="AV42" s="161">
        <v>0.98399999999999999</v>
      </c>
      <c r="AW42" s="17">
        <v>0</v>
      </c>
      <c r="AY42" s="160" t="s">
        <v>34</v>
      </c>
      <c r="AZ42" s="170">
        <v>42501</v>
      </c>
      <c r="BA42" s="9" t="s">
        <v>220</v>
      </c>
      <c r="BB42" s="170">
        <v>47249</v>
      </c>
      <c r="BC42" s="9" t="s">
        <v>93</v>
      </c>
      <c r="BD42" s="9">
        <v>0</v>
      </c>
      <c r="BE42" s="9">
        <v>0</v>
      </c>
      <c r="BF42" s="161">
        <v>0.52539541499999998</v>
      </c>
      <c r="BG42" s="17">
        <v>0</v>
      </c>
    </row>
    <row r="43" spans="1:59" x14ac:dyDescent="0.2">
      <c r="A43" s="160" t="s">
        <v>34</v>
      </c>
      <c r="B43" s="170">
        <v>42501</v>
      </c>
      <c r="C43" s="9" t="s">
        <v>178</v>
      </c>
      <c r="D43" s="170">
        <v>12915</v>
      </c>
      <c r="E43" s="9" t="s">
        <v>99</v>
      </c>
      <c r="F43" s="9">
        <v>0</v>
      </c>
      <c r="G43" s="9">
        <v>0</v>
      </c>
      <c r="H43" s="161">
        <v>0.92562932600000003</v>
      </c>
      <c r="I43" s="17">
        <v>0</v>
      </c>
      <c r="K43" s="160" t="s">
        <v>34</v>
      </c>
      <c r="L43" s="170">
        <v>42501</v>
      </c>
      <c r="M43" s="9" t="s">
        <v>180</v>
      </c>
      <c r="N43" s="170">
        <v>14742</v>
      </c>
      <c r="O43" s="9" t="s">
        <v>104</v>
      </c>
      <c r="P43" s="9">
        <v>0</v>
      </c>
      <c r="Q43" s="9">
        <v>0</v>
      </c>
      <c r="R43" s="161">
        <v>1.0618290260000001</v>
      </c>
      <c r="S43" s="17">
        <v>0</v>
      </c>
      <c r="U43" s="160" t="s">
        <v>34</v>
      </c>
      <c r="V43" s="170">
        <v>42501</v>
      </c>
      <c r="W43" s="9" t="s">
        <v>180</v>
      </c>
      <c r="X43" s="170">
        <v>11455</v>
      </c>
      <c r="Y43" s="9" t="s">
        <v>95</v>
      </c>
      <c r="Z43" s="9">
        <v>0</v>
      </c>
      <c r="AA43" s="9">
        <v>0</v>
      </c>
      <c r="AB43" s="161">
        <v>0.88400000000000001</v>
      </c>
      <c r="AC43" s="17">
        <v>0</v>
      </c>
      <c r="AE43" s="160" t="s">
        <v>34</v>
      </c>
      <c r="AF43" s="170">
        <v>42501</v>
      </c>
      <c r="AG43" s="9" t="s">
        <v>224</v>
      </c>
      <c r="AH43" s="170">
        <v>13646</v>
      </c>
      <c r="AI43" s="9" t="s">
        <v>101</v>
      </c>
      <c r="AJ43" s="9">
        <v>0</v>
      </c>
      <c r="AK43" s="9">
        <v>0</v>
      </c>
      <c r="AL43" s="161">
        <v>0.85787116500000005</v>
      </c>
      <c r="AM43" s="17">
        <v>0</v>
      </c>
      <c r="AO43" s="160" t="s">
        <v>34</v>
      </c>
      <c r="AP43" s="170">
        <v>42501</v>
      </c>
      <c r="AQ43" s="9" t="s">
        <v>218</v>
      </c>
      <c r="AR43" s="170">
        <v>11820</v>
      </c>
      <c r="AS43" s="9" t="s">
        <v>96</v>
      </c>
      <c r="AT43" s="9">
        <v>0</v>
      </c>
      <c r="AU43" s="9">
        <v>0</v>
      </c>
      <c r="AV43" s="161">
        <v>1.0226478080000001</v>
      </c>
      <c r="AW43" s="17">
        <v>0</v>
      </c>
      <c r="AY43" s="160" t="s">
        <v>34</v>
      </c>
      <c r="AZ43" s="170">
        <v>42501</v>
      </c>
      <c r="BA43" s="9" t="s">
        <v>220</v>
      </c>
      <c r="BB43" s="170">
        <v>11091</v>
      </c>
      <c r="BC43" s="9" t="s">
        <v>94</v>
      </c>
      <c r="BD43" s="9">
        <v>0</v>
      </c>
      <c r="BE43" s="9">
        <v>0</v>
      </c>
      <c r="BF43" s="161">
        <v>0.59368125500000002</v>
      </c>
      <c r="BG43" s="17">
        <v>0</v>
      </c>
    </row>
    <row r="44" spans="1:59" x14ac:dyDescent="0.2">
      <c r="A44" s="160" t="s">
        <v>34</v>
      </c>
      <c r="B44" s="170">
        <v>42501</v>
      </c>
      <c r="C44" s="9" t="s">
        <v>178</v>
      </c>
      <c r="D44" s="170">
        <v>13282</v>
      </c>
      <c r="E44" s="9" t="s">
        <v>100</v>
      </c>
      <c r="F44" s="9">
        <v>0</v>
      </c>
      <c r="G44" s="9">
        <v>0</v>
      </c>
      <c r="H44" s="161">
        <v>0.94599999999999995</v>
      </c>
      <c r="I44" s="17">
        <v>0</v>
      </c>
      <c r="K44" s="160" t="s">
        <v>34</v>
      </c>
      <c r="L44" s="170">
        <v>42501</v>
      </c>
      <c r="M44" s="9" t="s">
        <v>180</v>
      </c>
      <c r="N44" s="170">
        <v>15109</v>
      </c>
      <c r="O44" s="9" t="s">
        <v>105</v>
      </c>
      <c r="P44" s="9">
        <v>0</v>
      </c>
      <c r="Q44" s="9">
        <v>0</v>
      </c>
      <c r="R44" s="161">
        <v>1.0649999999999999</v>
      </c>
      <c r="S44" s="17">
        <v>0</v>
      </c>
      <c r="U44" s="160" t="s">
        <v>34</v>
      </c>
      <c r="V44" s="170">
        <v>42501</v>
      </c>
      <c r="W44" s="9" t="s">
        <v>180</v>
      </c>
      <c r="X44" s="170">
        <v>11820</v>
      </c>
      <c r="Y44" s="9" t="s">
        <v>96</v>
      </c>
      <c r="Z44" s="9">
        <v>0</v>
      </c>
      <c r="AA44" s="9">
        <v>0</v>
      </c>
      <c r="AB44" s="161">
        <v>0.92684162599999997</v>
      </c>
      <c r="AC44" s="17">
        <v>0</v>
      </c>
      <c r="AE44" s="160" t="s">
        <v>34</v>
      </c>
      <c r="AF44" s="170">
        <v>42501</v>
      </c>
      <c r="AG44" s="9" t="s">
        <v>224</v>
      </c>
      <c r="AH44" s="170">
        <v>14011</v>
      </c>
      <c r="AI44" s="9" t="s">
        <v>102</v>
      </c>
      <c r="AJ44" s="9">
        <v>0</v>
      </c>
      <c r="AK44" s="9">
        <v>0</v>
      </c>
      <c r="AL44" s="161">
        <v>0.87342060799999999</v>
      </c>
      <c r="AM44" s="17">
        <v>0</v>
      </c>
      <c r="AO44" s="160" t="s">
        <v>34</v>
      </c>
      <c r="AP44" s="170">
        <v>42501</v>
      </c>
      <c r="AQ44" s="9" t="s">
        <v>218</v>
      </c>
      <c r="AR44" s="170">
        <v>12185</v>
      </c>
      <c r="AS44" s="9" t="s">
        <v>97</v>
      </c>
      <c r="AT44" s="9">
        <v>0</v>
      </c>
      <c r="AU44" s="9">
        <v>0</v>
      </c>
      <c r="AV44" s="161">
        <v>1.0534943219999999</v>
      </c>
      <c r="AW44" s="17">
        <v>0</v>
      </c>
      <c r="AY44" s="160" t="s">
        <v>34</v>
      </c>
      <c r="AZ44" s="170">
        <v>42501</v>
      </c>
      <c r="BA44" s="9" t="s">
        <v>220</v>
      </c>
      <c r="BB44" s="170">
        <v>11455</v>
      </c>
      <c r="BC44" s="9" t="s">
        <v>95</v>
      </c>
      <c r="BD44" s="9">
        <v>0</v>
      </c>
      <c r="BE44" s="9">
        <v>0</v>
      </c>
      <c r="BF44" s="161">
        <v>0.65200000000000002</v>
      </c>
      <c r="BG44" s="17">
        <v>0</v>
      </c>
    </row>
    <row r="45" spans="1:59" x14ac:dyDescent="0.2">
      <c r="A45" s="160" t="s">
        <v>34</v>
      </c>
      <c r="B45" s="170">
        <v>42501</v>
      </c>
      <c r="C45" s="9" t="s">
        <v>178</v>
      </c>
      <c r="D45" s="170">
        <v>13646</v>
      </c>
      <c r="E45" s="9" t="s">
        <v>101</v>
      </c>
      <c r="F45" s="9">
        <v>0</v>
      </c>
      <c r="G45" s="9">
        <v>0</v>
      </c>
      <c r="H45" s="161">
        <v>0.96228138399999996</v>
      </c>
      <c r="I45" s="17">
        <v>0</v>
      </c>
      <c r="K45" s="160" t="s">
        <v>34</v>
      </c>
      <c r="L45" s="170">
        <v>42501</v>
      </c>
      <c r="M45" s="9" t="s">
        <v>180</v>
      </c>
      <c r="N45" s="170">
        <v>15473</v>
      </c>
      <c r="O45" s="9" t="s">
        <v>106</v>
      </c>
      <c r="P45" s="9">
        <v>0</v>
      </c>
      <c r="Q45" s="9">
        <v>0</v>
      </c>
      <c r="R45" s="161">
        <v>1.0668286499999999</v>
      </c>
      <c r="S45" s="17">
        <v>0</v>
      </c>
      <c r="U45" s="160" t="s">
        <v>34</v>
      </c>
      <c r="V45" s="170">
        <v>42501</v>
      </c>
      <c r="W45" s="9" t="s">
        <v>180</v>
      </c>
      <c r="X45" s="170">
        <v>12185</v>
      </c>
      <c r="Y45" s="9" t="s">
        <v>97</v>
      </c>
      <c r="Z45" s="9">
        <v>0</v>
      </c>
      <c r="AA45" s="9">
        <v>0</v>
      </c>
      <c r="AB45" s="161">
        <v>0.96126716999999995</v>
      </c>
      <c r="AC45" s="17">
        <v>0</v>
      </c>
      <c r="AE45" s="160" t="s">
        <v>34</v>
      </c>
      <c r="AF45" s="170">
        <v>42501</v>
      </c>
      <c r="AG45" s="9" t="s">
        <v>224</v>
      </c>
      <c r="AH45" s="170">
        <v>14376</v>
      </c>
      <c r="AI45" s="9" t="s">
        <v>103</v>
      </c>
      <c r="AJ45" s="9">
        <v>0</v>
      </c>
      <c r="AK45" s="9">
        <v>0</v>
      </c>
      <c r="AL45" s="161">
        <v>0.88600224299999997</v>
      </c>
      <c r="AM45" s="17">
        <v>0</v>
      </c>
      <c r="AO45" s="160" t="s">
        <v>34</v>
      </c>
      <c r="AP45" s="170">
        <v>42501</v>
      </c>
      <c r="AQ45" s="9" t="s">
        <v>218</v>
      </c>
      <c r="AR45" s="170">
        <v>12550</v>
      </c>
      <c r="AS45" s="9" t="s">
        <v>98</v>
      </c>
      <c r="AT45" s="9">
        <v>0</v>
      </c>
      <c r="AU45" s="9">
        <v>0</v>
      </c>
      <c r="AV45" s="161">
        <v>1.077778433</v>
      </c>
      <c r="AW45" s="17">
        <v>0</v>
      </c>
      <c r="AY45" s="160" t="s">
        <v>34</v>
      </c>
      <c r="AZ45" s="170">
        <v>42501</v>
      </c>
      <c r="BA45" s="9" t="s">
        <v>220</v>
      </c>
      <c r="BB45" s="170">
        <v>11820</v>
      </c>
      <c r="BC45" s="9" t="s">
        <v>96</v>
      </c>
      <c r="BD45" s="9">
        <v>0</v>
      </c>
      <c r="BE45" s="9">
        <v>0</v>
      </c>
      <c r="BF45" s="161">
        <v>0.70129927000000003</v>
      </c>
      <c r="BG45" s="17">
        <v>0</v>
      </c>
    </row>
    <row r="46" spans="1:59" x14ac:dyDescent="0.2">
      <c r="A46" s="160" t="s">
        <v>34</v>
      </c>
      <c r="B46" s="170">
        <v>42501</v>
      </c>
      <c r="C46" s="9" t="s">
        <v>178</v>
      </c>
      <c r="D46" s="170">
        <v>14011</v>
      </c>
      <c r="E46" s="9" t="s">
        <v>102</v>
      </c>
      <c r="F46" s="9">
        <v>0</v>
      </c>
      <c r="G46" s="9">
        <v>0</v>
      </c>
      <c r="H46" s="161">
        <v>0.97537130400000005</v>
      </c>
      <c r="I46" s="17">
        <v>0</v>
      </c>
      <c r="K46" s="160" t="s">
        <v>34</v>
      </c>
      <c r="L46" s="170">
        <v>42501</v>
      </c>
      <c r="M46" s="9" t="s">
        <v>180</v>
      </c>
      <c r="N46" s="170">
        <v>15837</v>
      </c>
      <c r="O46" s="9" t="s">
        <v>107</v>
      </c>
      <c r="P46" s="9">
        <v>0</v>
      </c>
      <c r="Q46" s="9">
        <v>0</v>
      </c>
      <c r="R46" s="161">
        <v>1.0676107800000001</v>
      </c>
      <c r="S46" s="17">
        <v>0</v>
      </c>
      <c r="U46" s="160" t="s">
        <v>34</v>
      </c>
      <c r="V46" s="170">
        <v>42501</v>
      </c>
      <c r="W46" s="9" t="s">
        <v>180</v>
      </c>
      <c r="X46" s="170">
        <v>12550</v>
      </c>
      <c r="Y46" s="9" t="s">
        <v>98</v>
      </c>
      <c r="Z46" s="9">
        <v>0</v>
      </c>
      <c r="AA46" s="9">
        <v>0</v>
      </c>
      <c r="AB46" s="161">
        <v>0.98862792899999996</v>
      </c>
      <c r="AC46" s="17">
        <v>0</v>
      </c>
      <c r="AE46" s="160" t="s">
        <v>34</v>
      </c>
      <c r="AF46" s="170">
        <v>42501</v>
      </c>
      <c r="AG46" s="9" t="s">
        <v>224</v>
      </c>
      <c r="AH46" s="170">
        <v>14742</v>
      </c>
      <c r="AI46" s="9" t="s">
        <v>104</v>
      </c>
      <c r="AJ46" s="9">
        <v>0</v>
      </c>
      <c r="AK46" s="9">
        <v>0</v>
      </c>
      <c r="AL46" s="161">
        <v>0.896130168</v>
      </c>
      <c r="AM46" s="17">
        <v>0</v>
      </c>
      <c r="AO46" s="160" t="s">
        <v>34</v>
      </c>
      <c r="AP46" s="170">
        <v>42501</v>
      </c>
      <c r="AQ46" s="9" t="s">
        <v>218</v>
      </c>
      <c r="AR46" s="170">
        <v>12915</v>
      </c>
      <c r="AS46" s="9" t="s">
        <v>99</v>
      </c>
      <c r="AT46" s="9">
        <v>0</v>
      </c>
      <c r="AU46" s="9">
        <v>0</v>
      </c>
      <c r="AV46" s="161">
        <v>1.096541754</v>
      </c>
      <c r="AW46" s="17">
        <v>0</v>
      </c>
      <c r="AY46" s="160" t="s">
        <v>34</v>
      </c>
      <c r="AZ46" s="170">
        <v>42501</v>
      </c>
      <c r="BA46" s="9" t="s">
        <v>220</v>
      </c>
      <c r="BB46" s="170">
        <v>12185</v>
      </c>
      <c r="BC46" s="9" t="s">
        <v>97</v>
      </c>
      <c r="BD46" s="9">
        <v>0</v>
      </c>
      <c r="BE46" s="9">
        <v>0</v>
      </c>
      <c r="BF46" s="161">
        <v>0.74235390099999998</v>
      </c>
      <c r="BG46" s="17">
        <v>0</v>
      </c>
    </row>
    <row r="47" spans="1:59" x14ac:dyDescent="0.2">
      <c r="A47" s="160" t="s">
        <v>34</v>
      </c>
      <c r="B47" s="170">
        <v>42501</v>
      </c>
      <c r="C47" s="9" t="s">
        <v>178</v>
      </c>
      <c r="D47" s="170">
        <v>14376</v>
      </c>
      <c r="E47" s="9" t="s">
        <v>103</v>
      </c>
      <c r="F47" s="9">
        <v>0</v>
      </c>
      <c r="G47" s="9">
        <v>0</v>
      </c>
      <c r="H47" s="161">
        <v>0.98549205500000003</v>
      </c>
      <c r="I47" s="17">
        <v>0</v>
      </c>
      <c r="K47" s="160" t="s">
        <v>34</v>
      </c>
      <c r="L47" s="170">
        <v>42501</v>
      </c>
      <c r="M47" s="9" t="s">
        <v>180</v>
      </c>
      <c r="N47" s="170">
        <v>16203</v>
      </c>
      <c r="O47" s="9" t="s">
        <v>108</v>
      </c>
      <c r="P47" s="9">
        <v>0</v>
      </c>
      <c r="Q47" s="9">
        <v>0</v>
      </c>
      <c r="R47" s="161">
        <v>1.0676590459999999</v>
      </c>
      <c r="S47" s="17">
        <v>0</v>
      </c>
      <c r="U47" s="160" t="s">
        <v>34</v>
      </c>
      <c r="V47" s="170">
        <v>42501</v>
      </c>
      <c r="W47" s="9" t="s">
        <v>180</v>
      </c>
      <c r="X47" s="170">
        <v>12915</v>
      </c>
      <c r="Y47" s="9" t="s">
        <v>99</v>
      </c>
      <c r="Z47" s="9">
        <v>0</v>
      </c>
      <c r="AA47" s="9">
        <v>0</v>
      </c>
      <c r="AB47" s="161">
        <v>1.0100916369999999</v>
      </c>
      <c r="AC47" s="17">
        <v>0</v>
      </c>
      <c r="AE47" s="160" t="s">
        <v>34</v>
      </c>
      <c r="AF47" s="170">
        <v>42501</v>
      </c>
      <c r="AG47" s="9" t="s">
        <v>224</v>
      </c>
      <c r="AH47" s="170">
        <v>15109</v>
      </c>
      <c r="AI47" s="9" t="s">
        <v>105</v>
      </c>
      <c r="AJ47" s="9">
        <v>0</v>
      </c>
      <c r="AK47" s="9">
        <v>0</v>
      </c>
      <c r="AL47" s="161">
        <v>0.90400000000000003</v>
      </c>
      <c r="AM47" s="17">
        <v>0</v>
      </c>
      <c r="AO47" s="160" t="s">
        <v>34</v>
      </c>
      <c r="AP47" s="170">
        <v>42501</v>
      </c>
      <c r="AQ47" s="9" t="s">
        <v>218</v>
      </c>
      <c r="AR47" s="170">
        <v>13282</v>
      </c>
      <c r="AS47" s="9" t="s">
        <v>100</v>
      </c>
      <c r="AT47" s="9">
        <v>0</v>
      </c>
      <c r="AU47" s="9">
        <v>0</v>
      </c>
      <c r="AV47" s="161">
        <v>1.111</v>
      </c>
      <c r="AW47" s="17">
        <v>0</v>
      </c>
      <c r="AY47" s="160" t="s">
        <v>34</v>
      </c>
      <c r="AZ47" s="170">
        <v>42501</v>
      </c>
      <c r="BA47" s="9" t="s">
        <v>220</v>
      </c>
      <c r="BB47" s="170">
        <v>12550</v>
      </c>
      <c r="BC47" s="9" t="s">
        <v>98</v>
      </c>
      <c r="BD47" s="9">
        <v>0</v>
      </c>
      <c r="BE47" s="9">
        <v>0</v>
      </c>
      <c r="BF47" s="161">
        <v>0.77626347500000004</v>
      </c>
      <c r="BG47" s="17">
        <v>0</v>
      </c>
    </row>
    <row r="48" spans="1:59" x14ac:dyDescent="0.2">
      <c r="A48" s="160" t="s">
        <v>34</v>
      </c>
      <c r="B48" s="170">
        <v>42501</v>
      </c>
      <c r="C48" s="9" t="s">
        <v>178</v>
      </c>
      <c r="D48" s="170">
        <v>14742</v>
      </c>
      <c r="E48" s="9" t="s">
        <v>104</v>
      </c>
      <c r="F48" s="9">
        <v>0</v>
      </c>
      <c r="G48" s="9">
        <v>0</v>
      </c>
      <c r="H48" s="161">
        <v>0.99302257699999996</v>
      </c>
      <c r="I48" s="17">
        <v>0</v>
      </c>
      <c r="K48" s="160" t="s">
        <v>34</v>
      </c>
      <c r="L48" s="170">
        <v>42501</v>
      </c>
      <c r="M48" s="9" t="s">
        <v>180</v>
      </c>
      <c r="N48" s="170">
        <v>16568</v>
      </c>
      <c r="O48" s="9" t="s">
        <v>109</v>
      </c>
      <c r="P48" s="9">
        <v>0</v>
      </c>
      <c r="Q48" s="9">
        <v>0</v>
      </c>
      <c r="R48" s="161">
        <v>1.0670168609999999</v>
      </c>
      <c r="S48" s="17">
        <v>0</v>
      </c>
      <c r="U48" s="160" t="s">
        <v>34</v>
      </c>
      <c r="V48" s="170">
        <v>42501</v>
      </c>
      <c r="W48" s="9" t="s">
        <v>180</v>
      </c>
      <c r="X48" s="170">
        <v>13282</v>
      </c>
      <c r="Y48" s="9" t="s">
        <v>100</v>
      </c>
      <c r="Z48" s="9">
        <v>0</v>
      </c>
      <c r="AA48" s="9">
        <v>0</v>
      </c>
      <c r="AB48" s="161">
        <v>1.0269999999999999</v>
      </c>
      <c r="AC48" s="17">
        <v>0</v>
      </c>
      <c r="AE48" s="160" t="s">
        <v>34</v>
      </c>
      <c r="AF48" s="170">
        <v>42501</v>
      </c>
      <c r="AG48" s="9" t="s">
        <v>224</v>
      </c>
      <c r="AH48" s="170">
        <v>15473</v>
      </c>
      <c r="AI48" s="9" t="s">
        <v>106</v>
      </c>
      <c r="AJ48" s="9">
        <v>0</v>
      </c>
      <c r="AK48" s="9">
        <v>0</v>
      </c>
      <c r="AL48" s="161">
        <v>0.91001730400000003</v>
      </c>
      <c r="AM48" s="17">
        <v>0</v>
      </c>
      <c r="AO48" s="160" t="s">
        <v>34</v>
      </c>
      <c r="AP48" s="170">
        <v>42501</v>
      </c>
      <c r="AQ48" s="9" t="s">
        <v>218</v>
      </c>
      <c r="AR48" s="170">
        <v>13646</v>
      </c>
      <c r="AS48" s="9" t="s">
        <v>101</v>
      </c>
      <c r="AT48" s="9">
        <v>0</v>
      </c>
      <c r="AU48" s="9">
        <v>0</v>
      </c>
      <c r="AV48" s="161">
        <v>1.1216145369999999</v>
      </c>
      <c r="AW48" s="17">
        <v>0</v>
      </c>
      <c r="AY48" s="160" t="s">
        <v>34</v>
      </c>
      <c r="AZ48" s="170">
        <v>42501</v>
      </c>
      <c r="BA48" s="9" t="s">
        <v>220</v>
      </c>
      <c r="BB48" s="170">
        <v>12915</v>
      </c>
      <c r="BC48" s="9" t="s">
        <v>99</v>
      </c>
      <c r="BD48" s="9">
        <v>0</v>
      </c>
      <c r="BE48" s="9">
        <v>0</v>
      </c>
      <c r="BF48" s="161">
        <v>0.80409486900000005</v>
      </c>
      <c r="BG48" s="17">
        <v>0</v>
      </c>
    </row>
    <row r="49" spans="1:59" x14ac:dyDescent="0.2">
      <c r="A49" s="160" t="s">
        <v>34</v>
      </c>
      <c r="B49" s="170">
        <v>42501</v>
      </c>
      <c r="C49" s="9" t="s">
        <v>178</v>
      </c>
      <c r="D49" s="170">
        <v>15109</v>
      </c>
      <c r="E49" s="9" t="s">
        <v>105</v>
      </c>
      <c r="F49" s="9">
        <v>0</v>
      </c>
      <c r="G49" s="9">
        <v>0</v>
      </c>
      <c r="H49" s="161">
        <v>0.998</v>
      </c>
      <c r="I49" s="17">
        <v>0</v>
      </c>
      <c r="K49" s="160" t="s">
        <v>34</v>
      </c>
      <c r="L49" s="170">
        <v>42501</v>
      </c>
      <c r="M49" s="9" t="s">
        <v>180</v>
      </c>
      <c r="N49" s="170">
        <v>16933</v>
      </c>
      <c r="O49" s="9" t="s">
        <v>110</v>
      </c>
      <c r="P49" s="9">
        <v>0</v>
      </c>
      <c r="Q49" s="9">
        <v>0</v>
      </c>
      <c r="R49" s="161">
        <v>1.0660000000000001</v>
      </c>
      <c r="S49" s="17">
        <v>0</v>
      </c>
      <c r="U49" s="160" t="s">
        <v>34</v>
      </c>
      <c r="V49" s="170">
        <v>42501</v>
      </c>
      <c r="W49" s="9" t="s">
        <v>180</v>
      </c>
      <c r="X49" s="170">
        <v>13646</v>
      </c>
      <c r="Y49" s="9" t="s">
        <v>101</v>
      </c>
      <c r="Z49" s="9">
        <v>0</v>
      </c>
      <c r="AA49" s="9">
        <v>0</v>
      </c>
      <c r="AB49" s="161">
        <v>1.039902866</v>
      </c>
      <c r="AC49" s="17">
        <v>0</v>
      </c>
      <c r="AE49" s="160" t="s">
        <v>34</v>
      </c>
      <c r="AF49" s="170">
        <v>42501</v>
      </c>
      <c r="AG49" s="9" t="s">
        <v>224</v>
      </c>
      <c r="AH49" s="170">
        <v>15837</v>
      </c>
      <c r="AI49" s="9" t="s">
        <v>107</v>
      </c>
      <c r="AJ49" s="9">
        <v>0</v>
      </c>
      <c r="AK49" s="9">
        <v>0</v>
      </c>
      <c r="AL49" s="161">
        <v>0.91459161200000005</v>
      </c>
      <c r="AM49" s="17">
        <v>0</v>
      </c>
      <c r="AO49" s="160" t="s">
        <v>34</v>
      </c>
      <c r="AP49" s="170">
        <v>42501</v>
      </c>
      <c r="AQ49" s="9" t="s">
        <v>218</v>
      </c>
      <c r="AR49" s="170">
        <v>14011</v>
      </c>
      <c r="AS49" s="9" t="s">
        <v>102</v>
      </c>
      <c r="AT49" s="9">
        <v>0</v>
      </c>
      <c r="AU49" s="9">
        <v>0</v>
      </c>
      <c r="AV49" s="161">
        <v>1.1292468929999999</v>
      </c>
      <c r="AW49" s="17">
        <v>0</v>
      </c>
      <c r="AY49" s="160" t="s">
        <v>34</v>
      </c>
      <c r="AZ49" s="170">
        <v>42501</v>
      </c>
      <c r="BA49" s="9" t="s">
        <v>220</v>
      </c>
      <c r="BB49" s="170">
        <v>13282</v>
      </c>
      <c r="BC49" s="9" t="s">
        <v>100</v>
      </c>
      <c r="BD49" s="9">
        <v>0</v>
      </c>
      <c r="BE49" s="9">
        <v>0</v>
      </c>
      <c r="BF49" s="161">
        <v>0.82699999999999996</v>
      </c>
      <c r="BG49" s="17">
        <v>0</v>
      </c>
    </row>
    <row r="50" spans="1:59" x14ac:dyDescent="0.2">
      <c r="A50" s="160" t="s">
        <v>34</v>
      </c>
      <c r="B50" s="170">
        <v>42501</v>
      </c>
      <c r="C50" s="9" t="s">
        <v>178</v>
      </c>
      <c r="D50" s="170">
        <v>15473</v>
      </c>
      <c r="E50" s="9" t="s">
        <v>106</v>
      </c>
      <c r="F50" s="9">
        <v>0</v>
      </c>
      <c r="G50" s="9">
        <v>0</v>
      </c>
      <c r="H50" s="161">
        <v>1.0012679499999999</v>
      </c>
      <c r="I50" s="17">
        <v>0</v>
      </c>
      <c r="K50" s="160" t="s">
        <v>34</v>
      </c>
      <c r="L50" s="170">
        <v>42501</v>
      </c>
      <c r="M50" s="9" t="s">
        <v>180</v>
      </c>
      <c r="N50" s="170">
        <v>17300</v>
      </c>
      <c r="O50" s="9" t="s">
        <v>111</v>
      </c>
      <c r="P50" s="9">
        <v>0</v>
      </c>
      <c r="Q50" s="9">
        <v>0</v>
      </c>
      <c r="R50" s="161">
        <v>1.0647803600000001</v>
      </c>
      <c r="S50" s="17">
        <v>0</v>
      </c>
      <c r="U50" s="160" t="s">
        <v>34</v>
      </c>
      <c r="V50" s="170">
        <v>42501</v>
      </c>
      <c r="W50" s="9" t="s">
        <v>180</v>
      </c>
      <c r="X50" s="170">
        <v>14011</v>
      </c>
      <c r="Y50" s="9" t="s">
        <v>102</v>
      </c>
      <c r="Z50" s="9">
        <v>0</v>
      </c>
      <c r="AA50" s="9">
        <v>0</v>
      </c>
      <c r="AB50" s="161">
        <v>1.0496907170000001</v>
      </c>
      <c r="AC50" s="17">
        <v>0</v>
      </c>
      <c r="AE50" s="160" t="s">
        <v>34</v>
      </c>
      <c r="AF50" s="170">
        <v>42501</v>
      </c>
      <c r="AG50" s="9" t="s">
        <v>224</v>
      </c>
      <c r="AH50" s="170">
        <v>16203</v>
      </c>
      <c r="AI50" s="9" t="s">
        <v>108</v>
      </c>
      <c r="AJ50" s="9">
        <v>0</v>
      </c>
      <c r="AK50" s="9">
        <v>0</v>
      </c>
      <c r="AL50" s="161">
        <v>0.91814209700000005</v>
      </c>
      <c r="AM50" s="17">
        <v>0</v>
      </c>
      <c r="AO50" s="160" t="s">
        <v>34</v>
      </c>
      <c r="AP50" s="170">
        <v>42501</v>
      </c>
      <c r="AQ50" s="9" t="s">
        <v>218</v>
      </c>
      <c r="AR50" s="170">
        <v>14376</v>
      </c>
      <c r="AS50" s="9" t="s">
        <v>103</v>
      </c>
      <c r="AT50" s="9">
        <v>0</v>
      </c>
      <c r="AU50" s="9">
        <v>0</v>
      </c>
      <c r="AV50" s="161">
        <v>1.1343520380000001</v>
      </c>
      <c r="AW50" s="17">
        <v>0</v>
      </c>
      <c r="AY50" s="160" t="s">
        <v>34</v>
      </c>
      <c r="AZ50" s="170">
        <v>42501</v>
      </c>
      <c r="BA50" s="9" t="s">
        <v>220</v>
      </c>
      <c r="BB50" s="170">
        <v>13646</v>
      </c>
      <c r="BC50" s="9" t="s">
        <v>101</v>
      </c>
      <c r="BD50" s="9">
        <v>0</v>
      </c>
      <c r="BE50" s="9">
        <v>0</v>
      </c>
      <c r="BF50" s="161">
        <v>0.84561481100000002</v>
      </c>
      <c r="BG50" s="17">
        <v>0</v>
      </c>
    </row>
    <row r="51" spans="1:59" x14ac:dyDescent="0.2">
      <c r="A51" s="160" t="s">
        <v>34</v>
      </c>
      <c r="B51" s="170">
        <v>42501</v>
      </c>
      <c r="C51" s="9" t="s">
        <v>178</v>
      </c>
      <c r="D51" s="170">
        <v>15837</v>
      </c>
      <c r="E51" s="9" t="s">
        <v>107</v>
      </c>
      <c r="F51" s="9">
        <v>0</v>
      </c>
      <c r="G51" s="9">
        <v>0</v>
      </c>
      <c r="H51" s="161">
        <v>1.0036050700000001</v>
      </c>
      <c r="I51" s="17">
        <v>0</v>
      </c>
      <c r="K51" s="160" t="s">
        <v>34</v>
      </c>
      <c r="L51" s="170">
        <v>42501</v>
      </c>
      <c r="M51" s="9" t="s">
        <v>180</v>
      </c>
      <c r="N51" s="170">
        <v>17664</v>
      </c>
      <c r="O51" s="9" t="s">
        <v>112</v>
      </c>
      <c r="P51" s="9">
        <v>0</v>
      </c>
      <c r="Q51" s="9">
        <v>0</v>
      </c>
      <c r="R51" s="161">
        <v>1.0634725439999999</v>
      </c>
      <c r="S51" s="17">
        <v>0</v>
      </c>
      <c r="U51" s="160" t="s">
        <v>34</v>
      </c>
      <c r="V51" s="170">
        <v>42501</v>
      </c>
      <c r="W51" s="9" t="s">
        <v>180</v>
      </c>
      <c r="X51" s="170">
        <v>14376</v>
      </c>
      <c r="Y51" s="9" t="s">
        <v>103</v>
      </c>
      <c r="Z51" s="9">
        <v>0</v>
      </c>
      <c r="AA51" s="9">
        <v>0</v>
      </c>
      <c r="AB51" s="161">
        <v>1.056804002</v>
      </c>
      <c r="AC51" s="17">
        <v>0</v>
      </c>
      <c r="AE51" s="160" t="s">
        <v>34</v>
      </c>
      <c r="AF51" s="170">
        <v>42501</v>
      </c>
      <c r="AG51" s="9" t="s">
        <v>224</v>
      </c>
      <c r="AH51" s="170">
        <v>16568</v>
      </c>
      <c r="AI51" s="9" t="s">
        <v>109</v>
      </c>
      <c r="AJ51" s="9">
        <v>0</v>
      </c>
      <c r="AK51" s="9">
        <v>0</v>
      </c>
      <c r="AL51" s="161">
        <v>0.92080770599999995</v>
      </c>
      <c r="AM51" s="17">
        <v>0</v>
      </c>
      <c r="AO51" s="160" t="s">
        <v>34</v>
      </c>
      <c r="AP51" s="170">
        <v>42501</v>
      </c>
      <c r="AQ51" s="9" t="s">
        <v>218</v>
      </c>
      <c r="AR51" s="170">
        <v>14742</v>
      </c>
      <c r="AS51" s="9" t="s">
        <v>104</v>
      </c>
      <c r="AT51" s="9">
        <v>0</v>
      </c>
      <c r="AU51" s="9">
        <v>0</v>
      </c>
      <c r="AV51" s="161">
        <v>1.137527008</v>
      </c>
      <c r="AW51" s="17">
        <v>0</v>
      </c>
      <c r="AY51" s="160" t="s">
        <v>34</v>
      </c>
      <c r="AZ51" s="170">
        <v>42501</v>
      </c>
      <c r="BA51" s="9" t="s">
        <v>220</v>
      </c>
      <c r="BB51" s="170">
        <v>14011</v>
      </c>
      <c r="BC51" s="9" t="s">
        <v>102</v>
      </c>
      <c r="BD51" s="9">
        <v>0</v>
      </c>
      <c r="BE51" s="9">
        <v>0</v>
      </c>
      <c r="BF51" s="161">
        <v>0.86076496400000002</v>
      </c>
      <c r="BG51" s="17">
        <v>0</v>
      </c>
    </row>
    <row r="52" spans="1:59" x14ac:dyDescent="0.2">
      <c r="A52" s="160" t="s">
        <v>34</v>
      </c>
      <c r="B52" s="170">
        <v>42501</v>
      </c>
      <c r="C52" s="9" t="s">
        <v>178</v>
      </c>
      <c r="D52" s="170">
        <v>16203</v>
      </c>
      <c r="E52" s="9" t="s">
        <v>108</v>
      </c>
      <c r="F52" s="9">
        <v>0</v>
      </c>
      <c r="G52" s="9">
        <v>0</v>
      </c>
      <c r="H52" s="161">
        <v>1.0052911920000001</v>
      </c>
      <c r="I52" s="17">
        <v>0</v>
      </c>
      <c r="K52" s="160" t="s">
        <v>34</v>
      </c>
      <c r="L52" s="170">
        <v>42501</v>
      </c>
      <c r="M52" s="9" t="s">
        <v>180</v>
      </c>
      <c r="N52" s="170">
        <v>18029</v>
      </c>
      <c r="O52" s="9" t="s">
        <v>113</v>
      </c>
      <c r="P52" s="9">
        <v>0</v>
      </c>
      <c r="Q52" s="9">
        <v>0</v>
      </c>
      <c r="R52" s="161">
        <v>1.0618809279999999</v>
      </c>
      <c r="S52" s="17">
        <v>0</v>
      </c>
      <c r="U52" s="160" t="s">
        <v>34</v>
      </c>
      <c r="V52" s="170">
        <v>42501</v>
      </c>
      <c r="W52" s="9" t="s">
        <v>180</v>
      </c>
      <c r="X52" s="170">
        <v>14742</v>
      </c>
      <c r="Y52" s="9" t="s">
        <v>104</v>
      </c>
      <c r="Z52" s="9">
        <v>0</v>
      </c>
      <c r="AA52" s="9">
        <v>0</v>
      </c>
      <c r="AB52" s="161">
        <v>1.0618290260000001</v>
      </c>
      <c r="AC52" s="17">
        <v>0</v>
      </c>
      <c r="AE52" s="160" t="s">
        <v>34</v>
      </c>
      <c r="AF52" s="170">
        <v>42501</v>
      </c>
      <c r="AG52" s="9" t="s">
        <v>224</v>
      </c>
      <c r="AH52" s="170">
        <v>16933</v>
      </c>
      <c r="AI52" s="9" t="s">
        <v>110</v>
      </c>
      <c r="AJ52" s="9">
        <v>0</v>
      </c>
      <c r="AK52" s="9">
        <v>0</v>
      </c>
      <c r="AL52" s="161">
        <v>0.92300000000000004</v>
      </c>
      <c r="AM52" s="17">
        <v>0</v>
      </c>
      <c r="AO52" s="160" t="s">
        <v>34</v>
      </c>
      <c r="AP52" s="170">
        <v>42501</v>
      </c>
      <c r="AQ52" s="9" t="s">
        <v>218</v>
      </c>
      <c r="AR52" s="170">
        <v>15109</v>
      </c>
      <c r="AS52" s="9" t="s">
        <v>105</v>
      </c>
      <c r="AT52" s="9">
        <v>0</v>
      </c>
      <c r="AU52" s="9">
        <v>0</v>
      </c>
      <c r="AV52" s="161">
        <v>1.139</v>
      </c>
      <c r="AW52" s="17">
        <v>0</v>
      </c>
      <c r="AY52" s="160" t="s">
        <v>34</v>
      </c>
      <c r="AZ52" s="170">
        <v>42501</v>
      </c>
      <c r="BA52" s="9" t="s">
        <v>220</v>
      </c>
      <c r="BB52" s="170">
        <v>14376</v>
      </c>
      <c r="BC52" s="9" t="s">
        <v>103</v>
      </c>
      <c r="BD52" s="9">
        <v>0</v>
      </c>
      <c r="BE52" s="9">
        <v>0</v>
      </c>
      <c r="BF52" s="161">
        <v>0.87288417799999996</v>
      </c>
      <c r="BG52" s="17">
        <v>0</v>
      </c>
    </row>
    <row r="53" spans="1:59" x14ac:dyDescent="0.2">
      <c r="A53" s="160" t="s">
        <v>34</v>
      </c>
      <c r="B53" s="170">
        <v>42501</v>
      </c>
      <c r="C53" s="9" t="s">
        <v>178</v>
      </c>
      <c r="D53" s="170">
        <v>16568</v>
      </c>
      <c r="E53" s="9" t="s">
        <v>109</v>
      </c>
      <c r="F53" s="9">
        <v>0</v>
      </c>
      <c r="G53" s="9">
        <v>0</v>
      </c>
      <c r="H53" s="161">
        <v>1.0063302199999999</v>
      </c>
      <c r="I53" s="17">
        <v>0</v>
      </c>
      <c r="K53" s="160" t="s">
        <v>34</v>
      </c>
      <c r="L53" s="170">
        <v>42501</v>
      </c>
      <c r="M53" s="9" t="s">
        <v>180</v>
      </c>
      <c r="N53" s="170">
        <v>18394</v>
      </c>
      <c r="O53" s="9" t="s">
        <v>114</v>
      </c>
      <c r="P53" s="9">
        <v>0</v>
      </c>
      <c r="Q53" s="9">
        <v>0</v>
      </c>
      <c r="R53" s="161">
        <v>1.060064779</v>
      </c>
      <c r="S53" s="17">
        <v>0</v>
      </c>
      <c r="U53" s="160" t="s">
        <v>34</v>
      </c>
      <c r="V53" s="170">
        <v>42501</v>
      </c>
      <c r="W53" s="9" t="s">
        <v>180</v>
      </c>
      <c r="X53" s="170">
        <v>15109</v>
      </c>
      <c r="Y53" s="9" t="s">
        <v>105</v>
      </c>
      <c r="Z53" s="9">
        <v>0</v>
      </c>
      <c r="AA53" s="9">
        <v>0</v>
      </c>
      <c r="AB53" s="161">
        <v>1.0649999999999999</v>
      </c>
      <c r="AC53" s="17">
        <v>0</v>
      </c>
      <c r="AE53" s="160" t="s">
        <v>34</v>
      </c>
      <c r="AF53" s="170">
        <v>42501</v>
      </c>
      <c r="AG53" s="9" t="s">
        <v>224</v>
      </c>
      <c r="AH53" s="170">
        <v>17300</v>
      </c>
      <c r="AI53" s="9" t="s">
        <v>111</v>
      </c>
      <c r="AJ53" s="9">
        <v>0</v>
      </c>
      <c r="AK53" s="9">
        <v>0</v>
      </c>
      <c r="AL53" s="161">
        <v>0.92498086800000001</v>
      </c>
      <c r="AM53" s="17">
        <v>0</v>
      </c>
      <c r="AO53" s="160" t="s">
        <v>34</v>
      </c>
      <c r="AP53" s="170">
        <v>42501</v>
      </c>
      <c r="AQ53" s="9" t="s">
        <v>218</v>
      </c>
      <c r="AR53" s="170">
        <v>15473</v>
      </c>
      <c r="AS53" s="9" t="s">
        <v>106</v>
      </c>
      <c r="AT53" s="9">
        <v>0</v>
      </c>
      <c r="AU53" s="9">
        <v>0</v>
      </c>
      <c r="AV53" s="161">
        <v>1.139313778</v>
      </c>
      <c r="AW53" s="17">
        <v>0</v>
      </c>
      <c r="AY53" s="160" t="s">
        <v>34</v>
      </c>
      <c r="AZ53" s="170">
        <v>42501</v>
      </c>
      <c r="BA53" s="9" t="s">
        <v>220</v>
      </c>
      <c r="BB53" s="170">
        <v>14742</v>
      </c>
      <c r="BC53" s="9" t="s">
        <v>104</v>
      </c>
      <c r="BD53" s="9">
        <v>0</v>
      </c>
      <c r="BE53" s="9">
        <v>0</v>
      </c>
      <c r="BF53" s="161">
        <v>0.88247690999999995</v>
      </c>
      <c r="BG53" s="17">
        <v>0</v>
      </c>
    </row>
    <row r="54" spans="1:59" x14ac:dyDescent="0.2">
      <c r="A54" s="160" t="s">
        <v>34</v>
      </c>
      <c r="B54" s="170">
        <v>42501</v>
      </c>
      <c r="C54" s="9" t="s">
        <v>178</v>
      </c>
      <c r="D54" s="170">
        <v>16933</v>
      </c>
      <c r="E54" s="9" t="s">
        <v>110</v>
      </c>
      <c r="F54" s="9">
        <v>0</v>
      </c>
      <c r="G54" s="9">
        <v>0</v>
      </c>
      <c r="H54" s="161">
        <v>1.0069999999999999</v>
      </c>
      <c r="I54" s="17">
        <v>0</v>
      </c>
      <c r="K54" s="160" t="s">
        <v>34</v>
      </c>
      <c r="L54" s="170">
        <v>42501</v>
      </c>
      <c r="M54" s="9" t="s">
        <v>180</v>
      </c>
      <c r="N54" s="170">
        <v>18759</v>
      </c>
      <c r="O54" s="9" t="s">
        <v>149</v>
      </c>
      <c r="P54" s="9">
        <v>0</v>
      </c>
      <c r="Q54" s="9">
        <v>0</v>
      </c>
      <c r="R54" s="161">
        <v>1.0580000000000001</v>
      </c>
      <c r="S54" s="17">
        <v>0</v>
      </c>
      <c r="U54" s="160" t="s">
        <v>34</v>
      </c>
      <c r="V54" s="170">
        <v>42501</v>
      </c>
      <c r="W54" s="9" t="s">
        <v>180</v>
      </c>
      <c r="X54" s="170">
        <v>15473</v>
      </c>
      <c r="Y54" s="9" t="s">
        <v>106</v>
      </c>
      <c r="Z54" s="9">
        <v>0</v>
      </c>
      <c r="AA54" s="9">
        <v>0</v>
      </c>
      <c r="AB54" s="161">
        <v>1.0668286499999999</v>
      </c>
      <c r="AC54" s="17">
        <v>0</v>
      </c>
      <c r="AE54" s="160" t="s">
        <v>34</v>
      </c>
      <c r="AF54" s="170">
        <v>42501</v>
      </c>
      <c r="AG54" s="9" t="s">
        <v>224</v>
      </c>
      <c r="AH54" s="170">
        <v>17664</v>
      </c>
      <c r="AI54" s="9" t="s">
        <v>112</v>
      </c>
      <c r="AJ54" s="9">
        <v>0</v>
      </c>
      <c r="AK54" s="9">
        <v>0</v>
      </c>
      <c r="AL54" s="161">
        <v>0.92678120600000002</v>
      </c>
      <c r="AM54" s="17">
        <v>0</v>
      </c>
      <c r="AO54" s="160" t="s">
        <v>34</v>
      </c>
      <c r="AP54" s="170">
        <v>42501</v>
      </c>
      <c r="AQ54" s="9" t="s">
        <v>218</v>
      </c>
      <c r="AR54" s="170">
        <v>15837</v>
      </c>
      <c r="AS54" s="9" t="s">
        <v>107</v>
      </c>
      <c r="AT54" s="9">
        <v>0</v>
      </c>
      <c r="AU54" s="9">
        <v>0</v>
      </c>
      <c r="AV54" s="161">
        <v>1.138745272</v>
      </c>
      <c r="AW54" s="17">
        <v>0</v>
      </c>
      <c r="AY54" s="160" t="s">
        <v>34</v>
      </c>
      <c r="AZ54" s="170">
        <v>42501</v>
      </c>
      <c r="BA54" s="9" t="s">
        <v>220</v>
      </c>
      <c r="BB54" s="170">
        <v>15109</v>
      </c>
      <c r="BC54" s="9" t="s">
        <v>105</v>
      </c>
      <c r="BD54" s="9">
        <v>0</v>
      </c>
      <c r="BE54" s="9">
        <v>0</v>
      </c>
      <c r="BF54" s="161">
        <v>0.89</v>
      </c>
      <c r="BG54" s="17">
        <v>0</v>
      </c>
    </row>
    <row r="55" spans="1:59" x14ac:dyDescent="0.2">
      <c r="A55" s="160" t="s">
        <v>34</v>
      </c>
      <c r="B55" s="170">
        <v>42501</v>
      </c>
      <c r="C55" s="9" t="s">
        <v>178</v>
      </c>
      <c r="D55" s="170">
        <v>17300</v>
      </c>
      <c r="E55" s="9" t="s">
        <v>111</v>
      </c>
      <c r="F55" s="9">
        <v>0</v>
      </c>
      <c r="G55" s="9">
        <v>0</v>
      </c>
      <c r="H55" s="161">
        <v>1.007469186</v>
      </c>
      <c r="I55" s="17">
        <v>0</v>
      </c>
      <c r="K55" s="160" t="s">
        <v>34</v>
      </c>
      <c r="L55" s="170">
        <v>42501</v>
      </c>
      <c r="M55" s="9" t="s">
        <v>180</v>
      </c>
      <c r="N55" s="170">
        <v>19127</v>
      </c>
      <c r="O55" s="9" t="s">
        <v>150</v>
      </c>
      <c r="P55" s="9">
        <v>0</v>
      </c>
      <c r="Q55" s="9">
        <v>0</v>
      </c>
      <c r="R55" s="161">
        <v>1.055688626</v>
      </c>
      <c r="S55" s="17">
        <v>0</v>
      </c>
      <c r="U55" s="160" t="s">
        <v>34</v>
      </c>
      <c r="V55" s="170">
        <v>42501</v>
      </c>
      <c r="W55" s="9" t="s">
        <v>180</v>
      </c>
      <c r="X55" s="170">
        <v>15837</v>
      </c>
      <c r="Y55" s="9" t="s">
        <v>107</v>
      </c>
      <c r="Z55" s="9">
        <v>0</v>
      </c>
      <c r="AA55" s="9">
        <v>0</v>
      </c>
      <c r="AB55" s="161">
        <v>1.0676107800000001</v>
      </c>
      <c r="AC55" s="17">
        <v>0</v>
      </c>
      <c r="AE55" s="160" t="s">
        <v>34</v>
      </c>
      <c r="AF55" s="170">
        <v>42501</v>
      </c>
      <c r="AG55" s="9" t="s">
        <v>224</v>
      </c>
      <c r="AH55" s="170">
        <v>18029</v>
      </c>
      <c r="AI55" s="9" t="s">
        <v>113</v>
      </c>
      <c r="AJ55" s="9">
        <v>0</v>
      </c>
      <c r="AK55" s="9">
        <v>0</v>
      </c>
      <c r="AL55" s="161">
        <v>0.92820582699999998</v>
      </c>
      <c r="AM55" s="17">
        <v>0</v>
      </c>
      <c r="AO55" s="160" t="s">
        <v>34</v>
      </c>
      <c r="AP55" s="170">
        <v>42501</v>
      </c>
      <c r="AQ55" s="9" t="s">
        <v>218</v>
      </c>
      <c r="AR55" s="170">
        <v>16203</v>
      </c>
      <c r="AS55" s="9" t="s">
        <v>108</v>
      </c>
      <c r="AT55" s="9">
        <v>0</v>
      </c>
      <c r="AU55" s="9">
        <v>0</v>
      </c>
      <c r="AV55" s="161">
        <v>1.1376003189999999</v>
      </c>
      <c r="AW55" s="17">
        <v>0</v>
      </c>
      <c r="AY55" s="160" t="s">
        <v>34</v>
      </c>
      <c r="AZ55" s="170">
        <v>42501</v>
      </c>
      <c r="BA55" s="9" t="s">
        <v>220</v>
      </c>
      <c r="BB55" s="170">
        <v>15473</v>
      </c>
      <c r="BC55" s="9" t="s">
        <v>106</v>
      </c>
      <c r="BD55" s="9">
        <v>0</v>
      </c>
      <c r="BE55" s="9">
        <v>0</v>
      </c>
      <c r="BF55" s="161">
        <v>0.89582498700000002</v>
      </c>
      <c r="BG55" s="17">
        <v>0</v>
      </c>
    </row>
    <row r="56" spans="1:59" x14ac:dyDescent="0.2">
      <c r="A56" s="160" t="s">
        <v>34</v>
      </c>
      <c r="B56" s="170">
        <v>42501</v>
      </c>
      <c r="C56" s="9" t="s">
        <v>178</v>
      </c>
      <c r="D56" s="170">
        <v>17664</v>
      </c>
      <c r="E56" s="9" t="s">
        <v>112</v>
      </c>
      <c r="F56" s="9">
        <v>0</v>
      </c>
      <c r="G56" s="9">
        <v>0</v>
      </c>
      <c r="H56" s="161">
        <v>1.0078045899999999</v>
      </c>
      <c r="I56" s="17">
        <v>0</v>
      </c>
      <c r="K56" s="160" t="s">
        <v>34</v>
      </c>
      <c r="L56" s="170">
        <v>42501</v>
      </c>
      <c r="M56" s="9" t="s">
        <v>180</v>
      </c>
      <c r="N56" s="170">
        <v>19491</v>
      </c>
      <c r="O56" s="9" t="s">
        <v>151</v>
      </c>
      <c r="P56" s="9">
        <v>0</v>
      </c>
      <c r="Q56" s="9">
        <v>0</v>
      </c>
      <c r="R56" s="161">
        <v>1.0529344869999999</v>
      </c>
      <c r="S56" s="17">
        <v>0</v>
      </c>
      <c r="U56" s="160" t="s">
        <v>34</v>
      </c>
      <c r="V56" s="170">
        <v>42501</v>
      </c>
      <c r="W56" s="9" t="s">
        <v>180</v>
      </c>
      <c r="X56" s="170">
        <v>16203</v>
      </c>
      <c r="Y56" s="9" t="s">
        <v>108</v>
      </c>
      <c r="Z56" s="9">
        <v>0</v>
      </c>
      <c r="AA56" s="9">
        <v>0</v>
      </c>
      <c r="AB56" s="161">
        <v>1.0676590459999999</v>
      </c>
      <c r="AC56" s="17">
        <v>0</v>
      </c>
      <c r="AE56" s="160" t="s">
        <v>34</v>
      </c>
      <c r="AF56" s="170">
        <v>42501</v>
      </c>
      <c r="AG56" s="9" t="s">
        <v>224</v>
      </c>
      <c r="AH56" s="170">
        <v>18394</v>
      </c>
      <c r="AI56" s="9" t="s">
        <v>114</v>
      </c>
      <c r="AJ56" s="9">
        <v>0</v>
      </c>
      <c r="AK56" s="9">
        <v>0</v>
      </c>
      <c r="AL56" s="161">
        <v>0.929240591</v>
      </c>
      <c r="AM56" s="17">
        <v>0</v>
      </c>
      <c r="AO56" s="160" t="s">
        <v>34</v>
      </c>
      <c r="AP56" s="170">
        <v>42501</v>
      </c>
      <c r="AQ56" s="9" t="s">
        <v>218</v>
      </c>
      <c r="AR56" s="170">
        <v>16568</v>
      </c>
      <c r="AS56" s="9" t="s">
        <v>109</v>
      </c>
      <c r="AT56" s="9">
        <v>0</v>
      </c>
      <c r="AU56" s="9">
        <v>0</v>
      </c>
      <c r="AV56" s="161">
        <v>1.135914509</v>
      </c>
      <c r="AW56" s="17">
        <v>0</v>
      </c>
      <c r="AY56" s="160" t="s">
        <v>34</v>
      </c>
      <c r="AZ56" s="170">
        <v>42501</v>
      </c>
      <c r="BA56" s="9" t="s">
        <v>220</v>
      </c>
      <c r="BB56" s="170">
        <v>15837</v>
      </c>
      <c r="BC56" s="9" t="s">
        <v>107</v>
      </c>
      <c r="BD56" s="9">
        <v>0</v>
      </c>
      <c r="BE56" s="9">
        <v>0</v>
      </c>
      <c r="BF56" s="161">
        <v>0.90034494899999995</v>
      </c>
      <c r="BG56" s="17">
        <v>0</v>
      </c>
    </row>
    <row r="57" spans="1:59" x14ac:dyDescent="0.2">
      <c r="A57" s="160" t="s">
        <v>34</v>
      </c>
      <c r="B57" s="170">
        <v>42501</v>
      </c>
      <c r="C57" s="9" t="s">
        <v>178</v>
      </c>
      <c r="D57" s="170">
        <v>18029</v>
      </c>
      <c r="E57" s="9" t="s">
        <v>113</v>
      </c>
      <c r="F57" s="9">
        <v>0</v>
      </c>
      <c r="G57" s="9">
        <v>0</v>
      </c>
      <c r="H57" s="161">
        <v>1.007788908</v>
      </c>
      <c r="I57" s="17">
        <v>0</v>
      </c>
      <c r="K57" s="160" t="s">
        <v>34</v>
      </c>
      <c r="L57" s="170">
        <v>42501</v>
      </c>
      <c r="M57" s="9" t="s">
        <v>180</v>
      </c>
      <c r="N57" s="170">
        <v>19855</v>
      </c>
      <c r="O57" s="9" t="s">
        <v>152</v>
      </c>
      <c r="P57" s="9">
        <v>0</v>
      </c>
      <c r="Q57" s="9">
        <v>0</v>
      </c>
      <c r="R57" s="161">
        <v>1.0496512769999999</v>
      </c>
      <c r="S57" s="17">
        <v>0</v>
      </c>
      <c r="U57" s="160" t="s">
        <v>34</v>
      </c>
      <c r="V57" s="170">
        <v>42501</v>
      </c>
      <c r="W57" s="9" t="s">
        <v>180</v>
      </c>
      <c r="X57" s="170">
        <v>16568</v>
      </c>
      <c r="Y57" s="9" t="s">
        <v>109</v>
      </c>
      <c r="Z57" s="9">
        <v>0</v>
      </c>
      <c r="AA57" s="9">
        <v>0</v>
      </c>
      <c r="AB57" s="161">
        <v>1.0670168609999999</v>
      </c>
      <c r="AC57" s="17">
        <v>0</v>
      </c>
      <c r="AE57" s="160" t="s">
        <v>34</v>
      </c>
      <c r="AF57" s="170">
        <v>42501</v>
      </c>
      <c r="AG57" s="9" t="s">
        <v>224</v>
      </c>
      <c r="AH57" s="170">
        <v>18759</v>
      </c>
      <c r="AI57" s="9" t="s">
        <v>149</v>
      </c>
      <c r="AJ57" s="9">
        <v>0</v>
      </c>
      <c r="AK57" s="9">
        <v>0</v>
      </c>
      <c r="AL57" s="161">
        <v>0.92980766500000001</v>
      </c>
      <c r="AM57" s="17">
        <v>0</v>
      </c>
      <c r="AO57" s="160" t="s">
        <v>34</v>
      </c>
      <c r="AP57" s="170">
        <v>42501</v>
      </c>
      <c r="AQ57" s="9" t="s">
        <v>218</v>
      </c>
      <c r="AR57" s="170">
        <v>16933</v>
      </c>
      <c r="AS57" s="9" t="s">
        <v>110</v>
      </c>
      <c r="AT57" s="9">
        <v>0</v>
      </c>
      <c r="AU57" s="9">
        <v>0</v>
      </c>
      <c r="AV57" s="161">
        <v>1.1339999999999999</v>
      </c>
      <c r="AW57" s="17">
        <v>0</v>
      </c>
      <c r="AY57" s="160" t="s">
        <v>34</v>
      </c>
      <c r="AZ57" s="170">
        <v>42501</v>
      </c>
      <c r="BA57" s="9" t="s">
        <v>220</v>
      </c>
      <c r="BB57" s="170">
        <v>16203</v>
      </c>
      <c r="BC57" s="9" t="s">
        <v>108</v>
      </c>
      <c r="BD57" s="9">
        <v>0</v>
      </c>
      <c r="BE57" s="9">
        <v>0</v>
      </c>
      <c r="BF57" s="161">
        <v>0.90386934900000004</v>
      </c>
      <c r="BG57" s="17">
        <v>0</v>
      </c>
    </row>
    <row r="58" spans="1:59" x14ac:dyDescent="0.2">
      <c r="A58" s="160" t="s">
        <v>34</v>
      </c>
      <c r="B58" s="170">
        <v>42501</v>
      </c>
      <c r="C58" s="9" t="s">
        <v>178</v>
      </c>
      <c r="D58" s="170">
        <v>18394</v>
      </c>
      <c r="E58" s="9" t="s">
        <v>114</v>
      </c>
      <c r="F58" s="9">
        <v>0</v>
      </c>
      <c r="G58" s="9">
        <v>0</v>
      </c>
      <c r="H58" s="161">
        <v>1.007424578</v>
      </c>
      <c r="I58" s="17">
        <v>0</v>
      </c>
      <c r="K58" s="160" t="s">
        <v>34</v>
      </c>
      <c r="L58" s="170">
        <v>42501</v>
      </c>
      <c r="M58" s="9" t="s">
        <v>180</v>
      </c>
      <c r="N58" s="170">
        <v>20220</v>
      </c>
      <c r="O58" s="9" t="s">
        <v>153</v>
      </c>
      <c r="P58" s="9">
        <v>0</v>
      </c>
      <c r="Q58" s="9">
        <v>0</v>
      </c>
      <c r="R58" s="161">
        <v>1.0456987129999999</v>
      </c>
      <c r="S58" s="17">
        <v>0</v>
      </c>
      <c r="U58" s="160" t="s">
        <v>34</v>
      </c>
      <c r="V58" s="170">
        <v>42501</v>
      </c>
      <c r="W58" s="9" t="s">
        <v>180</v>
      </c>
      <c r="X58" s="170">
        <v>16933</v>
      </c>
      <c r="Y58" s="9" t="s">
        <v>110</v>
      </c>
      <c r="Z58" s="9">
        <v>0</v>
      </c>
      <c r="AA58" s="9">
        <v>0</v>
      </c>
      <c r="AB58" s="161">
        <v>1.0660000000000001</v>
      </c>
      <c r="AC58" s="17">
        <v>0</v>
      </c>
      <c r="AE58" s="160" t="s">
        <v>34</v>
      </c>
      <c r="AF58" s="170">
        <v>42501</v>
      </c>
      <c r="AG58" s="9" t="s">
        <v>224</v>
      </c>
      <c r="AH58" s="170">
        <v>19127</v>
      </c>
      <c r="AI58" s="9" t="s">
        <v>150</v>
      </c>
      <c r="AJ58" s="9">
        <v>0</v>
      </c>
      <c r="AK58" s="9">
        <v>0</v>
      </c>
      <c r="AL58" s="161">
        <v>0.92988418900000003</v>
      </c>
      <c r="AM58" s="17">
        <v>0</v>
      </c>
      <c r="AO58" s="160" t="s">
        <v>34</v>
      </c>
      <c r="AP58" s="170">
        <v>42501</v>
      </c>
      <c r="AQ58" s="9" t="s">
        <v>218</v>
      </c>
      <c r="AR58" s="170">
        <v>17300</v>
      </c>
      <c r="AS58" s="9" t="s">
        <v>111</v>
      </c>
      <c r="AT58" s="9">
        <v>0</v>
      </c>
      <c r="AU58" s="9">
        <v>0</v>
      </c>
      <c r="AV58" s="161">
        <v>1.1320105730000001</v>
      </c>
      <c r="AW58" s="17">
        <v>0</v>
      </c>
      <c r="AY58" s="160" t="s">
        <v>34</v>
      </c>
      <c r="AZ58" s="170">
        <v>42501</v>
      </c>
      <c r="BA58" s="9" t="s">
        <v>220</v>
      </c>
      <c r="BB58" s="170">
        <v>16568</v>
      </c>
      <c r="BC58" s="9" t="s">
        <v>109</v>
      </c>
      <c r="BD58" s="9">
        <v>0</v>
      </c>
      <c r="BE58" s="9">
        <v>0</v>
      </c>
      <c r="BF58" s="161">
        <v>0.90665484600000001</v>
      </c>
      <c r="BG58" s="17">
        <v>0</v>
      </c>
    </row>
    <row r="59" spans="1:59" x14ac:dyDescent="0.2">
      <c r="A59" s="160" t="s">
        <v>34</v>
      </c>
      <c r="B59" s="170">
        <v>42501</v>
      </c>
      <c r="C59" s="9" t="s">
        <v>178</v>
      </c>
      <c r="D59" s="170">
        <v>18759</v>
      </c>
      <c r="E59" s="9" t="s">
        <v>149</v>
      </c>
      <c r="F59" s="9">
        <v>0</v>
      </c>
      <c r="G59" s="9">
        <v>0</v>
      </c>
      <c r="H59" s="161">
        <v>1.0066399930000001</v>
      </c>
      <c r="I59" s="17">
        <v>0</v>
      </c>
      <c r="K59" s="160" t="s">
        <v>34</v>
      </c>
      <c r="L59" s="170">
        <v>42501</v>
      </c>
      <c r="M59" s="9" t="s">
        <v>180</v>
      </c>
      <c r="N59" s="170">
        <v>20586</v>
      </c>
      <c r="O59" s="9" t="s">
        <v>154</v>
      </c>
      <c r="P59" s="9">
        <v>0</v>
      </c>
      <c r="Q59" s="9">
        <v>0</v>
      </c>
      <c r="R59" s="161">
        <v>1.0409999999999999</v>
      </c>
      <c r="S59" s="17">
        <v>0</v>
      </c>
      <c r="U59" s="160" t="s">
        <v>34</v>
      </c>
      <c r="V59" s="170">
        <v>42501</v>
      </c>
      <c r="W59" s="9" t="s">
        <v>180</v>
      </c>
      <c r="X59" s="170">
        <v>17300</v>
      </c>
      <c r="Y59" s="9" t="s">
        <v>111</v>
      </c>
      <c r="Z59" s="9">
        <v>0</v>
      </c>
      <c r="AA59" s="9">
        <v>0</v>
      </c>
      <c r="AB59" s="161">
        <v>1.0647803600000001</v>
      </c>
      <c r="AC59" s="17">
        <v>0</v>
      </c>
      <c r="AE59" s="160" t="s">
        <v>34</v>
      </c>
      <c r="AF59" s="170">
        <v>42501</v>
      </c>
      <c r="AG59" s="9" t="s">
        <v>224</v>
      </c>
      <c r="AH59" s="170">
        <v>19491</v>
      </c>
      <c r="AI59" s="9" t="s">
        <v>151</v>
      </c>
      <c r="AJ59" s="9">
        <v>0</v>
      </c>
      <c r="AK59" s="9">
        <v>0</v>
      </c>
      <c r="AL59" s="161">
        <v>0.92927971499999995</v>
      </c>
      <c r="AM59" s="17">
        <v>0</v>
      </c>
      <c r="AO59" s="160" t="s">
        <v>34</v>
      </c>
      <c r="AP59" s="170">
        <v>42501</v>
      </c>
      <c r="AQ59" s="9" t="s">
        <v>218</v>
      </c>
      <c r="AR59" s="170">
        <v>17664</v>
      </c>
      <c r="AS59" s="9" t="s">
        <v>112</v>
      </c>
      <c r="AT59" s="9">
        <v>0</v>
      </c>
      <c r="AU59" s="9">
        <v>0</v>
      </c>
      <c r="AV59" s="161">
        <v>1.130029559</v>
      </c>
      <c r="AW59" s="17">
        <v>0</v>
      </c>
      <c r="AY59" s="160" t="s">
        <v>34</v>
      </c>
      <c r="AZ59" s="170">
        <v>42501</v>
      </c>
      <c r="BA59" s="9" t="s">
        <v>220</v>
      </c>
      <c r="BB59" s="170">
        <v>16933</v>
      </c>
      <c r="BC59" s="9" t="s">
        <v>110</v>
      </c>
      <c r="BD59" s="9">
        <v>0</v>
      </c>
      <c r="BE59" s="9">
        <v>0</v>
      </c>
      <c r="BF59" s="161">
        <v>0.90900000000000003</v>
      </c>
      <c r="BG59" s="17">
        <v>0</v>
      </c>
    </row>
    <row r="60" spans="1:59" x14ac:dyDescent="0.2">
      <c r="A60" s="160" t="s">
        <v>34</v>
      </c>
      <c r="B60" s="170">
        <v>42501</v>
      </c>
      <c r="C60" s="9" t="s">
        <v>178</v>
      </c>
      <c r="D60" s="170">
        <v>19127</v>
      </c>
      <c r="E60" s="9" t="s">
        <v>150</v>
      </c>
      <c r="F60" s="9">
        <v>0</v>
      </c>
      <c r="G60" s="9">
        <v>0</v>
      </c>
      <c r="H60" s="161">
        <v>1.0054126249999999</v>
      </c>
      <c r="I60" s="17">
        <v>0</v>
      </c>
      <c r="K60" s="160" t="s">
        <v>34</v>
      </c>
      <c r="L60" s="170">
        <v>42501</v>
      </c>
      <c r="M60" s="9" t="s">
        <v>180</v>
      </c>
      <c r="N60" s="170">
        <v>24238</v>
      </c>
      <c r="O60" s="9" t="s">
        <v>155</v>
      </c>
      <c r="P60" s="9">
        <v>0</v>
      </c>
      <c r="Q60" s="9">
        <v>0</v>
      </c>
      <c r="R60" s="161">
        <v>0.97399999999999998</v>
      </c>
      <c r="S60" s="17">
        <v>0</v>
      </c>
      <c r="U60" s="160" t="s">
        <v>34</v>
      </c>
      <c r="V60" s="170">
        <v>42501</v>
      </c>
      <c r="W60" s="9" t="s">
        <v>180</v>
      </c>
      <c r="X60" s="170">
        <v>17664</v>
      </c>
      <c r="Y60" s="9" t="s">
        <v>112</v>
      </c>
      <c r="Z60" s="9">
        <v>0</v>
      </c>
      <c r="AA60" s="9">
        <v>0</v>
      </c>
      <c r="AB60" s="161">
        <v>1.0634725439999999</v>
      </c>
      <c r="AC60" s="17">
        <v>0</v>
      </c>
      <c r="AE60" s="160" t="s">
        <v>34</v>
      </c>
      <c r="AF60" s="170">
        <v>42501</v>
      </c>
      <c r="AG60" s="9" t="s">
        <v>224</v>
      </c>
      <c r="AH60" s="170">
        <v>19855</v>
      </c>
      <c r="AI60" s="9" t="s">
        <v>152</v>
      </c>
      <c r="AJ60" s="9">
        <v>0</v>
      </c>
      <c r="AK60" s="9">
        <v>0</v>
      </c>
      <c r="AL60" s="161">
        <v>0.92797856899999998</v>
      </c>
      <c r="AM60" s="17">
        <v>0</v>
      </c>
      <c r="AO60" s="160" t="s">
        <v>34</v>
      </c>
      <c r="AP60" s="170">
        <v>42501</v>
      </c>
      <c r="AQ60" s="9" t="s">
        <v>218</v>
      </c>
      <c r="AR60" s="170">
        <v>18029</v>
      </c>
      <c r="AS60" s="9" t="s">
        <v>113</v>
      </c>
      <c r="AT60" s="9">
        <v>0</v>
      </c>
      <c r="AU60" s="9">
        <v>0</v>
      </c>
      <c r="AV60" s="161">
        <v>1.1277895280000001</v>
      </c>
      <c r="AW60" s="17">
        <v>0</v>
      </c>
      <c r="AY60" s="160" t="s">
        <v>34</v>
      </c>
      <c r="AZ60" s="170">
        <v>42501</v>
      </c>
      <c r="BA60" s="9" t="s">
        <v>220</v>
      </c>
      <c r="BB60" s="170">
        <v>18759</v>
      </c>
      <c r="BC60" s="9" t="s">
        <v>149</v>
      </c>
      <c r="BD60" s="9">
        <v>0</v>
      </c>
      <c r="BE60" s="9">
        <v>0</v>
      </c>
      <c r="BF60" s="161">
        <v>0.91647180399999995</v>
      </c>
      <c r="BG60" s="17">
        <v>0</v>
      </c>
    </row>
    <row r="61" spans="1:59" x14ac:dyDescent="0.2">
      <c r="A61" s="160" t="s">
        <v>34</v>
      </c>
      <c r="B61" s="170">
        <v>42501</v>
      </c>
      <c r="C61" s="9" t="s">
        <v>178</v>
      </c>
      <c r="D61" s="170">
        <v>19491</v>
      </c>
      <c r="E61" s="9" t="s">
        <v>151</v>
      </c>
      <c r="F61" s="9">
        <v>0</v>
      </c>
      <c r="G61" s="9">
        <v>0</v>
      </c>
      <c r="H61" s="161">
        <v>1.0035733499999999</v>
      </c>
      <c r="I61" s="17">
        <v>0</v>
      </c>
      <c r="K61" s="160" t="s">
        <v>34</v>
      </c>
      <c r="L61" s="170">
        <v>42501</v>
      </c>
      <c r="M61" s="9" t="s">
        <v>180</v>
      </c>
      <c r="N61" s="170">
        <v>27891</v>
      </c>
      <c r="O61" s="9" t="s">
        <v>156</v>
      </c>
      <c r="P61" s="9">
        <v>0</v>
      </c>
      <c r="Q61" s="9">
        <v>0</v>
      </c>
      <c r="R61" s="161">
        <v>0.94899999999999995</v>
      </c>
      <c r="S61" s="17">
        <v>0</v>
      </c>
      <c r="U61" s="160" t="s">
        <v>34</v>
      </c>
      <c r="V61" s="170">
        <v>42501</v>
      </c>
      <c r="W61" s="9" t="s">
        <v>180</v>
      </c>
      <c r="X61" s="170">
        <v>18029</v>
      </c>
      <c r="Y61" s="9" t="s">
        <v>113</v>
      </c>
      <c r="Z61" s="9">
        <v>0</v>
      </c>
      <c r="AA61" s="9">
        <v>0</v>
      </c>
      <c r="AB61" s="161">
        <v>1.0618809279999999</v>
      </c>
      <c r="AC61" s="17">
        <v>0</v>
      </c>
      <c r="AE61" s="160" t="s">
        <v>34</v>
      </c>
      <c r="AF61" s="170">
        <v>42501</v>
      </c>
      <c r="AG61" s="9" t="s">
        <v>224</v>
      </c>
      <c r="AH61" s="170">
        <v>20220</v>
      </c>
      <c r="AI61" s="9" t="s">
        <v>153</v>
      </c>
      <c r="AJ61" s="9">
        <v>0</v>
      </c>
      <c r="AK61" s="9">
        <v>0</v>
      </c>
      <c r="AL61" s="161">
        <v>0.92589638900000004</v>
      </c>
      <c r="AM61" s="17">
        <v>0</v>
      </c>
      <c r="AO61" s="160" t="s">
        <v>34</v>
      </c>
      <c r="AP61" s="170">
        <v>42501</v>
      </c>
      <c r="AQ61" s="9" t="s">
        <v>218</v>
      </c>
      <c r="AR61" s="170">
        <v>18394</v>
      </c>
      <c r="AS61" s="9" t="s">
        <v>114</v>
      </c>
      <c r="AT61" s="9">
        <v>0</v>
      </c>
      <c r="AU61" s="9">
        <v>0</v>
      </c>
      <c r="AV61" s="161">
        <v>1.1253033429999999</v>
      </c>
      <c r="AW61" s="17">
        <v>0</v>
      </c>
      <c r="AY61" s="160" t="s">
        <v>34</v>
      </c>
      <c r="AZ61" s="170">
        <v>42501</v>
      </c>
      <c r="BA61" s="9" t="s">
        <v>220</v>
      </c>
      <c r="BB61" s="170">
        <v>20586</v>
      </c>
      <c r="BC61" s="9" t="s">
        <v>154</v>
      </c>
      <c r="BD61" s="9">
        <v>0</v>
      </c>
      <c r="BE61" s="9">
        <v>0</v>
      </c>
      <c r="BF61" s="161">
        <v>0.91</v>
      </c>
      <c r="BG61" s="17">
        <v>0</v>
      </c>
    </row>
    <row r="62" spans="1:59" x14ac:dyDescent="0.2">
      <c r="A62" s="160" t="s">
        <v>34</v>
      </c>
      <c r="B62" s="170">
        <v>42501</v>
      </c>
      <c r="C62" s="9" t="s">
        <v>178</v>
      </c>
      <c r="D62" s="170">
        <v>19855</v>
      </c>
      <c r="E62" s="9" t="s">
        <v>152</v>
      </c>
      <c r="F62" s="9">
        <v>0</v>
      </c>
      <c r="G62" s="9">
        <v>0</v>
      </c>
      <c r="H62" s="161">
        <v>1.001102664</v>
      </c>
      <c r="I62" s="17">
        <v>0</v>
      </c>
      <c r="K62" s="160"/>
      <c r="L62" s="170"/>
      <c r="M62" s="9"/>
      <c r="N62" s="170"/>
      <c r="O62" s="9"/>
      <c r="P62" s="9"/>
      <c r="Q62" s="9"/>
      <c r="R62" s="161"/>
      <c r="S62" s="17"/>
      <c r="U62" s="160" t="s">
        <v>34</v>
      </c>
      <c r="V62" s="170">
        <v>42501</v>
      </c>
      <c r="W62" s="9" t="s">
        <v>180</v>
      </c>
      <c r="X62" s="170">
        <v>18394</v>
      </c>
      <c r="Y62" s="9" t="s">
        <v>114</v>
      </c>
      <c r="Z62" s="9">
        <v>0</v>
      </c>
      <c r="AA62" s="9">
        <v>0</v>
      </c>
      <c r="AB62" s="161">
        <v>1.060064779</v>
      </c>
      <c r="AC62" s="17">
        <v>0</v>
      </c>
      <c r="AE62" s="160" t="s">
        <v>34</v>
      </c>
      <c r="AF62" s="170">
        <v>42501</v>
      </c>
      <c r="AG62" s="9" t="s">
        <v>224</v>
      </c>
      <c r="AH62" s="170">
        <v>20586</v>
      </c>
      <c r="AI62" s="9" t="s">
        <v>154</v>
      </c>
      <c r="AJ62" s="9">
        <v>0</v>
      </c>
      <c r="AK62" s="9">
        <v>0</v>
      </c>
      <c r="AL62" s="161">
        <v>0.92300000000000004</v>
      </c>
      <c r="AM62" s="17">
        <v>0</v>
      </c>
      <c r="AO62" s="160" t="s">
        <v>34</v>
      </c>
      <c r="AP62" s="170">
        <v>42501</v>
      </c>
      <c r="AQ62" s="9" t="s">
        <v>218</v>
      </c>
      <c r="AR62" s="170">
        <v>18759</v>
      </c>
      <c r="AS62" s="9" t="s">
        <v>149</v>
      </c>
      <c r="AT62" s="9">
        <v>0</v>
      </c>
      <c r="AU62" s="9">
        <v>0</v>
      </c>
      <c r="AV62" s="161">
        <v>1.122493977</v>
      </c>
      <c r="AW62" s="17">
        <v>0</v>
      </c>
      <c r="AY62" s="160" t="s">
        <v>34</v>
      </c>
      <c r="AZ62" s="170">
        <v>42501</v>
      </c>
      <c r="BA62" s="9" t="s">
        <v>220</v>
      </c>
      <c r="BB62" s="170">
        <v>24238</v>
      </c>
      <c r="BC62" s="9" t="s">
        <v>155</v>
      </c>
      <c r="BD62" s="9">
        <v>0</v>
      </c>
      <c r="BE62" s="9">
        <v>0</v>
      </c>
      <c r="BF62" s="161">
        <v>0.85799999999999998</v>
      </c>
      <c r="BG62" s="17">
        <v>0</v>
      </c>
    </row>
    <row r="63" spans="1:59" x14ac:dyDescent="0.2">
      <c r="A63" s="160" t="s">
        <v>34</v>
      </c>
      <c r="B63" s="170">
        <v>42501</v>
      </c>
      <c r="C63" s="9" t="s">
        <v>178</v>
      </c>
      <c r="D63" s="170">
        <v>20220</v>
      </c>
      <c r="E63" s="9" t="s">
        <v>153</v>
      </c>
      <c r="F63" s="9">
        <v>0</v>
      </c>
      <c r="G63" s="9">
        <v>0</v>
      </c>
      <c r="H63" s="161">
        <v>0.99791911799999999</v>
      </c>
      <c r="I63" s="17">
        <v>0</v>
      </c>
      <c r="K63" s="160"/>
      <c r="L63" s="170"/>
      <c r="M63" s="9"/>
      <c r="N63" s="170"/>
      <c r="O63" s="9"/>
      <c r="P63" s="9"/>
      <c r="Q63" s="9"/>
      <c r="R63" s="161"/>
      <c r="S63" s="17"/>
      <c r="U63" s="160" t="s">
        <v>34</v>
      </c>
      <c r="V63" s="170">
        <v>42501</v>
      </c>
      <c r="W63" s="9" t="s">
        <v>180</v>
      </c>
      <c r="X63" s="170">
        <v>18759</v>
      </c>
      <c r="Y63" s="9" t="s">
        <v>149</v>
      </c>
      <c r="Z63" s="9">
        <v>0</v>
      </c>
      <c r="AA63" s="9">
        <v>0</v>
      </c>
      <c r="AB63" s="161">
        <v>1.0580000000000001</v>
      </c>
      <c r="AC63" s="17">
        <v>0</v>
      </c>
      <c r="AE63" s="160" t="s">
        <v>34</v>
      </c>
      <c r="AF63" s="170">
        <v>42501</v>
      </c>
      <c r="AG63" s="9" t="s">
        <v>224</v>
      </c>
      <c r="AH63" s="170">
        <v>24238</v>
      </c>
      <c r="AI63" s="9" t="s">
        <v>155</v>
      </c>
      <c r="AJ63" s="9">
        <v>0</v>
      </c>
      <c r="AK63" s="9">
        <v>0</v>
      </c>
      <c r="AL63" s="161">
        <v>0.871</v>
      </c>
      <c r="AM63" s="17">
        <v>0</v>
      </c>
      <c r="AO63" s="160" t="s">
        <v>34</v>
      </c>
      <c r="AP63" s="170">
        <v>42501</v>
      </c>
      <c r="AQ63" s="9" t="s">
        <v>218</v>
      </c>
      <c r="AR63" s="170">
        <v>19127</v>
      </c>
      <c r="AS63" s="9" t="s">
        <v>150</v>
      </c>
      <c r="AT63" s="9">
        <v>0</v>
      </c>
      <c r="AU63" s="9">
        <v>0</v>
      </c>
      <c r="AV63" s="161">
        <v>1.119324982</v>
      </c>
      <c r="AW63" s="17">
        <v>0</v>
      </c>
      <c r="AY63" s="160" t="s">
        <v>34</v>
      </c>
      <c r="AZ63" s="170">
        <v>42501</v>
      </c>
      <c r="BA63" s="9" t="s">
        <v>220</v>
      </c>
      <c r="BB63" s="170">
        <v>27891</v>
      </c>
      <c r="BC63" s="9" t="s">
        <v>156</v>
      </c>
      <c r="BD63" s="9">
        <v>0</v>
      </c>
      <c r="BE63" s="9">
        <v>0</v>
      </c>
      <c r="BF63" s="161">
        <v>0.84399999999999997</v>
      </c>
      <c r="BG63" s="17">
        <v>0</v>
      </c>
    </row>
    <row r="64" spans="1:59" x14ac:dyDescent="0.2">
      <c r="A64" s="160" t="s">
        <v>34</v>
      </c>
      <c r="B64" s="170">
        <v>42501</v>
      </c>
      <c r="C64" s="9" t="s">
        <v>178</v>
      </c>
      <c r="D64" s="170">
        <v>20586</v>
      </c>
      <c r="E64" s="9" t="s">
        <v>154</v>
      </c>
      <c r="F64" s="9">
        <v>0</v>
      </c>
      <c r="G64" s="9">
        <v>0</v>
      </c>
      <c r="H64" s="161">
        <v>0.99399999999999999</v>
      </c>
      <c r="I64" s="17">
        <v>0</v>
      </c>
      <c r="K64" s="160"/>
      <c r="L64" s="170"/>
      <c r="M64" s="9"/>
      <c r="N64" s="170"/>
      <c r="O64" s="9"/>
      <c r="P64" s="9"/>
      <c r="Q64" s="9"/>
      <c r="R64" s="161"/>
      <c r="S64" s="17"/>
      <c r="U64" s="160" t="s">
        <v>34</v>
      </c>
      <c r="V64" s="170">
        <v>42501</v>
      </c>
      <c r="W64" s="9" t="s">
        <v>180</v>
      </c>
      <c r="X64" s="170">
        <v>19127</v>
      </c>
      <c r="Y64" s="9" t="s">
        <v>150</v>
      </c>
      <c r="Z64" s="9">
        <v>0</v>
      </c>
      <c r="AA64" s="9">
        <v>0</v>
      </c>
      <c r="AB64" s="161">
        <v>1.055688626</v>
      </c>
      <c r="AC64" s="17">
        <v>0</v>
      </c>
      <c r="AE64" s="160" t="s">
        <v>34</v>
      </c>
      <c r="AF64" s="170">
        <v>42501</v>
      </c>
      <c r="AG64" s="9" t="s">
        <v>224</v>
      </c>
      <c r="AH64" s="170">
        <v>27891</v>
      </c>
      <c r="AI64" s="9" t="s">
        <v>156</v>
      </c>
      <c r="AJ64" s="9">
        <v>0</v>
      </c>
      <c r="AK64" s="9">
        <v>0</v>
      </c>
      <c r="AL64" s="161">
        <v>0.85599999999999998</v>
      </c>
      <c r="AM64" s="17">
        <v>0</v>
      </c>
      <c r="AO64" s="160" t="s">
        <v>34</v>
      </c>
      <c r="AP64" s="170">
        <v>42501</v>
      </c>
      <c r="AQ64" s="9" t="s">
        <v>218</v>
      </c>
      <c r="AR64" s="170">
        <v>19491</v>
      </c>
      <c r="AS64" s="9" t="s">
        <v>151</v>
      </c>
      <c r="AT64" s="9">
        <v>0</v>
      </c>
      <c r="AU64" s="9">
        <v>0</v>
      </c>
      <c r="AV64" s="161">
        <v>1.115644235</v>
      </c>
      <c r="AW64" s="17">
        <v>0</v>
      </c>
      <c r="AY64" s="160"/>
      <c r="AZ64" s="170"/>
      <c r="BA64" s="9"/>
      <c r="BB64" s="170"/>
      <c r="BC64" s="9"/>
      <c r="BD64" s="9"/>
      <c r="BE64" s="9"/>
      <c r="BF64" s="161"/>
      <c r="BG64" s="17"/>
    </row>
    <row r="65" spans="1:59" x14ac:dyDescent="0.2">
      <c r="A65" s="160" t="s">
        <v>34</v>
      </c>
      <c r="B65" s="170">
        <v>42501</v>
      </c>
      <c r="C65" s="9" t="s">
        <v>178</v>
      </c>
      <c r="D65" s="170">
        <v>24238</v>
      </c>
      <c r="E65" s="9" t="s">
        <v>155</v>
      </c>
      <c r="F65" s="9">
        <v>0</v>
      </c>
      <c r="G65" s="9">
        <v>0</v>
      </c>
      <c r="H65" s="161">
        <v>0.93400000000000005</v>
      </c>
      <c r="I65" s="17">
        <v>0</v>
      </c>
      <c r="K65" s="160"/>
      <c r="L65" s="170"/>
      <c r="M65" s="9"/>
      <c r="N65" s="170"/>
      <c r="O65" s="9"/>
      <c r="P65" s="9"/>
      <c r="Q65" s="9"/>
      <c r="R65" s="161"/>
      <c r="S65" s="17"/>
      <c r="U65" s="160" t="s">
        <v>34</v>
      </c>
      <c r="V65" s="170">
        <v>42501</v>
      </c>
      <c r="W65" s="9" t="s">
        <v>180</v>
      </c>
      <c r="X65" s="170">
        <v>19491</v>
      </c>
      <c r="Y65" s="9" t="s">
        <v>151</v>
      </c>
      <c r="Z65" s="9">
        <v>0</v>
      </c>
      <c r="AA65" s="9">
        <v>0</v>
      </c>
      <c r="AB65" s="161">
        <v>1.0529344869999999</v>
      </c>
      <c r="AC65" s="17">
        <v>0</v>
      </c>
      <c r="AE65" s="160"/>
      <c r="AF65" s="170"/>
      <c r="AG65" s="9"/>
      <c r="AH65" s="170"/>
      <c r="AI65" s="9"/>
      <c r="AJ65" s="9"/>
      <c r="AK65" s="9"/>
      <c r="AL65" s="161"/>
      <c r="AM65" s="17"/>
      <c r="AO65" s="160" t="s">
        <v>34</v>
      </c>
      <c r="AP65" s="170">
        <v>42501</v>
      </c>
      <c r="AQ65" s="9" t="s">
        <v>218</v>
      </c>
      <c r="AR65" s="170">
        <v>19855</v>
      </c>
      <c r="AS65" s="9" t="s">
        <v>152</v>
      </c>
      <c r="AT65" s="9">
        <v>0</v>
      </c>
      <c r="AU65" s="9">
        <v>0</v>
      </c>
      <c r="AV65" s="161">
        <v>1.1114124400000001</v>
      </c>
      <c r="AW65" s="17">
        <v>0</v>
      </c>
      <c r="AY65" s="160"/>
      <c r="AZ65" s="170"/>
      <c r="BA65" s="9"/>
      <c r="BB65" s="170"/>
      <c r="BC65" s="9"/>
      <c r="BD65" s="9"/>
      <c r="BE65" s="9"/>
      <c r="BF65" s="161"/>
      <c r="BG65" s="17"/>
    </row>
    <row r="66" spans="1:59" x14ac:dyDescent="0.2">
      <c r="A66" s="160" t="s">
        <v>34</v>
      </c>
      <c r="B66" s="170">
        <v>42501</v>
      </c>
      <c r="C66" s="9" t="s">
        <v>178</v>
      </c>
      <c r="D66" s="170">
        <v>27891</v>
      </c>
      <c r="E66" s="9" t="s">
        <v>156</v>
      </c>
      <c r="F66" s="9">
        <v>0</v>
      </c>
      <c r="G66" s="9">
        <v>0</v>
      </c>
      <c r="H66" s="161">
        <v>0.91300000000000003</v>
      </c>
      <c r="I66" s="17">
        <v>0</v>
      </c>
      <c r="K66" s="160"/>
      <c r="L66" s="170"/>
      <c r="M66" s="9"/>
      <c r="N66" s="170"/>
      <c r="O66" s="9"/>
      <c r="P66" s="9"/>
      <c r="Q66" s="9"/>
      <c r="R66" s="161"/>
      <c r="S66" s="17"/>
      <c r="U66" s="160" t="s">
        <v>34</v>
      </c>
      <c r="V66" s="170">
        <v>42501</v>
      </c>
      <c r="W66" s="9" t="s">
        <v>180</v>
      </c>
      <c r="X66" s="170">
        <v>19855</v>
      </c>
      <c r="Y66" s="9" t="s">
        <v>152</v>
      </c>
      <c r="Z66" s="9">
        <v>0</v>
      </c>
      <c r="AA66" s="9">
        <v>0</v>
      </c>
      <c r="AB66" s="161">
        <v>1.0496512769999999</v>
      </c>
      <c r="AC66" s="17">
        <v>0</v>
      </c>
      <c r="AE66" s="160"/>
      <c r="AF66" s="170"/>
      <c r="AG66" s="9"/>
      <c r="AH66" s="170"/>
      <c r="AI66" s="9"/>
      <c r="AJ66" s="9"/>
      <c r="AK66" s="9"/>
      <c r="AL66" s="161"/>
      <c r="AM66" s="17"/>
      <c r="AO66" s="160" t="s">
        <v>34</v>
      </c>
      <c r="AP66" s="170">
        <v>42501</v>
      </c>
      <c r="AQ66" s="9" t="s">
        <v>218</v>
      </c>
      <c r="AR66" s="170">
        <v>20220</v>
      </c>
      <c r="AS66" s="9" t="s">
        <v>153</v>
      </c>
      <c r="AT66" s="9">
        <v>0</v>
      </c>
      <c r="AU66" s="9">
        <v>0</v>
      </c>
      <c r="AV66" s="161">
        <v>1.1065381999999999</v>
      </c>
      <c r="AW66" s="17">
        <v>0</v>
      </c>
      <c r="AY66" s="160"/>
      <c r="AZ66" s="170"/>
      <c r="BA66" s="9"/>
      <c r="BB66" s="170"/>
      <c r="BC66" s="9"/>
      <c r="BD66" s="9"/>
      <c r="BE66" s="9"/>
      <c r="BF66" s="161"/>
      <c r="BG66" s="17"/>
    </row>
    <row r="67" spans="1:59" x14ac:dyDescent="0.2">
      <c r="A67" s="160"/>
      <c r="B67" s="170"/>
      <c r="C67" s="9"/>
      <c r="D67" s="170"/>
      <c r="E67" s="9"/>
      <c r="F67" s="9"/>
      <c r="G67" s="9"/>
      <c r="H67" s="161"/>
      <c r="I67" s="17"/>
      <c r="K67" s="160"/>
      <c r="L67" s="170"/>
      <c r="M67" s="9"/>
      <c r="N67" s="170"/>
      <c r="O67" s="9"/>
      <c r="P67" s="9"/>
      <c r="Q67" s="9"/>
      <c r="R67" s="161"/>
      <c r="S67" s="17"/>
      <c r="U67" s="160" t="s">
        <v>34</v>
      </c>
      <c r="V67" s="170">
        <v>42501</v>
      </c>
      <c r="W67" s="9" t="s">
        <v>180</v>
      </c>
      <c r="X67" s="170">
        <v>20220</v>
      </c>
      <c r="Y67" s="9" t="s">
        <v>153</v>
      </c>
      <c r="Z67" s="9">
        <v>0</v>
      </c>
      <c r="AA67" s="9">
        <v>0</v>
      </c>
      <c r="AB67" s="161">
        <v>1.0456987129999999</v>
      </c>
      <c r="AC67" s="17">
        <v>0</v>
      </c>
      <c r="AE67" s="160"/>
      <c r="AF67" s="170"/>
      <c r="AG67" s="9"/>
      <c r="AH67" s="170"/>
      <c r="AI67" s="9"/>
      <c r="AJ67" s="9"/>
      <c r="AK67" s="9"/>
      <c r="AL67" s="161"/>
      <c r="AM67" s="17"/>
      <c r="AO67" s="160" t="s">
        <v>34</v>
      </c>
      <c r="AP67" s="170">
        <v>42501</v>
      </c>
      <c r="AQ67" s="9" t="s">
        <v>218</v>
      </c>
      <c r="AR67" s="170">
        <v>20586</v>
      </c>
      <c r="AS67" s="9" t="s">
        <v>154</v>
      </c>
      <c r="AT67" s="9">
        <v>0</v>
      </c>
      <c r="AU67" s="9">
        <v>0</v>
      </c>
      <c r="AV67" s="161">
        <v>1.101</v>
      </c>
      <c r="AW67" s="17">
        <v>0</v>
      </c>
      <c r="AY67" s="160"/>
      <c r="AZ67" s="170"/>
      <c r="BA67" s="9"/>
      <c r="BB67" s="170"/>
      <c r="BC67" s="9"/>
      <c r="BD67" s="9"/>
      <c r="BE67" s="9"/>
      <c r="BF67" s="161"/>
      <c r="BG67" s="17"/>
    </row>
    <row r="68" spans="1:59" x14ac:dyDescent="0.2">
      <c r="A68" s="160"/>
      <c r="B68" s="170"/>
      <c r="C68" s="9"/>
      <c r="D68" s="170"/>
      <c r="E68" s="9"/>
      <c r="F68" s="9"/>
      <c r="G68" s="9"/>
      <c r="H68" s="161"/>
      <c r="I68" s="17"/>
      <c r="K68" s="160"/>
      <c r="L68" s="170"/>
      <c r="M68" s="9"/>
      <c r="N68" s="170"/>
      <c r="O68" s="9"/>
      <c r="P68" s="9"/>
      <c r="Q68" s="9"/>
      <c r="R68" s="161"/>
      <c r="S68" s="17"/>
      <c r="U68" s="160" t="s">
        <v>34</v>
      </c>
      <c r="V68" s="170">
        <v>42501</v>
      </c>
      <c r="W68" s="9" t="s">
        <v>180</v>
      </c>
      <c r="X68" s="170">
        <v>20586</v>
      </c>
      <c r="Y68" s="9" t="s">
        <v>154</v>
      </c>
      <c r="Z68" s="9">
        <v>0</v>
      </c>
      <c r="AA68" s="9">
        <v>0</v>
      </c>
      <c r="AB68" s="161">
        <v>1.0409999999999999</v>
      </c>
      <c r="AC68" s="17">
        <v>0</v>
      </c>
      <c r="AE68" s="160"/>
      <c r="AF68" s="170"/>
      <c r="AG68" s="9"/>
      <c r="AH68" s="170"/>
      <c r="AI68" s="9"/>
      <c r="AJ68" s="9"/>
      <c r="AK68" s="9"/>
      <c r="AL68" s="161"/>
      <c r="AM68" s="17"/>
      <c r="AO68" s="160" t="s">
        <v>34</v>
      </c>
      <c r="AP68" s="170">
        <v>42501</v>
      </c>
      <c r="AQ68" s="9" t="s">
        <v>218</v>
      </c>
      <c r="AR68" s="170">
        <v>24238</v>
      </c>
      <c r="AS68" s="9" t="s">
        <v>155</v>
      </c>
      <c r="AT68" s="9">
        <v>0</v>
      </c>
      <c r="AU68" s="9">
        <v>0</v>
      </c>
      <c r="AV68" s="161">
        <v>1.0289999999999999</v>
      </c>
      <c r="AW68" s="17">
        <v>0</v>
      </c>
      <c r="AY68" s="160"/>
      <c r="AZ68" s="170"/>
      <c r="BA68" s="9"/>
      <c r="BB68" s="170"/>
      <c r="BC68" s="9"/>
      <c r="BD68" s="9"/>
      <c r="BE68" s="9"/>
      <c r="BF68" s="161"/>
      <c r="BG68" s="17"/>
    </row>
    <row r="69" spans="1:59" x14ac:dyDescent="0.2">
      <c r="A69" s="160"/>
      <c r="B69" s="170"/>
      <c r="C69" s="9"/>
      <c r="D69" s="170"/>
      <c r="E69" s="9"/>
      <c r="F69" s="9"/>
      <c r="G69" s="9"/>
      <c r="H69" s="161"/>
      <c r="I69" s="17"/>
      <c r="K69" s="160"/>
      <c r="L69" s="170"/>
      <c r="M69" s="9"/>
      <c r="N69" s="170"/>
      <c r="O69" s="9"/>
      <c r="P69" s="9"/>
      <c r="Q69" s="9"/>
      <c r="R69" s="161"/>
      <c r="S69" s="17"/>
      <c r="U69" s="160" t="s">
        <v>34</v>
      </c>
      <c r="V69" s="170">
        <v>42501</v>
      </c>
      <c r="W69" s="9" t="s">
        <v>180</v>
      </c>
      <c r="X69" s="170">
        <v>24238</v>
      </c>
      <c r="Y69" s="9" t="s">
        <v>155</v>
      </c>
      <c r="Z69" s="9">
        <v>0</v>
      </c>
      <c r="AA69" s="9">
        <v>0</v>
      </c>
      <c r="AB69" s="161">
        <v>0.97399999999999998</v>
      </c>
      <c r="AC69" s="17">
        <v>0</v>
      </c>
      <c r="AE69" s="160"/>
      <c r="AF69" s="170"/>
      <c r="AG69" s="9"/>
      <c r="AH69" s="170"/>
      <c r="AI69" s="9"/>
      <c r="AJ69" s="9"/>
      <c r="AK69" s="9"/>
      <c r="AL69" s="161"/>
      <c r="AM69" s="17"/>
      <c r="AO69" s="160" t="s">
        <v>34</v>
      </c>
      <c r="AP69" s="170">
        <v>42501</v>
      </c>
      <c r="AQ69" s="9" t="s">
        <v>218</v>
      </c>
      <c r="AR69" s="170">
        <v>27891</v>
      </c>
      <c r="AS69" s="9" t="s">
        <v>156</v>
      </c>
      <c r="AT69" s="9">
        <v>0</v>
      </c>
      <c r="AU69" s="9">
        <v>0</v>
      </c>
      <c r="AV69" s="161">
        <v>1</v>
      </c>
      <c r="AW69" s="17">
        <v>0</v>
      </c>
      <c r="AY69" s="160"/>
      <c r="AZ69" s="170"/>
      <c r="BA69" s="9"/>
      <c r="BB69" s="170"/>
      <c r="BC69" s="9"/>
      <c r="BD69" s="9"/>
      <c r="BE69" s="9"/>
      <c r="BF69" s="161"/>
      <c r="BG69" s="17"/>
    </row>
    <row r="70" spans="1:59" x14ac:dyDescent="0.2">
      <c r="A70" s="160"/>
      <c r="B70" s="170"/>
      <c r="C70" s="9"/>
      <c r="D70" s="170"/>
      <c r="E70" s="9"/>
      <c r="F70" s="9"/>
      <c r="G70" s="9"/>
      <c r="H70" s="161"/>
      <c r="I70" s="17"/>
      <c r="K70" s="160"/>
      <c r="L70" s="170"/>
      <c r="M70" s="9"/>
      <c r="N70" s="170"/>
      <c r="O70" s="9"/>
      <c r="P70" s="9"/>
      <c r="Q70" s="9"/>
      <c r="R70" s="161"/>
      <c r="S70" s="17"/>
      <c r="U70" s="160" t="s">
        <v>34</v>
      </c>
      <c r="V70" s="170">
        <v>42501</v>
      </c>
      <c r="W70" s="9" t="s">
        <v>180</v>
      </c>
      <c r="X70" s="170">
        <v>27891</v>
      </c>
      <c r="Y70" s="9" t="s">
        <v>156</v>
      </c>
      <c r="Z70" s="9">
        <v>0</v>
      </c>
      <c r="AA70" s="9">
        <v>0</v>
      </c>
      <c r="AB70" s="161">
        <v>0.94899999999999995</v>
      </c>
      <c r="AC70" s="17">
        <v>0</v>
      </c>
      <c r="AE70" s="160"/>
      <c r="AF70" s="170"/>
      <c r="AG70" s="9"/>
      <c r="AH70" s="170"/>
      <c r="AI70" s="9"/>
      <c r="AJ70" s="9"/>
      <c r="AK70" s="9"/>
      <c r="AL70" s="161"/>
      <c r="AM70" s="17"/>
      <c r="AO70" s="160"/>
      <c r="AP70" s="170"/>
      <c r="AQ70" s="9"/>
      <c r="AR70" s="170"/>
      <c r="AS70" s="9"/>
      <c r="AT70" s="9"/>
      <c r="AU70" s="9"/>
      <c r="AV70" s="161"/>
      <c r="AW70" s="17"/>
      <c r="AY70" s="160"/>
      <c r="AZ70" s="170"/>
      <c r="BA70" s="9"/>
      <c r="BB70" s="170"/>
      <c r="BC70" s="9"/>
      <c r="BD70" s="9"/>
      <c r="BE70" s="9"/>
      <c r="BF70" s="161"/>
      <c r="BG70" s="17"/>
    </row>
    <row r="71" spans="1:59" x14ac:dyDescent="0.2">
      <c r="A71" s="160"/>
      <c r="B71" s="170"/>
      <c r="C71" s="9"/>
      <c r="D71" s="170"/>
      <c r="E71" s="9"/>
      <c r="F71" s="9"/>
      <c r="G71" s="9"/>
      <c r="H71" s="161"/>
      <c r="I71" s="17"/>
      <c r="K71" s="160"/>
      <c r="L71" s="170"/>
      <c r="M71" s="9"/>
      <c r="N71" s="170"/>
      <c r="O71" s="9"/>
      <c r="P71" s="9"/>
      <c r="Q71" s="9"/>
      <c r="R71" s="161"/>
      <c r="S71" s="17"/>
      <c r="U71" s="160"/>
      <c r="V71" s="170"/>
      <c r="W71" s="9"/>
      <c r="X71" s="170"/>
      <c r="Y71" s="9"/>
      <c r="Z71" s="9"/>
      <c r="AA71" s="9"/>
      <c r="AB71" s="161"/>
      <c r="AC71" s="17"/>
      <c r="AE71" s="160"/>
      <c r="AF71" s="170"/>
      <c r="AG71" s="9"/>
      <c r="AH71" s="170"/>
      <c r="AI71" s="9"/>
      <c r="AJ71" s="9"/>
      <c r="AK71" s="9"/>
      <c r="AL71" s="161"/>
      <c r="AM71" s="17"/>
      <c r="AO71" s="160"/>
      <c r="AP71" s="170"/>
      <c r="AQ71" s="9"/>
      <c r="AR71" s="170"/>
      <c r="AS71" s="9"/>
      <c r="AT71" s="9"/>
      <c r="AU71" s="9"/>
      <c r="AV71" s="161"/>
      <c r="AW71" s="17"/>
      <c r="AY71" s="160"/>
      <c r="AZ71" s="170"/>
      <c r="BA71" s="9"/>
      <c r="BB71" s="170"/>
      <c r="BC71" s="9"/>
      <c r="BD71" s="9"/>
      <c r="BE71" s="9"/>
      <c r="BF71" s="161"/>
      <c r="BG71" s="17"/>
    </row>
    <row r="72" spans="1:59" x14ac:dyDescent="0.2">
      <c r="A72" s="160"/>
      <c r="B72" s="170"/>
      <c r="C72" s="9"/>
      <c r="D72" s="170"/>
      <c r="E72" s="9"/>
      <c r="F72" s="9"/>
      <c r="G72" s="9"/>
      <c r="H72" s="161"/>
      <c r="I72" s="17"/>
      <c r="K72" s="160"/>
      <c r="L72" s="170"/>
      <c r="M72" s="9"/>
      <c r="N72" s="170"/>
      <c r="O72" s="9"/>
      <c r="P72" s="9"/>
      <c r="Q72" s="9"/>
      <c r="R72" s="161"/>
      <c r="S72" s="17"/>
      <c r="U72" s="160"/>
      <c r="V72" s="170"/>
      <c r="W72" s="9"/>
      <c r="X72" s="170"/>
      <c r="Y72" s="9"/>
      <c r="Z72" s="9"/>
      <c r="AA72" s="9"/>
      <c r="AB72" s="161"/>
      <c r="AC72" s="17"/>
      <c r="AE72" s="160"/>
      <c r="AF72" s="170"/>
      <c r="AG72" s="9"/>
      <c r="AH72" s="170"/>
      <c r="AI72" s="9"/>
      <c r="AJ72" s="9"/>
      <c r="AK72" s="9"/>
      <c r="AL72" s="161"/>
      <c r="AM72" s="17"/>
      <c r="AO72" s="160"/>
      <c r="AP72" s="170"/>
      <c r="AQ72" s="9"/>
      <c r="AR72" s="170"/>
      <c r="AS72" s="9"/>
      <c r="AT72" s="9"/>
      <c r="AU72" s="9"/>
      <c r="AV72" s="161"/>
      <c r="AW72" s="17"/>
      <c r="AY72" s="160"/>
      <c r="AZ72" s="170"/>
      <c r="BA72" s="9"/>
      <c r="BB72" s="170"/>
      <c r="BC72" s="9"/>
      <c r="BD72" s="9"/>
      <c r="BE72" s="9"/>
      <c r="BF72" s="161"/>
      <c r="BG72" s="17"/>
    </row>
    <row r="73" spans="1:59" x14ac:dyDescent="0.2">
      <c r="A73" s="160"/>
      <c r="B73" s="170"/>
      <c r="C73" s="9"/>
      <c r="D73" s="170"/>
      <c r="E73" s="9"/>
      <c r="F73" s="9"/>
      <c r="G73" s="9"/>
      <c r="H73" s="161"/>
      <c r="I73" s="17"/>
      <c r="K73" s="160"/>
      <c r="L73" s="170"/>
      <c r="M73" s="9"/>
      <c r="N73" s="170"/>
      <c r="O73" s="9"/>
      <c r="P73" s="9"/>
      <c r="Q73" s="9"/>
      <c r="R73" s="161"/>
      <c r="S73" s="17"/>
      <c r="U73" s="160"/>
      <c r="V73" s="170"/>
      <c r="W73" s="9"/>
      <c r="X73" s="170"/>
      <c r="Y73" s="9"/>
      <c r="Z73" s="9"/>
      <c r="AA73" s="9"/>
      <c r="AB73" s="161"/>
      <c r="AC73" s="17"/>
      <c r="AE73" s="160"/>
      <c r="AF73" s="170"/>
      <c r="AG73" s="9"/>
      <c r="AH73" s="170"/>
      <c r="AI73" s="9"/>
      <c r="AJ73" s="9"/>
      <c r="AK73" s="9"/>
      <c r="AL73" s="161"/>
      <c r="AM73" s="17"/>
      <c r="AO73" s="160"/>
      <c r="AP73" s="170"/>
      <c r="AQ73" s="9"/>
      <c r="AR73" s="170"/>
      <c r="AS73" s="9"/>
      <c r="AT73" s="9"/>
      <c r="AU73" s="9"/>
      <c r="AV73" s="161"/>
      <c r="AW73" s="17"/>
      <c r="AY73" s="160"/>
      <c r="AZ73" s="170"/>
      <c r="BA73" s="9"/>
      <c r="BB73" s="170"/>
      <c r="BC73" s="9"/>
      <c r="BD73" s="9"/>
      <c r="BE73" s="9"/>
      <c r="BF73" s="161"/>
      <c r="BG73" s="17"/>
    </row>
    <row r="74" spans="1:59" ht="12" thickBot="1" x14ac:dyDescent="0.25">
      <c r="A74" s="167"/>
      <c r="B74" s="171"/>
      <c r="C74" s="12"/>
      <c r="D74" s="171"/>
      <c r="E74" s="12"/>
      <c r="F74" s="12"/>
      <c r="G74" s="12"/>
      <c r="H74" s="168"/>
      <c r="I74" s="18"/>
      <c r="K74" s="167"/>
      <c r="L74" s="171"/>
      <c r="M74" s="12"/>
      <c r="N74" s="171"/>
      <c r="O74" s="12"/>
      <c r="P74" s="12"/>
      <c r="Q74" s="12"/>
      <c r="R74" s="168"/>
      <c r="S74" s="18"/>
      <c r="U74" s="167"/>
      <c r="V74" s="171"/>
      <c r="W74" s="12"/>
      <c r="X74" s="171"/>
      <c r="Y74" s="12"/>
      <c r="Z74" s="12"/>
      <c r="AA74" s="12"/>
      <c r="AB74" s="168"/>
      <c r="AC74" s="18"/>
      <c r="AE74" s="167"/>
      <c r="AF74" s="171"/>
      <c r="AG74" s="12"/>
      <c r="AH74" s="171"/>
      <c r="AI74" s="12"/>
      <c r="AJ74" s="12"/>
      <c r="AK74" s="12"/>
      <c r="AL74" s="168"/>
      <c r="AM74" s="18"/>
      <c r="AO74" s="167"/>
      <c r="AP74" s="171"/>
      <c r="AQ74" s="12"/>
      <c r="AR74" s="171"/>
      <c r="AS74" s="12"/>
      <c r="AT74" s="12"/>
      <c r="AU74" s="12"/>
      <c r="AV74" s="168"/>
      <c r="AW74" s="18"/>
      <c r="AY74" s="167"/>
      <c r="AZ74" s="171"/>
      <c r="BA74" s="12"/>
      <c r="BB74" s="171"/>
      <c r="BC74" s="12"/>
      <c r="BD74" s="12"/>
      <c r="BE74" s="12"/>
      <c r="BF74" s="168"/>
      <c r="BG74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GeneralSettings</vt:lpstr>
      <vt:lpstr>EURSTD</vt:lpstr>
      <vt:lpstr>EUR3M</vt:lpstr>
      <vt:lpstr>EUR6M</vt:lpstr>
      <vt:lpstr>EUR1Y</vt:lpstr>
      <vt:lpstr>EUR1M</vt:lpstr>
      <vt:lpstr>EURON</vt:lpstr>
      <vt:lpstr>Euribor</vt:lpstr>
      <vt:lpstr>PastedValue</vt:lpstr>
      <vt:lpstr>Calendar</vt:lpstr>
      <vt:lpstr>Currency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Euribor!FamilyName</vt:lpstr>
      <vt:lpstr>ObjectOverwrite</vt:lpstr>
      <vt:lpstr>Permanent</vt:lpstr>
      <vt:lpstr>Settlementdate</vt:lpstr>
      <vt:lpstr>Trigger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2014-09-18T08:07:51Z</dcterms:created>
  <dcterms:modified xsi:type="dcterms:W3CDTF">2016-05-11T13:59:08Z</dcterms:modified>
</cp:coreProperties>
</file>