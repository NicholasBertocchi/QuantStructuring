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135" tabRatio="858" firstSheet="5" activeTab="10"/>
  </bookViews>
  <sheets>
    <sheet name="Triggers" sheetId="8" r:id="rId1"/>
    <sheet name="EUR Curves" sheetId="10" r:id="rId2"/>
    <sheet name="USD Curves" sheetId="11" r:id="rId3"/>
    <sheet name="GBP Curves" sheetId="43" r:id="rId4"/>
    <sheet name="USDBASIS(EURON)" sheetId="27" r:id="rId5"/>
    <sheet name="USDBASIS(EURSTD)" sheetId="29" r:id="rId6"/>
    <sheet name="GBPBASIS(EURON,USD)" sheetId="44" r:id="rId7"/>
    <sheet name="GBPBASIS(EURSTD,USD)" sheetId="45" r:id="rId8"/>
    <sheet name="EURBASIS(USDON)" sheetId="47" r:id="rId9"/>
    <sheet name="GBPBASIS(USDON)" sheetId="46" r:id="rId10"/>
    <sheet name="EURGBP_Monitor" sheetId="42" r:id="rId11"/>
    <sheet name="SwapPricer" sheetId="33" state="hidden" r:id="rId12"/>
    <sheet name="Ql Curve" sheetId="39" state="hidden" r:id="rId13"/>
    <sheet name="dvCurveBootstrapperOptions" sheetId="2" state="hidden" r:id="rId14"/>
  </sheets>
  <functionGroups builtInGroupCount="17"/>
  <externalReferences>
    <externalReference r:id="rId15"/>
  </externalReferences>
  <definedNames>
    <definedName name="Contrib">[1]Summary!$F$2</definedName>
    <definedName name="CurveName">[0]!YCName&amp;T(TYPE([0]!CurveTrigger))</definedName>
    <definedName name="CurveTrigger">#REF!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dvSwapPaymFreq">dvCurveBootstrapperOptions!$B$30:$C$33</definedName>
    <definedName name="EvaluationDate">Triggers!$D$5</definedName>
    <definedName name="FinDBVerbose" localSheetId="1">'EUR Curves'!$C$8</definedName>
    <definedName name="FinDBVerbose" localSheetId="3">'GBP Curves'!$C$8</definedName>
    <definedName name="FinDBVerbose" localSheetId="2">'USD Curves'!$C$8</definedName>
    <definedName name="IsBootstrapSheet" localSheetId="13">dvCurveBootstrapperOptions!$L$39</definedName>
    <definedName name="IsBootstrapSheet" localSheetId="1">'EUR Curves'!$B$20</definedName>
    <definedName name="IsBootstrapSheet" localSheetId="8">'EURBASIS(USDON)'!$C$70</definedName>
    <definedName name="IsBootstrapSheet" localSheetId="10">EURGBP_Monitor!$A$1</definedName>
    <definedName name="IsBootstrapSheet" localSheetId="3">'GBP Curves'!$B$21</definedName>
    <definedName name="IsBootstrapSheet" localSheetId="6">'GBPBASIS(EURON,USD)'!$C$70</definedName>
    <definedName name="IsBootstrapSheet" localSheetId="7">'GBPBASIS(EURSTD,USD)'!$C$70</definedName>
    <definedName name="IsBootstrapSheet" localSheetId="9">'GBPBASIS(USDON)'!$C$70</definedName>
    <definedName name="IsBootstrapSheet" localSheetId="12">'Ql Curve'!$C$95</definedName>
    <definedName name="IsBootstrapSheet" localSheetId="11">SwapPricer!$A$1</definedName>
    <definedName name="IsBootstrapSheet" localSheetId="0">Triggers!$C$15</definedName>
    <definedName name="IsBootstrapSheet" localSheetId="2">'USD Curves'!$B$21</definedName>
    <definedName name="IsBootstrapSheet" localSheetId="4">'USDBASIS(EURON)'!$C$70</definedName>
    <definedName name="IsBootstrapSheet" localSheetId="5">'USDBASIS(EURSTD)'!$C$70</definedName>
    <definedName name="ManualTrigger">Triggers!$D$4</definedName>
    <definedName name="ObjectsTrigger">Triggers!$D$9</definedName>
    <definedName name="Override" localSheetId="1">'EUR Curves'!$F$4:$G$93,'EUR Curves'!$O$4:$P$93,'EUR Curves'!$X$4:$Y$93</definedName>
    <definedName name="Override" localSheetId="8">'EURBASIS(USDON)'!$J$3:$J$20,'EURBASIS(USDON)'!$J$23:$J$23,'EURBASIS(USDON)'!$J$26:$J$67</definedName>
    <definedName name="Override" localSheetId="3">'GBP Curves'!$F$4:$G$93,'GBP Curves'!$O$4:$P$93,'GBP Curves'!$X$4:$Y$93</definedName>
    <definedName name="Override" localSheetId="6">'GBPBASIS(EURON,USD)'!$J$3:$J$20,'GBPBASIS(EURON,USD)'!$J$23:$J$23,'GBPBASIS(EURON,USD)'!$J$26:$J$67</definedName>
    <definedName name="Override" localSheetId="7">'GBPBASIS(EURSTD,USD)'!$J$3:$J$20,'GBPBASIS(EURSTD,USD)'!$J$23:$J$23,'GBPBASIS(EURSTD,USD)'!$J$26:$J$67</definedName>
    <definedName name="Override" localSheetId="9">'GBPBASIS(USDON)'!$J$3:$J$20,'GBPBASIS(USDON)'!$J$23:$J$23,'GBPBASIS(USDON)'!$J$26:$J$67</definedName>
    <definedName name="Override" localSheetId="2">'USD Curves'!$F$4:$G$93,'USD Curves'!$O$4:$P$93,'USD Curves'!$X$4:$Y$93</definedName>
    <definedName name="Override" localSheetId="4">'USDBASIS(EURON)'!$J$3:$J$20,'USDBASIS(EURON)'!$J$23:$J$23,'USDBASIS(EURON)'!$J$26:$J$67</definedName>
    <definedName name="Override" localSheetId="5">'USDBASIS(EURSTD)'!$J$3:$J$20,'USDBASIS(EURSTD)'!$J$23:$J$23,'USDBASIS(EURSTD)'!$J$26:$J$67</definedName>
    <definedName name="pwd">EURGBP_Monitor!$C$30</definedName>
    <definedName name="RateCurvesNames">[1]Triggers!$B$3:$B$8</definedName>
    <definedName name="RateCurvesTriggeredNames">[1]Triggers!$D$3:$D$8</definedName>
    <definedName name="RealTime" localSheetId="1">'EUR Curves'!$D$4:$E$93,'EUR Curves'!$M$4:$N$93,'EUR Curves'!$V$4:$W$93</definedName>
    <definedName name="RealTime" localSheetId="8">'EURBASIS(USDON)'!$I$3:$I$20,'EURBASIS(USDON)'!$I$23:$I$23,'EURBASIS(USDON)'!$I$26:$I$67</definedName>
    <definedName name="RealTime" localSheetId="3">'GBP Curves'!$D$4:$E$93,'GBP Curves'!$M$4:$N$93,'GBP Curves'!$V$4:$W$93</definedName>
    <definedName name="RealTime" localSheetId="6">'GBPBASIS(EURON,USD)'!$I$3:$I$20,'GBPBASIS(EURON,USD)'!$I$23:$I$23,'GBPBASIS(EURON,USD)'!$I$26:$I$67</definedName>
    <definedName name="RealTime" localSheetId="7">'GBPBASIS(EURSTD,USD)'!$I$3:$I$20,'GBPBASIS(EURSTD,USD)'!$I$23:$I$23,'GBPBASIS(EURSTD,USD)'!$I$26:$I$67</definedName>
    <definedName name="RealTime" localSheetId="9">'GBPBASIS(USDON)'!$I$3:$I$20,'GBPBASIS(USDON)'!$I$23:$I$23,'GBPBASIS(USDON)'!$I$26:$I$67</definedName>
    <definedName name="RealTime" localSheetId="2">'USD Curves'!$D$4:$E$93,'USD Curves'!$M$4:$N$93,'USD Curves'!$V$4:$W$93</definedName>
    <definedName name="RealTime" localSheetId="4">'USDBASIS(EURON)'!$I$3:$I$20,'USDBASIS(EURON)'!$I$23:$I$23,'USDBASIS(EURON)'!$I$26:$I$67</definedName>
    <definedName name="RealTime" localSheetId="5">'USDBASIS(EURSTD)'!$I$3:$I$20,'USDBASIS(EURSTD)'!$I$23:$I$23,'USDBASIS(EURSTD)'!$I$26:$I$67</definedName>
    <definedName name="RTDataTrigger" localSheetId="0">Triggers!$D$8</definedName>
    <definedName name="Today">[1]Summary!$C$2</definedName>
    <definedName name="trigger" localSheetId="1">'EUR Curves'!$I$3</definedName>
    <definedName name="trigger" localSheetId="3">'GBP Curves'!$I$3</definedName>
    <definedName name="trigger" localSheetId="2">'USD Curves'!$I$3</definedName>
    <definedName name="Used" localSheetId="8">'EURBASIS(USDON)'!$L$3:$L$20,'EURBASIS(USDON)'!$L$23:$L$23,'EURBASIS(USDON)'!$L$26:$L$67</definedName>
    <definedName name="Used" localSheetId="6">'GBPBASIS(EURON,USD)'!$L$3:$L$20,'GBPBASIS(EURON,USD)'!$L$23:$L$23,'GBPBASIS(EURON,USD)'!$L$26:$L$67</definedName>
    <definedName name="Used" localSheetId="7">'GBPBASIS(EURSTD,USD)'!$L$3:$L$20,'GBPBASIS(EURSTD,USD)'!$L$23:$L$23,'GBPBASIS(EURSTD,USD)'!$L$26:$L$67</definedName>
    <definedName name="Used" localSheetId="9">'GBPBASIS(USDON)'!$L$3:$L$20,'GBPBASIS(USDON)'!$L$23:$L$23,'GBPBASIS(USDON)'!$L$26:$L$67</definedName>
    <definedName name="Used" localSheetId="4">'USDBASIS(EURON)'!$L$3:$L$20,'USDBASIS(EURON)'!$L$23:$L$23,'USDBASIS(EURON)'!$L$26:$L$67</definedName>
    <definedName name="Used" localSheetId="5">'USDBASIS(EURSTD)'!$L$3:$L$20,'USDBASIS(EURSTD)'!$L$23:$L$23,'USDBASIS(EURSTD)'!$L$26:$L$67</definedName>
    <definedName name="YCName">#REF!</definedName>
  </definedNames>
  <calcPr calcId="145621"/>
</workbook>
</file>

<file path=xl/calcChain.xml><?xml version="1.0" encoding="utf-8"?>
<calcChain xmlns="http://schemas.openxmlformats.org/spreadsheetml/2006/main">
  <c r="K34" i="42" l="1"/>
  <c r="K33" i="42"/>
  <c r="K32" i="42"/>
  <c r="I34" i="42"/>
  <c r="I33" i="42"/>
  <c r="I32" i="42"/>
  <c r="F22" i="42" l="1" a="1"/>
  <c r="F22" i="42" s="1"/>
  <c r="H22" i="42" s="1"/>
  <c r="J22" i="42" l="1"/>
  <c r="F29" i="42"/>
  <c r="F28" i="42"/>
  <c r="F27" i="42"/>
  <c r="F34" i="42"/>
  <c r="F26" i="42"/>
  <c r="F33" i="42"/>
  <c r="F25" i="42"/>
  <c r="F32" i="42"/>
  <c r="F24" i="42"/>
  <c r="F31" i="42"/>
  <c r="F23" i="42"/>
  <c r="F30" i="42"/>
  <c r="U18" i="42"/>
  <c r="U17" i="42"/>
  <c r="U16" i="42"/>
  <c r="AB4" i="42"/>
  <c r="T18" i="42"/>
  <c r="T17" i="42"/>
  <c r="T16" i="42"/>
  <c r="S18" i="42"/>
  <c r="S17" i="42"/>
  <c r="S16" i="42"/>
  <c r="C69" i="47"/>
  <c r="B69" i="47"/>
  <c r="C68" i="47"/>
  <c r="B68" i="47"/>
  <c r="C67" i="47"/>
  <c r="B67" i="47"/>
  <c r="C66" i="47"/>
  <c r="B66" i="47"/>
  <c r="C65" i="47"/>
  <c r="B65" i="47"/>
  <c r="C64" i="47"/>
  <c r="B64" i="47"/>
  <c r="C63" i="47"/>
  <c r="B63" i="47"/>
  <c r="C62" i="47"/>
  <c r="B62" i="47"/>
  <c r="C61" i="47"/>
  <c r="B61" i="47"/>
  <c r="C60" i="47"/>
  <c r="B60" i="47"/>
  <c r="C59" i="47"/>
  <c r="B59" i="47"/>
  <c r="C58" i="47"/>
  <c r="B58" i="47"/>
  <c r="C57" i="47"/>
  <c r="B57" i="47"/>
  <c r="B56" i="47"/>
  <c r="C55" i="47"/>
  <c r="C54" i="47"/>
  <c r="B53" i="47"/>
  <c r="B52" i="47"/>
  <c r="B51" i="47"/>
  <c r="B50" i="47"/>
  <c r="B49" i="47"/>
  <c r="B48" i="47"/>
  <c r="C45" i="47"/>
  <c r="AJ32" i="47"/>
  <c r="AJ33" i="47" s="1"/>
  <c r="AJ34" i="47" s="1"/>
  <c r="AJ35" i="47" s="1"/>
  <c r="AJ36" i="47" s="1"/>
  <c r="AJ37" i="47" s="1"/>
  <c r="AJ38" i="47" s="1"/>
  <c r="AJ39" i="47" s="1"/>
  <c r="AJ40" i="47" s="1"/>
  <c r="AJ41" i="47" s="1"/>
  <c r="AJ42" i="47" s="1"/>
  <c r="AJ43" i="47" s="1"/>
  <c r="AJ44" i="47" s="1"/>
  <c r="AJ45" i="47" s="1"/>
  <c r="AJ46" i="47" s="1"/>
  <c r="AJ47" i="47" s="1"/>
  <c r="AJ48" i="47" s="1"/>
  <c r="AJ49" i="47" s="1"/>
  <c r="AJ50" i="47" s="1"/>
  <c r="AJ51" i="47" s="1"/>
  <c r="AJ52" i="47" s="1"/>
  <c r="AJ53" i="47" s="1"/>
  <c r="AJ54" i="47" s="1"/>
  <c r="AJ55" i="47" s="1"/>
  <c r="AJ56" i="47" s="1"/>
  <c r="AJ57" i="47" s="1"/>
  <c r="AJ58" i="47" s="1"/>
  <c r="AJ59" i="47" s="1"/>
  <c r="AJ60" i="47" s="1"/>
  <c r="AJ61" i="47" s="1"/>
  <c r="AJ62" i="47" s="1"/>
  <c r="AJ63" i="47" s="1"/>
  <c r="AJ64" i="47" s="1"/>
  <c r="AJ65" i="47" s="1"/>
  <c r="AJ66" i="47" s="1"/>
  <c r="AJ67" i="47" s="1"/>
  <c r="AJ68" i="47" s="1"/>
  <c r="AJ69" i="47" s="1"/>
  <c r="AJ70" i="47" s="1"/>
  <c r="AJ71" i="47" s="1"/>
  <c r="AJ72" i="47" s="1"/>
  <c r="M29" i="47"/>
  <c r="M30" i="47" s="1"/>
  <c r="M31" i="47" s="1"/>
  <c r="M32" i="47" s="1"/>
  <c r="M33" i="47" s="1"/>
  <c r="M34" i="47" s="1"/>
  <c r="M35" i="47" s="1"/>
  <c r="M36" i="47" s="1"/>
  <c r="M37" i="47" s="1"/>
  <c r="M38" i="47" s="1"/>
  <c r="M39" i="47" s="1"/>
  <c r="M40" i="47" s="1"/>
  <c r="M41" i="47" s="1"/>
  <c r="M42" i="47" s="1"/>
  <c r="M43" i="47" s="1"/>
  <c r="M44" i="47" s="1"/>
  <c r="M45" i="47" s="1"/>
  <c r="M46" i="47" s="1"/>
  <c r="M47" i="47" s="1"/>
  <c r="M48" i="47" s="1"/>
  <c r="M49" i="47" s="1"/>
  <c r="M50" i="47" s="1"/>
  <c r="M51" i="47" s="1"/>
  <c r="M52" i="47" s="1"/>
  <c r="M53" i="47" s="1"/>
  <c r="M54" i="47" s="1"/>
  <c r="M55" i="47" s="1"/>
  <c r="M56" i="47" s="1"/>
  <c r="M57" i="47" s="1"/>
  <c r="M58" i="47" s="1"/>
  <c r="M59" i="47" s="1"/>
  <c r="M60" i="47" s="1"/>
  <c r="M61" i="47" s="1"/>
  <c r="M62" i="47" s="1"/>
  <c r="M63" i="47" s="1"/>
  <c r="M64" i="47" s="1"/>
  <c r="M65" i="47" s="1"/>
  <c r="M66" i="47" s="1"/>
  <c r="M67" i="47" s="1"/>
  <c r="M27" i="47"/>
  <c r="M28" i="47" s="1"/>
  <c r="F23" i="47"/>
  <c r="N20" i="47"/>
  <c r="F20" i="47"/>
  <c r="N19" i="47"/>
  <c r="F19" i="47"/>
  <c r="N18" i="47"/>
  <c r="F18" i="47"/>
  <c r="N17" i="47"/>
  <c r="F17" i="47"/>
  <c r="N16" i="47"/>
  <c r="F16" i="47"/>
  <c r="N15" i="47"/>
  <c r="F15" i="47"/>
  <c r="N14" i="47"/>
  <c r="F14" i="47"/>
  <c r="N13" i="47"/>
  <c r="F13" i="47"/>
  <c r="N12" i="47"/>
  <c r="F12" i="47"/>
  <c r="AI11" i="47"/>
  <c r="N11" i="47"/>
  <c r="M11" i="47"/>
  <c r="M12" i="47" s="1"/>
  <c r="M13" i="47" s="1"/>
  <c r="M14" i="47" s="1"/>
  <c r="M15" i="47" s="1"/>
  <c r="M16" i="47" s="1"/>
  <c r="M17" i="47" s="1"/>
  <c r="M18" i="47" s="1"/>
  <c r="M19" i="47" s="1"/>
  <c r="M20" i="47" s="1"/>
  <c r="F11" i="47"/>
  <c r="N10" i="47"/>
  <c r="M10" i="47"/>
  <c r="F10" i="47"/>
  <c r="N9" i="47"/>
  <c r="F9" i="47"/>
  <c r="N8" i="47"/>
  <c r="F8" i="47"/>
  <c r="N7" i="47"/>
  <c r="F7" i="47"/>
  <c r="N6" i="47"/>
  <c r="N5" i="47"/>
  <c r="M5" i="47"/>
  <c r="M6" i="47" s="1"/>
  <c r="M7" i="47" s="1"/>
  <c r="M8" i="47" s="1"/>
  <c r="M9" i="47" s="1"/>
  <c r="F5" i="47"/>
  <c r="N4" i="47"/>
  <c r="M4" i="47"/>
  <c r="F4" i="47"/>
  <c r="N3" i="47"/>
  <c r="F3" i="47"/>
  <c r="S2" i="47"/>
  <c r="O3" i="47" s="1"/>
  <c r="S2" i="47" a="1"/>
  <c r="C69" i="46"/>
  <c r="B69" i="46"/>
  <c r="C68" i="46"/>
  <c r="B68" i="46"/>
  <c r="C67" i="46"/>
  <c r="B67" i="46"/>
  <c r="C66" i="46"/>
  <c r="B66" i="46"/>
  <c r="C65" i="46"/>
  <c r="B65" i="46"/>
  <c r="C64" i="46"/>
  <c r="B64" i="46"/>
  <c r="C63" i="46"/>
  <c r="B63" i="46"/>
  <c r="C62" i="46"/>
  <c r="B62" i="46"/>
  <c r="C61" i="46"/>
  <c r="B61" i="46"/>
  <c r="C60" i="46"/>
  <c r="B60" i="46"/>
  <c r="C59" i="46"/>
  <c r="B59" i="46"/>
  <c r="C58" i="46"/>
  <c r="B58" i="46"/>
  <c r="C57" i="46"/>
  <c r="B57" i="46"/>
  <c r="B56" i="46"/>
  <c r="C55" i="46"/>
  <c r="C54" i="46"/>
  <c r="B53" i="46"/>
  <c r="B52" i="46"/>
  <c r="B51" i="46"/>
  <c r="B50" i="46"/>
  <c r="B49" i="46"/>
  <c r="C45" i="46"/>
  <c r="AJ32" i="46"/>
  <c r="AJ33" i="46" s="1"/>
  <c r="AJ34" i="46" s="1"/>
  <c r="AJ35" i="46" s="1"/>
  <c r="AJ36" i="46" s="1"/>
  <c r="AJ37" i="46" s="1"/>
  <c r="AJ38" i="46" s="1"/>
  <c r="AJ39" i="46" s="1"/>
  <c r="AJ40" i="46" s="1"/>
  <c r="AJ41" i="46" s="1"/>
  <c r="M30" i="46"/>
  <c r="M31" i="46" s="1"/>
  <c r="M32" i="46" s="1"/>
  <c r="M33" i="46" s="1"/>
  <c r="M34" i="46" s="1"/>
  <c r="M35" i="46" s="1"/>
  <c r="M36" i="46" s="1"/>
  <c r="M37" i="46" s="1"/>
  <c r="M38" i="46" s="1"/>
  <c r="M39" i="46" s="1"/>
  <c r="M40" i="46" s="1"/>
  <c r="M41" i="46" s="1"/>
  <c r="M42" i="46" s="1"/>
  <c r="M43" i="46" s="1"/>
  <c r="M44" i="46" s="1"/>
  <c r="M45" i="46" s="1"/>
  <c r="M46" i="46" s="1"/>
  <c r="M47" i="46" s="1"/>
  <c r="M48" i="46" s="1"/>
  <c r="M49" i="46" s="1"/>
  <c r="M50" i="46" s="1"/>
  <c r="M51" i="46" s="1"/>
  <c r="M52" i="46" s="1"/>
  <c r="M53" i="46" s="1"/>
  <c r="M54" i="46" s="1"/>
  <c r="M55" i="46" s="1"/>
  <c r="M56" i="46" s="1"/>
  <c r="M57" i="46" s="1"/>
  <c r="M58" i="46" s="1"/>
  <c r="M59" i="46" s="1"/>
  <c r="M60" i="46" s="1"/>
  <c r="M61" i="46" s="1"/>
  <c r="M62" i="46" s="1"/>
  <c r="M63" i="46" s="1"/>
  <c r="M64" i="46" s="1"/>
  <c r="M65" i="46" s="1"/>
  <c r="M66" i="46" s="1"/>
  <c r="M67" i="46" s="1"/>
  <c r="M29" i="46"/>
  <c r="M28" i="46"/>
  <c r="M27" i="46"/>
  <c r="F23" i="46"/>
  <c r="N20" i="46"/>
  <c r="F20" i="46"/>
  <c r="N19" i="46"/>
  <c r="F19" i="46"/>
  <c r="N18" i="46"/>
  <c r="F18" i="46"/>
  <c r="F17" i="46"/>
  <c r="N16" i="46"/>
  <c r="F16" i="46"/>
  <c r="N15" i="46"/>
  <c r="F15" i="46"/>
  <c r="F14" i="46"/>
  <c r="F13" i="46"/>
  <c r="F12" i="46"/>
  <c r="AI11" i="46"/>
  <c r="F11" i="46"/>
  <c r="F10" i="46"/>
  <c r="F9" i="46"/>
  <c r="F8" i="46"/>
  <c r="B48" i="46"/>
  <c r="F7" i="46"/>
  <c r="N5" i="46"/>
  <c r="F5" i="46"/>
  <c r="M4" i="46"/>
  <c r="M5" i="46" s="1"/>
  <c r="M6" i="46" s="1"/>
  <c r="F4" i="46"/>
  <c r="N3" i="46"/>
  <c r="F3" i="46"/>
  <c r="S2" i="46"/>
  <c r="O3" i="46" s="1"/>
  <c r="S2" i="46" a="1"/>
  <c r="C8" i="45"/>
  <c r="C69" i="45"/>
  <c r="B69" i="45"/>
  <c r="C68" i="45"/>
  <c r="B68" i="45"/>
  <c r="C67" i="45"/>
  <c r="B67" i="45"/>
  <c r="C66" i="45"/>
  <c r="B66" i="45"/>
  <c r="C65" i="45"/>
  <c r="B65" i="45"/>
  <c r="C64" i="45"/>
  <c r="B64" i="45"/>
  <c r="C63" i="45"/>
  <c r="B63" i="45"/>
  <c r="C62" i="45"/>
  <c r="B62" i="45"/>
  <c r="C61" i="45"/>
  <c r="B61" i="45"/>
  <c r="C60" i="45"/>
  <c r="B60" i="45"/>
  <c r="C59" i="45"/>
  <c r="B59" i="45"/>
  <c r="C58" i="45"/>
  <c r="B58" i="45"/>
  <c r="C57" i="45"/>
  <c r="B57" i="45"/>
  <c r="B56" i="45"/>
  <c r="C55" i="45"/>
  <c r="C54" i="45"/>
  <c r="B53" i="45"/>
  <c r="B52" i="45"/>
  <c r="B51" i="45"/>
  <c r="B50" i="45"/>
  <c r="B49" i="45"/>
  <c r="C45" i="45"/>
  <c r="AJ32" i="45"/>
  <c r="AJ33" i="45" s="1"/>
  <c r="AJ34" i="45" s="1"/>
  <c r="AJ35" i="45" s="1"/>
  <c r="AJ36" i="45" s="1"/>
  <c r="AJ37" i="45" s="1"/>
  <c r="AJ38" i="45" s="1"/>
  <c r="AJ39" i="45" s="1"/>
  <c r="AJ40" i="45" s="1"/>
  <c r="AJ41" i="45" s="1"/>
  <c r="AJ42" i="45" s="1"/>
  <c r="AJ43" i="45" s="1"/>
  <c r="AJ44" i="45" s="1"/>
  <c r="AJ45" i="45" s="1"/>
  <c r="AJ46" i="45" s="1"/>
  <c r="AJ47" i="45" s="1"/>
  <c r="AJ48" i="45" s="1"/>
  <c r="AJ49" i="45" s="1"/>
  <c r="AJ50" i="45" s="1"/>
  <c r="AJ51" i="45" s="1"/>
  <c r="AJ52" i="45" s="1"/>
  <c r="AJ53" i="45" s="1"/>
  <c r="AJ54" i="45" s="1"/>
  <c r="AJ55" i="45" s="1"/>
  <c r="AJ56" i="45" s="1"/>
  <c r="AJ57" i="45" s="1"/>
  <c r="AJ58" i="45" s="1"/>
  <c r="AJ59" i="45" s="1"/>
  <c r="AJ60" i="45" s="1"/>
  <c r="AJ61" i="45" s="1"/>
  <c r="AJ62" i="45" s="1"/>
  <c r="AJ63" i="45" s="1"/>
  <c r="AJ64" i="45" s="1"/>
  <c r="AJ65" i="45" s="1"/>
  <c r="AJ66" i="45" s="1"/>
  <c r="AJ67" i="45" s="1"/>
  <c r="AJ68" i="45" s="1"/>
  <c r="AJ69" i="45" s="1"/>
  <c r="AJ70" i="45" s="1"/>
  <c r="AJ71" i="45" s="1"/>
  <c r="AJ72" i="45" s="1"/>
  <c r="M27" i="45"/>
  <c r="M28" i="45" s="1"/>
  <c r="M29" i="45" s="1"/>
  <c r="M30" i="45" s="1"/>
  <c r="M31" i="45" s="1"/>
  <c r="M32" i="45" s="1"/>
  <c r="M33" i="45" s="1"/>
  <c r="M34" i="45" s="1"/>
  <c r="M35" i="45" s="1"/>
  <c r="M36" i="45" s="1"/>
  <c r="M37" i="45" s="1"/>
  <c r="M38" i="45" s="1"/>
  <c r="M39" i="45" s="1"/>
  <c r="M40" i="45" s="1"/>
  <c r="M41" i="45" s="1"/>
  <c r="M42" i="45" s="1"/>
  <c r="M43" i="45" s="1"/>
  <c r="M44" i="45" s="1"/>
  <c r="M45" i="45" s="1"/>
  <c r="M46" i="45" s="1"/>
  <c r="M47" i="45" s="1"/>
  <c r="M48" i="45" s="1"/>
  <c r="M49" i="45" s="1"/>
  <c r="M50" i="45" s="1"/>
  <c r="M51" i="45" s="1"/>
  <c r="M52" i="45" s="1"/>
  <c r="M53" i="45" s="1"/>
  <c r="M54" i="45" s="1"/>
  <c r="M55" i="45" s="1"/>
  <c r="M56" i="45" s="1"/>
  <c r="M57" i="45" s="1"/>
  <c r="M58" i="45" s="1"/>
  <c r="M59" i="45" s="1"/>
  <c r="M60" i="45" s="1"/>
  <c r="M61" i="45" s="1"/>
  <c r="M62" i="45" s="1"/>
  <c r="M63" i="45" s="1"/>
  <c r="M64" i="45" s="1"/>
  <c r="M65" i="45" s="1"/>
  <c r="M66" i="45" s="1"/>
  <c r="M67" i="45" s="1"/>
  <c r="F23" i="45"/>
  <c r="N20" i="45"/>
  <c r="F20" i="45"/>
  <c r="N19" i="45"/>
  <c r="F19" i="45"/>
  <c r="N18" i="45"/>
  <c r="F18" i="45"/>
  <c r="F17" i="45"/>
  <c r="N16" i="45"/>
  <c r="F16" i="45"/>
  <c r="N15" i="45"/>
  <c r="F15" i="45"/>
  <c r="F14" i="45"/>
  <c r="F13" i="45"/>
  <c r="F12" i="45"/>
  <c r="AI11" i="45"/>
  <c r="F11" i="45"/>
  <c r="F10" i="45"/>
  <c r="F9" i="45"/>
  <c r="F8" i="45"/>
  <c r="B48" i="45"/>
  <c r="F7" i="45"/>
  <c r="O6" i="45"/>
  <c r="O5" i="45"/>
  <c r="N5" i="45"/>
  <c r="M5" i="45"/>
  <c r="M6" i="45" s="1"/>
  <c r="F5" i="45"/>
  <c r="O4" i="45"/>
  <c r="M4" i="45"/>
  <c r="N4" i="45" s="1"/>
  <c r="F4" i="45"/>
  <c r="N3" i="45"/>
  <c r="F3" i="45"/>
  <c r="S2" i="45" a="1"/>
  <c r="S2" i="45" s="1"/>
  <c r="O3" i="45" s="1"/>
  <c r="Z43" i="47"/>
  <c r="Z40" i="46"/>
  <c r="Z21" i="45"/>
  <c r="Z18" i="47"/>
  <c r="Z49" i="47"/>
  <c r="Z45" i="45"/>
  <c r="AA38" i="46"/>
  <c r="AA51" i="47"/>
  <c r="AA52" i="47"/>
  <c r="Z34" i="46"/>
  <c r="Z8" i="46"/>
  <c r="AA54" i="47"/>
  <c r="AA41" i="47"/>
  <c r="AA40" i="47"/>
  <c r="AA50" i="46"/>
  <c r="Z71" i="45"/>
  <c r="AA32" i="47"/>
  <c r="Z69" i="46"/>
  <c r="AA59" i="47"/>
  <c r="Z44" i="47"/>
  <c r="Z63" i="45"/>
  <c r="Z40" i="47"/>
  <c r="AA61" i="46"/>
  <c r="AA53" i="47"/>
  <c r="AA70" i="45"/>
  <c r="AA20" i="47"/>
  <c r="Z41" i="47"/>
  <c r="Z32" i="45"/>
  <c r="Z52" i="46"/>
  <c r="AA31" i="45"/>
  <c r="Z27" i="44"/>
  <c r="AA35" i="45"/>
  <c r="AA9" i="47"/>
  <c r="Z36" i="46"/>
  <c r="Z53" i="45"/>
  <c r="Z50" i="45"/>
  <c r="Z19" i="47"/>
  <c r="AA54" i="46"/>
  <c r="AA56" i="45"/>
  <c r="Z45" i="46"/>
  <c r="Z16" i="46"/>
  <c r="AA36" i="45"/>
  <c r="Z68" i="45"/>
  <c r="Z59" i="46"/>
  <c r="AA63" i="46"/>
  <c r="Z42" i="47"/>
  <c r="Z17" i="46"/>
  <c r="Z17" i="47"/>
  <c r="Z13" i="45"/>
  <c r="Z64" i="46"/>
  <c r="AA57" i="47"/>
  <c r="AA32" i="46"/>
  <c r="Z18" i="46"/>
  <c r="AA55" i="46"/>
  <c r="AA8" i="46"/>
  <c r="Z56" i="46"/>
  <c r="Z58" i="46"/>
  <c r="AA69" i="46"/>
  <c r="AA36" i="47"/>
  <c r="AA68" i="45"/>
  <c r="AA42" i="47"/>
  <c r="Z48" i="46"/>
  <c r="AA15" i="47"/>
  <c r="AA61" i="45"/>
  <c r="Z47" i="47"/>
  <c r="AA34" i="46"/>
  <c r="AA13" i="46"/>
  <c r="Z18" i="45"/>
  <c r="AA66" i="45"/>
  <c r="AA32" i="45"/>
  <c r="Z37" i="45"/>
  <c r="AA38" i="47"/>
  <c r="Z19" i="46"/>
  <c r="Z65" i="45"/>
  <c r="AA21" i="46"/>
  <c r="AA49" i="46"/>
  <c r="AA70" i="46"/>
  <c r="Z8" i="47"/>
  <c r="Z60" i="45"/>
  <c r="Z27" i="47"/>
  <c r="AA71" i="47"/>
  <c r="AA67" i="47"/>
  <c r="Z36" i="47"/>
  <c r="Z46" i="45"/>
  <c r="Z61" i="46"/>
  <c r="AA20" i="45"/>
  <c r="Z51" i="45"/>
  <c r="AA67" i="45"/>
  <c r="Z49" i="45"/>
  <c r="AA53" i="46"/>
  <c r="Z10" i="46"/>
  <c r="Z71" i="46"/>
  <c r="Z21" i="46"/>
  <c r="AA62" i="47"/>
  <c r="Z57" i="46"/>
  <c r="AA8" i="45"/>
  <c r="AA71" i="46"/>
  <c r="Z54" i="45"/>
  <c r="Z69" i="47"/>
  <c r="Z8" i="45"/>
  <c r="Z68" i="47"/>
  <c r="AA45" i="45"/>
  <c r="AA52" i="45"/>
  <c r="Z58" i="45"/>
  <c r="AA68" i="46"/>
  <c r="Z9" i="46"/>
  <c r="Z61" i="45"/>
  <c r="AA67" i="46"/>
  <c r="AA37" i="46"/>
  <c r="AA35" i="47"/>
  <c r="AA65" i="46"/>
  <c r="AA61" i="47"/>
  <c r="Z49" i="46"/>
  <c r="AA72" i="47"/>
  <c r="AA60" i="46"/>
  <c r="Z14" i="45"/>
  <c r="AA20" i="46"/>
  <c r="AA65" i="47"/>
  <c r="AA46" i="46"/>
  <c r="AA37" i="47"/>
  <c r="C15" i="46"/>
  <c r="AA3" i="46"/>
  <c r="AA66" i="47"/>
  <c r="AA27" i="44"/>
  <c r="AA42" i="45"/>
  <c r="AA39" i="46"/>
  <c r="Z9" i="45"/>
  <c r="AA58" i="46"/>
  <c r="Z38" i="45"/>
  <c r="AA18" i="46"/>
  <c r="Z64" i="45"/>
  <c r="Z59" i="45"/>
  <c r="Z38" i="46"/>
  <c r="Z71" i="47"/>
  <c r="Z27" i="45"/>
  <c r="AA58" i="45"/>
  <c r="Z23" i="45"/>
  <c r="Z57" i="47"/>
  <c r="AA31" i="47"/>
  <c r="Z64" i="47"/>
  <c r="Z40" i="45"/>
  <c r="Z14" i="47"/>
  <c r="Z72" i="45"/>
  <c r="Z67" i="47"/>
  <c r="Z13" i="46"/>
  <c r="Z5" i="45"/>
  <c r="Z38" i="47"/>
  <c r="AA51" i="46"/>
  <c r="Z45" i="47"/>
  <c r="Z17" i="45"/>
  <c r="Z31" i="45"/>
  <c r="AA52" i="46"/>
  <c r="AA43" i="47"/>
  <c r="AA41" i="45"/>
  <c r="Z51" i="46"/>
  <c r="Z32" i="46"/>
  <c r="Z46" i="47"/>
  <c r="AA36" i="46"/>
  <c r="Z34" i="47"/>
  <c r="C15" i="47"/>
  <c r="AA16" i="47"/>
  <c r="Z24" i="45"/>
  <c r="AA48" i="47"/>
  <c r="AA38" i="45"/>
  <c r="Z5" i="46"/>
  <c r="Z31" i="47"/>
  <c r="Z43" i="45"/>
  <c r="Z54" i="46"/>
  <c r="AA45" i="46"/>
  <c r="Z14" i="46"/>
  <c r="AA66" i="46"/>
  <c r="C15" i="45"/>
  <c r="AA60" i="47"/>
  <c r="Z21" i="47"/>
  <c r="Z44" i="45"/>
  <c r="AA59" i="45"/>
  <c r="AA53" i="45"/>
  <c r="Z70" i="47"/>
  <c r="Z50" i="47"/>
  <c r="AA3" i="45"/>
  <c r="Z33" i="47"/>
  <c r="Z24" i="46"/>
  <c r="AA63" i="47"/>
  <c r="Z54" i="47"/>
  <c r="AA50" i="47"/>
  <c r="AA60" i="45"/>
  <c r="AA43" i="45"/>
  <c r="Z63" i="47"/>
  <c r="AA24" i="45"/>
  <c r="Z47" i="46"/>
  <c r="Z41" i="46"/>
  <c r="AA40" i="45"/>
  <c r="Z62" i="45"/>
  <c r="AA40" i="46"/>
  <c r="AA35" i="46"/>
  <c r="AA15" i="46"/>
  <c r="Z3" i="45"/>
  <c r="Z48" i="47"/>
  <c r="Z65" i="47"/>
  <c r="Z70" i="45"/>
  <c r="AA69" i="47"/>
  <c r="Z35" i="45"/>
  <c r="AA64" i="47"/>
  <c r="AA10" i="45"/>
  <c r="AA23" i="46"/>
  <c r="Z57" i="45"/>
  <c r="AA58" i="47"/>
  <c r="Z5" i="47"/>
  <c r="AA70" i="47"/>
  <c r="AA4" i="47"/>
  <c r="Z35" i="46"/>
  <c r="Z31" i="46"/>
  <c r="Z32" i="47"/>
  <c r="AA39" i="45"/>
  <c r="Z52" i="45"/>
  <c r="Z4" i="46"/>
  <c r="AA59" i="46"/>
  <c r="Z13" i="47"/>
  <c r="Z50" i="46"/>
  <c r="Z15" i="47"/>
  <c r="AA16" i="46"/>
  <c r="AA14" i="46"/>
  <c r="AA45" i="47"/>
  <c r="AA17" i="45"/>
  <c r="AA9" i="46"/>
  <c r="AA48" i="46"/>
  <c r="Z22" i="46"/>
  <c r="AA3" i="47"/>
  <c r="AA18" i="47"/>
  <c r="Z44" i="46"/>
  <c r="Z16" i="45"/>
  <c r="AA19" i="46"/>
  <c r="Z60" i="46"/>
  <c r="Z27" i="46"/>
  <c r="AA10" i="47"/>
  <c r="AA27" i="46"/>
  <c r="Z68" i="46"/>
  <c r="Z39" i="47"/>
  <c r="AA24" i="47"/>
  <c r="AA72" i="45"/>
  <c r="Z4" i="45"/>
  <c r="AA8" i="47"/>
  <c r="Z20" i="46"/>
  <c r="AA44" i="47"/>
  <c r="Z20" i="47"/>
  <c r="AA47" i="45"/>
  <c r="AA47" i="47"/>
  <c r="Z15" i="46"/>
  <c r="Z15" i="45"/>
  <c r="Z4" i="47"/>
  <c r="AA15" i="45"/>
  <c r="Z53" i="47"/>
  <c r="Z66" i="47"/>
  <c r="AA18" i="45"/>
  <c r="AA10" i="46"/>
  <c r="AA41" i="46"/>
  <c r="AA64" i="46"/>
  <c r="Z47" i="45"/>
  <c r="AA43" i="46"/>
  <c r="Z9" i="47"/>
  <c r="Z56" i="47"/>
  <c r="Z67" i="45"/>
  <c r="AA49" i="45"/>
  <c r="Z62" i="46"/>
  <c r="Z42" i="45"/>
  <c r="AA69" i="45"/>
  <c r="AA13" i="45"/>
  <c r="AA21" i="45"/>
  <c r="Z20" i="45"/>
  <c r="AA68" i="47"/>
  <c r="Z55" i="45"/>
  <c r="AA49" i="47"/>
  <c r="Z36" i="45"/>
  <c r="AA5" i="45"/>
  <c r="AA37" i="45"/>
  <c r="Z70" i="46"/>
  <c r="Z22" i="47"/>
  <c r="AA21" i="47"/>
  <c r="Z16" i="47"/>
  <c r="AA56" i="47"/>
  <c r="Z46" i="46"/>
  <c r="Z66" i="45"/>
  <c r="AA64" i="45"/>
  <c r="Z62" i="47"/>
  <c r="AA16" i="45"/>
  <c r="Z58" i="47"/>
  <c r="AA55" i="47"/>
  <c r="Z60" i="47"/>
  <c r="Z65" i="46"/>
  <c r="Z52" i="47"/>
  <c r="AA65" i="45"/>
  <c r="Z69" i="45"/>
  <c r="AA72" i="46"/>
  <c r="AA50" i="45"/>
  <c r="Z34" i="45"/>
  <c r="Z42" i="46"/>
  <c r="AA56" i="46"/>
  <c r="AA33" i="45"/>
  <c r="Z23" i="46"/>
  <c r="AA4" i="45"/>
  <c r="Z61" i="47"/>
  <c r="AA5" i="46"/>
  <c r="AA71" i="45"/>
  <c r="Z33" i="46"/>
  <c r="AA44" i="46"/>
  <c r="Z66" i="46"/>
  <c r="Z55" i="47"/>
  <c r="AA34" i="45"/>
  <c r="Z39" i="46"/>
  <c r="AA42" i="46"/>
  <c r="Z3" i="46"/>
  <c r="AA22" i="46"/>
  <c r="AA62" i="45"/>
  <c r="AA62" i="46"/>
  <c r="AA14" i="47"/>
  <c r="Z3" i="47"/>
  <c r="Z23" i="47"/>
  <c r="AA23" i="47"/>
  <c r="AA19" i="47"/>
  <c r="Z43" i="46"/>
  <c r="Z55" i="46"/>
  <c r="Z53" i="46"/>
  <c r="AA9" i="45"/>
  <c r="Z10" i="47"/>
  <c r="AA27" i="45"/>
  <c r="AA22" i="45"/>
  <c r="Z37" i="46"/>
  <c r="AA17" i="46"/>
  <c r="AA57" i="46"/>
  <c r="Z35" i="47"/>
  <c r="AA5" i="47"/>
  <c r="Z19" i="45"/>
  <c r="Z37" i="47"/>
  <c r="AA63" i="45"/>
  <c r="AA14" i="45"/>
  <c r="AA34" i="47"/>
  <c r="Z24" i="47"/>
  <c r="Z59" i="47"/>
  <c r="Z41" i="45"/>
  <c r="AA4" i="46"/>
  <c r="AA33" i="46"/>
  <c r="AA44" i="45"/>
  <c r="AA19" i="45"/>
  <c r="Z67" i="46"/>
  <c r="AA46" i="45"/>
  <c r="Z72" i="46"/>
  <c r="Z51" i="47"/>
  <c r="AA54" i="45"/>
  <c r="AA13" i="47"/>
  <c r="AA17" i="47"/>
  <c r="AA46" i="47"/>
  <c r="Z48" i="45"/>
  <c r="Z33" i="45"/>
  <c r="Z56" i="45"/>
  <c r="AA33" i="47"/>
  <c r="Z39" i="45"/>
  <c r="Z10" i="45"/>
  <c r="AA22" i="47"/>
  <c r="AA47" i="46"/>
  <c r="AA57" i="45"/>
  <c r="Z22" i="45"/>
  <c r="AA51" i="45"/>
  <c r="AA27" i="47"/>
  <c r="AA48" i="45"/>
  <c r="AA39" i="47"/>
  <c r="AA31" i="46"/>
  <c r="AA55" i="45"/>
  <c r="AA24" i="46"/>
  <c r="AA23" i="45"/>
  <c r="Z72" i="47"/>
  <c r="Z63" i="46"/>
  <c r="J32" i="42" l="1"/>
  <c r="H32" i="42"/>
  <c r="J25" i="42"/>
  <c r="H25" i="42"/>
  <c r="J33" i="42"/>
  <c r="H33" i="42"/>
  <c r="J26" i="42"/>
  <c r="H26" i="42"/>
  <c r="H30" i="42"/>
  <c r="J30" i="42"/>
  <c r="J34" i="42"/>
  <c r="H34" i="42"/>
  <c r="H23" i="42"/>
  <c r="J23" i="42"/>
  <c r="H27" i="42"/>
  <c r="J27" i="42"/>
  <c r="H31" i="42"/>
  <c r="J31" i="42"/>
  <c r="H28" i="42"/>
  <c r="J28" i="42"/>
  <c r="J24" i="42"/>
  <c r="H24" i="42"/>
  <c r="H29" i="42"/>
  <c r="J29" i="42"/>
  <c r="AF67" i="47"/>
  <c r="I9" i="47"/>
  <c r="L9" i="47" s="1"/>
  <c r="I16" i="47"/>
  <c r="L16" i="47" s="1"/>
  <c r="AF34" i="47"/>
  <c r="AF32" i="47"/>
  <c r="AF65" i="47"/>
  <c r="I12" i="47"/>
  <c r="L12" i="47" s="1"/>
  <c r="AF38" i="47"/>
  <c r="I19" i="47"/>
  <c r="L19" i="47" s="1"/>
  <c r="AF35" i="47"/>
  <c r="AF63" i="47"/>
  <c r="AF49" i="47"/>
  <c r="AF37" i="47"/>
  <c r="I20" i="47"/>
  <c r="L20" i="47" s="1"/>
  <c r="I17" i="47"/>
  <c r="L17" i="47" s="1"/>
  <c r="I14" i="47"/>
  <c r="L14" i="47" s="1"/>
  <c r="AF50" i="47"/>
  <c r="I7" i="47"/>
  <c r="L7" i="47" s="1"/>
  <c r="AF39" i="47"/>
  <c r="AF71" i="47"/>
  <c r="I6" i="47"/>
  <c r="L6" i="47" s="1"/>
  <c r="I8" i="47"/>
  <c r="L8" i="47" s="1"/>
  <c r="I18" i="47"/>
  <c r="L18" i="47" s="1"/>
  <c r="AF48" i="47"/>
  <c r="AF56" i="47"/>
  <c r="AF64" i="47"/>
  <c r="I5" i="47"/>
  <c r="L5" i="47" s="1"/>
  <c r="I15" i="47"/>
  <c r="L15" i="47" s="1"/>
  <c r="AF51" i="47"/>
  <c r="AF58" i="47"/>
  <c r="AF62" i="47"/>
  <c r="AF33" i="47"/>
  <c r="AF68" i="47"/>
  <c r="AF53" i="47"/>
  <c r="AF60" i="47"/>
  <c r="I11" i="47"/>
  <c r="L11" i="47" s="1"/>
  <c r="I23" i="47"/>
  <c r="L23" i="47" s="1"/>
  <c r="AF36" i="47"/>
  <c r="AF40" i="47"/>
  <c r="AF41" i="47"/>
  <c r="AF43" i="47"/>
  <c r="AF69" i="47"/>
  <c r="AF72" i="47"/>
  <c r="I10" i="47"/>
  <c r="L10" i="47" s="1"/>
  <c r="I13" i="47"/>
  <c r="L13" i="47" s="1"/>
  <c r="AF31" i="47"/>
  <c r="AF42" i="47"/>
  <c r="AF52" i="47"/>
  <c r="AF57" i="47"/>
  <c r="AF61" i="47"/>
  <c r="AF44" i="47"/>
  <c r="AF54" i="47"/>
  <c r="AF59" i="47"/>
  <c r="AF66" i="47"/>
  <c r="AF70" i="47"/>
  <c r="AF45" i="47"/>
  <c r="AF46" i="47"/>
  <c r="AF47" i="47"/>
  <c r="AF55" i="47"/>
  <c r="O4" i="47"/>
  <c r="Q3" i="47"/>
  <c r="P3" i="47"/>
  <c r="AQ31" i="47" a="1"/>
  <c r="AF32" i="46"/>
  <c r="AF56" i="46"/>
  <c r="I11" i="46"/>
  <c r="L11" i="46" s="1"/>
  <c r="AF31" i="46"/>
  <c r="I8" i="46"/>
  <c r="L8" i="46" s="1"/>
  <c r="AF71" i="46"/>
  <c r="I15" i="46"/>
  <c r="L15" i="46" s="1"/>
  <c r="AF35" i="46"/>
  <c r="I12" i="46"/>
  <c r="L12" i="46" s="1"/>
  <c r="AF65" i="46"/>
  <c r="I7" i="46"/>
  <c r="L7" i="46" s="1"/>
  <c r="AF38" i="46"/>
  <c r="AF58" i="46"/>
  <c r="I6" i="46"/>
  <c r="L6" i="46" s="1"/>
  <c r="AF34" i="46"/>
  <c r="I14" i="46"/>
  <c r="L14" i="46" s="1"/>
  <c r="I23" i="46"/>
  <c r="L23" i="46" s="1"/>
  <c r="AF51" i="46"/>
  <c r="AF63" i="46"/>
  <c r="I20" i="46"/>
  <c r="L20" i="46" s="1"/>
  <c r="AF37" i="46"/>
  <c r="AF52" i="46"/>
  <c r="AF39" i="46"/>
  <c r="I5" i="46"/>
  <c r="L5" i="46" s="1"/>
  <c r="I17" i="46"/>
  <c r="L17" i="46" s="1"/>
  <c r="AF59" i="46"/>
  <c r="AF67" i="46"/>
  <c r="I9" i="46"/>
  <c r="L9" i="46" s="1"/>
  <c r="AF53" i="46"/>
  <c r="I10" i="46"/>
  <c r="L10" i="46" s="1"/>
  <c r="I13" i="46"/>
  <c r="L13" i="46" s="1"/>
  <c r="I16" i="46"/>
  <c r="L16" i="46" s="1"/>
  <c r="I19" i="46"/>
  <c r="L19" i="46" s="1"/>
  <c r="AF64" i="46"/>
  <c r="AF36" i="46"/>
  <c r="AF62" i="46"/>
  <c r="AF33" i="46"/>
  <c r="AF40" i="46"/>
  <c r="AF43" i="46"/>
  <c r="AF48" i="46"/>
  <c r="AF68" i="46"/>
  <c r="AF42" i="46"/>
  <c r="AF44" i="46"/>
  <c r="AF49" i="46"/>
  <c r="AF57" i="46"/>
  <c r="AF41" i="46"/>
  <c r="AF60" i="46"/>
  <c r="AF61" i="46"/>
  <c r="AF69" i="46"/>
  <c r="AF72" i="46"/>
  <c r="I18" i="46"/>
  <c r="L18" i="46" s="1"/>
  <c r="AF50" i="46"/>
  <c r="AF54" i="46"/>
  <c r="AF66" i="46"/>
  <c r="AF70" i="46"/>
  <c r="AF45" i="46"/>
  <c r="AF46" i="46"/>
  <c r="AF47" i="46"/>
  <c r="AF55" i="46"/>
  <c r="AJ42" i="46"/>
  <c r="AJ43" i="46" s="1"/>
  <c r="AJ44" i="46" s="1"/>
  <c r="AJ45" i="46" s="1"/>
  <c r="AJ46" i="46" s="1"/>
  <c r="AJ47" i="46" s="1"/>
  <c r="AJ48" i="46" s="1"/>
  <c r="AJ49" i="46" s="1"/>
  <c r="AJ50" i="46" s="1"/>
  <c r="AJ51" i="46" s="1"/>
  <c r="AJ52" i="46" s="1"/>
  <c r="AJ53" i="46" s="1"/>
  <c r="AJ54" i="46" s="1"/>
  <c r="AJ55" i="46" s="1"/>
  <c r="AJ56" i="46" s="1"/>
  <c r="AJ57" i="46" s="1"/>
  <c r="AJ58" i="46" s="1"/>
  <c r="AJ59" i="46" s="1"/>
  <c r="AJ60" i="46" s="1"/>
  <c r="AJ61" i="46" s="1"/>
  <c r="AJ62" i="46" s="1"/>
  <c r="AJ63" i="46" s="1"/>
  <c r="AJ64" i="46" s="1"/>
  <c r="AJ65" i="46" s="1"/>
  <c r="AJ66" i="46" s="1"/>
  <c r="AJ67" i="46" s="1"/>
  <c r="AJ68" i="46" s="1"/>
  <c r="AJ69" i="46" s="1"/>
  <c r="AJ70" i="46" s="1"/>
  <c r="AJ71" i="46" s="1"/>
  <c r="AJ72" i="46" s="1"/>
  <c r="AQ31" i="46" a="1"/>
  <c r="N6" i="46"/>
  <c r="M7" i="46"/>
  <c r="N4" i="46"/>
  <c r="O4" i="46"/>
  <c r="AF32" i="45"/>
  <c r="AF51" i="45"/>
  <c r="I19" i="45"/>
  <c r="L19" i="45" s="1"/>
  <c r="AF49" i="45"/>
  <c r="AF43" i="45"/>
  <c r="AF38" i="45"/>
  <c r="AF59" i="45"/>
  <c r="AF57" i="45"/>
  <c r="I6" i="45"/>
  <c r="L6" i="45" s="1"/>
  <c r="I13" i="45"/>
  <c r="L13" i="45" s="1"/>
  <c r="I16" i="45"/>
  <c r="L16" i="45" s="1"/>
  <c r="AF31" i="45"/>
  <c r="AF71" i="45"/>
  <c r="AF34" i="45"/>
  <c r="I15" i="45"/>
  <c r="L15" i="45" s="1"/>
  <c r="AF53" i="45"/>
  <c r="I17" i="45"/>
  <c r="L17" i="45" s="1"/>
  <c r="I7" i="45"/>
  <c r="L7" i="45" s="1"/>
  <c r="I14" i="45"/>
  <c r="L14" i="45" s="1"/>
  <c r="I23" i="45"/>
  <c r="L23" i="45" s="1"/>
  <c r="AF42" i="45"/>
  <c r="AF62" i="45"/>
  <c r="AF40" i="45"/>
  <c r="I10" i="45"/>
  <c r="L10" i="45" s="1"/>
  <c r="AF35" i="45"/>
  <c r="I18" i="45"/>
  <c r="L18" i="45" s="1"/>
  <c r="I8" i="45"/>
  <c r="L8" i="45" s="1"/>
  <c r="AF37" i="45"/>
  <c r="AF54" i="45"/>
  <c r="AF56" i="45"/>
  <c r="AF67" i="45"/>
  <c r="AF39" i="45"/>
  <c r="AF44" i="45"/>
  <c r="AF52" i="45"/>
  <c r="AF58" i="45"/>
  <c r="AF36" i="45"/>
  <c r="AF50" i="45"/>
  <c r="AF65" i="45"/>
  <c r="AF68" i="45"/>
  <c r="I11" i="45"/>
  <c r="L11" i="45" s="1"/>
  <c r="AF33" i="45"/>
  <c r="AF48" i="45"/>
  <c r="I5" i="45"/>
  <c r="L5" i="45" s="1"/>
  <c r="I9" i="45"/>
  <c r="L9" i="45" s="1"/>
  <c r="I12" i="45"/>
  <c r="L12" i="45" s="1"/>
  <c r="I20" i="45"/>
  <c r="L20" i="45" s="1"/>
  <c r="AF41" i="45"/>
  <c r="AF60" i="45"/>
  <c r="AF61" i="45"/>
  <c r="AF63" i="45"/>
  <c r="AF64" i="45"/>
  <c r="AF69" i="45"/>
  <c r="AF72" i="45"/>
  <c r="AF66" i="45"/>
  <c r="AF70" i="45"/>
  <c r="AF45" i="45"/>
  <c r="AF46" i="45"/>
  <c r="AF47" i="45"/>
  <c r="AF55" i="45"/>
  <c r="M7" i="45"/>
  <c r="N6" i="45"/>
  <c r="O7" i="45"/>
  <c r="AQ31" i="45" a="1"/>
  <c r="AG38" i="47" l="1"/>
  <c r="I33" i="47"/>
  <c r="L33" i="47" s="1"/>
  <c r="AG45" i="47"/>
  <c r="I40" i="47"/>
  <c r="L40" i="47" s="1"/>
  <c r="AG52" i="47"/>
  <c r="I47" i="47"/>
  <c r="L47" i="47" s="1"/>
  <c r="I36" i="47"/>
  <c r="L36" i="47" s="1"/>
  <c r="AG41" i="47"/>
  <c r="AG33" i="47"/>
  <c r="I28" i="47"/>
  <c r="L28" i="47" s="1"/>
  <c r="AG48" i="47"/>
  <c r="I43" i="47"/>
  <c r="L43" i="47" s="1"/>
  <c r="AQ57" i="47"/>
  <c r="AQ49" i="47"/>
  <c r="AQ41" i="47"/>
  <c r="AQ33" i="47"/>
  <c r="AQ62" i="47"/>
  <c r="AQ53" i="47"/>
  <c r="AQ44" i="47"/>
  <c r="AQ35" i="47"/>
  <c r="AQ61" i="47"/>
  <c r="AQ52" i="47"/>
  <c r="AQ59" i="47"/>
  <c r="AQ47" i="47"/>
  <c r="AQ37" i="47"/>
  <c r="AQ58" i="47"/>
  <c r="AQ46" i="47"/>
  <c r="AQ36" i="47"/>
  <c r="AQ56" i="47"/>
  <c r="AQ55" i="47"/>
  <c r="AQ32" i="47"/>
  <c r="AQ31" i="47"/>
  <c r="AQ45" i="47"/>
  <c r="AQ34" i="47"/>
  <c r="AQ43" i="47"/>
  <c r="AQ54" i="47"/>
  <c r="AQ42" i="47"/>
  <c r="AQ39" i="47"/>
  <c r="AQ64" i="47"/>
  <c r="AQ38" i="47"/>
  <c r="AQ63" i="47"/>
  <c r="AQ60" i="47"/>
  <c r="AQ51" i="47"/>
  <c r="AQ50" i="47"/>
  <c r="AQ48" i="47"/>
  <c r="AQ40" i="47"/>
  <c r="I65" i="47"/>
  <c r="L65" i="47" s="1"/>
  <c r="AG70" i="47"/>
  <c r="I37" i="47"/>
  <c r="L37" i="47" s="1"/>
  <c r="AG42" i="47"/>
  <c r="AG40" i="47"/>
  <c r="I35" i="47"/>
  <c r="L35" i="47" s="1"/>
  <c r="AG62" i="47"/>
  <c r="I57" i="47"/>
  <c r="L57" i="47" s="1"/>
  <c r="S3" i="47"/>
  <c r="R3" i="47"/>
  <c r="AG66" i="47"/>
  <c r="I61" i="47"/>
  <c r="L61" i="47" s="1"/>
  <c r="I26" i="47"/>
  <c r="L26" i="47" s="1"/>
  <c r="AG31" i="47"/>
  <c r="AG36" i="47"/>
  <c r="I31" i="47"/>
  <c r="L31" i="47" s="1"/>
  <c r="AG58" i="47"/>
  <c r="I53" i="47"/>
  <c r="L53" i="47" s="1"/>
  <c r="AG65" i="47"/>
  <c r="I60" i="47"/>
  <c r="L60" i="47" s="1"/>
  <c r="I54" i="47"/>
  <c r="L54" i="47" s="1"/>
  <c r="AG59" i="47"/>
  <c r="I46" i="47"/>
  <c r="L46" i="47" s="1"/>
  <c r="AG51" i="47"/>
  <c r="AG37" i="47"/>
  <c r="I32" i="47"/>
  <c r="L32" i="47" s="1"/>
  <c r="AG32" i="47"/>
  <c r="I27" i="47"/>
  <c r="L27" i="47" s="1"/>
  <c r="O5" i="47"/>
  <c r="Q4" i="47"/>
  <c r="P4" i="47"/>
  <c r="I49" i="47"/>
  <c r="L49" i="47" s="1"/>
  <c r="AG54" i="47"/>
  <c r="AG71" i="47"/>
  <c r="I66" i="47"/>
  <c r="L66" i="47" s="1"/>
  <c r="I44" i="47"/>
  <c r="L44" i="47" s="1"/>
  <c r="AG49" i="47"/>
  <c r="AG34" i="47"/>
  <c r="I29" i="47"/>
  <c r="L29" i="47" s="1"/>
  <c r="I50" i="47"/>
  <c r="L50" i="47" s="1"/>
  <c r="AG55" i="47"/>
  <c r="AG44" i="47"/>
  <c r="I39" i="47"/>
  <c r="L39" i="47" s="1"/>
  <c r="I67" i="47"/>
  <c r="L67" i="47" s="1"/>
  <c r="AG72" i="47"/>
  <c r="F67" i="47" s="1"/>
  <c r="E67" i="47" s="1"/>
  <c r="N67" i="47" s="1"/>
  <c r="I55" i="47"/>
  <c r="L55" i="47" s="1"/>
  <c r="AG60" i="47"/>
  <c r="AG39" i="47"/>
  <c r="I34" i="47"/>
  <c r="L34" i="47" s="1"/>
  <c r="I58" i="47"/>
  <c r="L58" i="47" s="1"/>
  <c r="AG63" i="47"/>
  <c r="I42" i="47"/>
  <c r="L42" i="47" s="1"/>
  <c r="AG47" i="47"/>
  <c r="AG61" i="47"/>
  <c r="I56" i="47"/>
  <c r="L56" i="47" s="1"/>
  <c r="AG69" i="47"/>
  <c r="I64" i="47"/>
  <c r="L64" i="47" s="1"/>
  <c r="AG53" i="47"/>
  <c r="I48" i="47"/>
  <c r="L48" i="47" s="1"/>
  <c r="I59" i="47"/>
  <c r="L59" i="47" s="1"/>
  <c r="AG64" i="47"/>
  <c r="AG35" i="47"/>
  <c r="I30" i="47"/>
  <c r="L30" i="47" s="1"/>
  <c r="AG46" i="47"/>
  <c r="I41" i="47"/>
  <c r="L41" i="47" s="1"/>
  <c r="I52" i="47"/>
  <c r="L52" i="47" s="1"/>
  <c r="AG57" i="47"/>
  <c r="AG43" i="47"/>
  <c r="I38" i="47"/>
  <c r="L38" i="47" s="1"/>
  <c r="I63" i="47"/>
  <c r="L63" i="47" s="1"/>
  <c r="AG68" i="47"/>
  <c r="I51" i="47"/>
  <c r="L51" i="47" s="1"/>
  <c r="AG56" i="47"/>
  <c r="I45" i="47"/>
  <c r="L45" i="47" s="1"/>
  <c r="AG50" i="47"/>
  <c r="AG67" i="47"/>
  <c r="I62" i="47"/>
  <c r="L62" i="47" s="1"/>
  <c r="AG45" i="46"/>
  <c r="I40" i="46"/>
  <c r="L40" i="46" s="1"/>
  <c r="I56" i="46"/>
  <c r="L56" i="46" s="1"/>
  <c r="AG61" i="46"/>
  <c r="AG48" i="46"/>
  <c r="I43" i="46"/>
  <c r="L43" i="46" s="1"/>
  <c r="I30" i="46"/>
  <c r="L30" i="46" s="1"/>
  <c r="AG35" i="46"/>
  <c r="N7" i="46"/>
  <c r="M8" i="46"/>
  <c r="I65" i="46"/>
  <c r="L65" i="46" s="1"/>
  <c r="AG70" i="46"/>
  <c r="I55" i="46"/>
  <c r="L55" i="46" s="1"/>
  <c r="AG60" i="46"/>
  <c r="I38" i="46"/>
  <c r="L38" i="46" s="1"/>
  <c r="AG43" i="46"/>
  <c r="AG39" i="46"/>
  <c r="I34" i="46"/>
  <c r="L34" i="46" s="1"/>
  <c r="AG34" i="46"/>
  <c r="I29" i="46"/>
  <c r="L29" i="46" s="1"/>
  <c r="I61" i="46"/>
  <c r="L61" i="46" s="1"/>
  <c r="AG66" i="46"/>
  <c r="I36" i="46"/>
  <c r="L36" i="46" s="1"/>
  <c r="AG41" i="46"/>
  <c r="AG40" i="46"/>
  <c r="I35" i="46"/>
  <c r="L35" i="46" s="1"/>
  <c r="AG52" i="46"/>
  <c r="I47" i="46"/>
  <c r="L47" i="46" s="1"/>
  <c r="AG71" i="46"/>
  <c r="I66" i="46"/>
  <c r="L66" i="46" s="1"/>
  <c r="AQ61" i="46"/>
  <c r="AQ53" i="46"/>
  <c r="AQ45" i="46"/>
  <c r="AQ37" i="46"/>
  <c r="AQ62" i="46"/>
  <c r="AQ52" i="46"/>
  <c r="AQ43" i="46"/>
  <c r="AQ34" i="46"/>
  <c r="AQ60" i="46"/>
  <c r="AQ51" i="46"/>
  <c r="AQ42" i="46"/>
  <c r="AQ33" i="46"/>
  <c r="AQ59" i="46"/>
  <c r="AQ50" i="46"/>
  <c r="AQ41" i="46"/>
  <c r="AQ32" i="46"/>
  <c r="AQ56" i="46"/>
  <c r="AQ40" i="46"/>
  <c r="AQ55" i="46"/>
  <c r="AQ39" i="46"/>
  <c r="AQ47" i="46"/>
  <c r="AQ64" i="46"/>
  <c r="AQ46" i="46"/>
  <c r="AQ44" i="46"/>
  <c r="AQ58" i="46"/>
  <c r="AQ57" i="46"/>
  <c r="AQ54" i="46"/>
  <c r="AQ35" i="46"/>
  <c r="AQ31" i="46"/>
  <c r="AQ63" i="46"/>
  <c r="AQ38" i="46"/>
  <c r="AQ36" i="46"/>
  <c r="AQ49" i="46"/>
  <c r="AQ48" i="46"/>
  <c r="AG54" i="46"/>
  <c r="I49" i="46"/>
  <c r="L49" i="46" s="1"/>
  <c r="I52" i="46"/>
  <c r="L52" i="46" s="1"/>
  <c r="AG57" i="46"/>
  <c r="AG33" i="46"/>
  <c r="I28" i="46"/>
  <c r="L28" i="46" s="1"/>
  <c r="AG53" i="46"/>
  <c r="I48" i="46"/>
  <c r="L48" i="46" s="1"/>
  <c r="AG37" i="46"/>
  <c r="I32" i="46"/>
  <c r="L32" i="46" s="1"/>
  <c r="AG58" i="46"/>
  <c r="I53" i="46"/>
  <c r="L53" i="46" s="1"/>
  <c r="I45" i="46"/>
  <c r="L45" i="46" s="1"/>
  <c r="AG50" i="46"/>
  <c r="I44" i="46"/>
  <c r="L44" i="46" s="1"/>
  <c r="AG49" i="46"/>
  <c r="AG62" i="46"/>
  <c r="I57" i="46"/>
  <c r="L57" i="46" s="1"/>
  <c r="I33" i="46"/>
  <c r="L33" i="46" s="1"/>
  <c r="AG38" i="46"/>
  <c r="I26" i="46"/>
  <c r="L26" i="46" s="1"/>
  <c r="AG31" i="46"/>
  <c r="AG55" i="46"/>
  <c r="I50" i="46"/>
  <c r="L50" i="46" s="1"/>
  <c r="AG44" i="46"/>
  <c r="I39" i="46"/>
  <c r="L39" i="46" s="1"/>
  <c r="I31" i="46"/>
  <c r="L31" i="46" s="1"/>
  <c r="AG36" i="46"/>
  <c r="AG67" i="46"/>
  <c r="I62" i="46"/>
  <c r="L62" i="46" s="1"/>
  <c r="AG63" i="46"/>
  <c r="I58" i="46"/>
  <c r="L58" i="46" s="1"/>
  <c r="O5" i="46"/>
  <c r="AG47" i="46"/>
  <c r="I42" i="46"/>
  <c r="L42" i="46" s="1"/>
  <c r="I67" i="46"/>
  <c r="L67" i="46" s="1"/>
  <c r="AG72" i="46"/>
  <c r="F67" i="46" s="1"/>
  <c r="E67" i="46" s="1"/>
  <c r="N67" i="46" s="1"/>
  <c r="AG42" i="46"/>
  <c r="I37" i="46"/>
  <c r="L37" i="46" s="1"/>
  <c r="AG64" i="46"/>
  <c r="I59" i="46"/>
  <c r="L59" i="46" s="1"/>
  <c r="AG59" i="46"/>
  <c r="I54" i="46"/>
  <c r="L54" i="46" s="1"/>
  <c r="I46" i="46"/>
  <c r="L46" i="46" s="1"/>
  <c r="AG51" i="46"/>
  <c r="AG65" i="46"/>
  <c r="I60" i="46"/>
  <c r="L60" i="46" s="1"/>
  <c r="I51" i="46"/>
  <c r="L51" i="46" s="1"/>
  <c r="AG56" i="46"/>
  <c r="I41" i="46"/>
  <c r="L41" i="46" s="1"/>
  <c r="AG46" i="46"/>
  <c r="AG69" i="46"/>
  <c r="I64" i="46"/>
  <c r="L64" i="46" s="1"/>
  <c r="I63" i="46"/>
  <c r="L63" i="46" s="1"/>
  <c r="AG68" i="46"/>
  <c r="AG32" i="46"/>
  <c r="I27" i="46"/>
  <c r="L27" i="46" s="1"/>
  <c r="AG45" i="45"/>
  <c r="I40" i="45"/>
  <c r="L40" i="45" s="1"/>
  <c r="I55" i="45"/>
  <c r="L55" i="45" s="1"/>
  <c r="AG60" i="45"/>
  <c r="I34" i="45"/>
  <c r="L34" i="45" s="1"/>
  <c r="AG39" i="45"/>
  <c r="AG53" i="45"/>
  <c r="I48" i="45"/>
  <c r="L48" i="45" s="1"/>
  <c r="AG57" i="45"/>
  <c r="I52" i="45"/>
  <c r="L52" i="45" s="1"/>
  <c r="I65" i="45"/>
  <c r="L65" i="45" s="1"/>
  <c r="AG70" i="45"/>
  <c r="AG41" i="45"/>
  <c r="I36" i="45"/>
  <c r="L36" i="45" s="1"/>
  <c r="I63" i="45"/>
  <c r="L63" i="45" s="1"/>
  <c r="AG68" i="45"/>
  <c r="AG67" i="45"/>
  <c r="I62" i="45"/>
  <c r="L62" i="45" s="1"/>
  <c r="AG40" i="45"/>
  <c r="I35" i="45"/>
  <c r="L35" i="45" s="1"/>
  <c r="I54" i="45"/>
  <c r="L54" i="45" s="1"/>
  <c r="AG59" i="45"/>
  <c r="AG66" i="45"/>
  <c r="I61" i="45"/>
  <c r="L61" i="45" s="1"/>
  <c r="AG65" i="45"/>
  <c r="I60" i="45"/>
  <c r="L60" i="45" s="1"/>
  <c r="I51" i="45"/>
  <c r="L51" i="45" s="1"/>
  <c r="AG56" i="45"/>
  <c r="AG62" i="45"/>
  <c r="I57" i="45"/>
  <c r="L57" i="45" s="1"/>
  <c r="AG34" i="45"/>
  <c r="I29" i="45"/>
  <c r="L29" i="45" s="1"/>
  <c r="AG38" i="45"/>
  <c r="I33" i="45"/>
  <c r="L33" i="45" s="1"/>
  <c r="AQ60" i="45"/>
  <c r="AQ52" i="45"/>
  <c r="AQ44" i="45"/>
  <c r="AQ36" i="45"/>
  <c r="AQ62" i="45"/>
  <c r="AQ53" i="45"/>
  <c r="AQ43" i="45"/>
  <c r="AQ34" i="45"/>
  <c r="AQ57" i="45"/>
  <c r="AQ47" i="45"/>
  <c r="AQ37" i="45"/>
  <c r="AQ46" i="45"/>
  <c r="AQ35" i="45"/>
  <c r="AQ42" i="45"/>
  <c r="AQ56" i="45"/>
  <c r="AQ64" i="45"/>
  <c r="AQ54" i="45"/>
  <c r="AQ32" i="45"/>
  <c r="AQ55" i="45"/>
  <c r="AQ45" i="45"/>
  <c r="AQ33" i="45"/>
  <c r="AQ61" i="45"/>
  <c r="AQ40" i="45"/>
  <c r="AQ59" i="45"/>
  <c r="AQ39" i="45"/>
  <c r="AQ58" i="45"/>
  <c r="AQ38" i="45"/>
  <c r="AQ51" i="45"/>
  <c r="AQ31" i="45"/>
  <c r="AQ63" i="45"/>
  <c r="AQ41" i="45"/>
  <c r="AQ50" i="45"/>
  <c r="AQ49" i="45"/>
  <c r="AQ48" i="45"/>
  <c r="I67" i="45"/>
  <c r="L67" i="45" s="1"/>
  <c r="AG72" i="45"/>
  <c r="F67" i="45" s="1"/>
  <c r="E67" i="45" s="1"/>
  <c r="N67" i="45" s="1"/>
  <c r="I45" i="45"/>
  <c r="L45" i="45" s="1"/>
  <c r="AG50" i="45"/>
  <c r="AG54" i="45"/>
  <c r="I49" i="45"/>
  <c r="L49" i="45" s="1"/>
  <c r="AG42" i="45"/>
  <c r="I37" i="45"/>
  <c r="L37" i="45" s="1"/>
  <c r="AG71" i="45"/>
  <c r="I66" i="45"/>
  <c r="L66" i="45" s="1"/>
  <c r="I38" i="45"/>
  <c r="L38" i="45" s="1"/>
  <c r="AG43" i="45"/>
  <c r="M8" i="45"/>
  <c r="N7" i="45"/>
  <c r="I64" i="45"/>
  <c r="L64" i="45" s="1"/>
  <c r="AG69" i="45"/>
  <c r="AG36" i="45"/>
  <c r="I31" i="45"/>
  <c r="L31" i="45" s="1"/>
  <c r="AG37" i="45"/>
  <c r="I32" i="45"/>
  <c r="L32" i="45" s="1"/>
  <c r="AG31" i="45"/>
  <c r="I26" i="45"/>
  <c r="L26" i="45" s="1"/>
  <c r="I44" i="45"/>
  <c r="L44" i="45" s="1"/>
  <c r="AG49" i="45"/>
  <c r="O8" i="45"/>
  <c r="AG55" i="45"/>
  <c r="I50" i="45"/>
  <c r="L50" i="45" s="1"/>
  <c r="AG64" i="45"/>
  <c r="I59" i="45"/>
  <c r="L59" i="45" s="1"/>
  <c r="AG58" i="45"/>
  <c r="I53" i="45"/>
  <c r="L53" i="45" s="1"/>
  <c r="AG47" i="45"/>
  <c r="I42" i="45"/>
  <c r="L42" i="45" s="1"/>
  <c r="AG63" i="45"/>
  <c r="I58" i="45"/>
  <c r="L58" i="45" s="1"/>
  <c r="AG48" i="45"/>
  <c r="I43" i="45"/>
  <c r="L43" i="45" s="1"/>
  <c r="AG52" i="45"/>
  <c r="I47" i="45"/>
  <c r="L47" i="45" s="1"/>
  <c r="I46" i="45"/>
  <c r="L46" i="45" s="1"/>
  <c r="AG51" i="45"/>
  <c r="I41" i="45"/>
  <c r="L41" i="45" s="1"/>
  <c r="AG46" i="45"/>
  <c r="AG61" i="45"/>
  <c r="I56" i="45"/>
  <c r="L56" i="45" s="1"/>
  <c r="AG33" i="45"/>
  <c r="I28" i="45"/>
  <c r="L28" i="45" s="1"/>
  <c r="AG44" i="45"/>
  <c r="I39" i="45"/>
  <c r="L39" i="45" s="1"/>
  <c r="AG35" i="45"/>
  <c r="I30" i="45"/>
  <c r="L30" i="45" s="1"/>
  <c r="I27" i="45"/>
  <c r="L27" i="45" s="1"/>
  <c r="AG32" i="45"/>
  <c r="AQ29" i="45" l="1"/>
  <c r="F48" i="47"/>
  <c r="E48" i="47" s="1"/>
  <c r="N48" i="47" s="1"/>
  <c r="AH53" i="47"/>
  <c r="AK53" i="47" s="1"/>
  <c r="AI53" i="47"/>
  <c r="AI58" i="47"/>
  <c r="F53" i="47"/>
  <c r="E53" i="47" s="1"/>
  <c r="N53" i="47" s="1"/>
  <c r="AH58" i="47"/>
  <c r="AK58" i="47" s="1"/>
  <c r="F39" i="47"/>
  <c r="E39" i="47" s="1"/>
  <c r="N39" i="47" s="1"/>
  <c r="AI44" i="47"/>
  <c r="AH44" i="47"/>
  <c r="AK44" i="47" s="1"/>
  <c r="F65" i="47"/>
  <c r="E65" i="47" s="1"/>
  <c r="N65" i="47" s="1"/>
  <c r="AI70" i="47"/>
  <c r="AH70" i="47"/>
  <c r="AK70" i="47" s="1"/>
  <c r="AI37" i="47"/>
  <c r="AH37" i="47"/>
  <c r="AK37" i="47" s="1"/>
  <c r="F32" i="47"/>
  <c r="E32" i="47" s="1"/>
  <c r="N32" i="47" s="1"/>
  <c r="AI46" i="47"/>
  <c r="F41" i="47"/>
  <c r="E41" i="47" s="1"/>
  <c r="N41" i="47" s="1"/>
  <c r="AH46" i="47"/>
  <c r="AK46" i="47" s="1"/>
  <c r="F64" i="47"/>
  <c r="E64" i="47" s="1"/>
  <c r="N64" i="47" s="1"/>
  <c r="AI69" i="47"/>
  <c r="AH69" i="47"/>
  <c r="AK69" i="47" s="1"/>
  <c r="AH51" i="47"/>
  <c r="AK51" i="47" s="1"/>
  <c r="F46" i="47"/>
  <c r="E46" i="47" s="1"/>
  <c r="N46" i="47" s="1"/>
  <c r="AI51" i="47"/>
  <c r="F55" i="47"/>
  <c r="E55" i="47" s="1"/>
  <c r="N55" i="47" s="1"/>
  <c r="AI60" i="47"/>
  <c r="AH60" i="47"/>
  <c r="AK60" i="47" s="1"/>
  <c r="AI34" i="47"/>
  <c r="F29" i="47"/>
  <c r="E29" i="47" s="1"/>
  <c r="N29" i="47" s="1"/>
  <c r="AH34" i="47"/>
  <c r="AK34" i="47" s="1"/>
  <c r="F54" i="47"/>
  <c r="E54" i="47" s="1"/>
  <c r="N54" i="47" s="1"/>
  <c r="AI59" i="47"/>
  <c r="AH59" i="47"/>
  <c r="AK59" i="47" s="1"/>
  <c r="F42" i="47"/>
  <c r="E42" i="47" s="1"/>
  <c r="N42" i="47" s="1"/>
  <c r="AI47" i="47"/>
  <c r="AH47" i="47"/>
  <c r="AK47" i="47" s="1"/>
  <c r="AH43" i="47"/>
  <c r="AK43" i="47" s="1"/>
  <c r="F38" i="47"/>
  <c r="E38" i="47" s="1"/>
  <c r="N38" i="47" s="1"/>
  <c r="AI43" i="47"/>
  <c r="AI71" i="47"/>
  <c r="AH71" i="47"/>
  <c r="AK71" i="47" s="1"/>
  <c r="F66" i="47"/>
  <c r="E66" i="47" s="1"/>
  <c r="N66" i="47" s="1"/>
  <c r="AQ29" i="47"/>
  <c r="AI41" i="47"/>
  <c r="F36" i="47"/>
  <c r="E36" i="47" s="1"/>
  <c r="N36" i="47" s="1"/>
  <c r="AH41" i="47"/>
  <c r="AK41" i="47" s="1"/>
  <c r="AI56" i="47"/>
  <c r="F51" i="47"/>
  <c r="E51" i="47" s="1"/>
  <c r="N51" i="47" s="1"/>
  <c r="AH56" i="47"/>
  <c r="AK56" i="47" s="1"/>
  <c r="AI55" i="47"/>
  <c r="AH55" i="47"/>
  <c r="AK55" i="47" s="1"/>
  <c r="F50" i="47"/>
  <c r="E50" i="47" s="1"/>
  <c r="N50" i="47" s="1"/>
  <c r="AH54" i="47"/>
  <c r="AK54" i="47" s="1"/>
  <c r="F49" i="47"/>
  <c r="E49" i="47" s="1"/>
  <c r="N49" i="47" s="1"/>
  <c r="AI54" i="47"/>
  <c r="AH39" i="47"/>
  <c r="AK39" i="47" s="1"/>
  <c r="AI39" i="47"/>
  <c r="F34" i="47"/>
  <c r="E34" i="47" s="1"/>
  <c r="N34" i="47" s="1"/>
  <c r="F63" i="47"/>
  <c r="E63" i="47" s="1"/>
  <c r="N63" i="47" s="1"/>
  <c r="AI68" i="47"/>
  <c r="AH68" i="47"/>
  <c r="AK68" i="47" s="1"/>
  <c r="S4" i="47"/>
  <c r="R4" i="47"/>
  <c r="AI36" i="47"/>
  <c r="AH36" i="47"/>
  <c r="AK36" i="47" s="1"/>
  <c r="F31" i="47"/>
  <c r="E31" i="47" s="1"/>
  <c r="N31" i="47" s="1"/>
  <c r="AI62" i="47"/>
  <c r="F57" i="47"/>
  <c r="E57" i="47" s="1"/>
  <c r="N57" i="47" s="1"/>
  <c r="AH62" i="47"/>
  <c r="AK62" i="47" s="1"/>
  <c r="F47" i="47"/>
  <c r="E47" i="47" s="1"/>
  <c r="N47" i="47" s="1"/>
  <c r="AH52" i="47"/>
  <c r="AK52" i="47" s="1"/>
  <c r="AI52" i="47"/>
  <c r="AH35" i="47"/>
  <c r="AK35" i="47" s="1"/>
  <c r="AI35" i="47"/>
  <c r="F30" i="47"/>
  <c r="E30" i="47" s="1"/>
  <c r="N30" i="47" s="1"/>
  <c r="AI61" i="47"/>
  <c r="F56" i="47"/>
  <c r="E56" i="47" s="1"/>
  <c r="N56" i="47" s="1"/>
  <c r="AH61" i="47"/>
  <c r="AK61" i="47" s="1"/>
  <c r="AG29" i="47"/>
  <c r="F26" i="47"/>
  <c r="E26" i="47" s="1"/>
  <c r="AH31" i="47"/>
  <c r="AK31" i="47" s="1"/>
  <c r="AI31" i="47"/>
  <c r="AI64" i="47"/>
  <c r="AH64" i="47"/>
  <c r="AK64" i="47" s="1"/>
  <c r="F59" i="47"/>
  <c r="E59" i="47" s="1"/>
  <c r="N59" i="47" s="1"/>
  <c r="AI49" i="47"/>
  <c r="AH49" i="47"/>
  <c r="AK49" i="47" s="1"/>
  <c r="F44" i="47"/>
  <c r="E44" i="47" s="1"/>
  <c r="N44" i="47" s="1"/>
  <c r="P5" i="47"/>
  <c r="O6" i="47"/>
  <c r="Q5" i="47"/>
  <c r="F35" i="47"/>
  <c r="E35" i="47" s="1"/>
  <c r="N35" i="47" s="1"/>
  <c r="AI40" i="47"/>
  <c r="AH40" i="47"/>
  <c r="AK40" i="47" s="1"/>
  <c r="AI48" i="47"/>
  <c r="AH48" i="47"/>
  <c r="AK48" i="47" s="1"/>
  <c r="F43" i="47"/>
  <c r="E43" i="47" s="1"/>
  <c r="N43" i="47" s="1"/>
  <c r="AI45" i="47"/>
  <c r="AH45" i="47"/>
  <c r="AK45" i="47" s="1"/>
  <c r="F40" i="47"/>
  <c r="E40" i="47" s="1"/>
  <c r="N40" i="47" s="1"/>
  <c r="AI67" i="47"/>
  <c r="AH67" i="47"/>
  <c r="AK67" i="47" s="1"/>
  <c r="F62" i="47"/>
  <c r="E62" i="47" s="1"/>
  <c r="N62" i="47" s="1"/>
  <c r="AH42" i="47"/>
  <c r="AK42" i="47" s="1"/>
  <c r="AI42" i="47"/>
  <c r="F37" i="47"/>
  <c r="E37" i="47" s="1"/>
  <c r="N37" i="47" s="1"/>
  <c r="AI50" i="47"/>
  <c r="AH50" i="47"/>
  <c r="AK50" i="47" s="1"/>
  <c r="F45" i="47"/>
  <c r="E45" i="47" s="1"/>
  <c r="N45" i="47" s="1"/>
  <c r="AI57" i="47"/>
  <c r="AH57" i="47"/>
  <c r="AK57" i="47" s="1"/>
  <c r="F52" i="47"/>
  <c r="E52" i="47" s="1"/>
  <c r="N52" i="47" s="1"/>
  <c r="AI63" i="47"/>
  <c r="AH63" i="47"/>
  <c r="AK63" i="47" s="1"/>
  <c r="F58" i="47"/>
  <c r="E58" i="47" s="1"/>
  <c r="N58" i="47" s="1"/>
  <c r="F27" i="47"/>
  <c r="E27" i="47" s="1"/>
  <c r="N27" i="47" s="1"/>
  <c r="AI32" i="47"/>
  <c r="AH32" i="47"/>
  <c r="AK32" i="47" s="1"/>
  <c r="F60" i="47"/>
  <c r="E60" i="47" s="1"/>
  <c r="N60" i="47" s="1"/>
  <c r="AI65" i="47"/>
  <c r="AH65" i="47"/>
  <c r="AK65" i="47" s="1"/>
  <c r="AI66" i="47"/>
  <c r="AH66" i="47"/>
  <c r="AK66" i="47" s="1"/>
  <c r="F61" i="47"/>
  <c r="E61" i="47" s="1"/>
  <c r="N61" i="47" s="1"/>
  <c r="F28" i="47"/>
  <c r="E28" i="47" s="1"/>
  <c r="N28" i="47" s="1"/>
  <c r="AI33" i="47"/>
  <c r="AH33" i="47"/>
  <c r="AK33" i="47" s="1"/>
  <c r="F33" i="47"/>
  <c r="E33" i="47" s="1"/>
  <c r="N33" i="47" s="1"/>
  <c r="AI38" i="47"/>
  <c r="AH38" i="47"/>
  <c r="AK38" i="47" s="1"/>
  <c r="AI42" i="46"/>
  <c r="F37" i="46"/>
  <c r="E37" i="46" s="1"/>
  <c r="N37" i="46" s="1"/>
  <c r="AH42" i="46"/>
  <c r="AK42" i="46" s="1"/>
  <c r="F38" i="46"/>
  <c r="E38" i="46" s="1"/>
  <c r="N38" i="46" s="1"/>
  <c r="AH43" i="46"/>
  <c r="AK43" i="46" s="1"/>
  <c r="AI43" i="46"/>
  <c r="AI50" i="46"/>
  <c r="F45" i="46"/>
  <c r="E45" i="46" s="1"/>
  <c r="N45" i="46" s="1"/>
  <c r="AH50" i="46"/>
  <c r="AK50" i="46" s="1"/>
  <c r="F55" i="46"/>
  <c r="E55" i="46" s="1"/>
  <c r="N55" i="46" s="1"/>
  <c r="AH60" i="46"/>
  <c r="AK60" i="46" s="1"/>
  <c r="AI60" i="46"/>
  <c r="F41" i="46"/>
  <c r="E41" i="46" s="1"/>
  <c r="N41" i="46" s="1"/>
  <c r="AI46" i="46"/>
  <c r="AH46" i="46"/>
  <c r="AK46" i="46" s="1"/>
  <c r="AI67" i="46"/>
  <c r="AH67" i="46"/>
  <c r="AK67" i="46" s="1"/>
  <c r="F62" i="46"/>
  <c r="E62" i="46" s="1"/>
  <c r="N62" i="46" s="1"/>
  <c r="F31" i="46"/>
  <c r="E31" i="46" s="1"/>
  <c r="N31" i="46" s="1"/>
  <c r="AI36" i="46"/>
  <c r="AH36" i="46"/>
  <c r="AK36" i="46" s="1"/>
  <c r="F65" i="46"/>
  <c r="E65" i="46" s="1"/>
  <c r="N65" i="46" s="1"/>
  <c r="AI70" i="46"/>
  <c r="AH70" i="46"/>
  <c r="AK70" i="46" s="1"/>
  <c r="AI58" i="46"/>
  <c r="AH58" i="46"/>
  <c r="AK58" i="46" s="1"/>
  <c r="F53" i="46"/>
  <c r="E53" i="46" s="1"/>
  <c r="N53" i="46" s="1"/>
  <c r="F60" i="46"/>
  <c r="E60" i="46" s="1"/>
  <c r="N60" i="46" s="1"/>
  <c r="AI65" i="46"/>
  <c r="AH65" i="46"/>
  <c r="AK65" i="46" s="1"/>
  <c r="AI49" i="46"/>
  <c r="AH49" i="46"/>
  <c r="AK49" i="46" s="1"/>
  <c r="F44" i="46"/>
  <c r="E44" i="46" s="1"/>
  <c r="N44" i="46" s="1"/>
  <c r="F36" i="46"/>
  <c r="E36" i="46" s="1"/>
  <c r="N36" i="46" s="1"/>
  <c r="AH41" i="46"/>
  <c r="AK41" i="46" s="1"/>
  <c r="AI41" i="46"/>
  <c r="AI35" i="46"/>
  <c r="AH35" i="46"/>
  <c r="AK35" i="46" s="1"/>
  <c r="F30" i="46"/>
  <c r="E30" i="46" s="1"/>
  <c r="N30" i="46" s="1"/>
  <c r="AH51" i="46"/>
  <c r="AK51" i="46" s="1"/>
  <c r="F46" i="46"/>
  <c r="E46" i="46" s="1"/>
  <c r="N46" i="46" s="1"/>
  <c r="AI51" i="46"/>
  <c r="AI63" i="46"/>
  <c r="AH63" i="46"/>
  <c r="AK63" i="46" s="1"/>
  <c r="F58" i="46"/>
  <c r="E58" i="46" s="1"/>
  <c r="N58" i="46" s="1"/>
  <c r="F50" i="46"/>
  <c r="E50" i="46" s="1"/>
  <c r="N50" i="46" s="1"/>
  <c r="AI55" i="46"/>
  <c r="AH55" i="46"/>
  <c r="AK55" i="46" s="1"/>
  <c r="F48" i="46"/>
  <c r="E48" i="46" s="1"/>
  <c r="N48" i="46" s="1"/>
  <c r="AI53" i="46"/>
  <c r="AH53" i="46"/>
  <c r="AK53" i="46" s="1"/>
  <c r="F64" i="46"/>
  <c r="E64" i="46" s="1"/>
  <c r="N64" i="46" s="1"/>
  <c r="AI69" i="46"/>
  <c r="AH69" i="46"/>
  <c r="AK69" i="46" s="1"/>
  <c r="AH31" i="46"/>
  <c r="AK31" i="46" s="1"/>
  <c r="F26" i="46"/>
  <c r="E26" i="46" s="1"/>
  <c r="AG29" i="46"/>
  <c r="AI31" i="46"/>
  <c r="F61" i="46"/>
  <c r="E61" i="46" s="1"/>
  <c r="N61" i="46" s="1"/>
  <c r="AI66" i="46"/>
  <c r="AH66" i="46"/>
  <c r="AK66" i="46" s="1"/>
  <c r="AI33" i="46"/>
  <c r="AH33" i="46"/>
  <c r="AK33" i="46" s="1"/>
  <c r="F28" i="46"/>
  <c r="E28" i="46" s="1"/>
  <c r="N28" i="46" s="1"/>
  <c r="AI71" i="46"/>
  <c r="AH71" i="46"/>
  <c r="AK71" i="46" s="1"/>
  <c r="F66" i="46"/>
  <c r="E66" i="46" s="1"/>
  <c r="N66" i="46" s="1"/>
  <c r="AI48" i="46"/>
  <c r="AH48" i="46"/>
  <c r="AK48" i="46" s="1"/>
  <c r="F43" i="46"/>
  <c r="E43" i="46" s="1"/>
  <c r="N43" i="46" s="1"/>
  <c r="F54" i="46"/>
  <c r="E54" i="46" s="1"/>
  <c r="N54" i="46" s="1"/>
  <c r="AH59" i="46"/>
  <c r="AK59" i="46" s="1"/>
  <c r="AI59" i="46"/>
  <c r="AH47" i="46"/>
  <c r="AK47" i="46" s="1"/>
  <c r="AI47" i="46"/>
  <c r="F42" i="46"/>
  <c r="E42" i="46" s="1"/>
  <c r="N42" i="46" s="1"/>
  <c r="F33" i="46"/>
  <c r="E33" i="46" s="1"/>
  <c r="N33" i="46" s="1"/>
  <c r="AI38" i="46"/>
  <c r="AH38" i="46"/>
  <c r="AK38" i="46" s="1"/>
  <c r="AI57" i="46"/>
  <c r="AH57" i="46"/>
  <c r="AK57" i="46" s="1"/>
  <c r="F52" i="46"/>
  <c r="E52" i="46" s="1"/>
  <c r="N52" i="46" s="1"/>
  <c r="AI61" i="46"/>
  <c r="F56" i="46"/>
  <c r="E56" i="46" s="1"/>
  <c r="N56" i="46" s="1"/>
  <c r="AH61" i="46"/>
  <c r="AK61" i="46" s="1"/>
  <c r="AI56" i="46"/>
  <c r="AH56" i="46"/>
  <c r="AK56" i="46" s="1"/>
  <c r="F51" i="46"/>
  <c r="E51" i="46" s="1"/>
  <c r="N51" i="46" s="1"/>
  <c r="AQ29" i="46"/>
  <c r="AI52" i="46"/>
  <c r="AH52" i="46"/>
  <c r="AK52" i="46" s="1"/>
  <c r="F47" i="46"/>
  <c r="E47" i="46" s="1"/>
  <c r="N47" i="46" s="1"/>
  <c r="AH34" i="46"/>
  <c r="AK34" i="46" s="1"/>
  <c r="F29" i="46"/>
  <c r="E29" i="46" s="1"/>
  <c r="N29" i="46" s="1"/>
  <c r="AI34" i="46"/>
  <c r="F27" i="46"/>
  <c r="E27" i="46" s="1"/>
  <c r="N27" i="46" s="1"/>
  <c r="AI32" i="46"/>
  <c r="AH32" i="46"/>
  <c r="AK32" i="46" s="1"/>
  <c r="AI64" i="46"/>
  <c r="AH64" i="46"/>
  <c r="AK64" i="46" s="1"/>
  <c r="F59" i="46"/>
  <c r="E59" i="46" s="1"/>
  <c r="N59" i="46" s="1"/>
  <c r="M9" i="46"/>
  <c r="N8" i="46"/>
  <c r="F63" i="46"/>
  <c r="E63" i="46" s="1"/>
  <c r="N63" i="46" s="1"/>
  <c r="AI68" i="46"/>
  <c r="AH68" i="46"/>
  <c r="AK68" i="46" s="1"/>
  <c r="O6" i="46"/>
  <c r="F39" i="46"/>
  <c r="E39" i="46" s="1"/>
  <c r="N39" i="46" s="1"/>
  <c r="AH44" i="46"/>
  <c r="AK44" i="46" s="1"/>
  <c r="AI44" i="46"/>
  <c r="AI62" i="46"/>
  <c r="AH62" i="46"/>
  <c r="AK62" i="46" s="1"/>
  <c r="F57" i="46"/>
  <c r="E57" i="46" s="1"/>
  <c r="N57" i="46" s="1"/>
  <c r="F32" i="46"/>
  <c r="E32" i="46" s="1"/>
  <c r="N32" i="46" s="1"/>
  <c r="AI37" i="46"/>
  <c r="AH37" i="46"/>
  <c r="AK37" i="46" s="1"/>
  <c r="AI54" i="46"/>
  <c r="AH54" i="46"/>
  <c r="AK54" i="46" s="1"/>
  <c r="F49" i="46"/>
  <c r="E49" i="46" s="1"/>
  <c r="N49" i="46" s="1"/>
  <c r="F35" i="46"/>
  <c r="E35" i="46" s="1"/>
  <c r="N35" i="46" s="1"/>
  <c r="AI40" i="46"/>
  <c r="AH40" i="46"/>
  <c r="AK40" i="46" s="1"/>
  <c r="F34" i="46"/>
  <c r="E34" i="46" s="1"/>
  <c r="N34" i="46" s="1"/>
  <c r="AI39" i="46"/>
  <c r="AH39" i="46"/>
  <c r="AK39" i="46" s="1"/>
  <c r="AI45" i="46"/>
  <c r="F40" i="46"/>
  <c r="E40" i="46" s="1"/>
  <c r="N40" i="46" s="1"/>
  <c r="AH45" i="46"/>
  <c r="AK45" i="46" s="1"/>
  <c r="AH44" i="45"/>
  <c r="AK44" i="45" s="1"/>
  <c r="F39" i="45"/>
  <c r="E39" i="45" s="1"/>
  <c r="N39" i="45" s="1"/>
  <c r="AI44" i="45"/>
  <c r="AH47" i="45"/>
  <c r="AK47" i="45" s="1"/>
  <c r="AI47" i="45"/>
  <c r="F42" i="45"/>
  <c r="E42" i="45" s="1"/>
  <c r="N42" i="45" s="1"/>
  <c r="F29" i="45"/>
  <c r="E29" i="45" s="1"/>
  <c r="N29" i="45" s="1"/>
  <c r="AH34" i="45"/>
  <c r="AK34" i="45" s="1"/>
  <c r="AI34" i="45"/>
  <c r="F28" i="45"/>
  <c r="E28" i="45" s="1"/>
  <c r="N28" i="45" s="1"/>
  <c r="AI33" i="45"/>
  <c r="AH33" i="45"/>
  <c r="AK33" i="45" s="1"/>
  <c r="AI49" i="45"/>
  <c r="AH49" i="45"/>
  <c r="AK49" i="45" s="1"/>
  <c r="F44" i="45"/>
  <c r="E44" i="45" s="1"/>
  <c r="N44" i="45" s="1"/>
  <c r="AI32" i="45"/>
  <c r="AH32" i="45"/>
  <c r="AK32" i="45" s="1"/>
  <c r="F27" i="45"/>
  <c r="E27" i="45" s="1"/>
  <c r="N27" i="45" s="1"/>
  <c r="AI70" i="45"/>
  <c r="F65" i="45"/>
  <c r="E65" i="45" s="1"/>
  <c r="N65" i="45" s="1"/>
  <c r="AH70" i="45"/>
  <c r="AK70" i="45" s="1"/>
  <c r="AI40" i="45"/>
  <c r="AH40" i="45"/>
  <c r="AK40" i="45" s="1"/>
  <c r="F35" i="45"/>
  <c r="E35" i="45" s="1"/>
  <c r="N35" i="45" s="1"/>
  <c r="F61" i="45"/>
  <c r="E61" i="45" s="1"/>
  <c r="N61" i="45" s="1"/>
  <c r="AH66" i="45"/>
  <c r="AK66" i="45" s="1"/>
  <c r="AI66" i="45"/>
  <c r="F48" i="45"/>
  <c r="E48" i="45" s="1"/>
  <c r="N48" i="45" s="1"/>
  <c r="AI53" i="45"/>
  <c r="AH53" i="45"/>
  <c r="AK53" i="45" s="1"/>
  <c r="O9" i="45"/>
  <c r="AI36" i="45"/>
  <c r="AH36" i="45"/>
  <c r="AK36" i="45" s="1"/>
  <c r="F31" i="45"/>
  <c r="E31" i="45" s="1"/>
  <c r="N31" i="45" s="1"/>
  <c r="AI59" i="45"/>
  <c r="AH59" i="45"/>
  <c r="AK59" i="45" s="1"/>
  <c r="F54" i="45"/>
  <c r="E54" i="45" s="1"/>
  <c r="N54" i="45" s="1"/>
  <c r="AI39" i="45"/>
  <c r="F34" i="45"/>
  <c r="E34" i="45" s="1"/>
  <c r="N34" i="45" s="1"/>
  <c r="AH39" i="45"/>
  <c r="AK39" i="45" s="1"/>
  <c r="AH52" i="45"/>
  <c r="AK52" i="45" s="1"/>
  <c r="F47" i="45"/>
  <c r="E47" i="45" s="1"/>
  <c r="N47" i="45" s="1"/>
  <c r="AI52" i="45"/>
  <c r="AI58" i="45"/>
  <c r="F53" i="45"/>
  <c r="E53" i="45" s="1"/>
  <c r="N53" i="45" s="1"/>
  <c r="AH58" i="45"/>
  <c r="AK58" i="45" s="1"/>
  <c r="F64" i="45"/>
  <c r="E64" i="45" s="1"/>
  <c r="N64" i="45" s="1"/>
  <c r="AI69" i="45"/>
  <c r="AH69" i="45"/>
  <c r="AK69" i="45" s="1"/>
  <c r="AH71" i="45"/>
  <c r="AK71" i="45" s="1"/>
  <c r="AI71" i="45"/>
  <c r="F66" i="45"/>
  <c r="E66" i="45" s="1"/>
  <c r="N66" i="45" s="1"/>
  <c r="AH62" i="45"/>
  <c r="AK62" i="45" s="1"/>
  <c r="AI62" i="45"/>
  <c r="F57" i="45"/>
  <c r="E57" i="45" s="1"/>
  <c r="N57" i="45" s="1"/>
  <c r="F36" i="45"/>
  <c r="E36" i="45" s="1"/>
  <c r="N36" i="45" s="1"/>
  <c r="AI41" i="45"/>
  <c r="AH41" i="45"/>
  <c r="AK41" i="45" s="1"/>
  <c r="AH56" i="45"/>
  <c r="AK56" i="45" s="1"/>
  <c r="F51" i="45"/>
  <c r="E51" i="45" s="1"/>
  <c r="N51" i="45" s="1"/>
  <c r="AI56" i="45"/>
  <c r="AI60" i="45"/>
  <c r="AH60" i="45"/>
  <c r="AK60" i="45" s="1"/>
  <c r="F55" i="45"/>
  <c r="E55" i="45" s="1"/>
  <c r="N55" i="45" s="1"/>
  <c r="AI61" i="45"/>
  <c r="F56" i="45"/>
  <c r="E56" i="45" s="1"/>
  <c r="N56" i="45" s="1"/>
  <c r="AH61" i="45"/>
  <c r="AK61" i="45" s="1"/>
  <c r="AH48" i="45"/>
  <c r="AK48" i="45" s="1"/>
  <c r="AI48" i="45"/>
  <c r="F43" i="45"/>
  <c r="E43" i="45" s="1"/>
  <c r="N43" i="45" s="1"/>
  <c r="AI64" i="45"/>
  <c r="AH64" i="45"/>
  <c r="AK64" i="45" s="1"/>
  <c r="F59" i="45"/>
  <c r="E59" i="45" s="1"/>
  <c r="N59" i="45" s="1"/>
  <c r="AH42" i="45"/>
  <c r="AK42" i="45" s="1"/>
  <c r="AI42" i="45"/>
  <c r="F37" i="45"/>
  <c r="E37" i="45" s="1"/>
  <c r="N37" i="45" s="1"/>
  <c r="F41" i="45"/>
  <c r="E41" i="45" s="1"/>
  <c r="N41" i="45" s="1"/>
  <c r="AI46" i="45"/>
  <c r="AH46" i="45"/>
  <c r="AK46" i="45" s="1"/>
  <c r="F26" i="45"/>
  <c r="E26" i="45" s="1"/>
  <c r="AG29" i="45"/>
  <c r="AH30" i="45" s="1"/>
  <c r="AI31" i="45"/>
  <c r="AH31" i="45"/>
  <c r="AK31" i="45" s="1"/>
  <c r="N8" i="45"/>
  <c r="M9" i="45"/>
  <c r="F30" i="45"/>
  <c r="E30" i="45" s="1"/>
  <c r="N30" i="45" s="1"/>
  <c r="AI35" i="45"/>
  <c r="AH35" i="45"/>
  <c r="AK35" i="45" s="1"/>
  <c r="AI63" i="45"/>
  <c r="F58" i="45"/>
  <c r="E58" i="45" s="1"/>
  <c r="N58" i="45" s="1"/>
  <c r="AH63" i="45"/>
  <c r="AK63" i="45" s="1"/>
  <c r="F50" i="45"/>
  <c r="E50" i="45" s="1"/>
  <c r="N50" i="45" s="1"/>
  <c r="AI55" i="45"/>
  <c r="AH55" i="45"/>
  <c r="AK55" i="45" s="1"/>
  <c r="AI54" i="45"/>
  <c r="AH54" i="45"/>
  <c r="AK54" i="45" s="1"/>
  <c r="F49" i="45"/>
  <c r="E49" i="45" s="1"/>
  <c r="N49" i="45" s="1"/>
  <c r="F33" i="45"/>
  <c r="E33" i="45" s="1"/>
  <c r="N33" i="45" s="1"/>
  <c r="AI38" i="45"/>
  <c r="AH38" i="45"/>
  <c r="AK38" i="45" s="1"/>
  <c r="F60" i="45"/>
  <c r="E60" i="45" s="1"/>
  <c r="N60" i="45" s="1"/>
  <c r="AH65" i="45"/>
  <c r="AK65" i="45" s="1"/>
  <c r="AI65" i="45"/>
  <c r="AH67" i="45"/>
  <c r="AK67" i="45" s="1"/>
  <c r="AI67" i="45"/>
  <c r="F62" i="45"/>
  <c r="E62" i="45" s="1"/>
  <c r="N62" i="45" s="1"/>
  <c r="AI57" i="45"/>
  <c r="AH57" i="45"/>
  <c r="AK57" i="45" s="1"/>
  <c r="F52" i="45"/>
  <c r="E52" i="45" s="1"/>
  <c r="N52" i="45" s="1"/>
  <c r="AH45" i="45"/>
  <c r="AK45" i="45" s="1"/>
  <c r="AI45" i="45"/>
  <c r="F40" i="45"/>
  <c r="E40" i="45" s="1"/>
  <c r="N40" i="45" s="1"/>
  <c r="AH51" i="45"/>
  <c r="AK51" i="45" s="1"/>
  <c r="AI51" i="45"/>
  <c r="F46" i="45"/>
  <c r="E46" i="45" s="1"/>
  <c r="N46" i="45" s="1"/>
  <c r="AH37" i="45"/>
  <c r="AK37" i="45" s="1"/>
  <c r="F32" i="45"/>
  <c r="E32" i="45" s="1"/>
  <c r="N32" i="45" s="1"/>
  <c r="AI37" i="45"/>
  <c r="AI43" i="45"/>
  <c r="AH43" i="45"/>
  <c r="AK43" i="45" s="1"/>
  <c r="F38" i="45"/>
  <c r="E38" i="45" s="1"/>
  <c r="N38" i="45" s="1"/>
  <c r="AI50" i="45"/>
  <c r="F45" i="45"/>
  <c r="E45" i="45" s="1"/>
  <c r="N45" i="45" s="1"/>
  <c r="AH50" i="45"/>
  <c r="AK50" i="45" s="1"/>
  <c r="F63" i="45"/>
  <c r="E63" i="45" s="1"/>
  <c r="N63" i="45" s="1"/>
  <c r="AI68" i="45"/>
  <c r="AH68" i="45"/>
  <c r="AK68" i="45" s="1"/>
  <c r="AH30" i="46" l="1"/>
  <c r="AH72" i="46" s="1"/>
  <c r="AK72" i="46" s="1"/>
  <c r="AL30" i="46" s="1"/>
  <c r="S25" i="47" a="1"/>
  <c r="S25" i="47" s="1"/>
  <c r="N26" i="47"/>
  <c r="AH30" i="47"/>
  <c r="P6" i="47"/>
  <c r="Q6" i="47"/>
  <c r="O7" i="47"/>
  <c r="S5" i="47"/>
  <c r="R5" i="47"/>
  <c r="N26" i="46"/>
  <c r="S25" i="46" a="1"/>
  <c r="S25" i="46" s="1"/>
  <c r="O26" i="46" s="1"/>
  <c r="M10" i="46"/>
  <c r="N9" i="46"/>
  <c r="O7" i="46"/>
  <c r="AI72" i="45"/>
  <c r="AH72" i="45"/>
  <c r="AK72" i="45" s="1"/>
  <c r="AL30" i="45" s="1"/>
  <c r="N26" i="45"/>
  <c r="S25" i="45" a="1"/>
  <c r="S25" i="45" s="1"/>
  <c r="O26" i="45" s="1"/>
  <c r="N9" i="45"/>
  <c r="M10" i="45"/>
  <c r="O10" i="45"/>
  <c r="AI72" i="46" l="1"/>
  <c r="Q7" i="47"/>
  <c r="O8" i="47"/>
  <c r="P7" i="47"/>
  <c r="R6" i="47"/>
  <c r="S6" i="47"/>
  <c r="AI72" i="47"/>
  <c r="AH72" i="47"/>
  <c r="AK72" i="47" s="1"/>
  <c r="AL30" i="47" s="1"/>
  <c r="O26" i="47"/>
  <c r="AL31" i="46"/>
  <c r="M11" i="46"/>
  <c r="N10" i="46"/>
  <c r="O8" i="46"/>
  <c r="O27" i="46"/>
  <c r="P26" i="46"/>
  <c r="P26" i="45"/>
  <c r="O27" i="45"/>
  <c r="AL31" i="45"/>
  <c r="O11" i="45"/>
  <c r="N10" i="45"/>
  <c r="M11" i="45"/>
  <c r="P26" i="47" l="1"/>
  <c r="O27" i="47"/>
  <c r="AL31" i="47"/>
  <c r="R7" i="47"/>
  <c r="S7" i="47"/>
  <c r="O9" i="47"/>
  <c r="P8" i="47"/>
  <c r="Q8" i="47"/>
  <c r="N11" i="46"/>
  <c r="M12" i="46"/>
  <c r="S26" i="46"/>
  <c r="R26" i="46"/>
  <c r="O9" i="46"/>
  <c r="O28" i="46"/>
  <c r="P27" i="46"/>
  <c r="AM31" i="46"/>
  <c r="AL32" i="46"/>
  <c r="O12" i="45"/>
  <c r="AM31" i="45"/>
  <c r="AL32" i="45"/>
  <c r="O28" i="45"/>
  <c r="P27" i="45"/>
  <c r="N11" i="45"/>
  <c r="M12" i="45"/>
  <c r="R26" i="45"/>
  <c r="S26" i="45"/>
  <c r="S8" i="47" l="1"/>
  <c r="R8" i="47"/>
  <c r="P9" i="47"/>
  <c r="O10" i="47"/>
  <c r="Q9" i="47"/>
  <c r="AM31" i="47"/>
  <c r="AL32" i="47"/>
  <c r="O28" i="47"/>
  <c r="P27" i="47"/>
  <c r="R26" i="47"/>
  <c r="S26" i="47"/>
  <c r="S27" i="46"/>
  <c r="R27" i="46"/>
  <c r="AL33" i="46"/>
  <c r="AM32" i="46"/>
  <c r="AN31" i="46"/>
  <c r="AO31" i="46" s="1" a="1"/>
  <c r="O29" i="46"/>
  <c r="P28" i="46"/>
  <c r="M13" i="46"/>
  <c r="N12" i="46"/>
  <c r="O10" i="46"/>
  <c r="O13" i="45"/>
  <c r="AL33" i="45"/>
  <c r="AM32" i="45"/>
  <c r="M13" i="45"/>
  <c r="N12" i="45"/>
  <c r="S27" i="45"/>
  <c r="R27" i="45"/>
  <c r="P28" i="45"/>
  <c r="O29" i="45"/>
  <c r="AN31" i="45"/>
  <c r="AO31" i="45" s="1" a="1"/>
  <c r="O29" i="47" l="1"/>
  <c r="P28" i="47"/>
  <c r="AM32" i="47"/>
  <c r="AL33" i="47"/>
  <c r="AN31" i="47"/>
  <c r="AO31" i="47" s="1" a="1"/>
  <c r="O11" i="47"/>
  <c r="P10" i="47"/>
  <c r="Q10" i="47"/>
  <c r="S9" i="47"/>
  <c r="R9" i="47"/>
  <c r="R27" i="47"/>
  <c r="S27" i="47"/>
  <c r="AP31" i="46"/>
  <c r="AO31" i="46"/>
  <c r="O11" i="46"/>
  <c r="M14" i="46"/>
  <c r="N13" i="46"/>
  <c r="AN32" i="46"/>
  <c r="AO32" i="46" s="1" a="1"/>
  <c r="AM33" i="46"/>
  <c r="AL34" i="46"/>
  <c r="R28" i="46"/>
  <c r="S28" i="46"/>
  <c r="O30" i="46"/>
  <c r="P29" i="46"/>
  <c r="R28" i="45"/>
  <c r="S28" i="45"/>
  <c r="AO31" i="45"/>
  <c r="AP31" i="45"/>
  <c r="AN32" i="45"/>
  <c r="AO32" i="45" s="1" a="1"/>
  <c r="O30" i="45"/>
  <c r="P29" i="45"/>
  <c r="AM33" i="45"/>
  <c r="AL34" i="45"/>
  <c r="O14" i="45"/>
  <c r="M14" i="45"/>
  <c r="N13" i="45"/>
  <c r="S10" i="47" l="1"/>
  <c r="R10" i="47"/>
  <c r="P11" i="47"/>
  <c r="O12" i="47"/>
  <c r="Q11" i="47"/>
  <c r="AP31" i="47"/>
  <c r="AO31" i="47"/>
  <c r="AM33" i="47"/>
  <c r="AL34" i="47"/>
  <c r="AN32" i="47"/>
  <c r="AO32" i="47" s="1" a="1"/>
  <c r="R28" i="47"/>
  <c r="S28" i="47"/>
  <c r="O30" i="47"/>
  <c r="P29" i="47"/>
  <c r="AP32" i="46"/>
  <c r="AO32" i="46"/>
  <c r="AN33" i="46"/>
  <c r="AO33" i="46" a="1"/>
  <c r="M15" i="46"/>
  <c r="M16" i="46" s="1"/>
  <c r="M17" i="46" s="1"/>
  <c r="N14" i="46"/>
  <c r="AL35" i="46"/>
  <c r="AM34" i="46"/>
  <c r="O12" i="46"/>
  <c r="S29" i="46"/>
  <c r="R29" i="46"/>
  <c r="O31" i="46"/>
  <c r="P30" i="46"/>
  <c r="AP32" i="45"/>
  <c r="AO32" i="45"/>
  <c r="R29" i="45"/>
  <c r="S29" i="45"/>
  <c r="O31" i="45"/>
  <c r="P30" i="45"/>
  <c r="O15" i="45"/>
  <c r="AM34" i="45"/>
  <c r="AL35" i="45"/>
  <c r="M15" i="45"/>
  <c r="M16" i="45" s="1"/>
  <c r="M17" i="45" s="1"/>
  <c r="N14" i="45"/>
  <c r="AN33" i="45"/>
  <c r="AO33" i="45" s="1" a="1"/>
  <c r="AP32" i="47" l="1"/>
  <c r="AO32" i="47"/>
  <c r="AN33" i="47"/>
  <c r="AO33" i="47" s="1" a="1"/>
  <c r="S29" i="47"/>
  <c r="R29" i="47"/>
  <c r="O31" i="47"/>
  <c r="P30" i="47"/>
  <c r="O13" i="47"/>
  <c r="Q12" i="47"/>
  <c r="P12" i="47"/>
  <c r="S11" i="47"/>
  <c r="R11" i="47"/>
  <c r="AM34" i="47"/>
  <c r="AL35" i="47"/>
  <c r="O13" i="46"/>
  <c r="N17" i="46"/>
  <c r="P12" i="46" s="1"/>
  <c r="M18" i="46"/>
  <c r="M19" i="46" s="1"/>
  <c r="M20" i="46" s="1"/>
  <c r="AN34" i="46"/>
  <c r="AO34" i="46" s="1" a="1"/>
  <c r="AP33" i="46"/>
  <c r="AO33" i="46"/>
  <c r="O32" i="46"/>
  <c r="P31" i="46"/>
  <c r="P8" i="46"/>
  <c r="S30" i="46"/>
  <c r="R30" i="46"/>
  <c r="AL36" i="46"/>
  <c r="AM35" i="46"/>
  <c r="AP33" i="45"/>
  <c r="AO33" i="45"/>
  <c r="N17" i="45"/>
  <c r="M18" i="45"/>
  <c r="M19" i="45" s="1"/>
  <c r="M20" i="45" s="1"/>
  <c r="AL36" i="45"/>
  <c r="AM35" i="45"/>
  <c r="S30" i="45"/>
  <c r="R30" i="45"/>
  <c r="P31" i="45"/>
  <c r="O32" i="45"/>
  <c r="AN34" i="45"/>
  <c r="AO34" i="45" s="1" a="1"/>
  <c r="Q15" i="45"/>
  <c r="O16" i="45"/>
  <c r="P15" i="45"/>
  <c r="AO33" i="47" l="1"/>
  <c r="AP33" i="47"/>
  <c r="S30" i="47"/>
  <c r="R30" i="47"/>
  <c r="AM35" i="47"/>
  <c r="AL36" i="47"/>
  <c r="O32" i="47"/>
  <c r="P31" i="47"/>
  <c r="AN34" i="47"/>
  <c r="AO34" i="47" s="1" a="1"/>
  <c r="R12" i="47"/>
  <c r="S12" i="47"/>
  <c r="Q13" i="47"/>
  <c r="O14" i="47"/>
  <c r="P13" i="47"/>
  <c r="AP34" i="46"/>
  <c r="AO34" i="46"/>
  <c r="R12" i="46"/>
  <c r="S12" i="46"/>
  <c r="Q12" i="46"/>
  <c r="S31" i="46"/>
  <c r="R31" i="46"/>
  <c r="Q13" i="46"/>
  <c r="O14" i="46"/>
  <c r="P13" i="46"/>
  <c r="P32" i="46"/>
  <c r="O33" i="46"/>
  <c r="AL37" i="46"/>
  <c r="AM36" i="46"/>
  <c r="S8" i="46"/>
  <c r="R8" i="46"/>
  <c r="Q8" i="46"/>
  <c r="P3" i="46"/>
  <c r="P5" i="46"/>
  <c r="P4" i="46"/>
  <c r="P11" i="46"/>
  <c r="P7" i="46"/>
  <c r="P6" i="46"/>
  <c r="P10" i="46"/>
  <c r="AN35" i="46"/>
  <c r="AO35" i="46" s="1" a="1"/>
  <c r="P9" i="46"/>
  <c r="AO34" i="45"/>
  <c r="AP34" i="45"/>
  <c r="P32" i="45"/>
  <c r="O33" i="45"/>
  <c r="S31" i="45"/>
  <c r="R31" i="45"/>
  <c r="P3" i="45"/>
  <c r="P5" i="45"/>
  <c r="P7" i="45"/>
  <c r="P4" i="45"/>
  <c r="P9" i="45"/>
  <c r="P6" i="45"/>
  <c r="P14" i="45"/>
  <c r="S15" i="45"/>
  <c r="R15" i="45"/>
  <c r="P13" i="45"/>
  <c r="O17" i="45"/>
  <c r="P16" i="45"/>
  <c r="Q16" i="45"/>
  <c r="P12" i="45"/>
  <c r="P8" i="45"/>
  <c r="P10" i="45"/>
  <c r="P11" i="45"/>
  <c r="AN35" i="45"/>
  <c r="AO35" i="45" s="1" a="1"/>
  <c r="AM36" i="45"/>
  <c r="AL37" i="45"/>
  <c r="AP34" i="47" l="1"/>
  <c r="AO34" i="47"/>
  <c r="S31" i="47"/>
  <c r="R31" i="47"/>
  <c r="R13" i="47"/>
  <c r="S13" i="47"/>
  <c r="P32" i="47"/>
  <c r="O33" i="47"/>
  <c r="Q14" i="47"/>
  <c r="O15" i="47"/>
  <c r="P14" i="47"/>
  <c r="AL37" i="47"/>
  <c r="AM36" i="47"/>
  <c r="AN35" i="47"/>
  <c r="AO35" i="47" s="1" a="1"/>
  <c r="AP35" i="46"/>
  <c r="AO35" i="46"/>
  <c r="R6" i="46"/>
  <c r="S6" i="46"/>
  <c r="Q6" i="46"/>
  <c r="S5" i="46"/>
  <c r="R5" i="46"/>
  <c r="Q5" i="46"/>
  <c r="S32" i="46"/>
  <c r="R32" i="46"/>
  <c r="S10" i="46"/>
  <c r="R10" i="46"/>
  <c r="Q10" i="46"/>
  <c r="S7" i="46"/>
  <c r="R7" i="46"/>
  <c r="Q7" i="46"/>
  <c r="S11" i="46"/>
  <c r="R11" i="46"/>
  <c r="Q11" i="46"/>
  <c r="R4" i="46"/>
  <c r="Q4" i="46"/>
  <c r="O34" i="46"/>
  <c r="P33" i="46"/>
  <c r="S9" i="46"/>
  <c r="R9" i="46"/>
  <c r="Q9" i="46"/>
  <c r="R3" i="46"/>
  <c r="Q3" i="46"/>
  <c r="R13" i="46"/>
  <c r="S13" i="46"/>
  <c r="AN36" i="46"/>
  <c r="AO36" i="46" s="1" a="1"/>
  <c r="AM37" i="46"/>
  <c r="AL38" i="46"/>
  <c r="P14" i="46"/>
  <c r="O15" i="46"/>
  <c r="Q14" i="46"/>
  <c r="S5" i="45"/>
  <c r="R5" i="45"/>
  <c r="Q5" i="45"/>
  <c r="R10" i="45"/>
  <c r="S10" i="45"/>
  <c r="Q10" i="45"/>
  <c r="S14" i="45"/>
  <c r="R14" i="45"/>
  <c r="Q14" i="45"/>
  <c r="R12" i="45"/>
  <c r="S12" i="45"/>
  <c r="Q12" i="45"/>
  <c r="P33" i="45"/>
  <c r="O34" i="45"/>
  <c r="R32" i="45"/>
  <c r="S32" i="45"/>
  <c r="AN36" i="45"/>
  <c r="AO36" i="45" s="1" a="1"/>
  <c r="R16" i="45"/>
  <c r="S16" i="45"/>
  <c r="R4" i="45"/>
  <c r="Q4" i="45"/>
  <c r="AP35" i="45"/>
  <c r="AO35" i="45"/>
  <c r="S13" i="45"/>
  <c r="R13" i="45"/>
  <c r="Q13" i="45"/>
  <c r="R11" i="45"/>
  <c r="S11" i="45"/>
  <c r="Q11" i="45"/>
  <c r="Q3" i="45"/>
  <c r="R3" i="45"/>
  <c r="S8" i="45"/>
  <c r="R8" i="45"/>
  <c r="Q8" i="45"/>
  <c r="S6" i="45"/>
  <c r="R6" i="45"/>
  <c r="Q6" i="45"/>
  <c r="AL38" i="45"/>
  <c r="AM37" i="45"/>
  <c r="R9" i="45"/>
  <c r="S9" i="45"/>
  <c r="Q9" i="45"/>
  <c r="P17" i="45"/>
  <c r="O18" i="45"/>
  <c r="Q17" i="45"/>
  <c r="S7" i="45"/>
  <c r="R7" i="45"/>
  <c r="Q7" i="45"/>
  <c r="AP35" i="47" l="1"/>
  <c r="AO35" i="47"/>
  <c r="O34" i="47"/>
  <c r="P33" i="47"/>
  <c r="R32" i="47"/>
  <c r="S32" i="47"/>
  <c r="AN36" i="47"/>
  <c r="AO36" i="47" s="1" a="1"/>
  <c r="AM37" i="47"/>
  <c r="AL38" i="47"/>
  <c r="S14" i="47"/>
  <c r="R14" i="47"/>
  <c r="O16" i="47"/>
  <c r="Q15" i="47"/>
  <c r="P15" i="47"/>
  <c r="AP36" i="46"/>
  <c r="AO36" i="46"/>
  <c r="AN37" i="46"/>
  <c r="AO37" i="46" s="1" a="1"/>
  <c r="S33" i="46"/>
  <c r="R33" i="46"/>
  <c r="O35" i="46"/>
  <c r="P34" i="46"/>
  <c r="AM38" i="46"/>
  <c r="AL39" i="46"/>
  <c r="P15" i="46"/>
  <c r="O16" i="46"/>
  <c r="Q15" i="46"/>
  <c r="R14" i="46"/>
  <c r="S14" i="46"/>
  <c r="AN37" i="45"/>
  <c r="AO37" i="45" s="1" a="1"/>
  <c r="AP36" i="45"/>
  <c r="AO36" i="45"/>
  <c r="P18" i="45"/>
  <c r="O19" i="45"/>
  <c r="Q18" i="45"/>
  <c r="R17" i="45"/>
  <c r="S17" i="45"/>
  <c r="O35" i="45"/>
  <c r="P34" i="45"/>
  <c r="R33" i="45"/>
  <c r="S33" i="45"/>
  <c r="AL39" i="45"/>
  <c r="AM38" i="45"/>
  <c r="AO36" i="47" l="1"/>
  <c r="AP36" i="47"/>
  <c r="S15" i="47"/>
  <c r="R15" i="47"/>
  <c r="Q16" i="47"/>
  <c r="P16" i="47"/>
  <c r="O17" i="47"/>
  <c r="S33" i="47"/>
  <c r="R33" i="47"/>
  <c r="P34" i="47"/>
  <c r="O35" i="47"/>
  <c r="AM38" i="47"/>
  <c r="AL39" i="47"/>
  <c r="AN37" i="47"/>
  <c r="AO37" i="47" s="1" a="1"/>
  <c r="AP37" i="46"/>
  <c r="AO37" i="46"/>
  <c r="S34" i="46"/>
  <c r="R34" i="46"/>
  <c r="P35" i="46"/>
  <c r="O36" i="46"/>
  <c r="R15" i="46"/>
  <c r="S15" i="46"/>
  <c r="AM39" i="46"/>
  <c r="AL40" i="46"/>
  <c r="Q16" i="46"/>
  <c r="O17" i="46"/>
  <c r="P16" i="46"/>
  <c r="AN38" i="46"/>
  <c r="AO38" i="46" s="1" a="1"/>
  <c r="AP37" i="45"/>
  <c r="AO37" i="45"/>
  <c r="AN38" i="45"/>
  <c r="AO38" i="45" s="1" a="1"/>
  <c r="AM39" i="45"/>
  <c r="AL40" i="45"/>
  <c r="P19" i="45"/>
  <c r="O20" i="45"/>
  <c r="Q19" i="45"/>
  <c r="R18" i="45"/>
  <c r="S18" i="45"/>
  <c r="R34" i="45"/>
  <c r="S34" i="45"/>
  <c r="P35" i="45"/>
  <c r="O36" i="45"/>
  <c r="AP37" i="47" l="1"/>
  <c r="AO37" i="47"/>
  <c r="O18" i="47"/>
  <c r="P17" i="47"/>
  <c r="Q17" i="47"/>
  <c r="S16" i="47"/>
  <c r="R16" i="47"/>
  <c r="AM39" i="47"/>
  <c r="AL40" i="47"/>
  <c r="AN38" i="47"/>
  <c r="AO38" i="47" s="1" a="1"/>
  <c r="P35" i="47"/>
  <c r="O36" i="47"/>
  <c r="S34" i="47"/>
  <c r="R34" i="47"/>
  <c r="AP38" i="46"/>
  <c r="AO38" i="46"/>
  <c r="O37" i="46"/>
  <c r="P36" i="46"/>
  <c r="S16" i="46"/>
  <c r="R16" i="46"/>
  <c r="S35" i="46"/>
  <c r="R35" i="46"/>
  <c r="P17" i="46"/>
  <c r="O18" i="46"/>
  <c r="Q17" i="46"/>
  <c r="AM40" i="46"/>
  <c r="AL41" i="46"/>
  <c r="AN39" i="46"/>
  <c r="AO39" i="46" s="1" a="1"/>
  <c r="AP38" i="45"/>
  <c r="AO38" i="45"/>
  <c r="P20" i="45"/>
  <c r="Q20" i="45"/>
  <c r="R35" i="45"/>
  <c r="S35" i="45"/>
  <c r="O37" i="45"/>
  <c r="P36" i="45"/>
  <c r="S19" i="45"/>
  <c r="R19" i="45"/>
  <c r="AM40" i="45"/>
  <c r="AL41" i="45"/>
  <c r="AN39" i="45"/>
  <c r="AO39" i="45" s="1" a="1"/>
  <c r="AP38" i="47" l="1"/>
  <c r="AO38" i="47"/>
  <c r="AN39" i="47"/>
  <c r="AO39" i="47" s="1" a="1"/>
  <c r="P36" i="47"/>
  <c r="O37" i="47"/>
  <c r="S35" i="47"/>
  <c r="R35" i="47"/>
  <c r="S17" i="47"/>
  <c r="R17" i="47"/>
  <c r="O19" i="47"/>
  <c r="Q18" i="47"/>
  <c r="P18" i="47"/>
  <c r="AM40" i="47"/>
  <c r="AL41" i="47"/>
  <c r="AP39" i="46"/>
  <c r="AO39" i="46"/>
  <c r="AM41" i="46"/>
  <c r="AL42" i="46"/>
  <c r="AN40" i="46"/>
  <c r="AO40" i="46" s="1" a="1"/>
  <c r="S36" i="46"/>
  <c r="R36" i="46"/>
  <c r="P37" i="46"/>
  <c r="O38" i="46"/>
  <c r="Q18" i="46"/>
  <c r="P18" i="46"/>
  <c r="O19" i="46"/>
  <c r="S17" i="46"/>
  <c r="R17" i="46"/>
  <c r="AO39" i="45"/>
  <c r="AP39" i="45"/>
  <c r="R36" i="45"/>
  <c r="S36" i="45"/>
  <c r="O38" i="45"/>
  <c r="P37" i="45"/>
  <c r="AM41" i="45"/>
  <c r="AL42" i="45"/>
  <c r="AN40" i="45"/>
  <c r="AO40" i="45" s="1" a="1"/>
  <c r="R20" i="45"/>
  <c r="S20" i="45"/>
  <c r="AP39" i="47" l="1"/>
  <c r="AO39" i="47"/>
  <c r="AM41" i="47"/>
  <c r="AL42" i="47"/>
  <c r="AN40" i="47"/>
  <c r="AO40" i="47" s="1" a="1"/>
  <c r="R18" i="47"/>
  <c r="S18" i="47"/>
  <c r="O20" i="47"/>
  <c r="Q19" i="47"/>
  <c r="P19" i="47"/>
  <c r="O38" i="47"/>
  <c r="P37" i="47"/>
  <c r="S36" i="47"/>
  <c r="R36" i="47"/>
  <c r="AO40" i="46"/>
  <c r="AP40" i="46"/>
  <c r="O20" i="46"/>
  <c r="Q19" i="46"/>
  <c r="P19" i="46"/>
  <c r="S18" i="46"/>
  <c r="R18" i="46"/>
  <c r="AM42" i="46"/>
  <c r="AL43" i="46"/>
  <c r="AN41" i="46"/>
  <c r="AO41" i="46" s="1" a="1"/>
  <c r="P38" i="46"/>
  <c r="O39" i="46"/>
  <c r="S37" i="46"/>
  <c r="R37" i="46"/>
  <c r="AP40" i="45"/>
  <c r="AO40" i="45"/>
  <c r="R37" i="45"/>
  <c r="S37" i="45"/>
  <c r="AM42" i="45"/>
  <c r="AL43" i="45"/>
  <c r="AN41" i="45"/>
  <c r="AO41" i="45" a="1"/>
  <c r="P38" i="45"/>
  <c r="O39" i="45"/>
  <c r="AO40" i="47" l="1"/>
  <c r="AP40" i="47"/>
  <c r="R37" i="47"/>
  <c r="S37" i="47"/>
  <c r="AM42" i="47"/>
  <c r="AL43" i="47"/>
  <c r="R19" i="47"/>
  <c r="S19" i="47"/>
  <c r="P38" i="47"/>
  <c r="O39" i="47"/>
  <c r="AN41" i="47"/>
  <c r="AO41" i="47" s="1" a="1"/>
  <c r="Q20" i="47"/>
  <c r="P20" i="47"/>
  <c r="AP41" i="46"/>
  <c r="AO41" i="46"/>
  <c r="AN42" i="46"/>
  <c r="AO42" i="46" s="1" a="1"/>
  <c r="O40" i="46"/>
  <c r="P39" i="46"/>
  <c r="R19" i="46"/>
  <c r="S19" i="46"/>
  <c r="S38" i="46"/>
  <c r="R38" i="46"/>
  <c r="Q20" i="46"/>
  <c r="P20" i="46"/>
  <c r="AM43" i="46"/>
  <c r="AL44" i="46"/>
  <c r="AP41" i="45"/>
  <c r="AO41" i="45"/>
  <c r="AM43" i="45"/>
  <c r="AL44" i="45"/>
  <c r="AN42" i="45"/>
  <c r="AO42" i="45" s="1" a="1"/>
  <c r="O40" i="45"/>
  <c r="P39" i="45"/>
  <c r="R38" i="45"/>
  <c r="S38" i="45"/>
  <c r="AO41" i="47" l="1"/>
  <c r="AP41" i="47"/>
  <c r="R20" i="47"/>
  <c r="S20" i="47"/>
  <c r="AN42" i="47"/>
  <c r="AO42" i="47" s="1" a="1"/>
  <c r="AM43" i="47"/>
  <c r="AL44" i="47"/>
  <c r="P39" i="47"/>
  <c r="O40" i="47"/>
  <c r="S38" i="47"/>
  <c r="R38" i="47"/>
  <c r="AP42" i="46"/>
  <c r="AO42" i="46"/>
  <c r="AL45" i="46"/>
  <c r="AM44" i="46"/>
  <c r="P40" i="46"/>
  <c r="O41" i="46"/>
  <c r="S20" i="46"/>
  <c r="R20" i="46"/>
  <c r="S39" i="46"/>
  <c r="R39" i="46"/>
  <c r="AN43" i="46"/>
  <c r="AO43" i="46" s="1" a="1"/>
  <c r="AP42" i="45"/>
  <c r="AO42" i="45"/>
  <c r="R39" i="45"/>
  <c r="S39" i="45"/>
  <c r="P40" i="45"/>
  <c r="O41" i="45"/>
  <c r="AL45" i="45"/>
  <c r="AM44" i="45"/>
  <c r="AN43" i="45"/>
  <c r="AO43" i="45" s="1" a="1"/>
  <c r="AL45" i="47" l="1"/>
  <c r="AM44" i="47"/>
  <c r="AN43" i="47"/>
  <c r="AO43" i="47" s="1" a="1"/>
  <c r="AP42" i="47"/>
  <c r="AO42" i="47"/>
  <c r="O41" i="47"/>
  <c r="P40" i="47"/>
  <c r="R39" i="47"/>
  <c r="S39" i="47"/>
  <c r="AP43" i="46"/>
  <c r="AO43" i="46"/>
  <c r="O42" i="46"/>
  <c r="P41" i="46"/>
  <c r="S40" i="46"/>
  <c r="R40" i="46"/>
  <c r="AO44" i="46" a="1"/>
  <c r="AN44" i="46"/>
  <c r="AL46" i="46"/>
  <c r="AM45" i="46"/>
  <c r="AO43" i="45"/>
  <c r="AP43" i="45"/>
  <c r="AO44" i="45" a="1"/>
  <c r="AN44" i="45"/>
  <c r="AL46" i="45"/>
  <c r="AM45" i="45"/>
  <c r="O42" i="45"/>
  <c r="P41" i="45"/>
  <c r="R40" i="45"/>
  <c r="S40" i="45"/>
  <c r="AR31" i="46" a="1"/>
  <c r="AR31" i="45" a="1"/>
  <c r="AP43" i="47" l="1"/>
  <c r="AO43" i="47"/>
  <c r="S40" i="47"/>
  <c r="R40" i="47"/>
  <c r="P41" i="47"/>
  <c r="O42" i="47"/>
  <c r="AN44" i="47"/>
  <c r="AO44" i="47" a="1"/>
  <c r="AL46" i="47"/>
  <c r="AM45" i="47"/>
  <c r="AR58" i="46"/>
  <c r="AR50" i="46"/>
  <c r="AR42" i="46"/>
  <c r="AR34" i="46"/>
  <c r="AR63" i="46"/>
  <c r="AR54" i="46"/>
  <c r="AR45" i="46"/>
  <c r="AR36" i="46"/>
  <c r="AR62" i="46"/>
  <c r="AR53" i="46"/>
  <c r="AR44" i="46"/>
  <c r="AR35" i="46"/>
  <c r="AR61" i="46"/>
  <c r="AR52" i="46"/>
  <c r="AR43" i="46"/>
  <c r="AR33" i="46"/>
  <c r="AR49" i="46"/>
  <c r="AR37" i="46"/>
  <c r="AR64" i="46"/>
  <c r="AR48" i="46"/>
  <c r="AR32" i="46"/>
  <c r="AR51" i="46"/>
  <c r="AR47" i="46"/>
  <c r="AR46" i="46"/>
  <c r="AR41" i="46"/>
  <c r="AR59" i="46"/>
  <c r="AR39" i="46"/>
  <c r="AR60" i="46"/>
  <c r="AR56" i="46"/>
  <c r="AR38" i="46"/>
  <c r="AR40" i="46"/>
  <c r="AR57" i="46"/>
  <c r="AR55" i="46"/>
  <c r="AR31" i="46"/>
  <c r="AO44" i="46"/>
  <c r="AP44" i="46"/>
  <c r="P42" i="46"/>
  <c r="O43" i="46"/>
  <c r="AO45" i="46" a="1"/>
  <c r="AN45" i="46"/>
  <c r="S41" i="46"/>
  <c r="R41" i="46"/>
  <c r="AL47" i="46"/>
  <c r="AM46" i="46"/>
  <c r="AR57" i="45"/>
  <c r="AR49" i="45"/>
  <c r="AR41" i="45"/>
  <c r="AR33" i="45"/>
  <c r="AR63" i="45"/>
  <c r="AR54" i="45"/>
  <c r="AR45" i="45"/>
  <c r="AR36" i="45"/>
  <c r="AR61" i="45"/>
  <c r="AR52" i="45"/>
  <c r="AR43" i="45"/>
  <c r="AR56" i="45"/>
  <c r="AR44" i="45"/>
  <c r="AR32" i="45"/>
  <c r="AR55" i="45"/>
  <c r="AR42" i="45"/>
  <c r="AR31" i="45"/>
  <c r="AR51" i="45"/>
  <c r="AR64" i="45"/>
  <c r="AR39" i="45"/>
  <c r="AR53" i="45"/>
  <c r="AR40" i="45"/>
  <c r="AR48" i="45"/>
  <c r="AR47" i="45"/>
  <c r="AR46" i="45"/>
  <c r="AR62" i="45"/>
  <c r="AR38" i="45"/>
  <c r="AR37" i="45"/>
  <c r="AR58" i="45"/>
  <c r="AR50" i="45"/>
  <c r="AR60" i="45"/>
  <c r="AR59" i="45"/>
  <c r="AR35" i="45"/>
  <c r="AR34" i="45"/>
  <c r="S41" i="45"/>
  <c r="R41" i="45"/>
  <c r="O43" i="45"/>
  <c r="P42" i="45"/>
  <c r="AN45" i="45"/>
  <c r="AO45" i="45" a="1"/>
  <c r="AL47" i="45"/>
  <c r="AM46" i="45"/>
  <c r="AP44" i="45"/>
  <c r="AO44" i="45"/>
  <c r="AR31" i="47" a="1"/>
  <c r="AR62" i="47" l="1"/>
  <c r="AR54" i="47"/>
  <c r="AR46" i="47"/>
  <c r="AR38" i="47"/>
  <c r="AR64" i="47"/>
  <c r="AR55" i="47"/>
  <c r="AR45" i="47"/>
  <c r="AR36" i="47"/>
  <c r="AR63" i="47"/>
  <c r="AR44" i="47"/>
  <c r="AR35" i="47"/>
  <c r="AR59" i="47"/>
  <c r="AR49" i="47"/>
  <c r="AR37" i="47"/>
  <c r="AR58" i="47"/>
  <c r="AR48" i="47"/>
  <c r="AR34" i="47"/>
  <c r="AR57" i="47"/>
  <c r="AR47" i="47"/>
  <c r="AR53" i="47"/>
  <c r="AR33" i="47"/>
  <c r="AR56" i="47"/>
  <c r="AR43" i="47"/>
  <c r="AR32" i="47"/>
  <c r="AR42" i="47"/>
  <c r="AR31" i="47"/>
  <c r="AR39" i="47"/>
  <c r="AR61" i="47"/>
  <c r="AR52" i="47"/>
  <c r="AR50" i="47"/>
  <c r="AR40" i="47"/>
  <c r="AR60" i="47"/>
  <c r="AR51" i="47"/>
  <c r="AR41" i="47"/>
  <c r="AO44" i="47"/>
  <c r="AP44" i="47"/>
  <c r="O43" i="47"/>
  <c r="P42" i="47"/>
  <c r="S41" i="47"/>
  <c r="R41" i="47"/>
  <c r="AO45" i="47" a="1"/>
  <c r="AN45" i="47"/>
  <c r="AL47" i="47"/>
  <c r="AM46" i="47"/>
  <c r="AP45" i="46"/>
  <c r="AO45" i="46"/>
  <c r="P43" i="46"/>
  <c r="O44" i="46"/>
  <c r="S42" i="46"/>
  <c r="R42" i="46"/>
  <c r="AO46" i="46" a="1"/>
  <c r="AN46" i="46"/>
  <c r="AM47" i="46"/>
  <c r="AL48" i="46"/>
  <c r="AP45" i="45"/>
  <c r="AO45" i="45"/>
  <c r="S42" i="45"/>
  <c r="R42" i="45"/>
  <c r="P43" i="45"/>
  <c r="O44" i="45"/>
  <c r="AO46" i="45" a="1"/>
  <c r="AN46" i="45"/>
  <c r="AL48" i="45"/>
  <c r="AM47" i="45"/>
  <c r="S42" i="47" l="1"/>
  <c r="R42" i="47"/>
  <c r="P43" i="47"/>
  <c r="O44" i="47"/>
  <c r="AN46" i="47"/>
  <c r="AO46" i="47" a="1"/>
  <c r="AL48" i="47"/>
  <c r="AM47" i="47"/>
  <c r="AP45" i="47"/>
  <c r="AO45" i="47"/>
  <c r="AP46" i="46"/>
  <c r="AO46" i="46"/>
  <c r="O45" i="46"/>
  <c r="P44" i="46"/>
  <c r="S43" i="46"/>
  <c r="R43" i="46"/>
  <c r="AL49" i="46"/>
  <c r="AM48" i="46"/>
  <c r="AO47" i="46" a="1"/>
  <c r="AN47" i="46"/>
  <c r="AP46" i="45"/>
  <c r="AO46" i="45"/>
  <c r="P44" i="45"/>
  <c r="O45" i="45"/>
  <c r="R43" i="45"/>
  <c r="S43" i="45"/>
  <c r="AO47" i="45" a="1"/>
  <c r="AN47" i="45"/>
  <c r="AM48" i="45"/>
  <c r="AL49" i="45"/>
  <c r="AO47" i="47" l="1" a="1"/>
  <c r="AN47" i="47"/>
  <c r="AL49" i="47"/>
  <c r="AM48" i="47"/>
  <c r="AP46" i="47"/>
  <c r="AO46" i="47"/>
  <c r="P44" i="47"/>
  <c r="O45" i="47"/>
  <c r="S43" i="47"/>
  <c r="R43" i="47"/>
  <c r="AO48" i="46" a="1"/>
  <c r="AN48" i="46"/>
  <c r="AL50" i="46"/>
  <c r="AM49" i="46"/>
  <c r="S44" i="46"/>
  <c r="R44" i="46"/>
  <c r="P45" i="46"/>
  <c r="O46" i="46"/>
  <c r="AO47" i="46"/>
  <c r="AP47" i="46"/>
  <c r="AP47" i="45"/>
  <c r="AO47" i="45"/>
  <c r="O46" i="45"/>
  <c r="P45" i="45"/>
  <c r="AL50" i="45"/>
  <c r="AM49" i="45"/>
  <c r="R44" i="45"/>
  <c r="S44" i="45"/>
  <c r="AN48" i="45"/>
  <c r="AO48" i="45" a="1"/>
  <c r="C8" i="44"/>
  <c r="B48" i="44" s="1"/>
  <c r="C69" i="44"/>
  <c r="B69" i="44"/>
  <c r="C68" i="44"/>
  <c r="B68" i="44"/>
  <c r="C67" i="44"/>
  <c r="B67" i="44"/>
  <c r="C66" i="44"/>
  <c r="B66" i="44"/>
  <c r="C65" i="44"/>
  <c r="B65" i="44"/>
  <c r="C64" i="44"/>
  <c r="B64" i="44"/>
  <c r="C63" i="44"/>
  <c r="B63" i="44"/>
  <c r="C62" i="44"/>
  <c r="B62" i="44"/>
  <c r="C61" i="44"/>
  <c r="B61" i="44"/>
  <c r="C60" i="44"/>
  <c r="B60" i="44"/>
  <c r="C59" i="44"/>
  <c r="B59" i="44"/>
  <c r="C58" i="44"/>
  <c r="B58" i="44"/>
  <c r="C57" i="44"/>
  <c r="B57" i="44"/>
  <c r="B56" i="44"/>
  <c r="C55" i="44"/>
  <c r="C54" i="44"/>
  <c r="B53" i="44"/>
  <c r="B52" i="44"/>
  <c r="B51" i="44"/>
  <c r="B50" i="44"/>
  <c r="B49" i="44"/>
  <c r="C45" i="44"/>
  <c r="AJ32" i="44"/>
  <c r="AJ33" i="44" s="1"/>
  <c r="AJ34" i="44" s="1"/>
  <c r="AJ35" i="44" s="1"/>
  <c r="AJ36" i="44" s="1"/>
  <c r="AJ37" i="44" s="1"/>
  <c r="AJ38" i="44" s="1"/>
  <c r="AJ39" i="44" s="1"/>
  <c r="AJ40" i="44" s="1"/>
  <c r="AJ41" i="44" s="1"/>
  <c r="AJ42" i="44" s="1"/>
  <c r="AJ43" i="44" s="1"/>
  <c r="AJ44" i="44" s="1"/>
  <c r="AJ45" i="44" s="1"/>
  <c r="AJ46" i="44" s="1"/>
  <c r="AJ47" i="44" s="1"/>
  <c r="AJ48" i="44" s="1"/>
  <c r="AJ49" i="44" s="1"/>
  <c r="AJ50" i="44" s="1"/>
  <c r="AJ51" i="44" s="1"/>
  <c r="AJ52" i="44" s="1"/>
  <c r="AJ53" i="44" s="1"/>
  <c r="AJ54" i="44" s="1"/>
  <c r="AJ55" i="44" s="1"/>
  <c r="AJ56" i="44" s="1"/>
  <c r="AJ57" i="44" s="1"/>
  <c r="AJ58" i="44" s="1"/>
  <c r="AJ59" i="44" s="1"/>
  <c r="AJ60" i="44" s="1"/>
  <c r="AJ61" i="44" s="1"/>
  <c r="AJ62" i="44" s="1"/>
  <c r="AJ63" i="44" s="1"/>
  <c r="AJ64" i="44" s="1"/>
  <c r="AJ65" i="44" s="1"/>
  <c r="AJ66" i="44" s="1"/>
  <c r="AJ67" i="44" s="1"/>
  <c r="AJ68" i="44" s="1"/>
  <c r="AJ69" i="44" s="1"/>
  <c r="AJ70" i="44" s="1"/>
  <c r="AJ71" i="44" s="1"/>
  <c r="AJ72" i="44" s="1"/>
  <c r="M32" i="44"/>
  <c r="M33" i="44" s="1"/>
  <c r="M34" i="44" s="1"/>
  <c r="M35" i="44" s="1"/>
  <c r="M36" i="44" s="1"/>
  <c r="M37" i="44" s="1"/>
  <c r="M38" i="44" s="1"/>
  <c r="M39" i="44" s="1"/>
  <c r="M40" i="44" s="1"/>
  <c r="M41" i="44" s="1"/>
  <c r="M42" i="44" s="1"/>
  <c r="M43" i="44" s="1"/>
  <c r="M44" i="44" s="1"/>
  <c r="M45" i="44" s="1"/>
  <c r="M46" i="44" s="1"/>
  <c r="M47" i="44" s="1"/>
  <c r="M48" i="44" s="1"/>
  <c r="M49" i="44" s="1"/>
  <c r="M50" i="44" s="1"/>
  <c r="M51" i="44" s="1"/>
  <c r="M52" i="44" s="1"/>
  <c r="M53" i="44" s="1"/>
  <c r="M54" i="44" s="1"/>
  <c r="M55" i="44" s="1"/>
  <c r="M56" i="44" s="1"/>
  <c r="M57" i="44" s="1"/>
  <c r="M58" i="44" s="1"/>
  <c r="M59" i="44" s="1"/>
  <c r="M60" i="44" s="1"/>
  <c r="M61" i="44" s="1"/>
  <c r="M62" i="44" s="1"/>
  <c r="M63" i="44" s="1"/>
  <c r="M64" i="44" s="1"/>
  <c r="M65" i="44" s="1"/>
  <c r="M66" i="44" s="1"/>
  <c r="M67" i="44" s="1"/>
  <c r="M31" i="44"/>
  <c r="M30" i="44"/>
  <c r="M27" i="44"/>
  <c r="M28" i="44" s="1"/>
  <c r="M29" i="44" s="1"/>
  <c r="F23" i="44"/>
  <c r="N20" i="44"/>
  <c r="F20" i="44"/>
  <c r="N19" i="44"/>
  <c r="F19" i="44"/>
  <c r="N18" i="44"/>
  <c r="F18" i="44"/>
  <c r="F17" i="44"/>
  <c r="F16" i="44"/>
  <c r="F15" i="44"/>
  <c r="F14" i="44"/>
  <c r="F13" i="44"/>
  <c r="F12" i="44"/>
  <c r="AI11" i="44"/>
  <c r="F11" i="44"/>
  <c r="F10" i="44"/>
  <c r="F9" i="44"/>
  <c r="F8" i="44"/>
  <c r="F7" i="44"/>
  <c r="N5" i="44"/>
  <c r="F5" i="44"/>
  <c r="M4" i="44"/>
  <c r="M5" i="44" s="1"/>
  <c r="M6" i="44" s="1"/>
  <c r="N6" i="44" s="1"/>
  <c r="F4" i="44"/>
  <c r="N3" i="44"/>
  <c r="F3" i="44"/>
  <c r="S2" i="44"/>
  <c r="O3" i="44" s="1"/>
  <c r="S2" i="44" a="1"/>
  <c r="U9" i="43"/>
  <c r="L9" i="43"/>
  <c r="C9" i="43"/>
  <c r="Z16" i="44"/>
  <c r="Z43" i="44"/>
  <c r="AA10" i="44"/>
  <c r="Z3" i="44"/>
  <c r="Z9" i="44"/>
  <c r="Z48" i="44"/>
  <c r="AA4" i="44"/>
  <c r="Z55" i="44"/>
  <c r="AA65" i="44"/>
  <c r="AA72" i="44"/>
  <c r="Z68" i="44"/>
  <c r="AA37" i="44"/>
  <c r="Z41" i="44"/>
  <c r="Z53" i="44"/>
  <c r="AA22" i="44"/>
  <c r="AA59" i="44"/>
  <c r="Z31" i="44"/>
  <c r="Z21" i="44"/>
  <c r="AA21" i="44"/>
  <c r="AA61" i="44"/>
  <c r="AA53" i="44"/>
  <c r="Z67" i="44"/>
  <c r="AA67" i="44"/>
  <c r="AA18" i="44"/>
  <c r="Z5" i="44"/>
  <c r="AA8" i="44"/>
  <c r="Z49" i="44"/>
  <c r="Z37" i="44"/>
  <c r="AA60" i="44"/>
  <c r="AA19" i="44"/>
  <c r="Z58" i="44"/>
  <c r="Z4" i="44"/>
  <c r="Z13" i="44"/>
  <c r="C15" i="44"/>
  <c r="AA42" i="44"/>
  <c r="Z40" i="44"/>
  <c r="AA66" i="44"/>
  <c r="Z61" i="44"/>
  <c r="AA45" i="44"/>
  <c r="Z15" i="44"/>
  <c r="AA40" i="44"/>
  <c r="Z36" i="44"/>
  <c r="Z44" i="44"/>
  <c r="Z8" i="44"/>
  <c r="Z24" i="44"/>
  <c r="Z18" i="44"/>
  <c r="AA56" i="44"/>
  <c r="AA9" i="44"/>
  <c r="AA51" i="44"/>
  <c r="AA13" i="44"/>
  <c r="AA43" i="44"/>
  <c r="AA70" i="44"/>
  <c r="Z66" i="44"/>
  <c r="AA17" i="44"/>
  <c r="Z34" i="44"/>
  <c r="Z65" i="44"/>
  <c r="Z51" i="44"/>
  <c r="Z33" i="44"/>
  <c r="AA58" i="44"/>
  <c r="AA20" i="44"/>
  <c r="AA23" i="44"/>
  <c r="Z17" i="44"/>
  <c r="AA38" i="44"/>
  <c r="Z14" i="44"/>
  <c r="Z59" i="44"/>
  <c r="AA71" i="44"/>
  <c r="AA64" i="44"/>
  <c r="AA48" i="44"/>
  <c r="AA52" i="44"/>
  <c r="Z20" i="44"/>
  <c r="Z46" i="44"/>
  <c r="Z56" i="44"/>
  <c r="AA32" i="44"/>
  <c r="Z23" i="44"/>
  <c r="Z70" i="44"/>
  <c r="Z10" i="44"/>
  <c r="Z39" i="44"/>
  <c r="AA41" i="44"/>
  <c r="Z19" i="44"/>
  <c r="AA33" i="44"/>
  <c r="AA69" i="44"/>
  <c r="Z62" i="44"/>
  <c r="AA47" i="44"/>
  <c r="AA46" i="44"/>
  <c r="Z63" i="44"/>
  <c r="Z47" i="44"/>
  <c r="AA39" i="44"/>
  <c r="AA54" i="44"/>
  <c r="AA16" i="44"/>
  <c r="AA35" i="44"/>
  <c r="AA44" i="44"/>
  <c r="Z69" i="44"/>
  <c r="AA68" i="44"/>
  <c r="AA36" i="44"/>
  <c r="AA31" i="44"/>
  <c r="AA50" i="44"/>
  <c r="Z38" i="44"/>
  <c r="Z60" i="44"/>
  <c r="AA62" i="44"/>
  <c r="Z22" i="44"/>
  <c r="AA34" i="44"/>
  <c r="Z57" i="44"/>
  <c r="Z42" i="44"/>
  <c r="Z64" i="44"/>
  <c r="Z71" i="44"/>
  <c r="Z72" i="44"/>
  <c r="AA24" i="44"/>
  <c r="Z52" i="44"/>
  <c r="Z54" i="44"/>
  <c r="Z32" i="44"/>
  <c r="Z50" i="44"/>
  <c r="AA57" i="44"/>
  <c r="AA5" i="44"/>
  <c r="AA14" i="44"/>
  <c r="AA15" i="44"/>
  <c r="AA63" i="44"/>
  <c r="Z35" i="44"/>
  <c r="AA49" i="44"/>
  <c r="AA3" i="44"/>
  <c r="AA55" i="44"/>
  <c r="Z45" i="44"/>
  <c r="O46" i="47" l="1"/>
  <c r="P45" i="47"/>
  <c r="R44" i="47"/>
  <c r="S44" i="47"/>
  <c r="AO48" i="47" a="1"/>
  <c r="AN48" i="47"/>
  <c r="AL50" i="47"/>
  <c r="AM49" i="47"/>
  <c r="AP47" i="47"/>
  <c r="AO47" i="47"/>
  <c r="P46" i="46"/>
  <c r="O47" i="46"/>
  <c r="S45" i="46"/>
  <c r="R45" i="46"/>
  <c r="AO49" i="46" a="1"/>
  <c r="AN49" i="46"/>
  <c r="AM50" i="46"/>
  <c r="AL51" i="46"/>
  <c r="AP48" i="46"/>
  <c r="AO48" i="46"/>
  <c r="AO49" i="45" a="1"/>
  <c r="AN49" i="45"/>
  <c r="AM50" i="45"/>
  <c r="AL51" i="45"/>
  <c r="O47" i="45"/>
  <c r="P46" i="45"/>
  <c r="AP48" i="45"/>
  <c r="AO48" i="45"/>
  <c r="S45" i="45"/>
  <c r="R45" i="45"/>
  <c r="I8" i="44"/>
  <c r="L8" i="44" s="1"/>
  <c r="I23" i="44"/>
  <c r="L23" i="44" s="1"/>
  <c r="AF52" i="44"/>
  <c r="I5" i="44"/>
  <c r="L5" i="44" s="1"/>
  <c r="AF31" i="44"/>
  <c r="AF68" i="44"/>
  <c r="I16" i="44"/>
  <c r="L16" i="44" s="1"/>
  <c r="I10" i="44"/>
  <c r="L10" i="44" s="1"/>
  <c r="I14" i="44"/>
  <c r="L14" i="44" s="1"/>
  <c r="AF65" i="44"/>
  <c r="AF64" i="44"/>
  <c r="I6" i="44"/>
  <c r="L6" i="44" s="1"/>
  <c r="I19" i="44"/>
  <c r="L19" i="44" s="1"/>
  <c r="AF41" i="44"/>
  <c r="AF63" i="44"/>
  <c r="I18" i="44"/>
  <c r="L18" i="44" s="1"/>
  <c r="I17" i="44"/>
  <c r="L17" i="44" s="1"/>
  <c r="AF49" i="44"/>
  <c r="I13" i="44"/>
  <c r="L13" i="44" s="1"/>
  <c r="AF72" i="44"/>
  <c r="I7" i="44"/>
  <c r="L7" i="44" s="1"/>
  <c r="I15" i="44"/>
  <c r="L15" i="44" s="1"/>
  <c r="AF57" i="44"/>
  <c r="I11" i="44"/>
  <c r="L11" i="44" s="1"/>
  <c r="AF42" i="44"/>
  <c r="AF58" i="44"/>
  <c r="AF51" i="44"/>
  <c r="AF60" i="44"/>
  <c r="AF62" i="44"/>
  <c r="AF69" i="44"/>
  <c r="AF61" i="44"/>
  <c r="I9" i="44"/>
  <c r="L9" i="44" s="1"/>
  <c r="I12" i="44"/>
  <c r="L12" i="44" s="1"/>
  <c r="I20" i="44"/>
  <c r="L20" i="44" s="1"/>
  <c r="AF50" i="44"/>
  <c r="AF67" i="44"/>
  <c r="AF32" i="44"/>
  <c r="AF33" i="44"/>
  <c r="AF34" i="44"/>
  <c r="AF35" i="44"/>
  <c r="AF36" i="44"/>
  <c r="AF37" i="44"/>
  <c r="AF38" i="44"/>
  <c r="AF39" i="44"/>
  <c r="AF40" i="44"/>
  <c r="AF48" i="44"/>
  <c r="AF56" i="44"/>
  <c r="AF71" i="44"/>
  <c r="AF53" i="44"/>
  <c r="AF43" i="44"/>
  <c r="AF44" i="44"/>
  <c r="AF54" i="44"/>
  <c r="AF59" i="44"/>
  <c r="AF66" i="44"/>
  <c r="AF70" i="44"/>
  <c r="AF45" i="44"/>
  <c r="AF46" i="44"/>
  <c r="AF47" i="44"/>
  <c r="AF55" i="44"/>
  <c r="O4" i="44"/>
  <c r="M7" i="44"/>
  <c r="AQ31" i="44" a="1"/>
  <c r="N4" i="44"/>
  <c r="R18" i="42"/>
  <c r="Q18" i="42"/>
  <c r="R17" i="42"/>
  <c r="Q17" i="42"/>
  <c r="R16" i="42"/>
  <c r="Q16" i="42"/>
  <c r="P18" i="42"/>
  <c r="O18" i="42"/>
  <c r="P17" i="42"/>
  <c r="O17" i="42"/>
  <c r="P16" i="42"/>
  <c r="O16" i="42"/>
  <c r="J16" i="42"/>
  <c r="J17" i="42"/>
  <c r="J18" i="42"/>
  <c r="M18" i="42"/>
  <c r="N18" i="42" s="1"/>
  <c r="K18" i="42"/>
  <c r="L18" i="42" s="1"/>
  <c r="M17" i="42"/>
  <c r="N17" i="42" s="1"/>
  <c r="K17" i="42"/>
  <c r="L17" i="42" s="1"/>
  <c r="M16" i="42"/>
  <c r="N16" i="42" s="1"/>
  <c r="K16" i="42"/>
  <c r="L16" i="42" s="1"/>
  <c r="H6" i="42"/>
  <c r="AO49" i="47" l="1" a="1"/>
  <c r="AN49" i="47"/>
  <c r="AM50" i="47"/>
  <c r="AL51" i="47"/>
  <c r="AP48" i="47"/>
  <c r="AO48" i="47"/>
  <c r="S45" i="47"/>
  <c r="R45" i="47"/>
  <c r="P46" i="47"/>
  <c r="O47" i="47"/>
  <c r="AN50" i="46"/>
  <c r="AO50" i="46" a="1"/>
  <c r="O48" i="46"/>
  <c r="P47" i="46"/>
  <c r="AL52" i="46"/>
  <c r="AM51" i="46"/>
  <c r="AP49" i="46"/>
  <c r="AO49" i="46"/>
  <c r="S46" i="46"/>
  <c r="R46" i="46"/>
  <c r="R46" i="45"/>
  <c r="S46" i="45"/>
  <c r="P47" i="45"/>
  <c r="O48" i="45"/>
  <c r="AM51" i="45"/>
  <c r="AL52" i="45"/>
  <c r="AO50" i="45" a="1"/>
  <c r="AN50" i="45"/>
  <c r="AP49" i="45"/>
  <c r="AO49" i="45"/>
  <c r="AG71" i="44"/>
  <c r="I66" i="44"/>
  <c r="L66" i="44" s="1"/>
  <c r="M8" i="44"/>
  <c r="N7" i="44"/>
  <c r="AG63" i="44"/>
  <c r="I58" i="44"/>
  <c r="L58" i="44" s="1"/>
  <c r="AQ60" i="44"/>
  <c r="AQ52" i="44"/>
  <c r="AQ44" i="44"/>
  <c r="AQ36" i="44"/>
  <c r="AQ62" i="44"/>
  <c r="AQ53" i="44"/>
  <c r="AQ43" i="44"/>
  <c r="AQ34" i="44"/>
  <c r="AQ61" i="44"/>
  <c r="AQ51" i="44"/>
  <c r="AQ33" i="44"/>
  <c r="AQ42" i="44"/>
  <c r="AQ49" i="44"/>
  <c r="AQ31" i="44"/>
  <c r="AQ59" i="44"/>
  <c r="AQ50" i="44"/>
  <c r="AQ41" i="44"/>
  <c r="AQ32" i="44"/>
  <c r="AQ58" i="44"/>
  <c r="AQ40" i="44"/>
  <c r="AQ57" i="44"/>
  <c r="AQ39" i="44"/>
  <c r="AQ56" i="44"/>
  <c r="AQ38" i="44"/>
  <c r="AQ37" i="44"/>
  <c r="AQ54" i="44"/>
  <c r="AQ48" i="44"/>
  <c r="AQ63" i="44"/>
  <c r="AQ55" i="44"/>
  <c r="AQ35" i="44"/>
  <c r="AQ47" i="44"/>
  <c r="AQ64" i="44"/>
  <c r="AQ46" i="44"/>
  <c r="AQ45" i="44"/>
  <c r="I40" i="44"/>
  <c r="L40" i="44" s="1"/>
  <c r="AG45" i="44"/>
  <c r="AG35" i="44"/>
  <c r="I30" i="44"/>
  <c r="L30" i="44" s="1"/>
  <c r="AG70" i="44"/>
  <c r="I65" i="44"/>
  <c r="L65" i="44" s="1"/>
  <c r="AG56" i="44"/>
  <c r="I51" i="44"/>
  <c r="L51" i="44" s="1"/>
  <c r="I29" i="44"/>
  <c r="L29" i="44" s="1"/>
  <c r="AG34" i="44"/>
  <c r="AG61" i="44"/>
  <c r="I56" i="44"/>
  <c r="L56" i="44" s="1"/>
  <c r="AG57" i="44"/>
  <c r="I52" i="44"/>
  <c r="L52" i="44" s="1"/>
  <c r="I61" i="44"/>
  <c r="L61" i="44" s="1"/>
  <c r="AG66" i="44"/>
  <c r="I43" i="44"/>
  <c r="L43" i="44" s="1"/>
  <c r="AG48" i="44"/>
  <c r="AG33" i="44"/>
  <c r="I28" i="44"/>
  <c r="L28" i="44" s="1"/>
  <c r="I64" i="44"/>
  <c r="L64" i="44" s="1"/>
  <c r="AG69" i="44"/>
  <c r="I36" i="44"/>
  <c r="L36" i="44" s="1"/>
  <c r="AG41" i="44"/>
  <c r="I63" i="44"/>
  <c r="L63" i="44" s="1"/>
  <c r="AG68" i="44"/>
  <c r="O5" i="44"/>
  <c r="I54" i="44"/>
  <c r="L54" i="44" s="1"/>
  <c r="AG59" i="44"/>
  <c r="I35" i="44"/>
  <c r="L35" i="44" s="1"/>
  <c r="AG40" i="44"/>
  <c r="AG32" i="44"/>
  <c r="I27" i="44"/>
  <c r="L27" i="44" s="1"/>
  <c r="AG62" i="44"/>
  <c r="I57" i="44"/>
  <c r="L57" i="44" s="1"/>
  <c r="AG31" i="44"/>
  <c r="I26" i="44"/>
  <c r="L26" i="44" s="1"/>
  <c r="AG54" i="44"/>
  <c r="I49" i="44"/>
  <c r="L49" i="44" s="1"/>
  <c r="I34" i="44"/>
  <c r="L34" i="44" s="1"/>
  <c r="AG39" i="44"/>
  <c r="I62" i="44"/>
  <c r="L62" i="44" s="1"/>
  <c r="AG67" i="44"/>
  <c r="I55" i="44"/>
  <c r="L55" i="44" s="1"/>
  <c r="AG60" i="44"/>
  <c r="AG72" i="44"/>
  <c r="F67" i="44" s="1"/>
  <c r="E67" i="44" s="1"/>
  <c r="N67" i="44" s="1"/>
  <c r="I67" i="44"/>
  <c r="L67" i="44" s="1"/>
  <c r="AG55" i="44"/>
  <c r="I50" i="44"/>
  <c r="L50" i="44" s="1"/>
  <c r="I39" i="44"/>
  <c r="L39" i="44" s="1"/>
  <c r="AG44" i="44"/>
  <c r="I33" i="44"/>
  <c r="L33" i="44" s="1"/>
  <c r="AG38" i="44"/>
  <c r="I45" i="44"/>
  <c r="L45" i="44" s="1"/>
  <c r="AG50" i="44"/>
  <c r="I46" i="44"/>
  <c r="L46" i="44" s="1"/>
  <c r="AG51" i="44"/>
  <c r="I59" i="44"/>
  <c r="L59" i="44" s="1"/>
  <c r="AG64" i="44"/>
  <c r="AG52" i="44"/>
  <c r="I47" i="44"/>
  <c r="L47" i="44" s="1"/>
  <c r="AG47" i="44"/>
  <c r="I42" i="44"/>
  <c r="L42" i="44" s="1"/>
  <c r="I38" i="44"/>
  <c r="L38" i="44" s="1"/>
  <c r="AG43" i="44"/>
  <c r="I32" i="44"/>
  <c r="L32" i="44" s="1"/>
  <c r="AG37" i="44"/>
  <c r="AG58" i="44"/>
  <c r="I53" i="44"/>
  <c r="L53" i="44" s="1"/>
  <c r="I44" i="44"/>
  <c r="L44" i="44" s="1"/>
  <c r="AG49" i="44"/>
  <c r="AG65" i="44"/>
  <c r="I60" i="44"/>
  <c r="L60" i="44" s="1"/>
  <c r="I41" i="44"/>
  <c r="L41" i="44" s="1"/>
  <c r="AG46" i="44"/>
  <c r="I48" i="44"/>
  <c r="L48" i="44" s="1"/>
  <c r="AG53" i="44"/>
  <c r="AG36" i="44"/>
  <c r="I31" i="44"/>
  <c r="L31" i="44" s="1"/>
  <c r="I37" i="44"/>
  <c r="L37" i="44" s="1"/>
  <c r="AG42" i="44"/>
  <c r="G7" i="42"/>
  <c r="G8" i="42"/>
  <c r="G9" i="42"/>
  <c r="G10" i="42"/>
  <c r="G11" i="42"/>
  <c r="G12" i="42"/>
  <c r="G13" i="42"/>
  <c r="G14" i="42"/>
  <c r="G15" i="42"/>
  <c r="G16" i="42"/>
  <c r="G17" i="42"/>
  <c r="G18" i="42"/>
  <c r="G6" i="42"/>
  <c r="AA4" i="42"/>
  <c r="AB3" i="42"/>
  <c r="AA3" i="42"/>
  <c r="I18" i="42"/>
  <c r="H18" i="42"/>
  <c r="I17" i="42"/>
  <c r="H17" i="42"/>
  <c r="I16" i="42"/>
  <c r="H16" i="42"/>
  <c r="I13" i="42"/>
  <c r="I15" i="42"/>
  <c r="I7" i="42"/>
  <c r="H12" i="42"/>
  <c r="I12" i="42"/>
  <c r="H11" i="42"/>
  <c r="I11" i="42"/>
  <c r="H13" i="42"/>
  <c r="C27" i="42"/>
  <c r="I10" i="42"/>
  <c r="I6" i="42"/>
  <c r="I8" i="42"/>
  <c r="H14" i="42"/>
  <c r="H9" i="42"/>
  <c r="H7" i="42"/>
  <c r="H8" i="42"/>
  <c r="H10" i="42"/>
  <c r="H15" i="42"/>
  <c r="I9" i="42"/>
  <c r="I14" i="42"/>
  <c r="J15" i="42" l="1"/>
  <c r="AM51" i="47"/>
  <c r="AL52" i="47"/>
  <c r="AO50" i="47" a="1"/>
  <c r="AN50" i="47"/>
  <c r="O48" i="47"/>
  <c r="P47" i="47"/>
  <c r="S46" i="47"/>
  <c r="R46" i="47"/>
  <c r="AP49" i="47"/>
  <c r="AO49" i="47"/>
  <c r="AO51" i="46" a="1"/>
  <c r="AN51" i="46"/>
  <c r="AM52" i="46"/>
  <c r="AL53" i="46"/>
  <c r="S47" i="46"/>
  <c r="R47" i="46"/>
  <c r="O49" i="46"/>
  <c r="P48" i="46"/>
  <c r="AP50" i="46"/>
  <c r="AO50" i="46"/>
  <c r="AP50" i="45"/>
  <c r="AO50" i="45"/>
  <c r="AL53" i="45"/>
  <c r="AM52" i="45"/>
  <c r="AN51" i="45"/>
  <c r="AO51" i="45" a="1"/>
  <c r="P48" i="45"/>
  <c r="O49" i="45"/>
  <c r="R47" i="45"/>
  <c r="S47" i="45"/>
  <c r="F31" i="44"/>
  <c r="E31" i="44" s="1"/>
  <c r="N31" i="44" s="1"/>
  <c r="AH36" i="44"/>
  <c r="AK36" i="44" s="1"/>
  <c r="AI36" i="44"/>
  <c r="F42" i="44"/>
  <c r="E42" i="44" s="1"/>
  <c r="N42" i="44" s="1"/>
  <c r="AI47" i="44"/>
  <c r="AH47" i="44"/>
  <c r="AK47" i="44" s="1"/>
  <c r="F55" i="44"/>
  <c r="E55" i="44" s="1"/>
  <c r="N55" i="44" s="1"/>
  <c r="AI60" i="44"/>
  <c r="AH60" i="44"/>
  <c r="AK60" i="44" s="1"/>
  <c r="F54" i="44"/>
  <c r="E54" i="44" s="1"/>
  <c r="N54" i="44" s="1"/>
  <c r="AI59" i="44"/>
  <c r="AH59" i="44"/>
  <c r="AK59" i="44" s="1"/>
  <c r="F47" i="44"/>
  <c r="E47" i="44" s="1"/>
  <c r="N47" i="44" s="1"/>
  <c r="AI52" i="44"/>
  <c r="AH52" i="44"/>
  <c r="AK52" i="44" s="1"/>
  <c r="AI31" i="44"/>
  <c r="AH31" i="44"/>
  <c r="AK31" i="44" s="1"/>
  <c r="F26" i="44"/>
  <c r="E26" i="44" s="1"/>
  <c r="AG29" i="44"/>
  <c r="F32" i="44"/>
  <c r="E32" i="44" s="1"/>
  <c r="N32" i="44" s="1"/>
  <c r="AI37" i="44"/>
  <c r="AH37" i="44"/>
  <c r="AK37" i="44" s="1"/>
  <c r="AI64" i="44"/>
  <c r="AH64" i="44"/>
  <c r="AK64" i="44" s="1"/>
  <c r="F59" i="44"/>
  <c r="E59" i="44" s="1"/>
  <c r="N59" i="44" s="1"/>
  <c r="AI44" i="44"/>
  <c r="F39" i="44"/>
  <c r="E39" i="44" s="1"/>
  <c r="N39" i="44" s="1"/>
  <c r="AH44" i="44"/>
  <c r="AK44" i="44" s="1"/>
  <c r="AI67" i="44"/>
  <c r="F62" i="44"/>
  <c r="E62" i="44" s="1"/>
  <c r="N62" i="44" s="1"/>
  <c r="AH67" i="44"/>
  <c r="AK67" i="44" s="1"/>
  <c r="AI57" i="44"/>
  <c r="AH57" i="44"/>
  <c r="AK57" i="44" s="1"/>
  <c r="F52" i="44"/>
  <c r="E52" i="44" s="1"/>
  <c r="N52" i="44" s="1"/>
  <c r="F65" i="44"/>
  <c r="E65" i="44" s="1"/>
  <c r="N65" i="44" s="1"/>
  <c r="AI70" i="44"/>
  <c r="AH70" i="44"/>
  <c r="AK70" i="44" s="1"/>
  <c r="AI63" i="44"/>
  <c r="AH63" i="44"/>
  <c r="AK63" i="44" s="1"/>
  <c r="F58" i="44"/>
  <c r="E58" i="44" s="1"/>
  <c r="N58" i="44" s="1"/>
  <c r="AI62" i="44"/>
  <c r="AH62" i="44"/>
  <c r="AK62" i="44" s="1"/>
  <c r="F57" i="44"/>
  <c r="E57" i="44" s="1"/>
  <c r="N57" i="44" s="1"/>
  <c r="O6" i="44"/>
  <c r="AQ29" i="44"/>
  <c r="AI66" i="44"/>
  <c r="F61" i="44"/>
  <c r="E61" i="44" s="1"/>
  <c r="N61" i="44" s="1"/>
  <c r="AH66" i="44"/>
  <c r="AK66" i="44" s="1"/>
  <c r="AI69" i="44"/>
  <c r="F64" i="44"/>
  <c r="E64" i="44" s="1"/>
  <c r="N64" i="44" s="1"/>
  <c r="AH69" i="44"/>
  <c r="AK69" i="44" s="1"/>
  <c r="AH46" i="44"/>
  <c r="AK46" i="44" s="1"/>
  <c r="AI46" i="44"/>
  <c r="F41" i="44"/>
  <c r="E41" i="44" s="1"/>
  <c r="N41" i="44" s="1"/>
  <c r="AH42" i="44"/>
  <c r="AK42" i="44" s="1"/>
  <c r="AI42" i="44"/>
  <c r="F37" i="44"/>
  <c r="E37" i="44" s="1"/>
  <c r="N37" i="44" s="1"/>
  <c r="AH43" i="44"/>
  <c r="AK43" i="44" s="1"/>
  <c r="AI43" i="44"/>
  <c r="F38" i="44"/>
  <c r="E38" i="44" s="1"/>
  <c r="N38" i="44" s="1"/>
  <c r="AH51" i="44"/>
  <c r="AK51" i="44" s="1"/>
  <c r="F46" i="44"/>
  <c r="E46" i="44" s="1"/>
  <c r="N46" i="44" s="1"/>
  <c r="AI51" i="44"/>
  <c r="AI39" i="44"/>
  <c r="AH39" i="44"/>
  <c r="AK39" i="44" s="1"/>
  <c r="F34" i="44"/>
  <c r="E34" i="44" s="1"/>
  <c r="N34" i="44" s="1"/>
  <c r="AI33" i="44"/>
  <c r="AH33" i="44"/>
  <c r="AK33" i="44" s="1"/>
  <c r="F28" i="44"/>
  <c r="E28" i="44" s="1"/>
  <c r="N28" i="44" s="1"/>
  <c r="AI61" i="44"/>
  <c r="F56" i="44"/>
  <c r="E56" i="44" s="1"/>
  <c r="N56" i="44" s="1"/>
  <c r="AH61" i="44"/>
  <c r="AK61" i="44" s="1"/>
  <c r="AI35" i="44"/>
  <c r="F30" i="44"/>
  <c r="E30" i="44" s="1"/>
  <c r="N30" i="44" s="1"/>
  <c r="AH35" i="44"/>
  <c r="AK35" i="44" s="1"/>
  <c r="N8" i="44"/>
  <c r="M9" i="44"/>
  <c r="F36" i="44"/>
  <c r="E36" i="44" s="1"/>
  <c r="N36" i="44" s="1"/>
  <c r="AH41" i="44"/>
  <c r="AK41" i="44" s="1"/>
  <c r="AI41" i="44"/>
  <c r="F48" i="44"/>
  <c r="E48" i="44" s="1"/>
  <c r="N48" i="44" s="1"/>
  <c r="AI53" i="44"/>
  <c r="AH53" i="44"/>
  <c r="AK53" i="44" s="1"/>
  <c r="AI56" i="44"/>
  <c r="AH56" i="44"/>
  <c r="AK56" i="44" s="1"/>
  <c r="F51" i="44"/>
  <c r="E51" i="44" s="1"/>
  <c r="N51" i="44" s="1"/>
  <c r="AI54" i="44"/>
  <c r="F49" i="44"/>
  <c r="E49" i="44" s="1"/>
  <c r="N49" i="44" s="1"/>
  <c r="AH54" i="44"/>
  <c r="AK54" i="44" s="1"/>
  <c r="AI38" i="44"/>
  <c r="AH38" i="44"/>
  <c r="AK38" i="44" s="1"/>
  <c r="F33" i="44"/>
  <c r="E33" i="44" s="1"/>
  <c r="N33" i="44" s="1"/>
  <c r="F53" i="44"/>
  <c r="E53" i="44" s="1"/>
  <c r="N53" i="44" s="1"/>
  <c r="AI58" i="44"/>
  <c r="AH58" i="44"/>
  <c r="AK58" i="44" s="1"/>
  <c r="F60" i="44"/>
  <c r="E60" i="44" s="1"/>
  <c r="N60" i="44" s="1"/>
  <c r="AI65" i="44"/>
  <c r="AH65" i="44"/>
  <c r="AK65" i="44" s="1"/>
  <c r="AI55" i="44"/>
  <c r="AH55" i="44"/>
  <c r="AK55" i="44" s="1"/>
  <c r="F50" i="44"/>
  <c r="E50" i="44" s="1"/>
  <c r="N50" i="44" s="1"/>
  <c r="AH32" i="44"/>
  <c r="AK32" i="44" s="1"/>
  <c r="AI32" i="44"/>
  <c r="F27" i="44"/>
  <c r="E27" i="44" s="1"/>
  <c r="N27" i="44" s="1"/>
  <c r="F63" i="44"/>
  <c r="E63" i="44" s="1"/>
  <c r="N63" i="44" s="1"/>
  <c r="AI68" i="44"/>
  <c r="AH68" i="44"/>
  <c r="AK68" i="44" s="1"/>
  <c r="AI48" i="44"/>
  <c r="F43" i="44"/>
  <c r="E43" i="44" s="1"/>
  <c r="N43" i="44" s="1"/>
  <c r="AH48" i="44"/>
  <c r="AK48" i="44" s="1"/>
  <c r="AH34" i="44"/>
  <c r="AK34" i="44" s="1"/>
  <c r="AI34" i="44"/>
  <c r="F29" i="44"/>
  <c r="E29" i="44" s="1"/>
  <c r="N29" i="44" s="1"/>
  <c r="AI45" i="44"/>
  <c r="AH45" i="44"/>
  <c r="AK45" i="44" s="1"/>
  <c r="F40" i="44"/>
  <c r="E40" i="44" s="1"/>
  <c r="N40" i="44" s="1"/>
  <c r="AI49" i="44"/>
  <c r="AH49" i="44"/>
  <c r="AK49" i="44" s="1"/>
  <c r="F44" i="44"/>
  <c r="E44" i="44" s="1"/>
  <c r="N44" i="44" s="1"/>
  <c r="AI50" i="44"/>
  <c r="AH50" i="44"/>
  <c r="AK50" i="44" s="1"/>
  <c r="F45" i="44"/>
  <c r="E45" i="44" s="1"/>
  <c r="N45" i="44" s="1"/>
  <c r="AH40" i="44"/>
  <c r="AK40" i="44" s="1"/>
  <c r="F35" i="44"/>
  <c r="E35" i="44" s="1"/>
  <c r="N35" i="44" s="1"/>
  <c r="AI40" i="44"/>
  <c r="F66" i="44"/>
  <c r="E66" i="44" s="1"/>
  <c r="N66" i="44" s="1"/>
  <c r="AI71" i="44"/>
  <c r="AH71" i="44"/>
  <c r="AK71" i="44" s="1"/>
  <c r="J7" i="42"/>
  <c r="J11" i="42"/>
  <c r="J8" i="42"/>
  <c r="J12" i="42"/>
  <c r="J9" i="42"/>
  <c r="J13" i="42"/>
  <c r="J10" i="42"/>
  <c r="J14" i="42"/>
  <c r="J6" i="42"/>
  <c r="E84" i="33" a="1"/>
  <c r="E86" i="33" s="1"/>
  <c r="E83" i="33"/>
  <c r="E75" i="33" a="1"/>
  <c r="E76" i="33" s="1"/>
  <c r="E74" i="33"/>
  <c r="E73" i="33"/>
  <c r="E72" i="33"/>
  <c r="F71" i="33"/>
  <c r="D71" i="33"/>
  <c r="E71" i="33" s="1"/>
  <c r="E63" i="33" a="1"/>
  <c r="E65" i="33" s="1"/>
  <c r="E62" i="33"/>
  <c r="E54" i="33" a="1"/>
  <c r="E55" i="33" s="1"/>
  <c r="E53" i="33"/>
  <c r="E52" i="33"/>
  <c r="E51" i="33"/>
  <c r="F50" i="33"/>
  <c r="D50" i="33"/>
  <c r="E50" i="33" s="1"/>
  <c r="E42" i="33" a="1"/>
  <c r="F44" i="33" s="1"/>
  <c r="E42" i="33"/>
  <c r="F42" i="33"/>
  <c r="E43" i="33"/>
  <c r="F43" i="33"/>
  <c r="E44" i="33"/>
  <c r="F45" i="33"/>
  <c r="E41" i="33"/>
  <c r="E33" i="33" a="1"/>
  <c r="F34" i="33" s="1"/>
  <c r="E33" i="33"/>
  <c r="F33" i="33"/>
  <c r="E34" i="33"/>
  <c r="F36" i="33"/>
  <c r="E37" i="33"/>
  <c r="F37" i="33"/>
  <c r="E32" i="33"/>
  <c r="E31" i="33"/>
  <c r="E30" i="33"/>
  <c r="F29" i="33"/>
  <c r="D29" i="33"/>
  <c r="E29" i="33" s="1"/>
  <c r="E19" i="33"/>
  <c r="B88" i="33"/>
  <c r="B67" i="33"/>
  <c r="AH30" i="44" l="1"/>
  <c r="AH72" i="44" s="1"/>
  <c r="AK72" i="44" s="1"/>
  <c r="AL30" i="44" s="1"/>
  <c r="P48" i="47"/>
  <c r="O49" i="47"/>
  <c r="AM52" i="47"/>
  <c r="AL53" i="47"/>
  <c r="S47" i="47"/>
  <c r="R47" i="47"/>
  <c r="AP50" i="47"/>
  <c r="AO50" i="47"/>
  <c r="AO51" i="47" a="1"/>
  <c r="AN51" i="47"/>
  <c r="S48" i="46"/>
  <c r="R48" i="46"/>
  <c r="AL54" i="46"/>
  <c r="AM53" i="46"/>
  <c r="P49" i="46"/>
  <c r="O50" i="46"/>
  <c r="AO52" i="46" a="1"/>
  <c r="AN52" i="46"/>
  <c r="AO51" i="46"/>
  <c r="AP51" i="46"/>
  <c r="P49" i="45"/>
  <c r="O50" i="45"/>
  <c r="AO51" i="45"/>
  <c r="AP51" i="45"/>
  <c r="S48" i="45"/>
  <c r="R48" i="45"/>
  <c r="AO52" i="45" a="1"/>
  <c r="AN52" i="45"/>
  <c r="AL54" i="45"/>
  <c r="AM53" i="45"/>
  <c r="M10" i="44"/>
  <c r="N9" i="44"/>
  <c r="O7" i="44"/>
  <c r="N26" i="44"/>
  <c r="S25" i="44" a="1"/>
  <c r="S25" i="44" s="1"/>
  <c r="O26" i="44" s="1"/>
  <c r="F86" i="33"/>
  <c r="F65" i="33"/>
  <c r="F76" i="33"/>
  <c r="E87" i="33"/>
  <c r="E36" i="33"/>
  <c r="F55" i="33"/>
  <c r="E66" i="33"/>
  <c r="E77" i="33"/>
  <c r="F35" i="33"/>
  <c r="E56" i="33"/>
  <c r="F77" i="33"/>
  <c r="E35" i="33"/>
  <c r="E45" i="33"/>
  <c r="F56" i="33"/>
  <c r="E78" i="33"/>
  <c r="E57" i="33"/>
  <c r="F87" i="33"/>
  <c r="E84" i="33"/>
  <c r="F78" i="33"/>
  <c r="F84" i="33"/>
  <c r="E75" i="33"/>
  <c r="E79" i="33"/>
  <c r="E85" i="33"/>
  <c r="F75" i="33"/>
  <c r="F79" i="33"/>
  <c r="F85" i="33"/>
  <c r="F66" i="33"/>
  <c r="E63" i="33"/>
  <c r="F57" i="33"/>
  <c r="F63" i="33"/>
  <c r="E54" i="33"/>
  <c r="E58" i="33"/>
  <c r="E64" i="33"/>
  <c r="F54" i="33"/>
  <c r="F58" i="33"/>
  <c r="F64" i="33"/>
  <c r="L11" i="33"/>
  <c r="K11" i="33"/>
  <c r="L10" i="33"/>
  <c r="K10" i="33"/>
  <c r="F7" i="33"/>
  <c r="AI72" i="44" l="1"/>
  <c r="AL54" i="47"/>
  <c r="AM53" i="47"/>
  <c r="AO52" i="47" a="1"/>
  <c r="AN52" i="47"/>
  <c r="O50" i="47"/>
  <c r="P49" i="47"/>
  <c r="AO51" i="47"/>
  <c r="AP51" i="47"/>
  <c r="S48" i="47"/>
  <c r="R48" i="47"/>
  <c r="AP52" i="46"/>
  <c r="AO52" i="46"/>
  <c r="R49" i="46"/>
  <c r="S49" i="46"/>
  <c r="AL55" i="46"/>
  <c r="AM54" i="46"/>
  <c r="O51" i="46"/>
  <c r="P50" i="46"/>
  <c r="AN53" i="46"/>
  <c r="AO53" i="46" a="1"/>
  <c r="AP52" i="45"/>
  <c r="AO52" i="45"/>
  <c r="AN53" i="45"/>
  <c r="AO53" i="45" a="1"/>
  <c r="O51" i="45"/>
  <c r="P50" i="45"/>
  <c r="AL55" i="45"/>
  <c r="AM54" i="45"/>
  <c r="R49" i="45"/>
  <c r="S49" i="45"/>
  <c r="AL31" i="44"/>
  <c r="P26" i="44"/>
  <c r="O27" i="44"/>
  <c r="N10" i="44"/>
  <c r="M11" i="44"/>
  <c r="O8" i="44"/>
  <c r="F4" i="39"/>
  <c r="C4" i="39"/>
  <c r="R49" i="47" l="1"/>
  <c r="S49" i="47"/>
  <c r="O51" i="47"/>
  <c r="P50" i="47"/>
  <c r="AO52" i="47"/>
  <c r="AP52" i="47"/>
  <c r="AN53" i="47"/>
  <c r="AO53" i="47" a="1"/>
  <c r="AL55" i="47"/>
  <c r="AM54" i="47"/>
  <c r="S50" i="46"/>
  <c r="R50" i="46"/>
  <c r="O52" i="46"/>
  <c r="P51" i="46"/>
  <c r="AN54" i="46"/>
  <c r="AO54" i="46" a="1"/>
  <c r="AM55" i="46"/>
  <c r="AL56" i="46"/>
  <c r="AO53" i="46"/>
  <c r="AP53" i="46"/>
  <c r="AL56" i="45"/>
  <c r="AM55" i="45"/>
  <c r="AO54" i="45" a="1"/>
  <c r="AN54" i="45"/>
  <c r="S50" i="45"/>
  <c r="R50" i="45"/>
  <c r="P51" i="45"/>
  <c r="O52" i="45"/>
  <c r="AP53" i="45"/>
  <c r="AO53" i="45"/>
  <c r="N11" i="44"/>
  <c r="M12" i="44"/>
  <c r="O28" i="44"/>
  <c r="P27" i="44"/>
  <c r="S26" i="44"/>
  <c r="R26" i="44"/>
  <c r="O9" i="44"/>
  <c r="AL32" i="44"/>
  <c r="AM31" i="44"/>
  <c r="F23" i="29"/>
  <c r="F23" i="27"/>
  <c r="AP53" i="47" l="1"/>
  <c r="AO53" i="47"/>
  <c r="R50" i="47"/>
  <c r="S50" i="47"/>
  <c r="P51" i="47"/>
  <c r="O52" i="47"/>
  <c r="AN54" i="47"/>
  <c r="AO54" i="47" a="1"/>
  <c r="AL56" i="47"/>
  <c r="AM55" i="47"/>
  <c r="AL57" i="46"/>
  <c r="AM56" i="46"/>
  <c r="AO55" i="46" a="1"/>
  <c r="AN55" i="46"/>
  <c r="AP54" i="46"/>
  <c r="AO54" i="46"/>
  <c r="R51" i="46"/>
  <c r="S51" i="46"/>
  <c r="P52" i="46"/>
  <c r="O53" i="46"/>
  <c r="R51" i="45"/>
  <c r="S51" i="45"/>
  <c r="AP54" i="45"/>
  <c r="AO54" i="45"/>
  <c r="AO55" i="45" a="1"/>
  <c r="AN55" i="45"/>
  <c r="O53" i="45"/>
  <c r="P52" i="45"/>
  <c r="AM56" i="45"/>
  <c r="AL57" i="45"/>
  <c r="AN31" i="44"/>
  <c r="AO31" i="44" s="1" a="1"/>
  <c r="AL33" i="44"/>
  <c r="AM32" i="44"/>
  <c r="S27" i="44"/>
  <c r="R27" i="44"/>
  <c r="O10" i="44"/>
  <c r="P28" i="44"/>
  <c r="O29" i="44"/>
  <c r="M13" i="44"/>
  <c r="N12" i="44"/>
  <c r="E9" i="33"/>
  <c r="AP54" i="47" l="1"/>
  <c r="AO54" i="47"/>
  <c r="O53" i="47"/>
  <c r="P52" i="47"/>
  <c r="R51" i="47"/>
  <c r="S51" i="47"/>
  <c r="AO55" i="47" a="1"/>
  <c r="AN55" i="47"/>
  <c r="AL57" i="47"/>
  <c r="AM56" i="47"/>
  <c r="AO55" i="46"/>
  <c r="AP55" i="46"/>
  <c r="P53" i="46"/>
  <c r="O54" i="46"/>
  <c r="AO56" i="46" a="1"/>
  <c r="AN56" i="46"/>
  <c r="S52" i="46"/>
  <c r="R52" i="46"/>
  <c r="AL58" i="46"/>
  <c r="AM57" i="46"/>
  <c r="P53" i="45"/>
  <c r="O54" i="45"/>
  <c r="AM57" i="45"/>
  <c r="AL58" i="45"/>
  <c r="S52" i="45"/>
  <c r="R52" i="45"/>
  <c r="AO55" i="45"/>
  <c r="AP55" i="45"/>
  <c r="AO56" i="45" a="1"/>
  <c r="AN56" i="45"/>
  <c r="O11" i="44"/>
  <c r="M14" i="44"/>
  <c r="N13" i="44"/>
  <c r="AN32" i="44"/>
  <c r="AO32" i="44" s="1" a="1"/>
  <c r="O30" i="44"/>
  <c r="P29" i="44"/>
  <c r="AL34" i="44"/>
  <c r="AM33" i="44"/>
  <c r="S28" i="44"/>
  <c r="R28" i="44"/>
  <c r="AO31" i="44"/>
  <c r="AP31" i="44"/>
  <c r="AI11" i="29"/>
  <c r="AI11" i="27"/>
  <c r="B46" i="33"/>
  <c r="AP55" i="47" l="1"/>
  <c r="AO55" i="47"/>
  <c r="S52" i="47"/>
  <c r="R52" i="47"/>
  <c r="P53" i="47"/>
  <c r="O54" i="47"/>
  <c r="AO56" i="47" a="1"/>
  <c r="AN56" i="47"/>
  <c r="AM57" i="47"/>
  <c r="AL58" i="47"/>
  <c r="O55" i="46"/>
  <c r="P54" i="46"/>
  <c r="R53" i="46"/>
  <c r="S53" i="46"/>
  <c r="AP56" i="46"/>
  <c r="AO56" i="46"/>
  <c r="AO57" i="46" a="1"/>
  <c r="AN57" i="46"/>
  <c r="AL59" i="46"/>
  <c r="AM58" i="46"/>
  <c r="AL59" i="45"/>
  <c r="AM58" i="45"/>
  <c r="AN57" i="45"/>
  <c r="AO57" i="45" a="1"/>
  <c r="P54" i="45"/>
  <c r="O55" i="45"/>
  <c r="AP56" i="45"/>
  <c r="AO56" i="45"/>
  <c r="S53" i="45"/>
  <c r="R53" i="45"/>
  <c r="N14" i="44"/>
  <c r="M15" i="44"/>
  <c r="AN33" i="44"/>
  <c r="AO33" i="44" s="1" a="1"/>
  <c r="AL35" i="44"/>
  <c r="AM34" i="44"/>
  <c r="S29" i="44"/>
  <c r="R29" i="44"/>
  <c r="O31" i="44"/>
  <c r="P30" i="44"/>
  <c r="O12" i="44"/>
  <c r="AP32" i="44"/>
  <c r="AO32" i="44"/>
  <c r="E20" i="33" a="1"/>
  <c r="E23" i="33" s="1"/>
  <c r="E10" i="33"/>
  <c r="E8" i="33"/>
  <c r="D7" i="33"/>
  <c r="E7" i="33" s="1"/>
  <c r="B24" i="33"/>
  <c r="K8" i="33"/>
  <c r="Z8" i="27"/>
  <c r="AA15" i="27"/>
  <c r="AA22" i="29"/>
  <c r="AA16" i="29"/>
  <c r="AA20" i="27"/>
  <c r="AA9" i="27"/>
  <c r="AA13" i="29"/>
  <c r="AA20" i="29"/>
  <c r="AA10" i="27"/>
  <c r="Z18" i="27"/>
  <c r="AA21" i="29"/>
  <c r="Z20" i="27"/>
  <c r="AA23" i="29"/>
  <c r="AA18" i="27"/>
  <c r="AA14" i="27"/>
  <c r="AA13" i="27"/>
  <c r="Z19" i="27"/>
  <c r="Z16" i="27"/>
  <c r="AA19" i="29"/>
  <c r="AA18" i="29"/>
  <c r="AA17" i="29"/>
  <c r="AA15" i="29"/>
  <c r="Z13" i="27"/>
  <c r="AA17" i="27"/>
  <c r="Z21" i="27"/>
  <c r="Z13" i="29"/>
  <c r="Z14" i="27"/>
  <c r="AA10" i="29"/>
  <c r="Z17" i="27"/>
  <c r="Z14" i="29"/>
  <c r="AA9" i="29"/>
  <c r="Z15" i="27"/>
  <c r="AA8" i="27"/>
  <c r="AA19" i="27"/>
  <c r="AA16" i="27"/>
  <c r="Z9" i="27"/>
  <c r="O55" i="47" l="1"/>
  <c r="P54" i="47"/>
  <c r="AL59" i="47"/>
  <c r="AM58" i="47"/>
  <c r="AP56" i="47"/>
  <c r="AO56" i="47"/>
  <c r="R53" i="47"/>
  <c r="S53" i="47"/>
  <c r="AN57" i="47"/>
  <c r="AO57" i="47" a="1"/>
  <c r="AP57" i="46"/>
  <c r="AO57" i="46"/>
  <c r="AO58" i="46" a="1"/>
  <c r="AN58" i="46"/>
  <c r="S54" i="46"/>
  <c r="R54" i="46"/>
  <c r="AM59" i="46"/>
  <c r="AL60" i="46"/>
  <c r="O56" i="46"/>
  <c r="P55" i="46"/>
  <c r="O56" i="45"/>
  <c r="P55" i="45"/>
  <c r="S54" i="45"/>
  <c r="R54" i="45"/>
  <c r="AP57" i="45"/>
  <c r="AO57" i="45"/>
  <c r="AO58" i="45" a="1"/>
  <c r="AN58" i="45"/>
  <c r="AM59" i="45"/>
  <c r="AL60" i="45"/>
  <c r="AP33" i="44"/>
  <c r="AO33" i="44"/>
  <c r="O13" i="44"/>
  <c r="AN34" i="44"/>
  <c r="AO34" i="44" s="1" a="1"/>
  <c r="AL36" i="44"/>
  <c r="AM35" i="44"/>
  <c r="P31" i="44"/>
  <c r="O32" i="44"/>
  <c r="S30" i="44"/>
  <c r="R30" i="44"/>
  <c r="M16" i="44"/>
  <c r="N15" i="44"/>
  <c r="F20" i="33"/>
  <c r="F21" i="33"/>
  <c r="F23" i="33"/>
  <c r="E20" i="33"/>
  <c r="E21" i="33"/>
  <c r="E22" i="33"/>
  <c r="F22" i="33"/>
  <c r="AO58" i="47" l="1" a="1"/>
  <c r="AN58" i="47"/>
  <c r="AP57" i="47"/>
  <c r="AO57" i="47"/>
  <c r="S54" i="47"/>
  <c r="R54" i="47"/>
  <c r="AM59" i="47"/>
  <c r="AL60" i="47"/>
  <c r="O56" i="47"/>
  <c r="P55" i="47"/>
  <c r="AM60" i="46"/>
  <c r="AL61" i="46"/>
  <c r="S55" i="46"/>
  <c r="R55" i="46"/>
  <c r="AN59" i="46"/>
  <c r="AO59" i="46" a="1"/>
  <c r="AP58" i="46"/>
  <c r="AO58" i="46"/>
  <c r="O57" i="46"/>
  <c r="P56" i="46"/>
  <c r="AP58" i="45"/>
  <c r="AO58" i="45"/>
  <c r="AM60" i="45"/>
  <c r="AL61" i="45"/>
  <c r="S55" i="45"/>
  <c r="R55" i="45"/>
  <c r="AO59" i="45" a="1"/>
  <c r="AN59" i="45"/>
  <c r="P56" i="45"/>
  <c r="O57" i="45"/>
  <c r="AO34" i="44"/>
  <c r="AP34" i="44"/>
  <c r="N16" i="44"/>
  <c r="M17" i="44"/>
  <c r="O33" i="44"/>
  <c r="P32" i="44"/>
  <c r="AN35" i="44"/>
  <c r="AO35" i="44" s="1" a="1"/>
  <c r="O14" i="44"/>
  <c r="S31" i="44"/>
  <c r="R31" i="44"/>
  <c r="AL37" i="44"/>
  <c r="AM36" i="44"/>
  <c r="AJ32" i="29"/>
  <c r="AJ33" i="29" s="1"/>
  <c r="AJ34" i="29" s="1"/>
  <c r="AJ35" i="29" s="1"/>
  <c r="AJ36" i="29" s="1"/>
  <c r="AJ37" i="29" s="1"/>
  <c r="AJ38" i="29" s="1"/>
  <c r="AJ39" i="29" s="1"/>
  <c r="AJ40" i="29" s="1"/>
  <c r="AJ41" i="29" s="1"/>
  <c r="AJ42" i="29" s="1"/>
  <c r="AJ43" i="29" s="1"/>
  <c r="AJ44" i="29" s="1"/>
  <c r="AJ45" i="29" s="1"/>
  <c r="AJ46" i="29" s="1"/>
  <c r="AJ47" i="29" s="1"/>
  <c r="AJ48" i="29" s="1"/>
  <c r="AJ49" i="29" s="1"/>
  <c r="AJ50" i="29" s="1"/>
  <c r="AJ51" i="29" s="1"/>
  <c r="AJ52" i="29" s="1"/>
  <c r="AJ53" i="29" s="1"/>
  <c r="AJ54" i="29" s="1"/>
  <c r="AJ55" i="29" s="1"/>
  <c r="AJ56" i="29" s="1"/>
  <c r="AJ57" i="29" s="1"/>
  <c r="AJ58" i="29" s="1"/>
  <c r="AJ59" i="29" s="1"/>
  <c r="AJ60" i="29" s="1"/>
  <c r="AJ61" i="29" s="1"/>
  <c r="AJ62" i="29" s="1"/>
  <c r="AJ63" i="29" s="1"/>
  <c r="AJ64" i="29" s="1"/>
  <c r="AJ65" i="29" s="1"/>
  <c r="AJ66" i="29" s="1"/>
  <c r="AJ67" i="29" s="1"/>
  <c r="AJ68" i="29" s="1"/>
  <c r="AJ69" i="29" s="1"/>
  <c r="AJ70" i="29" s="1"/>
  <c r="AJ71" i="29" s="1"/>
  <c r="AJ72" i="29" s="1"/>
  <c r="AJ32" i="27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61" i="29"/>
  <c r="B61" i="29"/>
  <c r="C60" i="29"/>
  <c r="B60" i="29"/>
  <c r="C59" i="29"/>
  <c r="B59" i="29"/>
  <c r="C58" i="29"/>
  <c r="B58" i="29"/>
  <c r="C57" i="29"/>
  <c r="B57" i="29"/>
  <c r="B56" i="29"/>
  <c r="C55" i="29"/>
  <c r="C54" i="29"/>
  <c r="B53" i="29"/>
  <c r="B52" i="29"/>
  <c r="B51" i="29"/>
  <c r="B50" i="29"/>
  <c r="B49" i="29"/>
  <c r="B48" i="29"/>
  <c r="C45" i="29"/>
  <c r="M27" i="29"/>
  <c r="M28" i="29" s="1"/>
  <c r="M29" i="29" s="1"/>
  <c r="M30" i="29" s="1"/>
  <c r="M31" i="29" s="1"/>
  <c r="M32" i="29" s="1"/>
  <c r="M33" i="29" s="1"/>
  <c r="M34" i="29" s="1"/>
  <c r="M35" i="29" s="1"/>
  <c r="M36" i="29" s="1"/>
  <c r="M37" i="29" s="1"/>
  <c r="M38" i="29" s="1"/>
  <c r="M39" i="29" s="1"/>
  <c r="M40" i="29" s="1"/>
  <c r="M41" i="29" s="1"/>
  <c r="M42" i="29" s="1"/>
  <c r="M43" i="29" s="1"/>
  <c r="M44" i="29" s="1"/>
  <c r="M45" i="29" s="1"/>
  <c r="M46" i="29" s="1"/>
  <c r="M47" i="29" s="1"/>
  <c r="M48" i="29" s="1"/>
  <c r="M49" i="29" s="1"/>
  <c r="M50" i="29" s="1"/>
  <c r="M51" i="29" s="1"/>
  <c r="M52" i="29" s="1"/>
  <c r="M53" i="29" s="1"/>
  <c r="M54" i="29" s="1"/>
  <c r="M55" i="29" s="1"/>
  <c r="M56" i="29" s="1"/>
  <c r="M57" i="29" s="1"/>
  <c r="M58" i="29" s="1"/>
  <c r="M59" i="29" s="1"/>
  <c r="M60" i="29" s="1"/>
  <c r="M61" i="29" s="1"/>
  <c r="M62" i="29" s="1"/>
  <c r="M63" i="29" s="1"/>
  <c r="M64" i="29" s="1"/>
  <c r="M65" i="29" s="1"/>
  <c r="M66" i="29" s="1"/>
  <c r="M67" i="29" s="1"/>
  <c r="N20" i="29"/>
  <c r="F20" i="29"/>
  <c r="N19" i="29"/>
  <c r="F19" i="29"/>
  <c r="N18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N5" i="29"/>
  <c r="F5" i="29"/>
  <c r="M4" i="29"/>
  <c r="N4" i="29" s="1"/>
  <c r="F4" i="29"/>
  <c r="N3" i="29"/>
  <c r="F3" i="29"/>
  <c r="S2" i="29" a="1"/>
  <c r="S2" i="29" s="1"/>
  <c r="O3" i="29" s="1"/>
  <c r="Z48" i="29"/>
  <c r="Z36" i="29"/>
  <c r="Z70" i="29"/>
  <c r="AA62" i="29"/>
  <c r="AA5" i="29"/>
  <c r="AA67" i="29"/>
  <c r="Z71" i="29"/>
  <c r="AA46" i="29"/>
  <c r="Z19" i="29"/>
  <c r="AA70" i="29"/>
  <c r="Z21" i="29"/>
  <c r="Z69" i="29"/>
  <c r="AA42" i="29"/>
  <c r="AA61" i="29"/>
  <c r="Z5" i="29"/>
  <c r="AA53" i="29"/>
  <c r="Z44" i="29"/>
  <c r="AA63" i="29"/>
  <c r="AA31" i="29"/>
  <c r="Z22" i="29"/>
  <c r="Z56" i="29"/>
  <c r="AA49" i="29"/>
  <c r="AA8" i="29"/>
  <c r="Z18" i="29"/>
  <c r="Z24" i="29"/>
  <c r="AA64" i="29"/>
  <c r="AA35" i="29"/>
  <c r="Z72" i="29"/>
  <c r="Z4" i="29"/>
  <c r="Z52" i="29"/>
  <c r="AA39" i="29"/>
  <c r="AA14" i="29"/>
  <c r="Z3" i="29"/>
  <c r="Z45" i="29"/>
  <c r="AA27" i="29"/>
  <c r="Z32" i="29"/>
  <c r="Z17" i="29"/>
  <c r="AA43" i="29"/>
  <c r="AA58" i="29"/>
  <c r="Z64" i="29"/>
  <c r="Z53" i="29"/>
  <c r="AA4" i="29"/>
  <c r="AA48" i="29"/>
  <c r="Z16" i="29"/>
  <c r="Z31" i="29"/>
  <c r="Z50" i="29"/>
  <c r="Z40" i="29"/>
  <c r="AA57" i="29"/>
  <c r="AA40" i="29"/>
  <c r="Z41" i="29"/>
  <c r="AA3" i="29"/>
  <c r="Z59" i="29"/>
  <c r="AA52" i="29"/>
  <c r="AA36" i="29"/>
  <c r="Z33" i="29"/>
  <c r="AA32" i="29"/>
  <c r="Z23" i="29"/>
  <c r="AA71" i="29"/>
  <c r="AA37" i="29"/>
  <c r="AA45" i="29"/>
  <c r="AA34" i="29"/>
  <c r="Z39" i="29"/>
  <c r="Z49" i="29"/>
  <c r="Z34" i="29"/>
  <c r="AA68" i="29"/>
  <c r="AA38" i="29"/>
  <c r="Z61" i="29"/>
  <c r="Z58" i="29"/>
  <c r="AA56" i="29"/>
  <c r="Z42" i="29"/>
  <c r="AA54" i="29"/>
  <c r="Z55" i="29"/>
  <c r="Z27" i="29"/>
  <c r="Z54" i="29"/>
  <c r="Z67" i="29"/>
  <c r="Z20" i="29"/>
  <c r="Z43" i="29"/>
  <c r="AA59" i="29"/>
  <c r="Z8" i="29"/>
  <c r="Z35" i="29"/>
  <c r="Z57" i="29"/>
  <c r="Z51" i="29"/>
  <c r="AA33" i="29"/>
  <c r="AA60" i="29"/>
  <c r="AA47" i="29"/>
  <c r="Z37" i="29"/>
  <c r="Z63" i="29"/>
  <c r="Z47" i="29"/>
  <c r="AA55" i="29"/>
  <c r="Z46" i="29"/>
  <c r="Z68" i="29"/>
  <c r="Z10" i="29"/>
  <c r="AA51" i="29"/>
  <c r="Z66" i="29"/>
  <c r="AA50" i="29"/>
  <c r="AA69" i="29"/>
  <c r="Z65" i="29"/>
  <c r="Z31" i="27"/>
  <c r="Z62" i="29"/>
  <c r="AA72" i="29"/>
  <c r="Z9" i="29"/>
  <c r="Z15" i="29"/>
  <c r="AA41" i="29"/>
  <c r="AA44" i="29"/>
  <c r="AA24" i="29"/>
  <c r="AA66" i="29"/>
  <c r="Z38" i="29"/>
  <c r="AA65" i="29"/>
  <c r="Z60" i="29"/>
  <c r="C15" i="29"/>
  <c r="AO59" i="47" l="1" a="1"/>
  <c r="AN59" i="47"/>
  <c r="AL61" i="47"/>
  <c r="AM60" i="47"/>
  <c r="S55" i="47"/>
  <c r="R55" i="47"/>
  <c r="O57" i="47"/>
  <c r="P56" i="47"/>
  <c r="AO58" i="47"/>
  <c r="AP58" i="47"/>
  <c r="AP59" i="46"/>
  <c r="AO59" i="46"/>
  <c r="S56" i="46"/>
  <c r="R56" i="46"/>
  <c r="AL62" i="46"/>
  <c r="AM61" i="46"/>
  <c r="AN61" i="46" s="1"/>
  <c r="P57" i="46"/>
  <c r="O58" i="46"/>
  <c r="AN60" i="46"/>
  <c r="AO60" i="46" a="1"/>
  <c r="AP59" i="45"/>
  <c r="AO59" i="45"/>
  <c r="P57" i="45"/>
  <c r="O58" i="45"/>
  <c r="AM61" i="45"/>
  <c r="AN61" i="45" s="1"/>
  <c r="AL62" i="45"/>
  <c r="AO60" i="45" a="1"/>
  <c r="AN60" i="45"/>
  <c r="S56" i="45"/>
  <c r="R56" i="45"/>
  <c r="O15" i="44"/>
  <c r="AN36" i="44"/>
  <c r="AO36" i="44" s="1" a="1"/>
  <c r="AL38" i="44"/>
  <c r="AM37" i="44"/>
  <c r="S32" i="44"/>
  <c r="R32" i="44"/>
  <c r="M18" i="44"/>
  <c r="M19" i="44" s="1"/>
  <c r="M20" i="44" s="1"/>
  <c r="N17" i="44"/>
  <c r="P14" i="44" s="1"/>
  <c r="P8" i="44"/>
  <c r="AP35" i="44"/>
  <c r="AO35" i="44"/>
  <c r="O34" i="44"/>
  <c r="P33" i="44"/>
  <c r="AQ31" i="29" a="1"/>
  <c r="AQ65" i="29" s="1"/>
  <c r="AJ33" i="27"/>
  <c r="AJ34" i="27" s="1"/>
  <c r="AJ35" i="27" s="1"/>
  <c r="AJ36" i="27" s="1"/>
  <c r="AJ37" i="27" s="1"/>
  <c r="AJ38" i="27" s="1"/>
  <c r="AJ39" i="27" s="1"/>
  <c r="AJ40" i="27" s="1"/>
  <c r="AJ41" i="27" s="1"/>
  <c r="AJ42" i="27" s="1"/>
  <c r="AJ43" i="27" s="1"/>
  <c r="AJ44" i="27" s="1"/>
  <c r="AJ45" i="27" s="1"/>
  <c r="AJ46" i="27" s="1"/>
  <c r="AJ47" i="27" s="1"/>
  <c r="AJ48" i="27" s="1"/>
  <c r="AJ49" i="27" s="1"/>
  <c r="AJ50" i="27" s="1"/>
  <c r="AJ51" i="27" s="1"/>
  <c r="AJ52" i="27" s="1"/>
  <c r="AJ53" i="27" s="1"/>
  <c r="AJ54" i="27" s="1"/>
  <c r="AJ55" i="27" s="1"/>
  <c r="AJ56" i="27" s="1"/>
  <c r="AJ57" i="27" s="1"/>
  <c r="AJ58" i="27" s="1"/>
  <c r="AJ59" i="27" s="1"/>
  <c r="AJ60" i="27" s="1"/>
  <c r="AJ61" i="27" s="1"/>
  <c r="AJ62" i="27" s="1"/>
  <c r="AJ63" i="27" s="1"/>
  <c r="AJ64" i="27" s="1"/>
  <c r="AJ65" i="27" s="1"/>
  <c r="AJ66" i="27" s="1"/>
  <c r="AJ67" i="27" s="1"/>
  <c r="AJ68" i="27" s="1"/>
  <c r="AJ69" i="27" s="1"/>
  <c r="AJ70" i="27" s="1"/>
  <c r="AJ71" i="27" s="1"/>
  <c r="AJ72" i="27" s="1"/>
  <c r="M5" i="29"/>
  <c r="M6" i="29" s="1"/>
  <c r="M7" i="29" s="1"/>
  <c r="AF57" i="29"/>
  <c r="AG57" i="29" s="1"/>
  <c r="I12" i="29"/>
  <c r="L12" i="29" s="1"/>
  <c r="AF43" i="29"/>
  <c r="AG43" i="29" s="1"/>
  <c r="AF37" i="29"/>
  <c r="AG37" i="29" s="1"/>
  <c r="I18" i="29"/>
  <c r="L18" i="29" s="1"/>
  <c r="I5" i="29"/>
  <c r="L5" i="29" s="1"/>
  <c r="I15" i="29"/>
  <c r="L15" i="29" s="1"/>
  <c r="AF47" i="29"/>
  <c r="AG47" i="29" s="1"/>
  <c r="I17" i="29"/>
  <c r="L17" i="29" s="1"/>
  <c r="I10" i="29"/>
  <c r="L10" i="29" s="1"/>
  <c r="AF64" i="29"/>
  <c r="AG64" i="29" s="1"/>
  <c r="AF33" i="29"/>
  <c r="AG33" i="29" s="1"/>
  <c r="F28" i="29" s="1"/>
  <c r="E28" i="29" s="1"/>
  <c r="AF71" i="29"/>
  <c r="AG71" i="29" s="1"/>
  <c r="AF65" i="29"/>
  <c r="AG65" i="29" s="1"/>
  <c r="AF67" i="29"/>
  <c r="AG67" i="29" s="1"/>
  <c r="AF58" i="29"/>
  <c r="AG58" i="29" s="1"/>
  <c r="I20" i="29"/>
  <c r="L20" i="29" s="1"/>
  <c r="AF38" i="29"/>
  <c r="AG38" i="29" s="1"/>
  <c r="I6" i="29"/>
  <c r="L6" i="29" s="1"/>
  <c r="I7" i="29"/>
  <c r="L7" i="29" s="1"/>
  <c r="I14" i="29"/>
  <c r="L14" i="29" s="1"/>
  <c r="AF34" i="29"/>
  <c r="AG34" i="29" s="1"/>
  <c r="AF41" i="29"/>
  <c r="AG41" i="29" s="1"/>
  <c r="AF48" i="29"/>
  <c r="AG48" i="29" s="1"/>
  <c r="AF49" i="29"/>
  <c r="AG49" i="29" s="1"/>
  <c r="AF56" i="29"/>
  <c r="AG56" i="29" s="1"/>
  <c r="AF55" i="29"/>
  <c r="AG55" i="29" s="1"/>
  <c r="I13" i="29"/>
  <c r="L13" i="29" s="1"/>
  <c r="AF44" i="29"/>
  <c r="AG44" i="29" s="1"/>
  <c r="I8" i="29"/>
  <c r="L8" i="29" s="1"/>
  <c r="AF31" i="29"/>
  <c r="AG31" i="29" s="1"/>
  <c r="F26" i="29" s="1"/>
  <c r="E26" i="29" s="1"/>
  <c r="N26" i="29" s="1"/>
  <c r="I9" i="29"/>
  <c r="L9" i="29" s="1"/>
  <c r="AF36" i="29"/>
  <c r="AG36" i="29" s="1"/>
  <c r="I23" i="29"/>
  <c r="L23" i="29" s="1"/>
  <c r="AF59" i="29"/>
  <c r="AG59" i="29" s="1"/>
  <c r="AF61" i="29"/>
  <c r="AG61" i="29" s="1"/>
  <c r="F56" i="29" s="1"/>
  <c r="E56" i="29" s="1"/>
  <c r="N56" i="29" s="1"/>
  <c r="AF66" i="29"/>
  <c r="AG66" i="29" s="1"/>
  <c r="I16" i="29"/>
  <c r="L16" i="29" s="1"/>
  <c r="I19" i="29"/>
  <c r="L19" i="29" s="1"/>
  <c r="AF35" i="29"/>
  <c r="AG35" i="29" s="1"/>
  <c r="AF39" i="29"/>
  <c r="AG39" i="29" s="1"/>
  <c r="AF51" i="29"/>
  <c r="AG51" i="29" s="1"/>
  <c r="AF63" i="29"/>
  <c r="AG63" i="29" s="1"/>
  <c r="AF62" i="29"/>
  <c r="AG62" i="29" s="1"/>
  <c r="F57" i="29" s="1"/>
  <c r="E57" i="29" s="1"/>
  <c r="N57" i="29" s="1"/>
  <c r="AF69" i="29"/>
  <c r="AG69" i="29" s="1"/>
  <c r="F64" i="29" s="1"/>
  <c r="E64" i="29" s="1"/>
  <c r="N64" i="29" s="1"/>
  <c r="AF72" i="29"/>
  <c r="AG72" i="29" s="1"/>
  <c r="AF53" i="29"/>
  <c r="AG53" i="29" s="1"/>
  <c r="I11" i="29"/>
  <c r="L11" i="29" s="1"/>
  <c r="AF32" i="29"/>
  <c r="AG32" i="29" s="1"/>
  <c r="AF40" i="29"/>
  <c r="AG40" i="29" s="1"/>
  <c r="AF42" i="29"/>
  <c r="AG42" i="29" s="1"/>
  <c r="AF46" i="29"/>
  <c r="AG46" i="29" s="1"/>
  <c r="AF52" i="29"/>
  <c r="AG52" i="29" s="1"/>
  <c r="AF68" i="29"/>
  <c r="AG68" i="29" s="1"/>
  <c r="F63" i="29" s="1"/>
  <c r="E63" i="29" s="1"/>
  <c r="N63" i="29" s="1"/>
  <c r="AF70" i="29"/>
  <c r="AG70" i="29" s="1"/>
  <c r="F65" i="29" s="1"/>
  <c r="E65" i="29" s="1"/>
  <c r="N65" i="29" s="1"/>
  <c r="AF45" i="29"/>
  <c r="AG45" i="29" s="1"/>
  <c r="AF50" i="29"/>
  <c r="AG50" i="29" s="1"/>
  <c r="AF54" i="29"/>
  <c r="AG54" i="29" s="1"/>
  <c r="AF60" i="29"/>
  <c r="AG60" i="29" s="1"/>
  <c r="O4" i="29"/>
  <c r="S2" i="27" a="1"/>
  <c r="S2" i="27" s="1"/>
  <c r="O3" i="27" s="1"/>
  <c r="F3" i="27"/>
  <c r="N3" i="27"/>
  <c r="Z3" i="27"/>
  <c r="AA3" i="27"/>
  <c r="S56" i="47" l="1"/>
  <c r="R56" i="47"/>
  <c r="AL62" i="47"/>
  <c r="AM61" i="47"/>
  <c r="AN61" i="47" s="1"/>
  <c r="P57" i="47"/>
  <c r="O58" i="47"/>
  <c r="AO60" i="47" a="1"/>
  <c r="AN60" i="47"/>
  <c r="AO59" i="47"/>
  <c r="AP59" i="47"/>
  <c r="P58" i="46"/>
  <c r="O59" i="46"/>
  <c r="S57" i="46"/>
  <c r="R57" i="46"/>
  <c r="AL63" i="46"/>
  <c r="AM62" i="46"/>
  <c r="AN62" i="46" s="1"/>
  <c r="AP60" i="46"/>
  <c r="AO60" i="46"/>
  <c r="AO60" i="45"/>
  <c r="AP60" i="45"/>
  <c r="AL63" i="45"/>
  <c r="AM62" i="45"/>
  <c r="AN62" i="45" s="1"/>
  <c r="P58" i="45"/>
  <c r="O59" i="45"/>
  <c r="S57" i="45"/>
  <c r="R57" i="45"/>
  <c r="AO36" i="44"/>
  <c r="AP36" i="44"/>
  <c r="R14" i="44"/>
  <c r="S14" i="44"/>
  <c r="Q14" i="44"/>
  <c r="AN37" i="44"/>
  <c r="AO37" i="44" s="1" a="1"/>
  <c r="AL39" i="44"/>
  <c r="AM38" i="44"/>
  <c r="O16" i="44"/>
  <c r="P15" i="44"/>
  <c r="Q15" i="44" s="1"/>
  <c r="R33" i="44"/>
  <c r="S33" i="44"/>
  <c r="S8" i="44"/>
  <c r="R8" i="44"/>
  <c r="Q8" i="44"/>
  <c r="P3" i="44"/>
  <c r="P4" i="44"/>
  <c r="P5" i="44"/>
  <c r="P6" i="44"/>
  <c r="P10" i="44"/>
  <c r="P7" i="44"/>
  <c r="P9" i="44"/>
  <c r="P13" i="44"/>
  <c r="O35" i="44"/>
  <c r="P34" i="44"/>
  <c r="P11" i="44"/>
  <c r="P12" i="44"/>
  <c r="AQ66" i="29"/>
  <c r="AQ34" i="29"/>
  <c r="N6" i="29"/>
  <c r="AQ39" i="29"/>
  <c r="AQ72" i="29"/>
  <c r="AQ35" i="29"/>
  <c r="AQ43" i="29"/>
  <c r="AQ51" i="29"/>
  <c r="AQ41" i="29"/>
  <c r="AQ47" i="29"/>
  <c r="AQ49" i="29"/>
  <c r="AQ32" i="29"/>
  <c r="AQ57" i="29"/>
  <c r="AQ64" i="29"/>
  <c r="AQ31" i="29"/>
  <c r="AQ44" i="29"/>
  <c r="AQ62" i="29"/>
  <c r="AQ45" i="29"/>
  <c r="AQ68" i="29"/>
  <c r="AQ46" i="29"/>
  <c r="AQ69" i="29"/>
  <c r="AQ52" i="29"/>
  <c r="AQ70" i="29"/>
  <c r="AQ53" i="29"/>
  <c r="AQ36" i="29"/>
  <c r="AQ54" i="29"/>
  <c r="AQ37" i="29"/>
  <c r="AQ60" i="29"/>
  <c r="AQ38" i="29"/>
  <c r="AQ61" i="29"/>
  <c r="AQ55" i="29"/>
  <c r="AQ40" i="29"/>
  <c r="AQ59" i="29"/>
  <c r="AQ42" i="29"/>
  <c r="AQ31" i="27" a="1"/>
  <c r="AQ63" i="29"/>
  <c r="AQ48" i="29"/>
  <c r="AQ67" i="29"/>
  <c r="AQ50" i="29"/>
  <c r="AQ71" i="29"/>
  <c r="AQ56" i="29"/>
  <c r="AQ33" i="29"/>
  <c r="AQ58" i="29"/>
  <c r="D4" i="33"/>
  <c r="F60" i="29"/>
  <c r="E60" i="29" s="1"/>
  <c r="N60" i="29" s="1"/>
  <c r="F27" i="29"/>
  <c r="E27" i="29" s="1"/>
  <c r="N27" i="29" s="1"/>
  <c r="F58" i="29"/>
  <c r="E58" i="29" s="1"/>
  <c r="N58" i="29" s="1"/>
  <c r="F62" i="29"/>
  <c r="E62" i="29" s="1"/>
  <c r="N62" i="29" s="1"/>
  <c r="F66" i="29"/>
  <c r="E66" i="29" s="1"/>
  <c r="N66" i="29" s="1"/>
  <c r="F59" i="29"/>
  <c r="E59" i="29" s="1"/>
  <c r="N59" i="29" s="1"/>
  <c r="F61" i="29"/>
  <c r="E61" i="29" s="1"/>
  <c r="N61" i="29" s="1"/>
  <c r="F67" i="29"/>
  <c r="E67" i="29" s="1"/>
  <c r="N67" i="29" s="1"/>
  <c r="AH45" i="29"/>
  <c r="AK45" i="29" s="1"/>
  <c r="AI45" i="29"/>
  <c r="AH48" i="29"/>
  <c r="AK48" i="29" s="1"/>
  <c r="AI48" i="29"/>
  <c r="AI35" i="29"/>
  <c r="AH35" i="29"/>
  <c r="AK35" i="29" s="1"/>
  <c r="AI58" i="29"/>
  <c r="AH58" i="29"/>
  <c r="AK58" i="29" s="1"/>
  <c r="AI47" i="29"/>
  <c r="AH47" i="29"/>
  <c r="AK47" i="29" s="1"/>
  <c r="AI70" i="29"/>
  <c r="AH70" i="29"/>
  <c r="AK70" i="29" s="1"/>
  <c r="AI53" i="29"/>
  <c r="AH53" i="29"/>
  <c r="AK53" i="29" s="1"/>
  <c r="AG29" i="29"/>
  <c r="AI31" i="29"/>
  <c r="AH31" i="29"/>
  <c r="AK31" i="29" s="1"/>
  <c r="AI41" i="29"/>
  <c r="AH41" i="29"/>
  <c r="AK41" i="29" s="1"/>
  <c r="AI67" i="29"/>
  <c r="AH67" i="29"/>
  <c r="AK67" i="29" s="1"/>
  <c r="AI68" i="29"/>
  <c r="AH68" i="29"/>
  <c r="AK68" i="29" s="1"/>
  <c r="AI34" i="29"/>
  <c r="AH34" i="29"/>
  <c r="AK34" i="29" s="1"/>
  <c r="AI65" i="29"/>
  <c r="AH65" i="29"/>
  <c r="AK65" i="29" s="1"/>
  <c r="N28" i="29"/>
  <c r="AH52" i="29"/>
  <c r="AK52" i="29" s="1"/>
  <c r="AI52" i="29"/>
  <c r="AI69" i="29"/>
  <c r="AH69" i="29"/>
  <c r="AK69" i="29" s="1"/>
  <c r="AI66" i="29"/>
  <c r="AH66" i="29"/>
  <c r="AK66" i="29" s="1"/>
  <c r="AI44" i="29"/>
  <c r="AH44" i="29"/>
  <c r="AK44" i="29" s="1"/>
  <c r="AI71" i="29"/>
  <c r="AH71" i="29"/>
  <c r="AK71" i="29" s="1"/>
  <c r="F29" i="29"/>
  <c r="E29" i="29" s="1"/>
  <c r="N29" i="29" s="1"/>
  <c r="AI46" i="29"/>
  <c r="AH46" i="29"/>
  <c r="AK46" i="29" s="1"/>
  <c r="AI62" i="29"/>
  <c r="AH62" i="29"/>
  <c r="AK62" i="29" s="1"/>
  <c r="AI61" i="29"/>
  <c r="AH61" i="29"/>
  <c r="AK61" i="29" s="1"/>
  <c r="AH33" i="29"/>
  <c r="AK33" i="29" s="1"/>
  <c r="AI33" i="29"/>
  <c r="AI37" i="29"/>
  <c r="AH37" i="29"/>
  <c r="AK37" i="29" s="1"/>
  <c r="AI60" i="29"/>
  <c r="AH60" i="29"/>
  <c r="AK60" i="29" s="1"/>
  <c r="AH42" i="29"/>
  <c r="AK42" i="29" s="1"/>
  <c r="AI42" i="29"/>
  <c r="AH63" i="29"/>
  <c r="AK63" i="29" s="1"/>
  <c r="AI63" i="29"/>
  <c r="AH59" i="29"/>
  <c r="AK59" i="29" s="1"/>
  <c r="AI59" i="29"/>
  <c r="AH55" i="29"/>
  <c r="AK55" i="29" s="1"/>
  <c r="AI55" i="29"/>
  <c r="AI64" i="29"/>
  <c r="AH64" i="29"/>
  <c r="AK64" i="29" s="1"/>
  <c r="AI43" i="29"/>
  <c r="AH43" i="29"/>
  <c r="AK43" i="29" s="1"/>
  <c r="N7" i="29"/>
  <c r="M8" i="29"/>
  <c r="AI54" i="29"/>
  <c r="AH54" i="29"/>
  <c r="AK54" i="29" s="1"/>
  <c r="AI40" i="29"/>
  <c r="AH40" i="29"/>
  <c r="AK40" i="29" s="1"/>
  <c r="AI51" i="29"/>
  <c r="AH51" i="29"/>
  <c r="AK51" i="29" s="1"/>
  <c r="AH56" i="29"/>
  <c r="AK56" i="29" s="1"/>
  <c r="AI56" i="29"/>
  <c r="AI38" i="29"/>
  <c r="AH38" i="29"/>
  <c r="AK38" i="29" s="1"/>
  <c r="O5" i="29"/>
  <c r="AI50" i="29"/>
  <c r="AH50" i="29"/>
  <c r="AK50" i="29" s="1"/>
  <c r="AI32" i="29"/>
  <c r="AH32" i="29"/>
  <c r="AK32" i="29" s="1"/>
  <c r="AI39" i="29"/>
  <c r="AH39" i="29"/>
  <c r="AK39" i="29" s="1"/>
  <c r="AH36" i="29"/>
  <c r="AK36" i="29" s="1"/>
  <c r="AI36" i="29"/>
  <c r="AI49" i="29"/>
  <c r="AH49" i="29"/>
  <c r="AK49" i="29" s="1"/>
  <c r="AI57" i="29"/>
  <c r="AH57" i="29"/>
  <c r="AK57" i="29" s="1"/>
  <c r="F4" i="27"/>
  <c r="M4" i="27"/>
  <c r="N4" i="27" s="1"/>
  <c r="O4" i="27"/>
  <c r="Z4" i="27"/>
  <c r="AA4" i="27"/>
  <c r="O59" i="47" l="1"/>
  <c r="P58" i="47"/>
  <c r="S57" i="47"/>
  <c r="R57" i="47"/>
  <c r="AL63" i="47"/>
  <c r="AM62" i="47"/>
  <c r="AN62" i="47" s="1"/>
  <c r="AP60" i="47"/>
  <c r="AO60" i="47"/>
  <c r="AL64" i="46"/>
  <c r="AM63" i="46"/>
  <c r="P59" i="46"/>
  <c r="O60" i="46"/>
  <c r="R58" i="46"/>
  <c r="S58" i="46"/>
  <c r="S58" i="45"/>
  <c r="R58" i="45"/>
  <c r="AM63" i="45"/>
  <c r="AL64" i="45"/>
  <c r="P59" i="45"/>
  <c r="O60" i="45"/>
  <c r="AO37" i="44"/>
  <c r="AP37" i="44"/>
  <c r="R11" i="44"/>
  <c r="S11" i="44"/>
  <c r="Q11" i="44"/>
  <c r="S34" i="44"/>
  <c r="R34" i="44"/>
  <c r="R4" i="44"/>
  <c r="Q4" i="44"/>
  <c r="O17" i="44"/>
  <c r="P16" i="44"/>
  <c r="Q16" i="44"/>
  <c r="R9" i="44"/>
  <c r="S9" i="44"/>
  <c r="Q9" i="44"/>
  <c r="S7" i="44"/>
  <c r="R7" i="44"/>
  <c r="Q7" i="44"/>
  <c r="S6" i="44"/>
  <c r="R6" i="44"/>
  <c r="Q6" i="44"/>
  <c r="S5" i="44"/>
  <c r="R5" i="44"/>
  <c r="Q5" i="44"/>
  <c r="P35" i="44"/>
  <c r="O36" i="44"/>
  <c r="R3" i="44"/>
  <c r="Q3" i="44"/>
  <c r="AL40" i="44"/>
  <c r="AM39" i="44"/>
  <c r="R10" i="44"/>
  <c r="S10" i="44"/>
  <c r="Q10" i="44"/>
  <c r="S12" i="44"/>
  <c r="R12" i="44"/>
  <c r="Q12" i="44"/>
  <c r="S15" i="44"/>
  <c r="R15" i="44"/>
  <c r="S13" i="44"/>
  <c r="R13" i="44"/>
  <c r="Q13" i="44"/>
  <c r="AN38" i="44"/>
  <c r="AO38" i="44" s="1" a="1"/>
  <c r="AQ37" i="27"/>
  <c r="AQ45" i="27"/>
  <c r="AQ53" i="27"/>
  <c r="AQ61" i="27"/>
  <c r="AQ38" i="27"/>
  <c r="AQ46" i="27"/>
  <c r="AQ54" i="27"/>
  <c r="AQ62" i="27"/>
  <c r="AQ31" i="27"/>
  <c r="AQ39" i="27"/>
  <c r="AQ47" i="27"/>
  <c r="AQ55" i="27"/>
  <c r="AQ63" i="27"/>
  <c r="AQ32" i="27"/>
  <c r="AQ40" i="27"/>
  <c r="AQ48" i="27"/>
  <c r="AQ56" i="27"/>
  <c r="AQ64" i="27"/>
  <c r="AQ33" i="27"/>
  <c r="AQ41" i="27"/>
  <c r="AQ49" i="27"/>
  <c r="AQ57" i="27"/>
  <c r="AQ34" i="27"/>
  <c r="AQ42" i="27"/>
  <c r="AQ50" i="27"/>
  <c r="AQ58" i="27"/>
  <c r="AQ35" i="27"/>
  <c r="AQ43" i="27"/>
  <c r="AQ51" i="27"/>
  <c r="AQ59" i="27"/>
  <c r="AQ36" i="27"/>
  <c r="AQ44" i="27"/>
  <c r="AQ52" i="27"/>
  <c r="AQ60" i="27"/>
  <c r="M9" i="29"/>
  <c r="N8" i="29"/>
  <c r="O6" i="29"/>
  <c r="F30" i="29"/>
  <c r="E30" i="29" s="1"/>
  <c r="F5" i="27"/>
  <c r="M5" i="27"/>
  <c r="N5" i="27"/>
  <c r="O5" i="27"/>
  <c r="AA5" i="27"/>
  <c r="Z5" i="27"/>
  <c r="AL64" i="47" l="1"/>
  <c r="AM63" i="47"/>
  <c r="R58" i="47"/>
  <c r="S58" i="47"/>
  <c r="O60" i="47"/>
  <c r="P59" i="47"/>
  <c r="O61" i="46"/>
  <c r="P60" i="46"/>
  <c r="S59" i="46"/>
  <c r="R59" i="46"/>
  <c r="AN63" i="46"/>
  <c r="AO63" i="46" a="1"/>
  <c r="AM64" i="46"/>
  <c r="AL65" i="46"/>
  <c r="P60" i="45"/>
  <c r="O61" i="45"/>
  <c r="AO63" i="45" a="1"/>
  <c r="AN63" i="45"/>
  <c r="R59" i="45"/>
  <c r="S59" i="45"/>
  <c r="AM64" i="45"/>
  <c r="AL65" i="45"/>
  <c r="AO38" i="44"/>
  <c r="AP38" i="44"/>
  <c r="S16" i="44"/>
  <c r="R16" i="44"/>
  <c r="P36" i="44"/>
  <c r="O37" i="44"/>
  <c r="O18" i="44"/>
  <c r="Q17" i="44"/>
  <c r="P17" i="44"/>
  <c r="AN39" i="44"/>
  <c r="AO39" i="44" s="1" a="1"/>
  <c r="R35" i="44"/>
  <c r="S35" i="44"/>
  <c r="AL41" i="44"/>
  <c r="AM40" i="44"/>
  <c r="AQ29" i="27"/>
  <c r="N30" i="29"/>
  <c r="O7" i="29"/>
  <c r="F31" i="29"/>
  <c r="E31" i="29" s="1"/>
  <c r="N31" i="29" s="1"/>
  <c r="N9" i="29"/>
  <c r="M10" i="29"/>
  <c r="I5" i="27"/>
  <c r="L5" i="27" s="1"/>
  <c r="M6" i="27"/>
  <c r="M7" i="27" s="1"/>
  <c r="N7" i="27" s="1"/>
  <c r="O6" i="27"/>
  <c r="O7" i="27" s="1"/>
  <c r="F7" i="27"/>
  <c r="S59" i="47" l="1"/>
  <c r="R59" i="47"/>
  <c r="O61" i="47"/>
  <c r="P60" i="47"/>
  <c r="AO63" i="47" a="1"/>
  <c r="AN63" i="47"/>
  <c r="AM64" i="47"/>
  <c r="AL65" i="47"/>
  <c r="AL66" i="46"/>
  <c r="AM65" i="46"/>
  <c r="AO64" i="46" a="1"/>
  <c r="AN64" i="46"/>
  <c r="S60" i="46"/>
  <c r="R60" i="46"/>
  <c r="AO63" i="46"/>
  <c r="AP63" i="46"/>
  <c r="P61" i="46"/>
  <c r="O62" i="46"/>
  <c r="AL66" i="45"/>
  <c r="AM65" i="45"/>
  <c r="AO63" i="45"/>
  <c r="AP63" i="45"/>
  <c r="P61" i="45"/>
  <c r="O62" i="45"/>
  <c r="AO64" i="45" a="1"/>
  <c r="AN64" i="45"/>
  <c r="S60" i="45"/>
  <c r="R60" i="45"/>
  <c r="AP39" i="44"/>
  <c r="AO39" i="44"/>
  <c r="S36" i="44"/>
  <c r="R36" i="44"/>
  <c r="AN40" i="44"/>
  <c r="AO40" i="44" s="1" a="1"/>
  <c r="P18" i="44"/>
  <c r="O19" i="44"/>
  <c r="Q18" i="44"/>
  <c r="AM41" i="44"/>
  <c r="AL42" i="44"/>
  <c r="P37" i="44"/>
  <c r="O38" i="44"/>
  <c r="R17" i="44"/>
  <c r="S17" i="44"/>
  <c r="N6" i="27"/>
  <c r="F32" i="29"/>
  <c r="E32" i="29" s="1"/>
  <c r="N32" i="29" s="1"/>
  <c r="O8" i="29"/>
  <c r="M11" i="29"/>
  <c r="N10" i="29"/>
  <c r="F8" i="27"/>
  <c r="M8" i="27"/>
  <c r="N8" i="27" s="1"/>
  <c r="O8" i="27"/>
  <c r="AO64" i="47" l="1" a="1"/>
  <c r="AN64" i="47"/>
  <c r="S60" i="47"/>
  <c r="R60" i="47"/>
  <c r="P61" i="47"/>
  <c r="O62" i="47"/>
  <c r="AL66" i="47"/>
  <c r="AM65" i="47"/>
  <c r="AP63" i="47"/>
  <c r="AO63" i="47"/>
  <c r="AP64" i="46"/>
  <c r="AO64" i="46"/>
  <c r="P62" i="46"/>
  <c r="O63" i="46"/>
  <c r="AO65" i="46" a="1"/>
  <c r="AN65" i="46"/>
  <c r="S61" i="46"/>
  <c r="R61" i="46"/>
  <c r="AM66" i="46"/>
  <c r="AL67" i="46"/>
  <c r="S61" i="45"/>
  <c r="R61" i="45"/>
  <c r="AP64" i="45"/>
  <c r="AO64" i="45"/>
  <c r="AO65" i="45" a="1"/>
  <c r="AN65" i="45"/>
  <c r="O63" i="45"/>
  <c r="P62" i="45"/>
  <c r="AM66" i="45"/>
  <c r="AL67" i="45"/>
  <c r="AP40" i="44"/>
  <c r="AO40" i="44"/>
  <c r="R37" i="44"/>
  <c r="S37" i="44"/>
  <c r="O20" i="44"/>
  <c r="Q19" i="44"/>
  <c r="P19" i="44"/>
  <c r="AL43" i="44"/>
  <c r="AM42" i="44"/>
  <c r="AN41" i="44"/>
  <c r="AO41" i="44" s="1" a="1"/>
  <c r="R18" i="44"/>
  <c r="S18" i="44"/>
  <c r="P38" i="44"/>
  <c r="O39" i="44"/>
  <c r="F33" i="29"/>
  <c r="E33" i="29" s="1"/>
  <c r="N33" i="29" s="1"/>
  <c r="M12" i="29"/>
  <c r="N11" i="29"/>
  <c r="O9" i="29"/>
  <c r="I6" i="27"/>
  <c r="L6" i="27" s="1"/>
  <c r="F9" i="27"/>
  <c r="M9" i="27"/>
  <c r="N9" i="27" s="1"/>
  <c r="O9" i="27"/>
  <c r="AM66" i="47" l="1"/>
  <c r="AL67" i="47"/>
  <c r="S61" i="47"/>
  <c r="R61" i="47"/>
  <c r="AO65" i="47" a="1"/>
  <c r="AN65" i="47"/>
  <c r="P62" i="47"/>
  <c r="O63" i="47"/>
  <c r="AP64" i="47"/>
  <c r="AO64" i="47"/>
  <c r="R62" i="46"/>
  <c r="S62" i="46"/>
  <c r="AP65" i="46"/>
  <c r="AO65" i="46"/>
  <c r="AL68" i="46"/>
  <c r="AM67" i="46"/>
  <c r="O64" i="46"/>
  <c r="P63" i="46"/>
  <c r="AO66" i="46" a="1"/>
  <c r="AN66" i="46"/>
  <c r="AP65" i="45"/>
  <c r="AO65" i="45"/>
  <c r="R62" i="45"/>
  <c r="S62" i="45"/>
  <c r="AL68" i="45"/>
  <c r="AM67" i="45"/>
  <c r="P63" i="45"/>
  <c r="O64" i="45"/>
  <c r="AN66" i="45"/>
  <c r="AO66" i="45" a="1"/>
  <c r="AO41" i="44"/>
  <c r="AP41" i="44"/>
  <c r="AL44" i="44"/>
  <c r="AM43" i="44"/>
  <c r="S19" i="44"/>
  <c r="R19" i="44"/>
  <c r="O40" i="44"/>
  <c r="P39" i="44"/>
  <c r="S38" i="44"/>
  <c r="R38" i="44"/>
  <c r="P20" i="44"/>
  <c r="Q20" i="44"/>
  <c r="AN42" i="44"/>
  <c r="AO42" i="44" s="1" a="1"/>
  <c r="M13" i="29"/>
  <c r="N12" i="29"/>
  <c r="F34" i="29"/>
  <c r="E34" i="29" s="1"/>
  <c r="O10" i="29"/>
  <c r="I7" i="27"/>
  <c r="L7" i="27" s="1"/>
  <c r="F10" i="27"/>
  <c r="M10" i="27"/>
  <c r="N10" i="27"/>
  <c r="O10" i="27"/>
  <c r="Z10" i="27"/>
  <c r="O64" i="47" l="1"/>
  <c r="P63" i="47"/>
  <c r="AP65" i="47"/>
  <c r="AO65" i="47"/>
  <c r="AL68" i="47"/>
  <c r="AM67" i="47"/>
  <c r="R62" i="47"/>
  <c r="S62" i="47"/>
  <c r="AO66" i="47" a="1"/>
  <c r="AN66" i="47"/>
  <c r="S63" i="46"/>
  <c r="R63" i="46"/>
  <c r="AM68" i="46"/>
  <c r="AL69" i="46"/>
  <c r="P64" i="46"/>
  <c r="O65" i="46"/>
  <c r="AO67" i="46" a="1"/>
  <c r="AN67" i="46"/>
  <c r="AP66" i="46"/>
  <c r="AO66" i="46"/>
  <c r="AO67" i="45" a="1"/>
  <c r="AN67" i="45"/>
  <c r="P64" i="45"/>
  <c r="O65" i="45"/>
  <c r="AL69" i="45"/>
  <c r="AM68" i="45"/>
  <c r="AP66" i="45"/>
  <c r="AO66" i="45"/>
  <c r="S63" i="45"/>
  <c r="R63" i="45"/>
  <c r="AP42" i="44"/>
  <c r="AO42" i="44"/>
  <c r="S39" i="44"/>
  <c r="R39" i="44"/>
  <c r="O41" i="44"/>
  <c r="P40" i="44"/>
  <c r="R20" i="44"/>
  <c r="S20" i="44"/>
  <c r="AL45" i="44"/>
  <c r="AM44" i="44"/>
  <c r="AN43" i="44"/>
  <c r="AO43" i="44" s="1" a="1"/>
  <c r="M14" i="29"/>
  <c r="N13" i="29"/>
  <c r="N34" i="29"/>
  <c r="F35" i="29"/>
  <c r="E35" i="29" s="1"/>
  <c r="N35" i="29" s="1"/>
  <c r="O11" i="29"/>
  <c r="I8" i="27"/>
  <c r="L8" i="27" s="1"/>
  <c r="F11" i="27"/>
  <c r="M11" i="27"/>
  <c r="N11" i="27" s="1"/>
  <c r="O11" i="27"/>
  <c r="O12" i="27" s="1"/>
  <c r="F12" i="27"/>
  <c r="F13" i="27"/>
  <c r="AM68" i="47" l="1"/>
  <c r="AL69" i="47"/>
  <c r="AO67" i="47" a="1"/>
  <c r="AN67" i="47"/>
  <c r="S63" i="47"/>
  <c r="R63" i="47"/>
  <c r="AP66" i="47"/>
  <c r="AO66" i="47"/>
  <c r="P64" i="47"/>
  <c r="O65" i="47"/>
  <c r="AO67" i="46"/>
  <c r="AP67" i="46"/>
  <c r="AL70" i="46"/>
  <c r="AM69" i="46"/>
  <c r="AO68" i="46" a="1"/>
  <c r="AN68" i="46"/>
  <c r="S64" i="46"/>
  <c r="R64" i="46"/>
  <c r="P65" i="46"/>
  <c r="O66" i="46"/>
  <c r="P65" i="45"/>
  <c r="O66" i="45"/>
  <c r="S64" i="45"/>
  <c r="R64" i="45"/>
  <c r="AL70" i="45"/>
  <c r="AM69" i="45"/>
  <c r="AO68" i="45" a="1"/>
  <c r="AN68" i="45"/>
  <c r="AP67" i="45"/>
  <c r="AO67" i="45"/>
  <c r="AP43" i="44"/>
  <c r="AO43" i="44"/>
  <c r="O42" i="44"/>
  <c r="P41" i="44"/>
  <c r="AN44" i="44"/>
  <c r="AO44" i="44" a="1"/>
  <c r="S40" i="44"/>
  <c r="R40" i="44"/>
  <c r="AL46" i="44"/>
  <c r="AM45" i="44"/>
  <c r="O12" i="29"/>
  <c r="M15" i="29"/>
  <c r="N14" i="29"/>
  <c r="F36" i="29"/>
  <c r="E36" i="29" s="1"/>
  <c r="N36" i="29" s="1"/>
  <c r="I9" i="27"/>
  <c r="L9" i="27" s="1"/>
  <c r="M12" i="27"/>
  <c r="O13" i="27"/>
  <c r="F14" i="27"/>
  <c r="C15" i="27"/>
  <c r="AR31" i="44" a="1"/>
  <c r="AP67" i="47" l="1"/>
  <c r="AO67" i="47"/>
  <c r="P65" i="47"/>
  <c r="O66" i="47"/>
  <c r="AL70" i="47"/>
  <c r="AM69" i="47"/>
  <c r="S64" i="47"/>
  <c r="R64" i="47"/>
  <c r="AO68" i="47" a="1"/>
  <c r="AN68" i="47"/>
  <c r="AM70" i="46"/>
  <c r="AL71" i="46"/>
  <c r="AO69" i="46" a="1"/>
  <c r="AN69" i="46"/>
  <c r="O67" i="46"/>
  <c r="P67" i="46" s="1"/>
  <c r="P66" i="46"/>
  <c r="AP68" i="46"/>
  <c r="AO68" i="46"/>
  <c r="S65" i="46"/>
  <c r="R65" i="46"/>
  <c r="AN69" i="45"/>
  <c r="AO69" i="45" a="1"/>
  <c r="AM70" i="45"/>
  <c r="AL71" i="45"/>
  <c r="P66" i="45"/>
  <c r="O67" i="45"/>
  <c r="P67" i="45" s="1"/>
  <c r="AP68" i="45"/>
  <c r="AO68" i="45"/>
  <c r="S65" i="45"/>
  <c r="R65" i="45"/>
  <c r="AR59" i="44"/>
  <c r="AR51" i="44"/>
  <c r="AR43" i="44"/>
  <c r="AR35" i="44"/>
  <c r="AR61" i="44"/>
  <c r="AR52" i="44"/>
  <c r="AR42" i="44"/>
  <c r="AR33" i="44"/>
  <c r="AR57" i="44"/>
  <c r="AR47" i="44"/>
  <c r="AR37" i="44"/>
  <c r="AR56" i="44"/>
  <c r="AR46" i="44"/>
  <c r="AR36" i="44"/>
  <c r="AR54" i="44"/>
  <c r="AR64" i="44"/>
  <c r="AR32" i="44"/>
  <c r="AR55" i="44"/>
  <c r="AR45" i="44"/>
  <c r="AR34" i="44"/>
  <c r="AR44" i="44"/>
  <c r="AR63" i="44"/>
  <c r="AR41" i="44"/>
  <c r="AR62" i="44"/>
  <c r="AR40" i="44"/>
  <c r="AR31" i="44"/>
  <c r="AR60" i="44"/>
  <c r="AR39" i="44"/>
  <c r="AR38" i="44"/>
  <c r="AR48" i="44"/>
  <c r="AR58" i="44"/>
  <c r="AR53" i="44"/>
  <c r="AR50" i="44"/>
  <c r="AR49" i="44"/>
  <c r="P42" i="44"/>
  <c r="O43" i="44"/>
  <c r="AP44" i="44"/>
  <c r="AO44" i="44"/>
  <c r="S41" i="44"/>
  <c r="R41" i="44"/>
  <c r="AN45" i="44"/>
  <c r="AO45" i="44" a="1"/>
  <c r="AL47" i="44"/>
  <c r="AM46" i="44"/>
  <c r="M16" i="29"/>
  <c r="N15" i="29"/>
  <c r="O13" i="29"/>
  <c r="F37" i="29"/>
  <c r="E37" i="29" s="1"/>
  <c r="N37" i="29" s="1"/>
  <c r="I10" i="27"/>
  <c r="L10" i="27" s="1"/>
  <c r="O14" i="27"/>
  <c r="O15" i="27" s="1"/>
  <c r="M13" i="27"/>
  <c r="N12" i="27"/>
  <c r="F15" i="27"/>
  <c r="AM70" i="47" l="1"/>
  <c r="AL71" i="47"/>
  <c r="R65" i="47"/>
  <c r="S65" i="47"/>
  <c r="O67" i="47"/>
  <c r="P67" i="47" s="1"/>
  <c r="P66" i="47"/>
  <c r="AO69" i="47" a="1"/>
  <c r="AN69" i="47"/>
  <c r="AP68" i="47"/>
  <c r="AO68" i="47"/>
  <c r="S67" i="46"/>
  <c r="R67" i="46"/>
  <c r="AP69" i="46"/>
  <c r="AO69" i="46"/>
  <c r="S66" i="46"/>
  <c r="R66" i="46"/>
  <c r="AM71" i="46"/>
  <c r="AL72" i="46"/>
  <c r="AM72" i="46" s="1"/>
  <c r="AO70" i="46" a="1"/>
  <c r="AN70" i="46"/>
  <c r="AL72" i="45"/>
  <c r="AM72" i="45" s="1"/>
  <c r="AM71" i="45"/>
  <c r="R66" i="45"/>
  <c r="S66" i="45"/>
  <c r="AN70" i="45"/>
  <c r="AO70" i="45" a="1"/>
  <c r="S67" i="45"/>
  <c r="R67" i="45"/>
  <c r="AP69" i="45"/>
  <c r="AO69" i="45"/>
  <c r="AO46" i="44" a="1"/>
  <c r="AN46" i="44"/>
  <c r="AL48" i="44"/>
  <c r="AM47" i="44"/>
  <c r="S42" i="44"/>
  <c r="R42" i="44"/>
  <c r="O44" i="44"/>
  <c r="P43" i="44"/>
  <c r="AP45" i="44"/>
  <c r="AO45" i="44"/>
  <c r="M17" i="29"/>
  <c r="N16" i="29"/>
  <c r="O14" i="29"/>
  <c r="F38" i="29"/>
  <c r="E38" i="29" s="1"/>
  <c r="N38" i="29" s="1"/>
  <c r="I11" i="27"/>
  <c r="L11" i="27" s="1"/>
  <c r="N13" i="27"/>
  <c r="M14" i="27"/>
  <c r="F16" i="27"/>
  <c r="O16" i="27"/>
  <c r="S67" i="47" l="1"/>
  <c r="R67" i="47"/>
  <c r="S66" i="47"/>
  <c r="R66" i="47"/>
  <c r="AM71" i="47"/>
  <c r="AL72" i="47"/>
  <c r="AM72" i="47" s="1"/>
  <c r="AP69" i="47"/>
  <c r="AO69" i="47"/>
  <c r="AO70" i="47" a="1"/>
  <c r="AN70" i="47"/>
  <c r="AO72" i="46" a="1"/>
  <c r="AN72" i="46"/>
  <c r="AO71" i="46" a="1"/>
  <c r="AN71" i="46"/>
  <c r="AP70" i="46"/>
  <c r="AO70" i="46"/>
  <c r="AO70" i="45"/>
  <c r="AP70" i="45"/>
  <c r="AO71" i="45" a="1"/>
  <c r="AN71" i="45"/>
  <c r="AO72" i="45" a="1"/>
  <c r="AN72" i="45"/>
  <c r="S43" i="44"/>
  <c r="R43" i="44"/>
  <c r="AM48" i="44"/>
  <c r="AL49" i="44"/>
  <c r="O45" i="44"/>
  <c r="P44" i="44"/>
  <c r="AO47" i="44" a="1"/>
  <c r="AN47" i="44"/>
  <c r="AP46" i="44"/>
  <c r="AO46" i="44"/>
  <c r="N17" i="29"/>
  <c r="P11" i="29" s="1"/>
  <c r="M18" i="29"/>
  <c r="M19" i="29" s="1"/>
  <c r="M20" i="29" s="1"/>
  <c r="P14" i="29"/>
  <c r="O15" i="29"/>
  <c r="F39" i="29"/>
  <c r="E39" i="29" s="1"/>
  <c r="N39" i="29" s="1"/>
  <c r="I12" i="27"/>
  <c r="L12" i="27" s="1"/>
  <c r="N14" i="27"/>
  <c r="M15" i="27"/>
  <c r="F17" i="27"/>
  <c r="O17" i="27"/>
  <c r="P17" i="27" s="1"/>
  <c r="AO71" i="47" l="1" a="1"/>
  <c r="AN71" i="47"/>
  <c r="AO72" i="47" a="1"/>
  <c r="AN72" i="47"/>
  <c r="AP70" i="47"/>
  <c r="AO70" i="47"/>
  <c r="AP71" i="46"/>
  <c r="AO71" i="46"/>
  <c r="AP72" i="46"/>
  <c r="AO72" i="46"/>
  <c r="AP71" i="45"/>
  <c r="AO71" i="45"/>
  <c r="AP72" i="45"/>
  <c r="AO72" i="45"/>
  <c r="S44" i="44"/>
  <c r="R44" i="44"/>
  <c r="AM49" i="44"/>
  <c r="AL50" i="44"/>
  <c r="AO48" i="44" a="1"/>
  <c r="AN48" i="44"/>
  <c r="AO47" i="44"/>
  <c r="AP47" i="44"/>
  <c r="O46" i="44"/>
  <c r="P45" i="44"/>
  <c r="Q11" i="29"/>
  <c r="R11" i="29"/>
  <c r="S11" i="29"/>
  <c r="P8" i="29"/>
  <c r="P3" i="29"/>
  <c r="P6" i="29"/>
  <c r="P13" i="29"/>
  <c r="P4" i="29"/>
  <c r="P7" i="29"/>
  <c r="P5" i="29"/>
  <c r="P10" i="29"/>
  <c r="P9" i="29"/>
  <c r="P12" i="29"/>
  <c r="M16" i="27"/>
  <c r="N15" i="27"/>
  <c r="Q17" i="27"/>
  <c r="O16" i="29"/>
  <c r="P15" i="29"/>
  <c r="Q15" i="29" s="1"/>
  <c r="R14" i="29"/>
  <c r="S14" i="29"/>
  <c r="F40" i="29"/>
  <c r="E40" i="29" s="1"/>
  <c r="N40" i="29" s="1"/>
  <c r="Q14" i="29"/>
  <c r="I13" i="27"/>
  <c r="L13" i="27" s="1"/>
  <c r="S17" i="27"/>
  <c r="R17" i="27"/>
  <c r="F18" i="27"/>
  <c r="N18" i="27"/>
  <c r="O18" i="27"/>
  <c r="Q18" i="27" s="1"/>
  <c r="AP72" i="47" l="1"/>
  <c r="AO72" i="47"/>
  <c r="AP71" i="47"/>
  <c r="AO71" i="47"/>
  <c r="AP48" i="44"/>
  <c r="AO48" i="44"/>
  <c r="AM50" i="44"/>
  <c r="AL51" i="44"/>
  <c r="AN49" i="44"/>
  <c r="AO49" i="44" a="1"/>
  <c r="S45" i="44"/>
  <c r="R45" i="44"/>
  <c r="P46" i="44"/>
  <c r="O47" i="44"/>
  <c r="R6" i="29"/>
  <c r="S6" i="29"/>
  <c r="Q6" i="29"/>
  <c r="R12" i="29"/>
  <c r="S12" i="29"/>
  <c r="Q12" i="29"/>
  <c r="S9" i="29"/>
  <c r="Q9" i="29"/>
  <c r="R9" i="29"/>
  <c r="S10" i="29"/>
  <c r="R10" i="29"/>
  <c r="Q10" i="29"/>
  <c r="S5" i="29"/>
  <c r="R5" i="29"/>
  <c r="Q5" i="29"/>
  <c r="Q4" i="29"/>
  <c r="R4" i="29"/>
  <c r="S13" i="29"/>
  <c r="Q13" i="29"/>
  <c r="R13" i="29"/>
  <c r="R3" i="29"/>
  <c r="Q3" i="29"/>
  <c r="S8" i="29"/>
  <c r="Q8" i="29"/>
  <c r="R8" i="29"/>
  <c r="R7" i="29"/>
  <c r="S7" i="29"/>
  <c r="Q7" i="29"/>
  <c r="N16" i="27"/>
  <c r="M17" i="27"/>
  <c r="F41" i="29"/>
  <c r="E41" i="29" s="1"/>
  <c r="N41" i="29" s="1"/>
  <c r="S15" i="29"/>
  <c r="R15" i="29"/>
  <c r="P16" i="29"/>
  <c r="Q16" i="29" s="1"/>
  <c r="O17" i="29"/>
  <c r="I14" i="27"/>
  <c r="L14" i="27" s="1"/>
  <c r="P18" i="27"/>
  <c r="F19" i="27"/>
  <c r="N19" i="27"/>
  <c r="O19" i="27"/>
  <c r="P19" i="27" s="1"/>
  <c r="AP49" i="44" l="1"/>
  <c r="AO49" i="44"/>
  <c r="AM51" i="44"/>
  <c r="AL52" i="44"/>
  <c r="AO50" i="44" a="1"/>
  <c r="AN50" i="44"/>
  <c r="O48" i="44"/>
  <c r="P47" i="44"/>
  <c r="S46" i="44"/>
  <c r="R46" i="44"/>
  <c r="N17" i="27"/>
  <c r="M18" i="27"/>
  <c r="M19" i="27" s="1"/>
  <c r="Q17" i="29"/>
  <c r="P17" i="29"/>
  <c r="O18" i="29"/>
  <c r="R16" i="29"/>
  <c r="S16" i="29"/>
  <c r="F42" i="29"/>
  <c r="E42" i="29" s="1"/>
  <c r="N42" i="29" s="1"/>
  <c r="I15" i="27"/>
  <c r="L15" i="27" s="1"/>
  <c r="S19" i="27"/>
  <c r="R19" i="27"/>
  <c r="R18" i="27"/>
  <c r="S18" i="27"/>
  <c r="Q19" i="27"/>
  <c r="P11" i="27"/>
  <c r="P8" i="27"/>
  <c r="F20" i="27"/>
  <c r="M20" i="27"/>
  <c r="N20" i="27"/>
  <c r="O20" i="27"/>
  <c r="P20" i="27" s="1"/>
  <c r="O49" i="44" l="1"/>
  <c r="P48" i="44"/>
  <c r="AL53" i="44"/>
  <c r="AM52" i="44"/>
  <c r="AO51" i="44" a="1"/>
  <c r="AN51" i="44"/>
  <c r="S47" i="44"/>
  <c r="R47" i="44"/>
  <c r="AP50" i="44"/>
  <c r="AO50" i="44"/>
  <c r="P16" i="27"/>
  <c r="P15" i="27"/>
  <c r="S20" i="27"/>
  <c r="R20" i="27"/>
  <c r="Q20" i="27"/>
  <c r="F43" i="29"/>
  <c r="E43" i="29" s="1"/>
  <c r="N43" i="29" s="1"/>
  <c r="Q18" i="29"/>
  <c r="P18" i="29"/>
  <c r="O19" i="29"/>
  <c r="R17" i="29"/>
  <c r="S17" i="29"/>
  <c r="I16" i="27"/>
  <c r="L16" i="27" s="1"/>
  <c r="P4" i="27"/>
  <c r="P3" i="27"/>
  <c r="P5" i="27"/>
  <c r="P9" i="27"/>
  <c r="P7" i="27"/>
  <c r="P6" i="27"/>
  <c r="P13" i="27"/>
  <c r="P10" i="27"/>
  <c r="S8" i="27"/>
  <c r="Q8" i="27"/>
  <c r="R8" i="27"/>
  <c r="P14" i="27"/>
  <c r="R11" i="27"/>
  <c r="S11" i="27"/>
  <c r="Q11" i="27"/>
  <c r="P12" i="27"/>
  <c r="AA21" i="27"/>
  <c r="AO51" i="44" l="1"/>
  <c r="AP51" i="44"/>
  <c r="AL54" i="44"/>
  <c r="AM53" i="44"/>
  <c r="AO52" i="44" a="1"/>
  <c r="AN52" i="44"/>
  <c r="S48" i="44"/>
  <c r="R48" i="44"/>
  <c r="O50" i="44"/>
  <c r="P49" i="44"/>
  <c r="Q15" i="27"/>
  <c r="R15" i="27"/>
  <c r="S15" i="27"/>
  <c r="R16" i="27"/>
  <c r="Q16" i="27"/>
  <c r="P19" i="29"/>
  <c r="Q19" i="29"/>
  <c r="O20" i="29"/>
  <c r="R18" i="29"/>
  <c r="S18" i="29"/>
  <c r="F44" i="29"/>
  <c r="E44" i="29" s="1"/>
  <c r="N44" i="29" s="1"/>
  <c r="I17" i="27"/>
  <c r="L17" i="27" s="1"/>
  <c r="S14" i="27" s="1"/>
  <c r="R7" i="27"/>
  <c r="S7" i="27"/>
  <c r="Q7" i="27"/>
  <c r="R14" i="27"/>
  <c r="Q14" i="27"/>
  <c r="R9" i="27"/>
  <c r="S9" i="27"/>
  <c r="Q9" i="27"/>
  <c r="Q6" i="27"/>
  <c r="R6" i="27"/>
  <c r="S6" i="27"/>
  <c r="R3" i="27"/>
  <c r="Q3" i="27"/>
  <c r="R4" i="27"/>
  <c r="Q4" i="27"/>
  <c r="R13" i="27"/>
  <c r="S13" i="27"/>
  <c r="Q13" i="27"/>
  <c r="R5" i="27"/>
  <c r="S5" i="27"/>
  <c r="Q5" i="27"/>
  <c r="R12" i="27"/>
  <c r="S12" i="27"/>
  <c r="Q12" i="27"/>
  <c r="S10" i="27"/>
  <c r="R10" i="27"/>
  <c r="Q10" i="27"/>
  <c r="AA22" i="27"/>
  <c r="Z22" i="27"/>
  <c r="AN53" i="44" l="1"/>
  <c r="AO53" i="44" a="1"/>
  <c r="AL55" i="44"/>
  <c r="AM54" i="44"/>
  <c r="R49" i="44"/>
  <c r="S49" i="44"/>
  <c r="AO52" i="44"/>
  <c r="AP52" i="44"/>
  <c r="O51" i="44"/>
  <c r="P50" i="44"/>
  <c r="S16" i="27"/>
  <c r="Q20" i="29"/>
  <c r="P20" i="29"/>
  <c r="F45" i="29"/>
  <c r="E45" i="29" s="1"/>
  <c r="N45" i="29" s="1"/>
  <c r="S19" i="29"/>
  <c r="R19" i="29"/>
  <c r="I18" i="27"/>
  <c r="L18" i="27" s="1"/>
  <c r="Z23" i="27"/>
  <c r="AA23" i="27"/>
  <c r="AL56" i="44" l="1"/>
  <c r="AM55" i="44"/>
  <c r="AO54" i="44" a="1"/>
  <c r="AN54" i="44"/>
  <c r="AO53" i="44"/>
  <c r="AP53" i="44"/>
  <c r="R50" i="44"/>
  <c r="S50" i="44"/>
  <c r="P51" i="44"/>
  <c r="O52" i="44"/>
  <c r="F46" i="29"/>
  <c r="E46" i="29" s="1"/>
  <c r="N46" i="29" s="1"/>
  <c r="S20" i="29"/>
  <c r="R20" i="29"/>
  <c r="I19" i="27"/>
  <c r="L19" i="27" s="1"/>
  <c r="AA24" i="27"/>
  <c r="Z24" i="27"/>
  <c r="AO54" i="44" l="1"/>
  <c r="AP54" i="44"/>
  <c r="O53" i="44"/>
  <c r="P52" i="44"/>
  <c r="AO55" i="44" a="1"/>
  <c r="AN55" i="44"/>
  <c r="R51" i="44"/>
  <c r="S51" i="44"/>
  <c r="AL57" i="44"/>
  <c r="AM56" i="44"/>
  <c r="F47" i="29"/>
  <c r="E47" i="29" s="1"/>
  <c r="N47" i="29" s="1"/>
  <c r="I20" i="27"/>
  <c r="L20" i="27" s="1"/>
  <c r="M27" i="27"/>
  <c r="Z27" i="27"/>
  <c r="AA27" i="27"/>
  <c r="P53" i="44" l="1"/>
  <c r="O54" i="44"/>
  <c r="AO55" i="44"/>
  <c r="AP55" i="44"/>
  <c r="AO56" i="44" a="1"/>
  <c r="AN56" i="44"/>
  <c r="R52" i="44"/>
  <c r="S52" i="44"/>
  <c r="AM57" i="44"/>
  <c r="AL58" i="44"/>
  <c r="F48" i="29"/>
  <c r="E48" i="29" s="1"/>
  <c r="N48" i="29" s="1"/>
  <c r="I23" i="27"/>
  <c r="M28" i="27"/>
  <c r="M29" i="27" s="1"/>
  <c r="M30" i="27" s="1"/>
  <c r="M31" i="27" s="1"/>
  <c r="AA31" i="27"/>
  <c r="AP56" i="44" l="1"/>
  <c r="AO56" i="44"/>
  <c r="AL59" i="44"/>
  <c r="AM58" i="44"/>
  <c r="P54" i="44"/>
  <c r="O55" i="44"/>
  <c r="AO57" i="44" a="1"/>
  <c r="AN57" i="44"/>
  <c r="R53" i="44"/>
  <c r="S53" i="44"/>
  <c r="L23" i="27"/>
  <c r="F49" i="29"/>
  <c r="E49" i="29" s="1"/>
  <c r="N49" i="29" s="1"/>
  <c r="AF31" i="27"/>
  <c r="AG31" i="27" s="1"/>
  <c r="F26" i="27" s="1"/>
  <c r="E26" i="27" s="1"/>
  <c r="N26" i="27" s="1"/>
  <c r="O56" i="44" l="1"/>
  <c r="P55" i="44"/>
  <c r="AM59" i="44"/>
  <c r="AL60" i="44"/>
  <c r="AP57" i="44"/>
  <c r="AO57" i="44"/>
  <c r="S54" i="44"/>
  <c r="R54" i="44"/>
  <c r="AO58" i="44" a="1"/>
  <c r="AN58" i="44"/>
  <c r="C4" i="33"/>
  <c r="B4" i="33" s="1"/>
  <c r="F50" i="29"/>
  <c r="E50" i="29" s="1"/>
  <c r="N50" i="29" s="1"/>
  <c r="AI31" i="27"/>
  <c r="AH31" i="27"/>
  <c r="AK31" i="27" s="1"/>
  <c r="M32" i="27"/>
  <c r="Z32" i="27"/>
  <c r="AA32" i="27"/>
  <c r="AO59" i="44" l="1" a="1"/>
  <c r="AN59" i="44"/>
  <c r="AM60" i="44"/>
  <c r="AL61" i="44"/>
  <c r="S55" i="44"/>
  <c r="R55" i="44"/>
  <c r="AP58" i="44"/>
  <c r="AO58" i="44"/>
  <c r="O57" i="44"/>
  <c r="P56" i="44"/>
  <c r="C80" i="33"/>
  <c r="E80" i="33" s="1"/>
  <c r="C59" i="33"/>
  <c r="E59" i="33" s="1"/>
  <c r="C38" i="33"/>
  <c r="E38" i="33" s="1"/>
  <c r="C16" i="33"/>
  <c r="E16" i="33" s="1"/>
  <c r="E11" i="33" a="1"/>
  <c r="F51" i="29"/>
  <c r="E51" i="29" s="1"/>
  <c r="N51" i="29" s="1"/>
  <c r="AF32" i="27"/>
  <c r="AG32" i="27" s="1"/>
  <c r="M33" i="27"/>
  <c r="AA33" i="27"/>
  <c r="Z33" i="27"/>
  <c r="AO60" i="44" l="1" a="1"/>
  <c r="AN60" i="44"/>
  <c r="AL62" i="44"/>
  <c r="AM61" i="44"/>
  <c r="AN61" i="44" s="1"/>
  <c r="S56" i="44"/>
  <c r="R56" i="44"/>
  <c r="P57" i="44"/>
  <c r="O58" i="44"/>
  <c r="AP59" i="44"/>
  <c r="AO59" i="44"/>
  <c r="F15" i="33"/>
  <c r="F12" i="33"/>
  <c r="E11" i="33"/>
  <c r="E13" i="33"/>
  <c r="F11" i="33"/>
  <c r="E12" i="33"/>
  <c r="E15" i="33"/>
  <c r="E14" i="33"/>
  <c r="F13" i="33"/>
  <c r="F14" i="33"/>
  <c r="F52" i="29"/>
  <c r="E52" i="29" s="1"/>
  <c r="N52" i="29" s="1"/>
  <c r="AI32" i="27"/>
  <c r="AH32" i="27"/>
  <c r="AK32" i="27" s="1"/>
  <c r="F27" i="27"/>
  <c r="E27" i="27" s="1"/>
  <c r="AF33" i="27"/>
  <c r="M34" i="27"/>
  <c r="Z34" i="27"/>
  <c r="AA34" i="27"/>
  <c r="AL63" i="44" l="1"/>
  <c r="AM62" i="44"/>
  <c r="AN62" i="44" s="1"/>
  <c r="R57" i="44"/>
  <c r="S57" i="44"/>
  <c r="P58" i="44"/>
  <c r="O59" i="44"/>
  <c r="AP60" i="44"/>
  <c r="AO60" i="44"/>
  <c r="AG33" i="27"/>
  <c r="F28" i="27" s="1"/>
  <c r="E28" i="27" s="1"/>
  <c r="N28" i="27" s="1"/>
  <c r="F53" i="29"/>
  <c r="E53" i="29" s="1"/>
  <c r="N53" i="29" s="1"/>
  <c r="N27" i="27"/>
  <c r="AF34" i="27"/>
  <c r="AG34" i="27" s="1"/>
  <c r="M35" i="27"/>
  <c r="Z35" i="27"/>
  <c r="AA35" i="27"/>
  <c r="P59" i="44" l="1"/>
  <c r="O60" i="44"/>
  <c r="R58" i="44"/>
  <c r="S58" i="44"/>
  <c r="AM63" i="44"/>
  <c r="AL64" i="44"/>
  <c r="AI33" i="27"/>
  <c r="AH33" i="27"/>
  <c r="AK33" i="27" s="1"/>
  <c r="F54" i="29"/>
  <c r="E54" i="29" s="1"/>
  <c r="N54" i="29" s="1"/>
  <c r="AI34" i="27"/>
  <c r="AH34" i="27"/>
  <c r="AK34" i="27" s="1"/>
  <c r="F29" i="27"/>
  <c r="E29" i="27" s="1"/>
  <c r="AF35" i="27"/>
  <c r="AG35" i="27" s="1"/>
  <c r="F30" i="27" s="1"/>
  <c r="E30" i="27" s="1"/>
  <c r="N30" i="27" s="1"/>
  <c r="M36" i="27"/>
  <c r="AA36" i="27"/>
  <c r="Z36" i="27"/>
  <c r="AM64" i="44" l="1"/>
  <c r="AL65" i="44"/>
  <c r="O61" i="44"/>
  <c r="P60" i="44"/>
  <c r="AN63" i="44"/>
  <c r="AO63" i="44" a="1"/>
  <c r="S59" i="44"/>
  <c r="R59" i="44"/>
  <c r="F55" i="29"/>
  <c r="E55" i="29" s="1"/>
  <c r="AQ29" i="29"/>
  <c r="AH30" i="29" s="1"/>
  <c r="AI35" i="27"/>
  <c r="AH35" i="27"/>
  <c r="AK35" i="27" s="1"/>
  <c r="N29" i="27"/>
  <c r="AF36" i="27"/>
  <c r="M37" i="27"/>
  <c r="AA37" i="27"/>
  <c r="Z37" i="27"/>
  <c r="AP63" i="44" l="1"/>
  <c r="AO63" i="44"/>
  <c r="P61" i="44"/>
  <c r="O62" i="44"/>
  <c r="AL66" i="44"/>
  <c r="AM65" i="44"/>
  <c r="S60" i="44"/>
  <c r="R60" i="44"/>
  <c r="AO64" i="44" a="1"/>
  <c r="AN64" i="44"/>
  <c r="AG36" i="27"/>
  <c r="AH36" i="27" s="1"/>
  <c r="AK36" i="27" s="1"/>
  <c r="AI72" i="29"/>
  <c r="AH72" i="29"/>
  <c r="AK72" i="29" s="1"/>
  <c r="AL30" i="29" s="1"/>
  <c r="N55" i="29"/>
  <c r="S25" i="29" a="1"/>
  <c r="S25" i="29" s="1"/>
  <c r="AF37" i="27"/>
  <c r="AG37" i="27" s="1"/>
  <c r="F32" i="27" s="1"/>
  <c r="E32" i="27" s="1"/>
  <c r="N32" i="27" s="1"/>
  <c r="M38" i="27"/>
  <c r="Z38" i="27"/>
  <c r="AA38" i="27"/>
  <c r="AO65" i="44" l="1" a="1"/>
  <c r="AN65" i="44"/>
  <c r="S61" i="44"/>
  <c r="R61" i="44"/>
  <c r="P62" i="44"/>
  <c r="O63" i="44"/>
  <c r="AM66" i="44"/>
  <c r="AL67" i="44"/>
  <c r="AP64" i="44"/>
  <c r="AO64" i="44"/>
  <c r="O26" i="29"/>
  <c r="O27" i="29" s="1"/>
  <c r="AI36" i="27"/>
  <c r="F31" i="27"/>
  <c r="E31" i="27" s="1"/>
  <c r="N31" i="27" s="1"/>
  <c r="AL31" i="29"/>
  <c r="AH37" i="27"/>
  <c r="AK37" i="27" s="1"/>
  <c r="AI37" i="27"/>
  <c r="AF38" i="27"/>
  <c r="AG38" i="27" s="1"/>
  <c r="F33" i="27" s="1"/>
  <c r="E33" i="27" s="1"/>
  <c r="N33" i="27" s="1"/>
  <c r="M39" i="27"/>
  <c r="AA39" i="27"/>
  <c r="Z39" i="27"/>
  <c r="O64" i="44" l="1"/>
  <c r="P63" i="44"/>
  <c r="AO66" i="44" a="1"/>
  <c r="AN66" i="44"/>
  <c r="AM67" i="44"/>
  <c r="AL68" i="44"/>
  <c r="R62" i="44"/>
  <c r="S62" i="44"/>
  <c r="AO65" i="44"/>
  <c r="AP65" i="44"/>
  <c r="P26" i="29"/>
  <c r="R26" i="29" s="1"/>
  <c r="AL32" i="29"/>
  <c r="AM31" i="29"/>
  <c r="O28" i="29"/>
  <c r="P27" i="29"/>
  <c r="AI38" i="27"/>
  <c r="AH38" i="27"/>
  <c r="AK38" i="27" s="1"/>
  <c r="AF39" i="27"/>
  <c r="AG39" i="27" s="1"/>
  <c r="F34" i="27" s="1"/>
  <c r="E34" i="27" s="1"/>
  <c r="M40" i="27"/>
  <c r="AA40" i="27"/>
  <c r="Z40" i="27"/>
  <c r="AM68" i="44" l="1"/>
  <c r="AL69" i="44"/>
  <c r="AO66" i="44"/>
  <c r="AP66" i="44"/>
  <c r="S63" i="44"/>
  <c r="R63" i="44"/>
  <c r="AO67" i="44" a="1"/>
  <c r="AN67" i="44"/>
  <c r="P64" i="44"/>
  <c r="O65" i="44"/>
  <c r="AN31" i="29"/>
  <c r="AO31" i="29" s="1" a="1"/>
  <c r="AM32" i="29"/>
  <c r="AL33" i="29"/>
  <c r="R27" i="29"/>
  <c r="O29" i="29"/>
  <c r="P28" i="29"/>
  <c r="AH39" i="27"/>
  <c r="AK39" i="27" s="1"/>
  <c r="AI39" i="27"/>
  <c r="N34" i="27"/>
  <c r="AF40" i="27"/>
  <c r="AG40" i="27" s="1"/>
  <c r="F35" i="27" s="1"/>
  <c r="E35" i="27" s="1"/>
  <c r="N35" i="27" s="1"/>
  <c r="M41" i="27"/>
  <c r="M42" i="27" s="1"/>
  <c r="Z42" i="27"/>
  <c r="AA42" i="27"/>
  <c r="Z41" i="27"/>
  <c r="AA41" i="27"/>
  <c r="AP67" i="44" l="1"/>
  <c r="AO67" i="44"/>
  <c r="O66" i="44"/>
  <c r="P65" i="44"/>
  <c r="AL70" i="44"/>
  <c r="AM69" i="44"/>
  <c r="S64" i="44"/>
  <c r="R64" i="44"/>
  <c r="AN68" i="44"/>
  <c r="AO68" i="44" a="1"/>
  <c r="AO31" i="29"/>
  <c r="AP31" i="29"/>
  <c r="R28" i="29"/>
  <c r="AN32" i="29"/>
  <c r="AO32" i="29" s="1" a="1"/>
  <c r="P29" i="29"/>
  <c r="O30" i="29"/>
  <c r="AM33" i="29"/>
  <c r="AL34" i="29"/>
  <c r="AF41" i="27"/>
  <c r="AH40" i="27"/>
  <c r="AK40" i="27" s="1"/>
  <c r="AI40" i="27"/>
  <c r="AF42" i="27"/>
  <c r="AG42" i="27" s="1"/>
  <c r="F37" i="27" s="1"/>
  <c r="E37" i="27" s="1"/>
  <c r="N37" i="27" s="1"/>
  <c r="M43" i="27"/>
  <c r="Z43" i="27"/>
  <c r="AA43" i="27"/>
  <c r="AM70" i="44" l="1"/>
  <c r="AL71" i="44"/>
  <c r="P66" i="44"/>
  <c r="O67" i="44"/>
  <c r="P67" i="44" s="1"/>
  <c r="AP68" i="44"/>
  <c r="AO68" i="44"/>
  <c r="AO69" i="44" a="1"/>
  <c r="AN69" i="44"/>
  <c r="R65" i="44"/>
  <c r="S65" i="44"/>
  <c r="AG41" i="27"/>
  <c r="F36" i="27" s="1"/>
  <c r="E36" i="27" s="1"/>
  <c r="N36" i="27" s="1"/>
  <c r="I50" i="29"/>
  <c r="L50" i="29" s="1"/>
  <c r="I42" i="29"/>
  <c r="L42" i="29" s="1"/>
  <c r="I34" i="29"/>
  <c r="L34" i="29" s="1"/>
  <c r="I26" i="29"/>
  <c r="L26" i="29" s="1"/>
  <c r="S26" i="29" s="1"/>
  <c r="I49" i="29"/>
  <c r="L49" i="29" s="1"/>
  <c r="I40" i="29"/>
  <c r="L40" i="29" s="1"/>
  <c r="I31" i="29"/>
  <c r="L31" i="29" s="1"/>
  <c r="I48" i="29"/>
  <c r="L48" i="29" s="1"/>
  <c r="I39" i="29"/>
  <c r="L39" i="29" s="1"/>
  <c r="I30" i="29"/>
  <c r="L30" i="29" s="1"/>
  <c r="I47" i="29"/>
  <c r="L47" i="29" s="1"/>
  <c r="I38" i="29"/>
  <c r="L38" i="29" s="1"/>
  <c r="I29" i="29"/>
  <c r="L29" i="29" s="1"/>
  <c r="S29" i="29" s="1"/>
  <c r="I55" i="29"/>
  <c r="L55" i="29" s="1"/>
  <c r="I43" i="29"/>
  <c r="L43" i="29" s="1"/>
  <c r="I27" i="29"/>
  <c r="L27" i="29" s="1"/>
  <c r="S27" i="29" s="1"/>
  <c r="I54" i="29"/>
  <c r="L54" i="29" s="1"/>
  <c r="I41" i="29"/>
  <c r="L41" i="29" s="1"/>
  <c r="I52" i="29"/>
  <c r="L52" i="29" s="1"/>
  <c r="I35" i="29"/>
  <c r="L35" i="29" s="1"/>
  <c r="I53" i="29"/>
  <c r="L53" i="29" s="1"/>
  <c r="I37" i="29"/>
  <c r="L37" i="29" s="1"/>
  <c r="I36" i="29"/>
  <c r="L36" i="29" s="1"/>
  <c r="I51" i="29"/>
  <c r="L51" i="29" s="1"/>
  <c r="I46" i="29"/>
  <c r="L46" i="29" s="1"/>
  <c r="I44" i="29"/>
  <c r="L44" i="29" s="1"/>
  <c r="I33" i="29"/>
  <c r="L33" i="29" s="1"/>
  <c r="I45" i="29"/>
  <c r="L45" i="29" s="1"/>
  <c r="I32" i="29"/>
  <c r="L32" i="29" s="1"/>
  <c r="I28" i="29"/>
  <c r="L28" i="29" s="1"/>
  <c r="S28" i="29" s="1"/>
  <c r="AP32" i="29"/>
  <c r="AO32" i="29"/>
  <c r="P30" i="29"/>
  <c r="O31" i="29"/>
  <c r="AL35" i="29"/>
  <c r="AM34" i="29"/>
  <c r="R29" i="29"/>
  <c r="AN33" i="29"/>
  <c r="AO33" i="29" s="1" a="1"/>
  <c r="AI42" i="27"/>
  <c r="AH42" i="27"/>
  <c r="AK42" i="27" s="1"/>
  <c r="AF43" i="27"/>
  <c r="AG43" i="27" s="1"/>
  <c r="F38" i="27" s="1"/>
  <c r="E38" i="27" s="1"/>
  <c r="N38" i="27" s="1"/>
  <c r="M44" i="27"/>
  <c r="Z44" i="27"/>
  <c r="AA44" i="27"/>
  <c r="AP69" i="44" l="1"/>
  <c r="AO69" i="44"/>
  <c r="S67" i="44"/>
  <c r="R67" i="44"/>
  <c r="S66" i="44"/>
  <c r="R66" i="44"/>
  <c r="AM71" i="44"/>
  <c r="AL72" i="44"/>
  <c r="AM72" i="44" s="1"/>
  <c r="AO70" i="44" a="1"/>
  <c r="AN70" i="44"/>
  <c r="AI41" i="27"/>
  <c r="AH41" i="27"/>
  <c r="AK41" i="27" s="1"/>
  <c r="AN34" i="29"/>
  <c r="AO34" i="29" s="1" a="1"/>
  <c r="AM35" i="29"/>
  <c r="AL36" i="29"/>
  <c r="P31" i="29"/>
  <c r="O32" i="29"/>
  <c r="AP33" i="29"/>
  <c r="AO33" i="29"/>
  <c r="R30" i="29"/>
  <c r="S30" i="29"/>
  <c r="AI43" i="27"/>
  <c r="AH43" i="27"/>
  <c r="AK43" i="27" s="1"/>
  <c r="AF44" i="27"/>
  <c r="C45" i="27"/>
  <c r="M45" i="27"/>
  <c r="AA45" i="27"/>
  <c r="Z45" i="27"/>
  <c r="AO72" i="44" l="1" a="1"/>
  <c r="AN72" i="44"/>
  <c r="AO71" i="44" a="1"/>
  <c r="AN71" i="44"/>
  <c r="AP70" i="44"/>
  <c r="AO70" i="44"/>
  <c r="AG44" i="27"/>
  <c r="F39" i="27" s="1"/>
  <c r="E39" i="27" s="1"/>
  <c r="N39" i="27" s="1"/>
  <c r="AM36" i="29"/>
  <c r="AL37" i="29"/>
  <c r="AN35" i="29"/>
  <c r="AO35" i="29" s="1" a="1"/>
  <c r="R31" i="29"/>
  <c r="S31" i="29"/>
  <c r="O33" i="29"/>
  <c r="P32" i="29"/>
  <c r="AP34" i="29"/>
  <c r="AO34" i="29"/>
  <c r="AF45" i="27"/>
  <c r="AG45" i="27" s="1"/>
  <c r="F40" i="27" s="1"/>
  <c r="E40" i="27" s="1"/>
  <c r="N40" i="27" s="1"/>
  <c r="M46" i="27"/>
  <c r="Z46" i="27"/>
  <c r="AA46" i="27"/>
  <c r="AP71" i="44" l="1"/>
  <c r="AO71" i="44"/>
  <c r="AP72" i="44"/>
  <c r="AO72" i="44"/>
  <c r="AI44" i="27"/>
  <c r="AH44" i="27"/>
  <c r="AK44" i="27" s="1"/>
  <c r="O34" i="29"/>
  <c r="P33" i="29"/>
  <c r="AP35" i="29"/>
  <c r="AO35" i="29"/>
  <c r="S32" i="29"/>
  <c r="R32" i="29"/>
  <c r="AM37" i="29"/>
  <c r="AL38" i="29"/>
  <c r="AN36" i="29"/>
  <c r="AO36" i="29" s="1" a="1"/>
  <c r="AH45" i="27"/>
  <c r="AK45" i="27" s="1"/>
  <c r="AI45" i="27"/>
  <c r="AF46" i="27"/>
  <c r="M47" i="27"/>
  <c r="AA47" i="27"/>
  <c r="Z47" i="27"/>
  <c r="AG46" i="27" l="1"/>
  <c r="F41" i="27" s="1"/>
  <c r="E41" i="27" s="1"/>
  <c r="N41" i="27" s="1"/>
  <c r="AN37" i="29"/>
  <c r="AO37" i="29" s="1" a="1"/>
  <c r="S33" i="29"/>
  <c r="R33" i="29"/>
  <c r="AL39" i="29"/>
  <c r="AM38" i="29"/>
  <c r="AO36" i="29"/>
  <c r="AP36" i="29"/>
  <c r="P34" i="29"/>
  <c r="O35" i="29"/>
  <c r="AF47" i="27"/>
  <c r="AG47" i="27" s="1"/>
  <c r="F42" i="27" s="1"/>
  <c r="E42" i="27" s="1"/>
  <c r="N42" i="27" s="1"/>
  <c r="B48" i="27"/>
  <c r="M48" i="27"/>
  <c r="Z48" i="27"/>
  <c r="AA48" i="27"/>
  <c r="AI46" i="27" l="1"/>
  <c r="AH46" i="27"/>
  <c r="AK46" i="27" s="1"/>
  <c r="AN38" i="29"/>
  <c r="AO38" i="29" s="1" a="1"/>
  <c r="AL40" i="29"/>
  <c r="AM39" i="29"/>
  <c r="O36" i="29"/>
  <c r="P35" i="29"/>
  <c r="R34" i="29"/>
  <c r="S34" i="29"/>
  <c r="AP37" i="29"/>
  <c r="AO37" i="29"/>
  <c r="AI47" i="27"/>
  <c r="AH47" i="27"/>
  <c r="AK47" i="27" s="1"/>
  <c r="AF48" i="27"/>
  <c r="AG48" i="27" s="1"/>
  <c r="F43" i="27" s="1"/>
  <c r="E43" i="27" s="1"/>
  <c r="N43" i="27" s="1"/>
  <c r="B49" i="27"/>
  <c r="M49" i="27"/>
  <c r="M50" i="27" s="1"/>
  <c r="B50" i="27"/>
  <c r="AA50" i="27"/>
  <c r="Z50" i="27"/>
  <c r="AA49" i="27"/>
  <c r="Z49" i="27"/>
  <c r="S35" i="29" l="1"/>
  <c r="R35" i="29"/>
  <c r="AM40" i="29"/>
  <c r="AL41" i="29"/>
  <c r="AP38" i="29"/>
  <c r="AO38" i="29"/>
  <c r="O37" i="29"/>
  <c r="P36" i="29"/>
  <c r="AN39" i="29"/>
  <c r="AO39" i="29" s="1" a="1"/>
  <c r="AF49" i="27"/>
  <c r="AI48" i="27"/>
  <c r="AH48" i="27"/>
  <c r="AK48" i="27" s="1"/>
  <c r="AF50" i="27"/>
  <c r="AG50" i="27" s="1"/>
  <c r="F45" i="27" s="1"/>
  <c r="E45" i="27" s="1"/>
  <c r="N45" i="27" s="1"/>
  <c r="B51" i="27"/>
  <c r="M51" i="27"/>
  <c r="AA51" i="27"/>
  <c r="Z51" i="27"/>
  <c r="AG49" i="27" l="1"/>
  <c r="F44" i="27" s="1"/>
  <c r="E44" i="27" s="1"/>
  <c r="N44" i="27" s="1"/>
  <c r="AL42" i="29"/>
  <c r="AM41" i="29"/>
  <c r="AN40" i="29"/>
  <c r="AO40" i="29" s="1" a="1"/>
  <c r="AP39" i="29"/>
  <c r="AO39" i="29"/>
  <c r="S36" i="29"/>
  <c r="R36" i="29"/>
  <c r="O38" i="29"/>
  <c r="P37" i="29"/>
  <c r="AH50" i="27"/>
  <c r="AK50" i="27" s="1"/>
  <c r="AI50" i="27"/>
  <c r="AF51" i="27"/>
  <c r="B52" i="27"/>
  <c r="M52" i="27"/>
  <c r="AA52" i="27"/>
  <c r="Z52" i="27"/>
  <c r="AI49" i="27" l="1"/>
  <c r="AG51" i="27"/>
  <c r="F46" i="27" s="1"/>
  <c r="E46" i="27" s="1"/>
  <c r="N46" i="27" s="1"/>
  <c r="AH49" i="27"/>
  <c r="AK49" i="27" s="1"/>
  <c r="AO40" i="29"/>
  <c r="AP40" i="29"/>
  <c r="R37" i="29"/>
  <c r="S37" i="29"/>
  <c r="AN41" i="29"/>
  <c r="AO41" i="29" s="1" a="1"/>
  <c r="P38" i="29"/>
  <c r="O39" i="29"/>
  <c r="AM42" i="29"/>
  <c r="AL43" i="29"/>
  <c r="AF52" i="27"/>
  <c r="AG52" i="27" s="1"/>
  <c r="F47" i="27" s="1"/>
  <c r="E47" i="27" s="1"/>
  <c r="N47" i="27" s="1"/>
  <c r="B53" i="27"/>
  <c r="M53" i="27"/>
  <c r="AA53" i="27"/>
  <c r="Z53" i="27"/>
  <c r="AI51" i="27" l="1"/>
  <c r="AH51" i="27"/>
  <c r="AK51" i="27" s="1"/>
  <c r="O40" i="29"/>
  <c r="P39" i="29"/>
  <c r="AP41" i="29"/>
  <c r="AO41" i="29"/>
  <c r="AM43" i="29"/>
  <c r="AL44" i="29"/>
  <c r="R38" i="29"/>
  <c r="S38" i="29"/>
  <c r="AN42" i="29"/>
  <c r="AO42" i="29" s="1" a="1"/>
  <c r="AH52" i="27"/>
  <c r="AK52" i="27" s="1"/>
  <c r="AI52" i="27"/>
  <c r="AF53" i="27"/>
  <c r="C54" i="27"/>
  <c r="M54" i="27"/>
  <c r="M55" i="27" s="1"/>
  <c r="C55" i="27"/>
  <c r="AA55" i="27"/>
  <c r="Z55" i="27"/>
  <c r="Z54" i="27"/>
  <c r="AA54" i="27"/>
  <c r="AG53" i="27" l="1"/>
  <c r="F48" i="27" s="1"/>
  <c r="E48" i="27" s="1"/>
  <c r="N48" i="27" s="1"/>
  <c r="AL45" i="29"/>
  <c r="AM44" i="29"/>
  <c r="AN43" i="29"/>
  <c r="AO43" i="29" s="1" a="1"/>
  <c r="R39" i="29"/>
  <c r="S39" i="29"/>
  <c r="AO42" i="29"/>
  <c r="AP42" i="29"/>
  <c r="O41" i="29"/>
  <c r="P40" i="29"/>
  <c r="AF54" i="27"/>
  <c r="AF55" i="27"/>
  <c r="B56" i="27"/>
  <c r="M56" i="27"/>
  <c r="Z56" i="27"/>
  <c r="AA56" i="27"/>
  <c r="AI53" i="27" l="1"/>
  <c r="AG55" i="27"/>
  <c r="F50" i="27" s="1"/>
  <c r="E50" i="27" s="1"/>
  <c r="N50" i="27" s="1"/>
  <c r="AG54" i="27"/>
  <c r="F49" i="27" s="1"/>
  <c r="E49" i="27" s="1"/>
  <c r="N49" i="27" s="1"/>
  <c r="AH53" i="27"/>
  <c r="AK53" i="27" s="1"/>
  <c r="AO43" i="29"/>
  <c r="AP43" i="29"/>
  <c r="S40" i="29"/>
  <c r="R40" i="29"/>
  <c r="AN44" i="29"/>
  <c r="AO44" i="29" a="1"/>
  <c r="O42" i="29"/>
  <c r="P41" i="29"/>
  <c r="AL46" i="29"/>
  <c r="AM45" i="29"/>
  <c r="AF56" i="27"/>
  <c r="B57" i="27"/>
  <c r="C57" i="27"/>
  <c r="M57" i="27"/>
  <c r="AA57" i="27"/>
  <c r="Z57" i="27"/>
  <c r="AR31" i="29" a="1"/>
  <c r="AI54" i="27" l="1"/>
  <c r="AI55" i="27"/>
  <c r="AR38" i="29"/>
  <c r="AR33" i="29"/>
  <c r="AR61" i="29"/>
  <c r="I56" i="29" s="1"/>
  <c r="L56" i="29" s="1"/>
  <c r="AR57" i="29"/>
  <c r="AR39" i="29"/>
  <c r="AR37" i="29"/>
  <c r="AR69" i="29"/>
  <c r="I64" i="29" s="1"/>
  <c r="L64" i="29" s="1"/>
  <c r="AR47" i="29"/>
  <c r="AR70" i="29"/>
  <c r="I65" i="29" s="1"/>
  <c r="L65" i="29" s="1"/>
  <c r="AR64" i="29"/>
  <c r="I59" i="29" s="1"/>
  <c r="L59" i="29" s="1"/>
  <c r="AR63" i="29"/>
  <c r="I58" i="29" s="1"/>
  <c r="L58" i="29" s="1"/>
  <c r="AR40" i="29"/>
  <c r="AR42" i="29"/>
  <c r="AR55" i="29"/>
  <c r="AR58" i="29"/>
  <c r="AR62" i="29"/>
  <c r="I57" i="29" s="1"/>
  <c r="L57" i="29" s="1"/>
  <c r="AR53" i="29"/>
  <c r="AR56" i="29"/>
  <c r="AR51" i="29"/>
  <c r="AR54" i="29"/>
  <c r="AR71" i="29"/>
  <c r="I66" i="29" s="1"/>
  <c r="L66" i="29" s="1"/>
  <c r="AR65" i="29"/>
  <c r="I60" i="29" s="1"/>
  <c r="L60" i="29" s="1"/>
  <c r="AR41" i="29"/>
  <c r="AR66" i="29"/>
  <c r="I61" i="29" s="1"/>
  <c r="L61" i="29" s="1"/>
  <c r="AR45" i="29"/>
  <c r="AR72" i="29"/>
  <c r="I67" i="29" s="1"/>
  <c r="L67" i="29" s="1"/>
  <c r="AR43" i="29"/>
  <c r="AR32" i="29"/>
  <c r="AR67" i="29"/>
  <c r="I62" i="29" s="1"/>
  <c r="L62" i="29" s="1"/>
  <c r="AR34" i="29"/>
  <c r="AR60" i="29"/>
  <c r="AR35" i="29"/>
  <c r="AR48" i="29"/>
  <c r="AR68" i="29"/>
  <c r="I63" i="29" s="1"/>
  <c r="L63" i="29" s="1"/>
  <c r="AR44" i="29"/>
  <c r="AR46" i="29"/>
  <c r="AR36" i="29"/>
  <c r="AR50" i="29"/>
  <c r="AR52" i="29"/>
  <c r="AR49" i="29"/>
  <c r="AR31" i="29"/>
  <c r="AR59" i="29"/>
  <c r="AH54" i="27"/>
  <c r="AK54" i="27" s="1"/>
  <c r="AG56" i="27"/>
  <c r="F51" i="27" s="1"/>
  <c r="E51" i="27" s="1"/>
  <c r="N51" i="27" s="1"/>
  <c r="AH55" i="27"/>
  <c r="AK55" i="27" s="1"/>
  <c r="O43" i="29"/>
  <c r="P42" i="29"/>
  <c r="S41" i="29"/>
  <c r="R41" i="29"/>
  <c r="AO45" i="29" a="1"/>
  <c r="AN45" i="29"/>
  <c r="AP44" i="29"/>
  <c r="AO44" i="29"/>
  <c r="AM46" i="29"/>
  <c r="AL47" i="29"/>
  <c r="AF57" i="27"/>
  <c r="B58" i="27"/>
  <c r="C58" i="27"/>
  <c r="M58" i="27"/>
  <c r="AA58" i="27"/>
  <c r="Z58" i="27"/>
  <c r="AI56" i="27" l="1"/>
  <c r="AG57" i="27"/>
  <c r="F52" i="27" s="1"/>
  <c r="E52" i="27" s="1"/>
  <c r="N52" i="27" s="1"/>
  <c r="AH56" i="27"/>
  <c r="AK56" i="27" s="1"/>
  <c r="S42" i="29"/>
  <c r="R42" i="29"/>
  <c r="AO45" i="29"/>
  <c r="AP45" i="29"/>
  <c r="AL48" i="29"/>
  <c r="AM47" i="29"/>
  <c r="AO46" i="29" a="1"/>
  <c r="AN46" i="29"/>
  <c r="O44" i="29"/>
  <c r="P43" i="29"/>
  <c r="AF58" i="27"/>
  <c r="B59" i="27"/>
  <c r="C59" i="27"/>
  <c r="M59" i="27"/>
  <c r="Z59" i="27"/>
  <c r="AA59" i="27"/>
  <c r="AI57" i="27" l="1"/>
  <c r="AG58" i="27"/>
  <c r="F53" i="27" s="1"/>
  <c r="E53" i="27" s="1"/>
  <c r="N53" i="27" s="1"/>
  <c r="AH57" i="27"/>
  <c r="AK57" i="27" s="1"/>
  <c r="AL49" i="29"/>
  <c r="AM48" i="29"/>
  <c r="S43" i="29"/>
  <c r="R43" i="29"/>
  <c r="AO46" i="29"/>
  <c r="AP46" i="29"/>
  <c r="AO47" i="29" a="1"/>
  <c r="AN47" i="29"/>
  <c r="O45" i="29"/>
  <c r="P44" i="29"/>
  <c r="AF59" i="27"/>
  <c r="AG59" i="27" s="1"/>
  <c r="F54" i="27" s="1"/>
  <c r="E54" i="27" s="1"/>
  <c r="N54" i="27" s="1"/>
  <c r="B60" i="27"/>
  <c r="C60" i="27"/>
  <c r="M60" i="27"/>
  <c r="B61" i="27"/>
  <c r="C61" i="27"/>
  <c r="M61" i="27"/>
  <c r="Z60" i="27"/>
  <c r="Z61" i="27"/>
  <c r="AA60" i="27"/>
  <c r="AA61" i="27"/>
  <c r="AI58" i="27" l="1"/>
  <c r="AH58" i="27"/>
  <c r="AK58" i="27" s="1"/>
  <c r="AO47" i="29"/>
  <c r="AP47" i="29"/>
  <c r="S44" i="29"/>
  <c r="R44" i="29"/>
  <c r="AO48" i="29" a="1"/>
  <c r="AN48" i="29"/>
  <c r="P45" i="29"/>
  <c r="O46" i="29"/>
  <c r="AL50" i="29"/>
  <c r="AM49" i="29"/>
  <c r="AF60" i="27"/>
  <c r="AG60" i="27" s="1"/>
  <c r="F55" i="27" s="1"/>
  <c r="E55" i="27" s="1"/>
  <c r="N55" i="27" s="1"/>
  <c r="AH59" i="27"/>
  <c r="AK59" i="27" s="1"/>
  <c r="AI59" i="27"/>
  <c r="AF61" i="27"/>
  <c r="B62" i="27"/>
  <c r="C62" i="27"/>
  <c r="M62" i="27"/>
  <c r="AA62" i="27"/>
  <c r="Z62" i="27"/>
  <c r="AG61" i="27" l="1"/>
  <c r="F56" i="27" s="1"/>
  <c r="E56" i="27" s="1"/>
  <c r="N56" i="27" s="1"/>
  <c r="I56" i="27"/>
  <c r="L56" i="27" s="1"/>
  <c r="P46" i="29"/>
  <c r="O47" i="29"/>
  <c r="AO48" i="29"/>
  <c r="AP48" i="29"/>
  <c r="AN49" i="29"/>
  <c r="AO49" i="29" a="1"/>
  <c r="R45" i="29"/>
  <c r="S45" i="29"/>
  <c r="AL51" i="29"/>
  <c r="AM50" i="29"/>
  <c r="AH60" i="27"/>
  <c r="AK60" i="27" s="1"/>
  <c r="AI60" i="27"/>
  <c r="AF62" i="27"/>
  <c r="B63" i="27"/>
  <c r="C63" i="27"/>
  <c r="M63" i="27"/>
  <c r="B64" i="27"/>
  <c r="C64" i="27"/>
  <c r="M64" i="27"/>
  <c r="M65" i="27" s="1"/>
  <c r="M66" i="27" s="1"/>
  <c r="B65" i="27"/>
  <c r="C65" i="27"/>
  <c r="B66" i="27"/>
  <c r="C66" i="27"/>
  <c r="AA63" i="27"/>
  <c r="AA66" i="27"/>
  <c r="Z65" i="27"/>
  <c r="AA65" i="27"/>
  <c r="Z63" i="27"/>
  <c r="Z66" i="27"/>
  <c r="AA64" i="27"/>
  <c r="Z64" i="27"/>
  <c r="AI61" i="27" l="1"/>
  <c r="AG62" i="27"/>
  <c r="F57" i="27" s="1"/>
  <c r="E57" i="27" s="1"/>
  <c r="N57" i="27" s="1"/>
  <c r="I57" i="27"/>
  <c r="L57" i="27" s="1"/>
  <c r="AH61" i="27"/>
  <c r="AK61" i="27" s="1"/>
  <c r="AP49" i="29"/>
  <c r="AO49" i="29"/>
  <c r="AN50" i="29"/>
  <c r="AO50" i="29" a="1"/>
  <c r="O48" i="29"/>
  <c r="P47" i="29"/>
  <c r="AL52" i="29"/>
  <c r="AM51" i="29"/>
  <c r="S46" i="29"/>
  <c r="R46" i="29"/>
  <c r="AF65" i="27"/>
  <c r="AF63" i="27"/>
  <c r="AF64" i="27"/>
  <c r="AF66" i="27"/>
  <c r="B67" i="27"/>
  <c r="C67" i="27"/>
  <c r="M67" i="27"/>
  <c r="AA67" i="27"/>
  <c r="Z67" i="27"/>
  <c r="AH62" i="27" l="1"/>
  <c r="AK62" i="27" s="1"/>
  <c r="AI62" i="27"/>
  <c r="AG65" i="27"/>
  <c r="F60" i="27" s="1"/>
  <c r="E60" i="27" s="1"/>
  <c r="N60" i="27" s="1"/>
  <c r="I60" i="27"/>
  <c r="L60" i="27" s="1"/>
  <c r="AG64" i="27"/>
  <c r="F59" i="27" s="1"/>
  <c r="E59" i="27" s="1"/>
  <c r="N59" i="27" s="1"/>
  <c r="I59" i="27"/>
  <c r="L59" i="27" s="1"/>
  <c r="AG66" i="27"/>
  <c r="F61" i="27" s="1"/>
  <c r="E61" i="27" s="1"/>
  <c r="N61" i="27" s="1"/>
  <c r="I61" i="27"/>
  <c r="L61" i="27" s="1"/>
  <c r="AG63" i="27"/>
  <c r="F58" i="27" s="1"/>
  <c r="E58" i="27" s="1"/>
  <c r="N58" i="27" s="1"/>
  <c r="I58" i="27"/>
  <c r="L58" i="27" s="1"/>
  <c r="AO51" i="29" a="1"/>
  <c r="AN51" i="29"/>
  <c r="AP50" i="29"/>
  <c r="AO50" i="29"/>
  <c r="AM52" i="29"/>
  <c r="AL53" i="29"/>
  <c r="R47" i="29"/>
  <c r="S47" i="29"/>
  <c r="O49" i="29"/>
  <c r="P48" i="29"/>
  <c r="AF67" i="27"/>
  <c r="B68" i="27"/>
  <c r="C68" i="27"/>
  <c r="AA68" i="27"/>
  <c r="Z68" i="27"/>
  <c r="AI65" i="27" l="1"/>
  <c r="AH64" i="27"/>
  <c r="AK64" i="27" s="1"/>
  <c r="AI64" i="27"/>
  <c r="AH66" i="27"/>
  <c r="AK66" i="27" s="1"/>
  <c r="AG67" i="27"/>
  <c r="F62" i="27" s="1"/>
  <c r="E62" i="27" s="1"/>
  <c r="N62" i="27" s="1"/>
  <c r="I62" i="27"/>
  <c r="L62" i="27" s="1"/>
  <c r="AI66" i="27"/>
  <c r="AH63" i="27"/>
  <c r="AK63" i="27" s="1"/>
  <c r="AI63" i="27"/>
  <c r="AH65" i="27"/>
  <c r="AK65" i="27" s="1"/>
  <c r="AL54" i="29"/>
  <c r="AM53" i="29"/>
  <c r="AN52" i="29"/>
  <c r="AO52" i="29" a="1"/>
  <c r="S48" i="29"/>
  <c r="R48" i="29"/>
  <c r="O50" i="29"/>
  <c r="P49" i="29"/>
  <c r="AP51" i="29"/>
  <c r="AO51" i="29"/>
  <c r="AF68" i="27"/>
  <c r="B69" i="27"/>
  <c r="C69" i="27"/>
  <c r="Z69" i="27"/>
  <c r="AA69" i="27"/>
  <c r="AI67" i="27" l="1"/>
  <c r="AG68" i="27"/>
  <c r="F63" i="27" s="1"/>
  <c r="E63" i="27" s="1"/>
  <c r="I63" i="27"/>
  <c r="L63" i="27" s="1"/>
  <c r="AH67" i="27"/>
  <c r="AK67" i="27" s="1"/>
  <c r="S49" i="29"/>
  <c r="R49" i="29"/>
  <c r="P50" i="29"/>
  <c r="O51" i="29"/>
  <c r="AO52" i="29"/>
  <c r="AP52" i="29"/>
  <c r="AN53" i="29"/>
  <c r="AO53" i="29" a="1"/>
  <c r="AL55" i="29"/>
  <c r="AM54" i="29"/>
  <c r="AF69" i="27"/>
  <c r="AA70" i="27"/>
  <c r="Z70" i="27"/>
  <c r="AH68" i="27" l="1"/>
  <c r="AK68" i="27" s="1"/>
  <c r="AI68" i="27"/>
  <c r="AG69" i="27"/>
  <c r="F64" i="27" s="1"/>
  <c r="E64" i="27" s="1"/>
  <c r="N64" i="27" s="1"/>
  <c r="I64" i="27"/>
  <c r="L64" i="27" s="1"/>
  <c r="N63" i="27"/>
  <c r="O52" i="29"/>
  <c r="P51" i="29"/>
  <c r="S50" i="29"/>
  <c r="R50" i="29"/>
  <c r="AO54" i="29" a="1"/>
  <c r="AN54" i="29"/>
  <c r="AP53" i="29"/>
  <c r="AO53" i="29"/>
  <c r="AM55" i="29"/>
  <c r="AL56" i="29"/>
  <c r="AF70" i="27"/>
  <c r="AA71" i="27"/>
  <c r="Z71" i="27"/>
  <c r="AI69" i="27" l="1"/>
  <c r="AH69" i="27"/>
  <c r="AK69" i="27" s="1"/>
  <c r="AG70" i="27"/>
  <c r="F65" i="27" s="1"/>
  <c r="E65" i="27" s="1"/>
  <c r="I65" i="27"/>
  <c r="L65" i="27" s="1"/>
  <c r="R51" i="29"/>
  <c r="S51" i="29"/>
  <c r="AO54" i="29"/>
  <c r="AP54" i="29"/>
  <c r="AL57" i="29"/>
  <c r="AM56" i="29"/>
  <c r="AO55" i="29" a="1"/>
  <c r="AN55" i="29"/>
  <c r="O53" i="29"/>
  <c r="P52" i="29"/>
  <c r="AF71" i="27"/>
  <c r="Z72" i="27"/>
  <c r="AA72" i="27"/>
  <c r="AI70" i="27" l="1"/>
  <c r="AH70" i="27"/>
  <c r="AK70" i="27" s="1"/>
  <c r="AG71" i="27"/>
  <c r="F66" i="27" s="1"/>
  <c r="E66" i="27" s="1"/>
  <c r="N66" i="27" s="1"/>
  <c r="I66" i="27"/>
  <c r="L66" i="27" s="1"/>
  <c r="N65" i="27"/>
  <c r="AM57" i="29"/>
  <c r="AL58" i="29"/>
  <c r="S52" i="29"/>
  <c r="R52" i="29"/>
  <c r="AP55" i="29"/>
  <c r="AO55" i="29"/>
  <c r="AN56" i="29"/>
  <c r="AO56" i="29" a="1"/>
  <c r="O54" i="29"/>
  <c r="P53" i="29"/>
  <c r="AF72" i="27"/>
  <c r="C9" i="11"/>
  <c r="AH71" i="27" l="1"/>
  <c r="AK71" i="27" s="1"/>
  <c r="AI71" i="27"/>
  <c r="AG72" i="27"/>
  <c r="F67" i="27" s="1"/>
  <c r="E67" i="27" s="1"/>
  <c r="S25" i="27" s="1" a="1"/>
  <c r="I67" i="27"/>
  <c r="L67" i="27" s="1"/>
  <c r="AO56" i="29"/>
  <c r="AP56" i="29"/>
  <c r="AM58" i="29"/>
  <c r="AL59" i="29"/>
  <c r="R53" i="29"/>
  <c r="S53" i="29"/>
  <c r="P54" i="29"/>
  <c r="O55" i="29"/>
  <c r="AO57" i="29" a="1"/>
  <c r="AN57" i="29"/>
  <c r="D6" i="8"/>
  <c r="N67" i="27" l="1"/>
  <c r="S25" i="27"/>
  <c r="O26" i="27" s="1"/>
  <c r="AG29" i="27"/>
  <c r="AH30" i="27" s="1"/>
  <c r="O56" i="29"/>
  <c r="P55" i="29"/>
  <c r="AN58" i="29"/>
  <c r="AO58" i="29" a="1"/>
  <c r="S54" i="29"/>
  <c r="R54" i="29"/>
  <c r="AL60" i="29"/>
  <c r="AM59" i="29"/>
  <c r="AO57" i="29"/>
  <c r="AP57" i="29"/>
  <c r="D5" i="8"/>
  <c r="C3" i="47" s="1"/>
  <c r="U9" i="11"/>
  <c r="L9" i="11"/>
  <c r="U9" i="10"/>
  <c r="L9" i="10"/>
  <c r="C9" i="10"/>
  <c r="D9" i="8"/>
  <c r="L5" i="43"/>
  <c r="U5" i="43"/>
  <c r="C5" i="43"/>
  <c r="U3" i="47" a="1"/>
  <c r="U5" i="11"/>
  <c r="D8" i="8"/>
  <c r="C5" i="11"/>
  <c r="U78" i="47" l="1"/>
  <c r="U74" i="47"/>
  <c r="U70" i="47"/>
  <c r="U66" i="47"/>
  <c r="U62" i="47"/>
  <c r="U58" i="47"/>
  <c r="U54" i="47"/>
  <c r="U50" i="47"/>
  <c r="U46" i="47"/>
  <c r="U42" i="47"/>
  <c r="U38" i="47"/>
  <c r="U34" i="47"/>
  <c r="U30" i="47"/>
  <c r="U26" i="47"/>
  <c r="U22" i="47"/>
  <c r="U18" i="47"/>
  <c r="U14" i="47"/>
  <c r="U10" i="47"/>
  <c r="U6" i="47"/>
  <c r="V76" i="47"/>
  <c r="U72" i="47"/>
  <c r="V67" i="47"/>
  <c r="U63" i="47"/>
  <c r="V58" i="47"/>
  <c r="V53" i="47"/>
  <c r="U49" i="47"/>
  <c r="V44" i="47"/>
  <c r="U40" i="47"/>
  <c r="V35" i="47"/>
  <c r="U31" i="47"/>
  <c r="V26" i="47"/>
  <c r="V21" i="47"/>
  <c r="U17" i="47"/>
  <c r="V12" i="47"/>
  <c r="U8" i="47"/>
  <c r="V3" i="47"/>
  <c r="V77" i="47"/>
  <c r="V72" i="47"/>
  <c r="U67" i="47"/>
  <c r="V61" i="47"/>
  <c r="V56" i="47"/>
  <c r="V51" i="47"/>
  <c r="V46" i="47"/>
  <c r="U41" i="47"/>
  <c r="U36" i="47"/>
  <c r="V30" i="47"/>
  <c r="U25" i="47"/>
  <c r="U20" i="47"/>
  <c r="U15" i="47"/>
  <c r="V9" i="47"/>
  <c r="V4" i="47"/>
  <c r="V66" i="47"/>
  <c r="U56" i="47"/>
  <c r="V45" i="47"/>
  <c r="V40" i="47"/>
  <c r="U35" i="47"/>
  <c r="V24" i="47"/>
  <c r="V19" i="47"/>
  <c r="V14" i="47"/>
  <c r="U9" i="47"/>
  <c r="U76" i="47"/>
  <c r="U71" i="47"/>
  <c r="V65" i="47"/>
  <c r="V60" i="47"/>
  <c r="V55" i="47"/>
  <c r="V50" i="47"/>
  <c r="U45" i="47"/>
  <c r="V39" i="47"/>
  <c r="V34" i="47"/>
  <c r="U29" i="47"/>
  <c r="U24" i="47"/>
  <c r="U19" i="47"/>
  <c r="V8" i="47"/>
  <c r="U3" i="47"/>
  <c r="V70" i="47"/>
  <c r="U65" i="47"/>
  <c r="U60" i="47"/>
  <c r="U55" i="47"/>
  <c r="V49" i="47"/>
  <c r="U39" i="47"/>
  <c r="V33" i="47"/>
  <c r="V28" i="47"/>
  <c r="V23" i="47"/>
  <c r="V18" i="47"/>
  <c r="V7" i="47"/>
  <c r="V48" i="47"/>
  <c r="V17" i="47"/>
  <c r="U77" i="47"/>
  <c r="V71" i="47"/>
  <c r="U61" i="47"/>
  <c r="U51" i="47"/>
  <c r="V29" i="47"/>
  <c r="U4" i="47"/>
  <c r="V13" i="47"/>
  <c r="U13" i="47"/>
  <c r="V69" i="47"/>
  <c r="V59" i="47"/>
  <c r="V54" i="47"/>
  <c r="V38" i="47"/>
  <c r="U33" i="47"/>
  <c r="U23" i="47"/>
  <c r="U7" i="47"/>
  <c r="V75" i="47"/>
  <c r="U44" i="47"/>
  <c r="U75" i="47"/>
  <c r="V64" i="47"/>
  <c r="V43" i="47"/>
  <c r="U28" i="47"/>
  <c r="U12" i="47"/>
  <c r="V74" i="47"/>
  <c r="V62" i="47"/>
  <c r="V47" i="47"/>
  <c r="V32" i="47"/>
  <c r="V20" i="47"/>
  <c r="V5" i="47"/>
  <c r="V73" i="47"/>
  <c r="U59" i="47"/>
  <c r="U47" i="47"/>
  <c r="U32" i="47"/>
  <c r="V16" i="47"/>
  <c r="U5" i="47"/>
  <c r="U73" i="47"/>
  <c r="V57" i="47"/>
  <c r="U43" i="47"/>
  <c r="V31" i="47"/>
  <c r="U16" i="47"/>
  <c r="U69" i="47"/>
  <c r="U57" i="47"/>
  <c r="V42" i="47"/>
  <c r="V27" i="47"/>
  <c r="V15" i="47"/>
  <c r="V79" i="47"/>
  <c r="U68" i="47"/>
  <c r="V52" i="47"/>
  <c r="V37" i="47"/>
  <c r="V25" i="47"/>
  <c r="U11" i="47"/>
  <c r="U79" i="47"/>
  <c r="U64" i="47"/>
  <c r="U37" i="47"/>
  <c r="V10" i="47"/>
  <c r="V63" i="47"/>
  <c r="V36" i="47"/>
  <c r="V6" i="47"/>
  <c r="V68" i="47"/>
  <c r="U53" i="47"/>
  <c r="V41" i="47"/>
  <c r="U27" i="47"/>
  <c r="V11" i="47"/>
  <c r="U52" i="47"/>
  <c r="V22" i="47"/>
  <c r="U48" i="47"/>
  <c r="U21" i="47"/>
  <c r="V78" i="47"/>
  <c r="C3" i="45"/>
  <c r="C3" i="46"/>
  <c r="C3" i="42"/>
  <c r="C3" i="44"/>
  <c r="AI72" i="27"/>
  <c r="AH72" i="27"/>
  <c r="AK72" i="27" s="1"/>
  <c r="AL30" i="27" s="1"/>
  <c r="O27" i="27"/>
  <c r="P26" i="27"/>
  <c r="R26" i="27" s="1"/>
  <c r="AO59" i="29" a="1"/>
  <c r="AN59" i="29"/>
  <c r="AP58" i="29"/>
  <c r="AO58" i="29"/>
  <c r="AM60" i="29"/>
  <c r="AL61" i="29"/>
  <c r="R55" i="29"/>
  <c r="S55" i="29"/>
  <c r="C3" i="27"/>
  <c r="C3" i="29"/>
  <c r="P56" i="29"/>
  <c r="O57" i="29"/>
  <c r="C5" i="10"/>
  <c r="J6" i="33" a="1"/>
  <c r="AI4" i="47"/>
  <c r="AI4" i="44"/>
  <c r="C6" i="11"/>
  <c r="U5" i="10"/>
  <c r="C6" i="43"/>
  <c r="L6" i="43"/>
  <c r="L5" i="10"/>
  <c r="AB2" i="42"/>
  <c r="Q13" i="42"/>
  <c r="Q12" i="42"/>
  <c r="U6" i="43"/>
  <c r="U7" i="42"/>
  <c r="AI4" i="46"/>
  <c r="P14" i="42"/>
  <c r="R12" i="42"/>
  <c r="AI4" i="27"/>
  <c r="O8" i="42"/>
  <c r="Q11" i="42"/>
  <c r="P13" i="42"/>
  <c r="Q14" i="42"/>
  <c r="L5" i="11"/>
  <c r="L6" i="11" s="1"/>
  <c r="R7" i="42"/>
  <c r="Q10" i="42"/>
  <c r="P8" i="42"/>
  <c r="T9" i="42"/>
  <c r="U8" i="42"/>
  <c r="U6" i="11"/>
  <c r="T6" i="42"/>
  <c r="P6" i="42"/>
  <c r="R11" i="42"/>
  <c r="U10" i="42"/>
  <c r="U6" i="10"/>
  <c r="AI4" i="45"/>
  <c r="AI4" i="29"/>
  <c r="O15" i="42"/>
  <c r="Q15" i="42"/>
  <c r="T13" i="42"/>
  <c r="T15" i="42"/>
  <c r="O12" i="42"/>
  <c r="R9" i="42"/>
  <c r="P15" i="42"/>
  <c r="O11" i="42"/>
  <c r="U9" i="42"/>
  <c r="Q9" i="42"/>
  <c r="O10" i="42"/>
  <c r="P9" i="42"/>
  <c r="Q7" i="42"/>
  <c r="O6" i="42"/>
  <c r="T7" i="42"/>
  <c r="T12" i="42"/>
  <c r="T10" i="42"/>
  <c r="P12" i="42"/>
  <c r="O14" i="42"/>
  <c r="O9" i="42"/>
  <c r="Q6" i="42"/>
  <c r="O13" i="42"/>
  <c r="R10" i="42"/>
  <c r="U6" i="42"/>
  <c r="T11" i="42"/>
  <c r="R14" i="42"/>
  <c r="P11" i="42"/>
  <c r="R15" i="42"/>
  <c r="R8" i="42"/>
  <c r="P7" i="42"/>
  <c r="U15" i="42"/>
  <c r="U13" i="42"/>
  <c r="P10" i="42"/>
  <c r="T8" i="42"/>
  <c r="R6" i="42"/>
  <c r="U14" i="42"/>
  <c r="U12" i="42"/>
  <c r="T14" i="42"/>
  <c r="U11" i="42"/>
  <c r="O7" i="42"/>
  <c r="R13" i="42"/>
  <c r="Q8" i="42"/>
  <c r="S15" i="42" l="1"/>
  <c r="K15" i="42"/>
  <c r="L15" i="42" s="1"/>
  <c r="M15" i="42"/>
  <c r="N15" i="42" s="1"/>
  <c r="S9" i="42"/>
  <c r="S12" i="42"/>
  <c r="S8" i="42"/>
  <c r="S10" i="42"/>
  <c r="S13" i="42"/>
  <c r="S14" i="42"/>
  <c r="S7" i="42"/>
  <c r="S11" i="42"/>
  <c r="L7" i="43"/>
  <c r="C7" i="43"/>
  <c r="U7" i="43"/>
  <c r="S6" i="42"/>
  <c r="M7" i="42"/>
  <c r="N7" i="42" s="1"/>
  <c r="K12" i="42"/>
  <c r="L12" i="42" s="1"/>
  <c r="K6" i="42"/>
  <c r="L6" i="42" s="1"/>
  <c r="K9" i="42"/>
  <c r="L9" i="42" s="1"/>
  <c r="K13" i="42"/>
  <c r="L13" i="42" s="1"/>
  <c r="M8" i="42"/>
  <c r="N8" i="42" s="1"/>
  <c r="M6" i="42"/>
  <c r="N6" i="42" s="1"/>
  <c r="M11" i="42"/>
  <c r="N11" i="42" s="1"/>
  <c r="K14" i="42"/>
  <c r="L14" i="42" s="1"/>
  <c r="M12" i="42"/>
  <c r="N12" i="42" s="1"/>
  <c r="M9" i="42"/>
  <c r="N9" i="42" s="1"/>
  <c r="K7" i="42"/>
  <c r="L7" i="42" s="1"/>
  <c r="K8" i="42"/>
  <c r="L8" i="42" s="1"/>
  <c r="K10" i="42"/>
  <c r="L10" i="42" s="1"/>
  <c r="M14" i="42"/>
  <c r="N14" i="42" s="1"/>
  <c r="M10" i="42"/>
  <c r="N10" i="42" s="1"/>
  <c r="K11" i="42"/>
  <c r="L11" i="42" s="1"/>
  <c r="M13" i="42"/>
  <c r="N13" i="42" s="1"/>
  <c r="J16" i="33"/>
  <c r="J22" i="33"/>
  <c r="J28" i="33"/>
  <c r="J9" i="33"/>
  <c r="J11" i="33"/>
  <c r="J17" i="33"/>
  <c r="J23" i="33"/>
  <c r="J6" i="33"/>
  <c r="K9" i="33" s="1"/>
  <c r="J12" i="33"/>
  <c r="J18" i="33"/>
  <c r="J26" i="33"/>
  <c r="J24" i="33"/>
  <c r="J7" i="33"/>
  <c r="J13" i="33"/>
  <c r="J19" i="33"/>
  <c r="J25" i="33"/>
  <c r="J8" i="33"/>
  <c r="J14" i="33"/>
  <c r="J20" i="33"/>
  <c r="J21" i="33"/>
  <c r="J27" i="33"/>
  <c r="J10" i="33"/>
  <c r="J15" i="33"/>
  <c r="U7" i="11"/>
  <c r="U7" i="10"/>
  <c r="C7" i="11"/>
  <c r="L7" i="11"/>
  <c r="P27" i="27"/>
  <c r="R27" i="27" s="1"/>
  <c r="O28" i="27"/>
  <c r="AL31" i="27"/>
  <c r="AL62" i="29"/>
  <c r="AM61" i="29"/>
  <c r="AN61" i="29" s="1"/>
  <c r="AO60" i="29" a="1"/>
  <c r="AN60" i="29"/>
  <c r="P57" i="29"/>
  <c r="O58" i="29"/>
  <c r="S56" i="29"/>
  <c r="R56" i="29"/>
  <c r="AP59" i="29"/>
  <c r="AO59" i="29"/>
  <c r="V4" i="11" a="1"/>
  <c r="C6" i="10"/>
  <c r="AI5" i="46"/>
  <c r="D4" i="43" a="1"/>
  <c r="AI5" i="44"/>
  <c r="V4" i="10" a="1"/>
  <c r="C67" i="33"/>
  <c r="D4" i="11" a="1"/>
  <c r="AI5" i="27"/>
  <c r="AI5" i="45"/>
  <c r="M4" i="43" a="1"/>
  <c r="M4" i="11" a="1"/>
  <c r="L6" i="10"/>
  <c r="V4" i="43" a="1"/>
  <c r="AI5" i="47"/>
  <c r="AI5" i="29"/>
  <c r="V35" i="43" l="1"/>
  <c r="M73" i="43"/>
  <c r="Q73" i="43" s="1"/>
  <c r="D47" i="43"/>
  <c r="H47" i="43" s="1"/>
  <c r="M67" i="43"/>
  <c r="M59" i="43"/>
  <c r="M57" i="43"/>
  <c r="M18" i="43"/>
  <c r="D50" i="43"/>
  <c r="M82" i="43"/>
  <c r="M63" i="43"/>
  <c r="M75" i="43"/>
  <c r="M56" i="43"/>
  <c r="M5" i="43"/>
  <c r="D60" i="43"/>
  <c r="M20" i="43"/>
  <c r="D53" i="43"/>
  <c r="V15" i="43"/>
  <c r="V64" i="43"/>
  <c r="D75" i="43"/>
  <c r="M32" i="43"/>
  <c r="M36" i="43"/>
  <c r="M14" i="43"/>
  <c r="M23" i="43"/>
  <c r="M66" i="43"/>
  <c r="M93" i="43"/>
  <c r="M84" i="43"/>
  <c r="M76" i="43"/>
  <c r="M77" i="43"/>
  <c r="M65" i="43"/>
  <c r="D93" i="43"/>
  <c r="D79" i="43"/>
  <c r="M69" i="43"/>
  <c r="M72" i="43"/>
  <c r="M34" i="43"/>
  <c r="M42" i="43"/>
  <c r="M28" i="43"/>
  <c r="M10" i="43"/>
  <c r="M12" i="43"/>
  <c r="M4" i="43"/>
  <c r="M86" i="43"/>
  <c r="M81" i="43"/>
  <c r="D28" i="43"/>
  <c r="D87" i="43"/>
  <c r="M15" i="43"/>
  <c r="M7" i="43"/>
  <c r="M70" i="43"/>
  <c r="M60" i="43"/>
  <c r="M64" i="43"/>
  <c r="M19" i="43"/>
  <c r="M21" i="43"/>
  <c r="M13" i="43"/>
  <c r="M9" i="43"/>
  <c r="M89" i="43"/>
  <c r="D45" i="43"/>
  <c r="M51" i="43"/>
  <c r="M44" i="43"/>
  <c r="M35" i="43"/>
  <c r="M6" i="43"/>
  <c r="M83" i="43"/>
  <c r="M37" i="43"/>
  <c r="M30" i="43"/>
  <c r="M22" i="43"/>
  <c r="M17" i="43"/>
  <c r="D88" i="43"/>
  <c r="M52" i="43"/>
  <c r="M80" i="43"/>
  <c r="M53" i="43"/>
  <c r="M24" i="43"/>
  <c r="M92" i="43"/>
  <c r="M55" i="43"/>
  <c r="M39" i="43"/>
  <c r="M31" i="43"/>
  <c r="M25" i="43"/>
  <c r="D12" i="43"/>
  <c r="M26" i="43"/>
  <c r="M16" i="43"/>
  <c r="M8" i="43"/>
  <c r="M90" i="43"/>
  <c r="M43" i="43"/>
  <c r="M29" i="43"/>
  <c r="M11" i="43"/>
  <c r="M48" i="43"/>
  <c r="M40" i="43"/>
  <c r="M33" i="43"/>
  <c r="D17" i="43"/>
  <c r="D22" i="43"/>
  <c r="M27" i="43"/>
  <c r="M71" i="43"/>
  <c r="M45" i="43"/>
  <c r="M54" i="43"/>
  <c r="M61" i="43"/>
  <c r="M47" i="43"/>
  <c r="M38" i="43"/>
  <c r="M58" i="43"/>
  <c r="M50" i="43"/>
  <c r="M41" i="43"/>
  <c r="V41" i="43"/>
  <c r="V78" i="43"/>
  <c r="D74" i="43"/>
  <c r="D69" i="43"/>
  <c r="V55" i="43"/>
  <c r="D62" i="43"/>
  <c r="D16" i="43"/>
  <c r="D35" i="43"/>
  <c r="D64" i="43"/>
  <c r="D52" i="43"/>
  <c r="V10" i="43"/>
  <c r="D19" i="43"/>
  <c r="D21" i="43"/>
  <c r="D80" i="43"/>
  <c r="V20" i="43"/>
  <c r="D37" i="43"/>
  <c r="D76" i="43"/>
  <c r="D7" i="43"/>
  <c r="V24" i="43"/>
  <c r="V69" i="43"/>
  <c r="V92" i="43"/>
  <c r="D91" i="43"/>
  <c r="D9" i="43"/>
  <c r="D32" i="43"/>
  <c r="D15" i="43"/>
  <c r="V77" i="43"/>
  <c r="V29" i="43"/>
  <c r="V71" i="43"/>
  <c r="V65" i="43"/>
  <c r="V17" i="43"/>
  <c r="D11" i="43"/>
  <c r="D84" i="43"/>
  <c r="D4" i="43"/>
  <c r="D33" i="43"/>
  <c r="D55" i="43"/>
  <c r="V21" i="43"/>
  <c r="V43" i="43"/>
  <c r="V79" i="43"/>
  <c r="V39" i="43"/>
  <c r="V62" i="43"/>
  <c r="V59" i="43"/>
  <c r="V73" i="43"/>
  <c r="V50" i="43"/>
  <c r="V22" i="43"/>
  <c r="V9" i="43"/>
  <c r="M88" i="43"/>
  <c r="M62" i="43"/>
  <c r="M78" i="43"/>
  <c r="M46" i="43"/>
  <c r="M85" i="43"/>
  <c r="M68" i="43"/>
  <c r="M49" i="43"/>
  <c r="V52" i="43"/>
  <c r="V58" i="43"/>
  <c r="V67" i="43"/>
  <c r="D18" i="43"/>
  <c r="D83" i="43"/>
  <c r="D8" i="43"/>
  <c r="D13" i="43"/>
  <c r="D49" i="43"/>
  <c r="D5" i="43"/>
  <c r="D34" i="43"/>
  <c r="D31" i="43"/>
  <c r="D90" i="43"/>
  <c r="D46" i="43"/>
  <c r="D57" i="43"/>
  <c r="D82" i="43"/>
  <c r="D30" i="43"/>
  <c r="D86" i="43"/>
  <c r="D25" i="43"/>
  <c r="D23" i="43"/>
  <c r="D65" i="43"/>
  <c r="D54" i="43"/>
  <c r="D48" i="43"/>
  <c r="D26" i="43"/>
  <c r="D77" i="43"/>
  <c r="D67" i="43"/>
  <c r="D24" i="43"/>
  <c r="D43" i="43"/>
  <c r="D39" i="43"/>
  <c r="D66" i="43"/>
  <c r="D20" i="43"/>
  <c r="D73" i="43"/>
  <c r="D81" i="43"/>
  <c r="D51" i="43"/>
  <c r="D85" i="43"/>
  <c r="D42" i="43"/>
  <c r="D61" i="43"/>
  <c r="D63" i="43"/>
  <c r="V30" i="43"/>
  <c r="V61" i="43"/>
  <c r="V26" i="43"/>
  <c r="V8" i="43"/>
  <c r="V84" i="43"/>
  <c r="V66" i="43"/>
  <c r="V86" i="43"/>
  <c r="V34" i="43"/>
  <c r="V45" i="43"/>
  <c r="V90" i="43"/>
  <c r="D10" i="43"/>
  <c r="D38" i="43"/>
  <c r="D36" i="43"/>
  <c r="D44" i="43"/>
  <c r="D41" i="43"/>
  <c r="D40" i="43"/>
  <c r="D59" i="43"/>
  <c r="D6" i="43"/>
  <c r="D89" i="43"/>
  <c r="D71" i="43"/>
  <c r="M87" i="43"/>
  <c r="M91" i="43"/>
  <c r="M79" i="43"/>
  <c r="M74" i="43"/>
  <c r="V33" i="43"/>
  <c r="V80" i="43"/>
  <c r="V11" i="43"/>
  <c r="D72" i="43"/>
  <c r="D56" i="43"/>
  <c r="D29" i="43"/>
  <c r="D92" i="43"/>
  <c r="D27" i="43"/>
  <c r="D14" i="43"/>
  <c r="D58" i="43"/>
  <c r="D68" i="43"/>
  <c r="D78" i="43"/>
  <c r="D70" i="43"/>
  <c r="V12" i="43"/>
  <c r="V87" i="43"/>
  <c r="V60" i="43"/>
  <c r="V32" i="43"/>
  <c r="V40" i="43"/>
  <c r="V53" i="43"/>
  <c r="V28" i="43"/>
  <c r="V89" i="43"/>
  <c r="V82" i="43"/>
  <c r="V74" i="43"/>
  <c r="V51" i="43"/>
  <c r="V23" i="43"/>
  <c r="V48" i="43"/>
  <c r="V70" i="43"/>
  <c r="V13" i="43"/>
  <c r="V57" i="43"/>
  <c r="V63" i="43"/>
  <c r="V36" i="43"/>
  <c r="V7" i="43"/>
  <c r="V18" i="43"/>
  <c r="V38" i="43"/>
  <c r="V19" i="43"/>
  <c r="V83" i="43"/>
  <c r="V93" i="43"/>
  <c r="V6" i="43"/>
  <c r="V49" i="43"/>
  <c r="V88" i="43"/>
  <c r="V31" i="43"/>
  <c r="V76" i="43"/>
  <c r="V81" i="43"/>
  <c r="V54" i="43"/>
  <c r="V25" i="43"/>
  <c r="V37" i="43"/>
  <c r="V47" i="43"/>
  <c r="V27" i="43"/>
  <c r="V91" i="43"/>
  <c r="V85" i="43"/>
  <c r="V75" i="43"/>
  <c r="V42" i="43"/>
  <c r="V14" i="43"/>
  <c r="V5" i="43"/>
  <c r="V68" i="43"/>
  <c r="V4" i="43"/>
  <c r="V16" i="43"/>
  <c r="V72" i="43"/>
  <c r="V44" i="43"/>
  <c r="V46" i="43"/>
  <c r="V56" i="43"/>
  <c r="Q5" i="43"/>
  <c r="H60" i="43"/>
  <c r="Z35" i="43"/>
  <c r="C7" i="10"/>
  <c r="L7" i="10"/>
  <c r="M12" i="11"/>
  <c r="Q12" i="11" s="1"/>
  <c r="M63" i="11"/>
  <c r="Q63" i="11" s="1"/>
  <c r="M86" i="11"/>
  <c r="Q86" i="11" s="1"/>
  <c r="M93" i="11"/>
  <c r="Q93" i="11" s="1"/>
  <c r="M42" i="11"/>
  <c r="Q42" i="11" s="1"/>
  <c r="M30" i="11"/>
  <c r="Q30" i="11" s="1"/>
  <c r="M74" i="11"/>
  <c r="Q74" i="11" s="1"/>
  <c r="M68" i="11"/>
  <c r="Q68" i="11" s="1"/>
  <c r="M89" i="11"/>
  <c r="Q89" i="11" s="1"/>
  <c r="M84" i="11"/>
  <c r="Q84" i="11" s="1"/>
  <c r="M23" i="11"/>
  <c r="Q23" i="11" s="1"/>
  <c r="M47" i="11"/>
  <c r="Q47" i="11" s="1"/>
  <c r="M22" i="11"/>
  <c r="Q22" i="11" s="1"/>
  <c r="M62" i="11"/>
  <c r="Q62" i="11" s="1"/>
  <c r="M24" i="11"/>
  <c r="Q24" i="11" s="1"/>
  <c r="M50" i="11"/>
  <c r="Q50" i="11" s="1"/>
  <c r="M51" i="11"/>
  <c r="Q51" i="11" s="1"/>
  <c r="M48" i="11"/>
  <c r="Q48" i="11" s="1"/>
  <c r="M76" i="11"/>
  <c r="Q76" i="11" s="1"/>
  <c r="M53" i="11"/>
  <c r="Q53" i="11" s="1"/>
  <c r="M81" i="11"/>
  <c r="Q81" i="11" s="1"/>
  <c r="M56" i="11"/>
  <c r="Q56" i="11" s="1"/>
  <c r="M55" i="11"/>
  <c r="Q55" i="11" s="1"/>
  <c r="M36" i="11"/>
  <c r="Q36" i="11" s="1"/>
  <c r="M28" i="11"/>
  <c r="Q28" i="11" s="1"/>
  <c r="M71" i="11"/>
  <c r="Q71" i="11" s="1"/>
  <c r="M79" i="11"/>
  <c r="Q79" i="11" s="1"/>
  <c r="M27" i="11"/>
  <c r="Q27" i="11" s="1"/>
  <c r="M14" i="11"/>
  <c r="Q14" i="11" s="1"/>
  <c r="M88" i="11"/>
  <c r="Q88" i="11" s="1"/>
  <c r="M33" i="11"/>
  <c r="Q33" i="11" s="1"/>
  <c r="M17" i="11"/>
  <c r="Q17" i="11" s="1"/>
  <c r="M32" i="11"/>
  <c r="Q32" i="11" s="1"/>
  <c r="M91" i="11"/>
  <c r="Q91" i="11" s="1"/>
  <c r="M67" i="11"/>
  <c r="Q67" i="11" s="1"/>
  <c r="M41" i="11"/>
  <c r="Q41" i="11" s="1"/>
  <c r="M25" i="11"/>
  <c r="Q25" i="11" s="1"/>
  <c r="M60" i="11"/>
  <c r="Q60" i="11" s="1"/>
  <c r="M4" i="11"/>
  <c r="Q4" i="11" s="1"/>
  <c r="M83" i="11"/>
  <c r="Q83" i="11" s="1"/>
  <c r="M20" i="11"/>
  <c r="M31" i="11"/>
  <c r="Q31" i="11" s="1"/>
  <c r="M19" i="11"/>
  <c r="Q19" i="11" s="1"/>
  <c r="M77" i="11"/>
  <c r="Q77" i="11" s="1"/>
  <c r="M57" i="11"/>
  <c r="Q57" i="11" s="1"/>
  <c r="M69" i="11"/>
  <c r="Q69" i="11" s="1"/>
  <c r="M72" i="11"/>
  <c r="Q72" i="11" s="1"/>
  <c r="M52" i="11"/>
  <c r="Q52" i="11" s="1"/>
  <c r="M80" i="11"/>
  <c r="Q80" i="11" s="1"/>
  <c r="M37" i="11"/>
  <c r="Q37" i="11" s="1"/>
  <c r="M34" i="11"/>
  <c r="Q34" i="11" s="1"/>
  <c r="M9" i="11"/>
  <c r="Q9" i="11" s="1"/>
  <c r="M13" i="11"/>
  <c r="Q13" i="11" s="1"/>
  <c r="M59" i="11"/>
  <c r="Q59" i="11" s="1"/>
  <c r="M38" i="11"/>
  <c r="Q38" i="11" s="1"/>
  <c r="M44" i="11"/>
  <c r="Q44" i="11" s="1"/>
  <c r="M87" i="11"/>
  <c r="Q87" i="11" s="1"/>
  <c r="M40" i="11"/>
  <c r="Q40" i="11" s="1"/>
  <c r="M45" i="11"/>
  <c r="Q45" i="11" s="1"/>
  <c r="M18" i="11"/>
  <c r="Q18" i="11" s="1"/>
  <c r="M75" i="11"/>
  <c r="Q75" i="11" s="1"/>
  <c r="M46" i="11"/>
  <c r="Q46" i="11" s="1"/>
  <c r="M15" i="11"/>
  <c r="Q15" i="11" s="1"/>
  <c r="M61" i="11"/>
  <c r="Q61" i="11" s="1"/>
  <c r="M66" i="11"/>
  <c r="Q66" i="11" s="1"/>
  <c r="M85" i="11"/>
  <c r="Q85" i="11" s="1"/>
  <c r="M16" i="11"/>
  <c r="Q16" i="11" s="1"/>
  <c r="M39" i="11"/>
  <c r="Q39" i="11" s="1"/>
  <c r="M54" i="11"/>
  <c r="Q54" i="11" s="1"/>
  <c r="M5" i="11"/>
  <c r="Q5" i="11" s="1"/>
  <c r="M26" i="11"/>
  <c r="Q26" i="11" s="1"/>
  <c r="M82" i="11"/>
  <c r="Q82" i="11" s="1"/>
  <c r="M70" i="11"/>
  <c r="Q70" i="11" s="1"/>
  <c r="M10" i="11"/>
  <c r="Q10" i="11" s="1"/>
  <c r="M6" i="11"/>
  <c r="Q6" i="11" s="1"/>
  <c r="M21" i="11"/>
  <c r="Q21" i="11" s="1"/>
  <c r="M8" i="11"/>
  <c r="Q8" i="11" s="1"/>
  <c r="M11" i="11"/>
  <c r="Q11" i="11" s="1"/>
  <c r="M7" i="11"/>
  <c r="Q7" i="11" s="1"/>
  <c r="M43" i="11"/>
  <c r="Q43" i="11" s="1"/>
  <c r="M92" i="11"/>
  <c r="Q92" i="11" s="1"/>
  <c r="M58" i="11"/>
  <c r="Q58" i="11" s="1"/>
  <c r="M65" i="11"/>
  <c r="Q65" i="11" s="1"/>
  <c r="M29" i="11"/>
  <c r="Q29" i="11" s="1"/>
  <c r="M35" i="11"/>
  <c r="Q35" i="11" s="1"/>
  <c r="M49" i="11"/>
  <c r="Q49" i="11" s="1"/>
  <c r="M78" i="11"/>
  <c r="Q78" i="11" s="1"/>
  <c r="M73" i="11"/>
  <c r="Q73" i="11" s="1"/>
  <c r="M64" i="11"/>
  <c r="Q64" i="11" s="1"/>
  <c r="M90" i="11"/>
  <c r="Q90" i="11" s="1"/>
  <c r="V86" i="10"/>
  <c r="Z86" i="10" s="1"/>
  <c r="V38" i="10"/>
  <c r="Z38" i="10" s="1"/>
  <c r="V32" i="10"/>
  <c r="Z32" i="10" s="1"/>
  <c r="V93" i="10"/>
  <c r="Z93" i="10" s="1"/>
  <c r="V91" i="10"/>
  <c r="Z91" i="10" s="1"/>
  <c r="V45" i="10"/>
  <c r="Z45" i="10" s="1"/>
  <c r="V68" i="10"/>
  <c r="Z68" i="10" s="1"/>
  <c r="V80" i="10"/>
  <c r="Z80" i="10" s="1"/>
  <c r="V46" i="10"/>
  <c r="Z46" i="10" s="1"/>
  <c r="V30" i="10"/>
  <c r="Z30" i="10" s="1"/>
  <c r="V23" i="10"/>
  <c r="Z23" i="10" s="1"/>
  <c r="V72" i="10"/>
  <c r="Z72" i="10" s="1"/>
  <c r="V24" i="10"/>
  <c r="Z24" i="10" s="1"/>
  <c r="V36" i="10"/>
  <c r="Z36" i="10" s="1"/>
  <c r="V27" i="10"/>
  <c r="Z27" i="10" s="1"/>
  <c r="V78" i="10"/>
  <c r="Z78" i="10" s="1"/>
  <c r="V79" i="10"/>
  <c r="Z79" i="10" s="1"/>
  <c r="V5" i="10"/>
  <c r="Z5" i="10" s="1"/>
  <c r="V57" i="10"/>
  <c r="Z57" i="10" s="1"/>
  <c r="V60" i="10"/>
  <c r="Z60" i="10" s="1"/>
  <c r="V39" i="10"/>
  <c r="Z39" i="10" s="1"/>
  <c r="V8" i="10"/>
  <c r="Z8" i="10" s="1"/>
  <c r="V37" i="10"/>
  <c r="Z37" i="10" s="1"/>
  <c r="V54" i="10"/>
  <c r="Z54" i="10" s="1"/>
  <c r="V64" i="10"/>
  <c r="Z64" i="10" s="1"/>
  <c r="V28" i="10"/>
  <c r="Z28" i="10" s="1"/>
  <c r="V12" i="10"/>
  <c r="Z12" i="10" s="1"/>
  <c r="V83" i="10"/>
  <c r="Z83" i="10" s="1"/>
  <c r="V6" i="10"/>
  <c r="Z6" i="10" s="1"/>
  <c r="V76" i="10"/>
  <c r="Z76" i="10" s="1"/>
  <c r="V13" i="10"/>
  <c r="Z13" i="10" s="1"/>
  <c r="V70" i="10"/>
  <c r="Z70" i="10" s="1"/>
  <c r="V61" i="10"/>
  <c r="Z61" i="10" s="1"/>
  <c r="V41" i="10"/>
  <c r="Z41" i="10" s="1"/>
  <c r="V92" i="10"/>
  <c r="Z92" i="10" s="1"/>
  <c r="V89" i="10"/>
  <c r="Z89" i="10" s="1"/>
  <c r="V87" i="10"/>
  <c r="Z87" i="10" s="1"/>
  <c r="V58" i="10"/>
  <c r="Z58" i="10" s="1"/>
  <c r="V63" i="10"/>
  <c r="Z63" i="10" s="1"/>
  <c r="V4" i="10"/>
  <c r="Z4" i="10" s="1"/>
  <c r="V34" i="10"/>
  <c r="Z34" i="10" s="1"/>
  <c r="V20" i="10"/>
  <c r="Z20" i="10" s="1"/>
  <c r="V65" i="10"/>
  <c r="Z65" i="10" s="1"/>
  <c r="V43" i="10"/>
  <c r="Z43" i="10" s="1"/>
  <c r="V31" i="10"/>
  <c r="Z31" i="10" s="1"/>
  <c r="V22" i="10"/>
  <c r="Z22" i="10" s="1"/>
  <c r="V82" i="10"/>
  <c r="Z82" i="10" s="1"/>
  <c r="V33" i="10"/>
  <c r="Z33" i="10" s="1"/>
  <c r="V49" i="10"/>
  <c r="Z49" i="10" s="1"/>
  <c r="V53" i="10"/>
  <c r="Z53" i="10" s="1"/>
  <c r="V67" i="10"/>
  <c r="Z67" i="10" s="1"/>
  <c r="V75" i="10"/>
  <c r="Z75" i="10" s="1"/>
  <c r="V42" i="10"/>
  <c r="Z42" i="10" s="1"/>
  <c r="V9" i="10"/>
  <c r="Z9" i="10" s="1"/>
  <c r="V52" i="10"/>
  <c r="Z52" i="10" s="1"/>
  <c r="V19" i="10"/>
  <c r="Z19" i="10" s="1"/>
  <c r="V50" i="10"/>
  <c r="Z50" i="10" s="1"/>
  <c r="V17" i="10"/>
  <c r="Z17" i="10" s="1"/>
  <c r="V25" i="10"/>
  <c r="Z25" i="10" s="1"/>
  <c r="V7" i="10"/>
  <c r="Z7" i="10" s="1"/>
  <c r="V73" i="10"/>
  <c r="Z73" i="10" s="1"/>
  <c r="V44" i="10"/>
  <c r="Z44" i="10" s="1"/>
  <c r="V71" i="10"/>
  <c r="Z71" i="10" s="1"/>
  <c r="V10" i="10"/>
  <c r="Z10" i="10" s="1"/>
  <c r="V47" i="10"/>
  <c r="Z47" i="10" s="1"/>
  <c r="V62" i="10"/>
  <c r="Z62" i="10" s="1"/>
  <c r="V48" i="10"/>
  <c r="Z48" i="10" s="1"/>
  <c r="V11" i="10"/>
  <c r="Z11" i="10" s="1"/>
  <c r="V90" i="10"/>
  <c r="Z90" i="10" s="1"/>
  <c r="V56" i="10"/>
  <c r="Z56" i="10" s="1"/>
  <c r="V88" i="10"/>
  <c r="Z88" i="10" s="1"/>
  <c r="V84" i="10"/>
  <c r="Z84" i="10" s="1"/>
  <c r="V16" i="10"/>
  <c r="Z16" i="10" s="1"/>
  <c r="V40" i="10"/>
  <c r="Z40" i="10" s="1"/>
  <c r="V18" i="10"/>
  <c r="Z18" i="10" s="1"/>
  <c r="V35" i="10"/>
  <c r="Z35" i="10" s="1"/>
  <c r="V29" i="10"/>
  <c r="Z29" i="10" s="1"/>
  <c r="V51" i="10"/>
  <c r="Z51" i="10" s="1"/>
  <c r="V55" i="10"/>
  <c r="Z55" i="10" s="1"/>
  <c r="V77" i="10"/>
  <c r="Z77" i="10" s="1"/>
  <c r="V26" i="10"/>
  <c r="Z26" i="10" s="1"/>
  <c r="V74" i="10"/>
  <c r="Z74" i="10" s="1"/>
  <c r="V81" i="10"/>
  <c r="Z81" i="10" s="1"/>
  <c r="V15" i="10"/>
  <c r="Z15" i="10" s="1"/>
  <c r="V21" i="10"/>
  <c r="Z21" i="10" s="1"/>
  <c r="V59" i="10"/>
  <c r="Z59" i="10" s="1"/>
  <c r="V69" i="10"/>
  <c r="Z69" i="10" s="1"/>
  <c r="V14" i="10"/>
  <c r="Z14" i="10" s="1"/>
  <c r="V85" i="10"/>
  <c r="Z85" i="10" s="1"/>
  <c r="V66" i="10"/>
  <c r="Z66" i="10" s="1"/>
  <c r="D10" i="11"/>
  <c r="H10" i="11" s="1"/>
  <c r="D79" i="11"/>
  <c r="H79" i="11" s="1"/>
  <c r="D70" i="11"/>
  <c r="H70" i="11" s="1"/>
  <c r="D23" i="11"/>
  <c r="H23" i="11" s="1"/>
  <c r="D9" i="11"/>
  <c r="H9" i="11" s="1"/>
  <c r="D25" i="11"/>
  <c r="H25" i="11" s="1"/>
  <c r="D51" i="11"/>
  <c r="H51" i="11" s="1"/>
  <c r="D76" i="11"/>
  <c r="H76" i="11" s="1"/>
  <c r="D58" i="11"/>
  <c r="H58" i="11" s="1"/>
  <c r="D26" i="11"/>
  <c r="H26" i="11" s="1"/>
  <c r="D40" i="11"/>
  <c r="H40" i="11" s="1"/>
  <c r="D45" i="11"/>
  <c r="H45" i="11" s="1"/>
  <c r="D28" i="11"/>
  <c r="H28" i="11" s="1"/>
  <c r="D15" i="11"/>
  <c r="H15" i="11" s="1"/>
  <c r="D18" i="11"/>
  <c r="H18" i="11" s="1"/>
  <c r="D57" i="11"/>
  <c r="H57" i="11" s="1"/>
  <c r="D87" i="11"/>
  <c r="H87" i="11" s="1"/>
  <c r="D60" i="11"/>
  <c r="H60" i="11" s="1"/>
  <c r="D85" i="11"/>
  <c r="H85" i="11" s="1"/>
  <c r="D34" i="11"/>
  <c r="H34" i="11" s="1"/>
  <c r="D31" i="11"/>
  <c r="H31" i="11" s="1"/>
  <c r="D78" i="11"/>
  <c r="H78" i="11" s="1"/>
  <c r="D37" i="11"/>
  <c r="H37" i="11" s="1"/>
  <c r="D16" i="11"/>
  <c r="H16" i="11" s="1"/>
  <c r="D92" i="11"/>
  <c r="H92" i="11" s="1"/>
  <c r="D13" i="11"/>
  <c r="H13" i="11" s="1"/>
  <c r="D49" i="11"/>
  <c r="H49" i="11" s="1"/>
  <c r="D83" i="11"/>
  <c r="H83" i="11" s="1"/>
  <c r="D72" i="11"/>
  <c r="H72" i="11" s="1"/>
  <c r="D93" i="11"/>
  <c r="H93" i="11" s="1"/>
  <c r="D19" i="11"/>
  <c r="H19" i="11" s="1"/>
  <c r="D6" i="11"/>
  <c r="H6" i="11" s="1"/>
  <c r="D11" i="11"/>
  <c r="H11" i="11" s="1"/>
  <c r="D7" i="11"/>
  <c r="H7" i="11" s="1"/>
  <c r="D71" i="11"/>
  <c r="H71" i="11" s="1"/>
  <c r="D91" i="11"/>
  <c r="H91" i="11" s="1"/>
  <c r="D42" i="11"/>
  <c r="H42" i="11" s="1"/>
  <c r="D20" i="11"/>
  <c r="H20" i="11" s="1"/>
  <c r="D81" i="11"/>
  <c r="H81" i="11" s="1"/>
  <c r="D43" i="11"/>
  <c r="H43" i="11" s="1"/>
  <c r="D90" i="11"/>
  <c r="H90" i="11" s="1"/>
  <c r="D89" i="11"/>
  <c r="H89" i="11" s="1"/>
  <c r="D36" i="11"/>
  <c r="H36" i="11" s="1"/>
  <c r="D50" i="11"/>
  <c r="H50" i="11" s="1"/>
  <c r="D80" i="11"/>
  <c r="H80" i="11" s="1"/>
  <c r="D21" i="11"/>
  <c r="D75" i="11"/>
  <c r="H75" i="11" s="1"/>
  <c r="D55" i="11"/>
  <c r="H55" i="11" s="1"/>
  <c r="D63" i="11"/>
  <c r="H63" i="11" s="1"/>
  <c r="D64" i="11"/>
  <c r="H64" i="11" s="1"/>
  <c r="D82" i="11"/>
  <c r="H82" i="11" s="1"/>
  <c r="D22" i="11"/>
  <c r="H22" i="11" s="1"/>
  <c r="D88" i="11"/>
  <c r="H88" i="11" s="1"/>
  <c r="D39" i="11"/>
  <c r="H39" i="11" s="1"/>
  <c r="D56" i="11"/>
  <c r="H56" i="11" s="1"/>
  <c r="D84" i="11"/>
  <c r="H84" i="11" s="1"/>
  <c r="D48" i="11"/>
  <c r="H48" i="11" s="1"/>
  <c r="D47" i="11"/>
  <c r="H47" i="11" s="1"/>
  <c r="D35" i="11"/>
  <c r="H35" i="11" s="1"/>
  <c r="D32" i="11"/>
  <c r="H32" i="11" s="1"/>
  <c r="D65" i="11"/>
  <c r="H65" i="11" s="1"/>
  <c r="D77" i="11"/>
  <c r="H77" i="11" s="1"/>
  <c r="D86" i="11"/>
  <c r="H86" i="11" s="1"/>
  <c r="D69" i="11"/>
  <c r="H69" i="11" s="1"/>
  <c r="D73" i="11"/>
  <c r="H73" i="11" s="1"/>
  <c r="D17" i="11"/>
  <c r="H17" i="11" s="1"/>
  <c r="D30" i="11"/>
  <c r="H30" i="11" s="1"/>
  <c r="D74" i="11"/>
  <c r="H74" i="11" s="1"/>
  <c r="D66" i="11"/>
  <c r="H66" i="11" s="1"/>
  <c r="D5" i="11"/>
  <c r="H5" i="11" s="1"/>
  <c r="D61" i="11"/>
  <c r="H61" i="11" s="1"/>
  <c r="D46" i="11"/>
  <c r="H46" i="11" s="1"/>
  <c r="D41" i="11"/>
  <c r="H41" i="11" s="1"/>
  <c r="D68" i="11"/>
  <c r="H68" i="11" s="1"/>
  <c r="D62" i="11"/>
  <c r="H62" i="11" s="1"/>
  <c r="D8" i="11"/>
  <c r="H8" i="11" s="1"/>
  <c r="D12" i="11"/>
  <c r="H12" i="11" s="1"/>
  <c r="D4" i="11"/>
  <c r="H4" i="11" s="1"/>
  <c r="D44" i="11"/>
  <c r="H44" i="11" s="1"/>
  <c r="D52" i="11"/>
  <c r="H52" i="11" s="1"/>
  <c r="D59" i="11"/>
  <c r="H59" i="11" s="1"/>
  <c r="D29" i="11"/>
  <c r="H29" i="11" s="1"/>
  <c r="D33" i="11"/>
  <c r="H33" i="11" s="1"/>
  <c r="D67" i="11"/>
  <c r="H67" i="11" s="1"/>
  <c r="D38" i="11"/>
  <c r="H38" i="11" s="1"/>
  <c r="D24" i="11"/>
  <c r="H24" i="11" s="1"/>
  <c r="D27" i="11"/>
  <c r="H27" i="11" s="1"/>
  <c r="D53" i="11"/>
  <c r="H53" i="11" s="1"/>
  <c r="D14" i="11"/>
  <c r="H14" i="11" s="1"/>
  <c r="D54" i="11"/>
  <c r="H54" i="11" s="1"/>
  <c r="V20" i="11"/>
  <c r="Z20" i="11" s="1"/>
  <c r="V79" i="11"/>
  <c r="Z79" i="11" s="1"/>
  <c r="V71" i="11"/>
  <c r="Z71" i="11" s="1"/>
  <c r="V85" i="11"/>
  <c r="Z85" i="11" s="1"/>
  <c r="V78" i="11"/>
  <c r="Z78" i="11" s="1"/>
  <c r="V8" i="11"/>
  <c r="Z8" i="11" s="1"/>
  <c r="V5" i="11"/>
  <c r="Z5" i="11" s="1"/>
  <c r="V4" i="11"/>
  <c r="Z4" i="11" s="1"/>
  <c r="V54" i="11"/>
  <c r="Z54" i="11" s="1"/>
  <c r="V61" i="11"/>
  <c r="Z61" i="11" s="1"/>
  <c r="V17" i="11"/>
  <c r="Z17" i="11" s="1"/>
  <c r="V76" i="11"/>
  <c r="Z76" i="11" s="1"/>
  <c r="V15" i="11"/>
  <c r="Z15" i="11" s="1"/>
  <c r="V62" i="11"/>
  <c r="Z62" i="11" s="1"/>
  <c r="V59" i="11"/>
  <c r="Z59" i="11" s="1"/>
  <c r="V64" i="11"/>
  <c r="Z64" i="11" s="1"/>
  <c r="V27" i="11"/>
  <c r="Z27" i="11" s="1"/>
  <c r="V6" i="11"/>
  <c r="Z6" i="11" s="1"/>
  <c r="V21" i="11"/>
  <c r="Z21" i="11" s="1"/>
  <c r="V13" i="11"/>
  <c r="Z13" i="11" s="1"/>
  <c r="V45" i="11"/>
  <c r="Z45" i="11" s="1"/>
  <c r="V60" i="11"/>
  <c r="Z60" i="11" s="1"/>
  <c r="V57" i="11"/>
  <c r="Z57" i="11" s="1"/>
  <c r="V30" i="11"/>
  <c r="Z30" i="11" s="1"/>
  <c r="V39" i="11"/>
  <c r="Z39" i="11" s="1"/>
  <c r="V65" i="11"/>
  <c r="Z65" i="11" s="1"/>
  <c r="V43" i="11"/>
  <c r="Z43" i="11" s="1"/>
  <c r="V83" i="11"/>
  <c r="Z83" i="11" s="1"/>
  <c r="V66" i="11"/>
  <c r="Z66" i="11" s="1"/>
  <c r="V56" i="11"/>
  <c r="Z56" i="11" s="1"/>
  <c r="V24" i="11"/>
  <c r="Z24" i="11" s="1"/>
  <c r="V68" i="11"/>
  <c r="Z68" i="11" s="1"/>
  <c r="V63" i="11"/>
  <c r="Z63" i="11" s="1"/>
  <c r="V52" i="11"/>
  <c r="Z52" i="11" s="1"/>
  <c r="V82" i="11"/>
  <c r="Z82" i="11" s="1"/>
  <c r="V31" i="11"/>
  <c r="Z31" i="11" s="1"/>
  <c r="V87" i="11"/>
  <c r="Z87" i="11" s="1"/>
  <c r="V23" i="11"/>
  <c r="Z23" i="11" s="1"/>
  <c r="V19" i="11"/>
  <c r="Z19" i="11" s="1"/>
  <c r="V11" i="11"/>
  <c r="Z11" i="11" s="1"/>
  <c r="V16" i="11"/>
  <c r="Z16" i="11" s="1"/>
  <c r="V34" i="11"/>
  <c r="Z34" i="11" s="1"/>
  <c r="V38" i="11"/>
  <c r="Z38" i="11" s="1"/>
  <c r="V25" i="11"/>
  <c r="Z25" i="11" s="1"/>
  <c r="V90" i="11"/>
  <c r="Z90" i="11" s="1"/>
  <c r="V70" i="11"/>
  <c r="Z70" i="11" s="1"/>
  <c r="V41" i="11"/>
  <c r="Z41" i="11" s="1"/>
  <c r="V29" i="11"/>
  <c r="Z29" i="11" s="1"/>
  <c r="V58" i="11"/>
  <c r="Z58" i="11" s="1"/>
  <c r="V73" i="11"/>
  <c r="Z73" i="11" s="1"/>
  <c r="V33" i="11"/>
  <c r="Z33" i="11" s="1"/>
  <c r="V32" i="11"/>
  <c r="Z32" i="11" s="1"/>
  <c r="V26" i="11"/>
  <c r="Z26" i="11" s="1"/>
  <c r="V42" i="11"/>
  <c r="Z42" i="11" s="1"/>
  <c r="V88" i="11"/>
  <c r="Z88" i="11" s="1"/>
  <c r="V12" i="11"/>
  <c r="Z12" i="11" s="1"/>
  <c r="V7" i="11"/>
  <c r="Z7" i="11" s="1"/>
  <c r="V89" i="11"/>
  <c r="Z89" i="11" s="1"/>
  <c r="V92" i="11"/>
  <c r="Z92" i="11" s="1"/>
  <c r="V81" i="11"/>
  <c r="Z81" i="11" s="1"/>
  <c r="V80" i="11"/>
  <c r="Z80" i="11" s="1"/>
  <c r="V72" i="11"/>
  <c r="Z72" i="11" s="1"/>
  <c r="V9" i="11"/>
  <c r="Z9" i="11" s="1"/>
  <c r="V35" i="11"/>
  <c r="Z35" i="11" s="1"/>
  <c r="V10" i="11"/>
  <c r="Z10" i="11" s="1"/>
  <c r="V67" i="11"/>
  <c r="Z67" i="11" s="1"/>
  <c r="V77" i="11"/>
  <c r="Z77" i="11" s="1"/>
  <c r="V55" i="11"/>
  <c r="Z55" i="11" s="1"/>
  <c r="V86" i="11"/>
  <c r="Z86" i="11" s="1"/>
  <c r="V46" i="11"/>
  <c r="Z46" i="11" s="1"/>
  <c r="V18" i="11"/>
  <c r="Z18" i="11" s="1"/>
  <c r="V14" i="11"/>
  <c r="Z14" i="11" s="1"/>
  <c r="V84" i="11"/>
  <c r="Z84" i="11" s="1"/>
  <c r="V50" i="11"/>
  <c r="Z50" i="11" s="1"/>
  <c r="V40" i="11"/>
  <c r="Z40" i="11" s="1"/>
  <c r="V37" i="11"/>
  <c r="Z37" i="11" s="1"/>
  <c r="V44" i="11"/>
  <c r="Z44" i="11" s="1"/>
  <c r="V48" i="11"/>
  <c r="Z48" i="11" s="1"/>
  <c r="V51" i="11"/>
  <c r="Z51" i="11" s="1"/>
  <c r="V91" i="11"/>
  <c r="Z91" i="11" s="1"/>
  <c r="V93" i="11"/>
  <c r="Z93" i="11" s="1"/>
  <c r="V28" i="11"/>
  <c r="Z28" i="11" s="1"/>
  <c r="V74" i="11"/>
  <c r="Z74" i="11" s="1"/>
  <c r="V53" i="11"/>
  <c r="Z53" i="11" s="1"/>
  <c r="V36" i="11"/>
  <c r="Z36" i="11" s="1"/>
  <c r="V47" i="11"/>
  <c r="Z47" i="11" s="1"/>
  <c r="V75" i="11"/>
  <c r="Z75" i="11" s="1"/>
  <c r="V22" i="11"/>
  <c r="Z22" i="11" s="1"/>
  <c r="V69" i="11"/>
  <c r="Z69" i="11" s="1"/>
  <c r="V49" i="11"/>
  <c r="Z49" i="11" s="1"/>
  <c r="AM31" i="27"/>
  <c r="AN31" i="27" s="1"/>
  <c r="AO31" i="27" s="1" a="1"/>
  <c r="AO31" i="27" s="1"/>
  <c r="AL32" i="27"/>
  <c r="P28" i="27"/>
  <c r="R28" i="27" s="1"/>
  <c r="O29" i="27"/>
  <c r="P58" i="29"/>
  <c r="O59" i="29"/>
  <c r="S57" i="29"/>
  <c r="R57" i="29"/>
  <c r="AP60" i="29"/>
  <c r="AO60" i="29"/>
  <c r="AM62" i="29"/>
  <c r="AN62" i="29" s="1"/>
  <c r="AL63" i="29"/>
  <c r="W35" i="43"/>
  <c r="N82" i="43"/>
  <c r="W15" i="43"/>
  <c r="N93" i="43"/>
  <c r="N72" i="43"/>
  <c r="N81" i="43"/>
  <c r="N19" i="43"/>
  <c r="N35" i="43"/>
  <c r="N52" i="43"/>
  <c r="N25" i="43"/>
  <c r="N11" i="43"/>
  <c r="N45" i="43"/>
  <c r="W41" i="43"/>
  <c r="E64" i="43"/>
  <c r="E76" i="43"/>
  <c r="E15" i="43"/>
  <c r="E4" i="43"/>
  <c r="W59" i="43"/>
  <c r="N46" i="43"/>
  <c r="E83" i="43"/>
  <c r="E46" i="43"/>
  <c r="E54" i="43"/>
  <c r="E66" i="43"/>
  <c r="E63" i="43"/>
  <c r="W34" i="43"/>
  <c r="E40" i="43"/>
  <c r="N74" i="43"/>
  <c r="E27" i="43"/>
  <c r="W60" i="43"/>
  <c r="W51" i="43"/>
  <c r="W7" i="43"/>
  <c r="W88" i="43"/>
  <c r="W27" i="43"/>
  <c r="W4" i="43"/>
  <c r="C24" i="33"/>
  <c r="AI6" i="46"/>
  <c r="AI6" i="45"/>
  <c r="E21" i="11"/>
  <c r="AI6" i="27"/>
  <c r="N20" i="11"/>
  <c r="N18" i="43"/>
  <c r="N39" i="43"/>
  <c r="W20" i="43"/>
  <c r="W39" i="43"/>
  <c r="E31" i="43"/>
  <c r="E42" i="43"/>
  <c r="N91" i="43"/>
  <c r="W82" i="43"/>
  <c r="W5" i="43"/>
  <c r="E46" i="33"/>
  <c r="N73" i="43"/>
  <c r="N63" i="43"/>
  <c r="W64" i="43"/>
  <c r="N84" i="43"/>
  <c r="N34" i="43"/>
  <c r="E28" i="43"/>
  <c r="N21" i="43"/>
  <c r="N6" i="43"/>
  <c r="N80" i="43"/>
  <c r="E12" i="43"/>
  <c r="N48" i="43"/>
  <c r="N54" i="43"/>
  <c r="W78" i="43"/>
  <c r="E52" i="43"/>
  <c r="E7" i="43"/>
  <c r="W77" i="43"/>
  <c r="E33" i="43"/>
  <c r="W73" i="43"/>
  <c r="N85" i="43"/>
  <c r="E8" i="43"/>
  <c r="E57" i="43"/>
  <c r="E48" i="43"/>
  <c r="E20" i="43"/>
  <c r="W30" i="43"/>
  <c r="W45" i="43"/>
  <c r="E59" i="43"/>
  <c r="W33" i="43"/>
  <c r="E14" i="43"/>
  <c r="W32" i="43"/>
  <c r="W23" i="43"/>
  <c r="W18" i="43"/>
  <c r="W31" i="43"/>
  <c r="W91" i="43"/>
  <c r="W16" i="43"/>
  <c r="K7" i="33"/>
  <c r="AI7" i="46" a="1"/>
  <c r="AI6" i="47"/>
  <c r="AI7" i="47" s="1" a="1"/>
  <c r="AI12" i="45"/>
  <c r="N87" i="43"/>
  <c r="N20" i="43"/>
  <c r="N17" i="43"/>
  <c r="N50" i="43"/>
  <c r="E11" i="43"/>
  <c r="W67" i="43"/>
  <c r="E43" i="43"/>
  <c r="E44" i="43"/>
  <c r="W12" i="43"/>
  <c r="W63" i="43"/>
  <c r="W37" i="43"/>
  <c r="E67" i="33"/>
  <c r="E47" i="43"/>
  <c r="N75" i="43"/>
  <c r="E75" i="43"/>
  <c r="N76" i="43"/>
  <c r="N42" i="43"/>
  <c r="E87" i="43"/>
  <c r="N13" i="43"/>
  <c r="N83" i="43"/>
  <c r="N53" i="43"/>
  <c r="N26" i="43"/>
  <c r="N40" i="43"/>
  <c r="N61" i="43"/>
  <c r="E74" i="43"/>
  <c r="W10" i="43"/>
  <c r="W24" i="43"/>
  <c r="W29" i="43"/>
  <c r="E55" i="43"/>
  <c r="W50" i="43"/>
  <c r="N68" i="43"/>
  <c r="E13" i="43"/>
  <c r="E82" i="43"/>
  <c r="E26" i="43"/>
  <c r="E73" i="43"/>
  <c r="W61" i="43"/>
  <c r="W90" i="43"/>
  <c r="E6" i="43"/>
  <c r="W80" i="43"/>
  <c r="E58" i="43"/>
  <c r="W40" i="43"/>
  <c r="W48" i="43"/>
  <c r="W38" i="43"/>
  <c r="W76" i="43"/>
  <c r="W85" i="43"/>
  <c r="W72" i="43"/>
  <c r="D4" i="10" a="1"/>
  <c r="AI6" i="29"/>
  <c r="AI6" i="44"/>
  <c r="E70" i="43"/>
  <c r="AI7" i="45" a="1"/>
  <c r="E79" i="43"/>
  <c r="N51" i="43"/>
  <c r="N43" i="43"/>
  <c r="N27" i="43"/>
  <c r="E16" i="43"/>
  <c r="E9" i="43"/>
  <c r="N62" i="43"/>
  <c r="E23" i="43"/>
  <c r="W66" i="43"/>
  <c r="E29" i="43"/>
  <c r="W6" i="43"/>
  <c r="E24" i="33"/>
  <c r="N67" i="43"/>
  <c r="N56" i="43"/>
  <c r="N32" i="43"/>
  <c r="N77" i="43"/>
  <c r="N28" i="43"/>
  <c r="N15" i="43"/>
  <c r="N9" i="43"/>
  <c r="N37" i="43"/>
  <c r="N24" i="43"/>
  <c r="N16" i="43"/>
  <c r="N33" i="43"/>
  <c r="N47" i="43"/>
  <c r="E69" i="43"/>
  <c r="E19" i="43"/>
  <c r="W69" i="43"/>
  <c r="W71" i="43"/>
  <c r="W21" i="43"/>
  <c r="W22" i="43"/>
  <c r="N49" i="43"/>
  <c r="E49" i="43"/>
  <c r="E30" i="43"/>
  <c r="E77" i="43"/>
  <c r="E81" i="43"/>
  <c r="W26" i="43"/>
  <c r="E10" i="43"/>
  <c r="E89" i="43"/>
  <c r="W11" i="43"/>
  <c r="E68" i="43"/>
  <c r="W53" i="43"/>
  <c r="W70" i="43"/>
  <c r="W19" i="43"/>
  <c r="W81" i="43"/>
  <c r="W75" i="43"/>
  <c r="W44" i="43"/>
  <c r="M4" i="10" a="1"/>
  <c r="C88" i="33"/>
  <c r="E24" i="43"/>
  <c r="C46" i="33"/>
  <c r="N4" i="43"/>
  <c r="E88" i="33"/>
  <c r="N59" i="43"/>
  <c r="N5" i="43"/>
  <c r="N36" i="43"/>
  <c r="N65" i="43"/>
  <c r="N10" i="43"/>
  <c r="N7" i="43"/>
  <c r="N89" i="43"/>
  <c r="N30" i="43"/>
  <c r="N92" i="43"/>
  <c r="N8" i="43"/>
  <c r="E17" i="43"/>
  <c r="N38" i="43"/>
  <c r="W55" i="43"/>
  <c r="E21" i="43"/>
  <c r="W92" i="43"/>
  <c r="W65" i="43"/>
  <c r="W43" i="43"/>
  <c r="W9" i="43"/>
  <c r="W52" i="43"/>
  <c r="E5" i="43"/>
  <c r="E86" i="43"/>
  <c r="E67" i="43"/>
  <c r="E51" i="43"/>
  <c r="W8" i="43"/>
  <c r="E38" i="43"/>
  <c r="E71" i="43"/>
  <c r="E72" i="43"/>
  <c r="E78" i="43"/>
  <c r="W28" i="43"/>
  <c r="W13" i="43"/>
  <c r="W83" i="43"/>
  <c r="W54" i="43"/>
  <c r="W42" i="43"/>
  <c r="W46" i="43"/>
  <c r="N23" i="43"/>
  <c r="N57" i="43"/>
  <c r="E60" i="43"/>
  <c r="N14" i="43"/>
  <c r="E93" i="43"/>
  <c r="N12" i="43"/>
  <c r="N70" i="43"/>
  <c r="E45" i="43"/>
  <c r="N22" i="43"/>
  <c r="N55" i="43"/>
  <c r="N90" i="43"/>
  <c r="E22" i="43"/>
  <c r="N58" i="43"/>
  <c r="E62" i="43"/>
  <c r="E80" i="43"/>
  <c r="E91" i="43"/>
  <c r="W17" i="43"/>
  <c r="W79" i="43"/>
  <c r="N88" i="43"/>
  <c r="W58" i="43"/>
  <c r="E34" i="43"/>
  <c r="E25" i="43"/>
  <c r="E85" i="43"/>
  <c r="W84" i="43"/>
  <c r="E36" i="43"/>
  <c r="E56" i="43"/>
  <c r="W89" i="43"/>
  <c r="W57" i="43"/>
  <c r="W93" i="43"/>
  <c r="W25" i="43"/>
  <c r="W14" i="43"/>
  <c r="W56" i="43"/>
  <c r="N60" i="43"/>
  <c r="E50" i="43"/>
  <c r="E53" i="43"/>
  <c r="N66" i="43"/>
  <c r="N69" i="43"/>
  <c r="N86" i="43"/>
  <c r="N64" i="43"/>
  <c r="N44" i="43"/>
  <c r="E88" i="43"/>
  <c r="N31" i="43"/>
  <c r="N29" i="43"/>
  <c r="N71" i="43"/>
  <c r="N41" i="43"/>
  <c r="E35" i="43"/>
  <c r="E37" i="43"/>
  <c r="E32" i="43"/>
  <c r="E84" i="43"/>
  <c r="W62" i="43"/>
  <c r="N78" i="43"/>
  <c r="E18" i="43"/>
  <c r="E90" i="43"/>
  <c r="E65" i="43"/>
  <c r="E39" i="43"/>
  <c r="E61" i="43"/>
  <c r="W86" i="43"/>
  <c r="E41" i="43"/>
  <c r="N79" i="43"/>
  <c r="E92" i="43"/>
  <c r="W87" i="43"/>
  <c r="W74" i="43"/>
  <c r="W36" i="43"/>
  <c r="W49" i="43"/>
  <c r="W47" i="43"/>
  <c r="W68" i="43"/>
  <c r="AI7" i="44" a="1"/>
  <c r="AI12" i="44"/>
  <c r="AA68" i="43" l="1"/>
  <c r="AA47" i="43"/>
  <c r="AA49" i="43"/>
  <c r="AA36" i="43"/>
  <c r="AA74" i="43"/>
  <c r="AA87" i="43"/>
  <c r="I92" i="43"/>
  <c r="R79" i="43"/>
  <c r="I41" i="43"/>
  <c r="AA86" i="43"/>
  <c r="I61" i="43"/>
  <c r="I39" i="43"/>
  <c r="I65" i="43"/>
  <c r="I90" i="43"/>
  <c r="I18" i="43"/>
  <c r="R78" i="43"/>
  <c r="AA62" i="43"/>
  <c r="I84" i="43"/>
  <c r="I32" i="43"/>
  <c r="I37" i="43"/>
  <c r="I35" i="43"/>
  <c r="R41" i="43"/>
  <c r="R71" i="43"/>
  <c r="R29" i="43"/>
  <c r="R31" i="43"/>
  <c r="I88" i="43"/>
  <c r="R44" i="43"/>
  <c r="R64" i="43"/>
  <c r="R86" i="43"/>
  <c r="R69" i="43"/>
  <c r="R66" i="43"/>
  <c r="I53" i="43"/>
  <c r="I50" i="43"/>
  <c r="R60" i="43"/>
  <c r="AA56" i="43"/>
  <c r="AA14" i="43"/>
  <c r="AA25" i="43"/>
  <c r="AA93" i="43"/>
  <c r="AA57" i="43"/>
  <c r="AA89" i="43"/>
  <c r="I56" i="43"/>
  <c r="I36" i="43"/>
  <c r="AA84" i="43"/>
  <c r="I85" i="43"/>
  <c r="I25" i="43"/>
  <c r="I34" i="43"/>
  <c r="AA58" i="43"/>
  <c r="R88" i="43"/>
  <c r="AA79" i="43"/>
  <c r="AA17" i="43"/>
  <c r="I91" i="43"/>
  <c r="I80" i="43"/>
  <c r="I62" i="43"/>
  <c r="R58" i="43"/>
  <c r="I22" i="43"/>
  <c r="R90" i="43"/>
  <c r="R55" i="43"/>
  <c r="R22" i="43"/>
  <c r="I45" i="43"/>
  <c r="R70" i="43"/>
  <c r="R12" i="43"/>
  <c r="I93" i="43"/>
  <c r="R14" i="43"/>
  <c r="I60" i="43"/>
  <c r="R57" i="43"/>
  <c r="R23" i="43"/>
  <c r="AA46" i="43"/>
  <c r="AA42" i="43"/>
  <c r="AA54" i="43"/>
  <c r="AA83" i="43"/>
  <c r="AA13" i="43"/>
  <c r="AA28" i="43"/>
  <c r="I78" i="43"/>
  <c r="I72" i="43"/>
  <c r="I71" i="43"/>
  <c r="I38" i="43"/>
  <c r="AA8" i="43"/>
  <c r="I51" i="43"/>
  <c r="I67" i="43"/>
  <c r="I86" i="43"/>
  <c r="I5" i="43"/>
  <c r="AA52" i="43"/>
  <c r="AA9" i="43"/>
  <c r="AA43" i="43"/>
  <c r="AA65" i="43"/>
  <c r="AA92" i="43"/>
  <c r="I21" i="43"/>
  <c r="AA55" i="43"/>
  <c r="R38" i="43"/>
  <c r="I17" i="43"/>
  <c r="R8" i="43"/>
  <c r="R92" i="43"/>
  <c r="R30" i="43"/>
  <c r="R89" i="43"/>
  <c r="R7" i="43"/>
  <c r="R10" i="43"/>
  <c r="R65" i="43"/>
  <c r="R36" i="43"/>
  <c r="R5" i="43"/>
  <c r="R59" i="43"/>
  <c r="R4" i="43"/>
  <c r="I24" i="43"/>
  <c r="AA44" i="43"/>
  <c r="AA75" i="43"/>
  <c r="AA81" i="43"/>
  <c r="AA19" i="43"/>
  <c r="AA70" i="43"/>
  <c r="AA53" i="43"/>
  <c r="I68" i="43"/>
  <c r="AA11" i="43"/>
  <c r="I89" i="43"/>
  <c r="I10" i="43"/>
  <c r="AA26" i="43"/>
  <c r="I81" i="43"/>
  <c r="I77" i="43"/>
  <c r="I30" i="43"/>
  <c r="I49" i="43"/>
  <c r="R49" i="43"/>
  <c r="AA22" i="43"/>
  <c r="AA21" i="43"/>
  <c r="AA71" i="43"/>
  <c r="AA69" i="43"/>
  <c r="I19" i="43"/>
  <c r="I69" i="43"/>
  <c r="R47" i="43"/>
  <c r="R33" i="43"/>
  <c r="R16" i="43"/>
  <c r="R24" i="43"/>
  <c r="R37" i="43"/>
  <c r="R9" i="43"/>
  <c r="R15" i="43"/>
  <c r="R28" i="43"/>
  <c r="R77" i="43"/>
  <c r="R32" i="43"/>
  <c r="R56" i="43"/>
  <c r="R67" i="43"/>
  <c r="AA6" i="43"/>
  <c r="I29" i="43"/>
  <c r="AA66" i="43"/>
  <c r="I23" i="43"/>
  <c r="R62" i="43"/>
  <c r="I9" i="43"/>
  <c r="I16" i="43"/>
  <c r="R27" i="43"/>
  <c r="R43" i="43"/>
  <c r="R51" i="43"/>
  <c r="I79" i="43"/>
  <c r="I70" i="43"/>
  <c r="AA72" i="43"/>
  <c r="AA85" i="43"/>
  <c r="AA76" i="43"/>
  <c r="AA38" i="43"/>
  <c r="AA48" i="43"/>
  <c r="AA40" i="43"/>
  <c r="I58" i="43"/>
  <c r="AA80" i="43"/>
  <c r="I6" i="43"/>
  <c r="AA90" i="43"/>
  <c r="AA61" i="43"/>
  <c r="I73" i="43"/>
  <c r="I26" i="43"/>
  <c r="I82" i="43"/>
  <c r="I13" i="43"/>
  <c r="R68" i="43"/>
  <c r="AA50" i="43"/>
  <c r="I55" i="43"/>
  <c r="AA29" i="43"/>
  <c r="AA24" i="43"/>
  <c r="AA10" i="43"/>
  <c r="I74" i="43"/>
  <c r="R61" i="43"/>
  <c r="R40" i="43"/>
  <c r="R26" i="43"/>
  <c r="R53" i="43"/>
  <c r="R83" i="43"/>
  <c r="R13" i="43"/>
  <c r="I87" i="43"/>
  <c r="R42" i="43"/>
  <c r="R76" i="43"/>
  <c r="I75" i="43"/>
  <c r="R75" i="43"/>
  <c r="I47" i="43"/>
  <c r="AA37" i="43"/>
  <c r="AA63" i="43"/>
  <c r="AA12" i="43"/>
  <c r="I44" i="43"/>
  <c r="I43" i="43"/>
  <c r="AA67" i="43"/>
  <c r="I11" i="43"/>
  <c r="R50" i="43"/>
  <c r="R17" i="43"/>
  <c r="R20" i="43"/>
  <c r="R87" i="43"/>
  <c r="AA16" i="43"/>
  <c r="AA91" i="43"/>
  <c r="AA31" i="43"/>
  <c r="AA18" i="43"/>
  <c r="AA23" i="43"/>
  <c r="AA32" i="43"/>
  <c r="I14" i="43"/>
  <c r="AA33" i="43"/>
  <c r="I59" i="43"/>
  <c r="AA45" i="43"/>
  <c r="AA30" i="43"/>
  <c r="I20" i="43"/>
  <c r="I48" i="43"/>
  <c r="I57" i="43"/>
  <c r="I8" i="43"/>
  <c r="R85" i="43"/>
  <c r="AA73" i="43"/>
  <c r="I33" i="43"/>
  <c r="AA77" i="43"/>
  <c r="I7" i="43"/>
  <c r="I52" i="43"/>
  <c r="AA78" i="43"/>
  <c r="R54" i="43"/>
  <c r="R48" i="43"/>
  <c r="I12" i="43"/>
  <c r="R80" i="43"/>
  <c r="R6" i="43"/>
  <c r="R21" i="43"/>
  <c r="I28" i="43"/>
  <c r="R34" i="43"/>
  <c r="R84" i="43"/>
  <c r="AA64" i="43"/>
  <c r="R63" i="43"/>
  <c r="R73" i="43"/>
  <c r="AA5" i="43"/>
  <c r="AA82" i="43"/>
  <c r="R91" i="43"/>
  <c r="I42" i="43"/>
  <c r="I31" i="43"/>
  <c r="AA39" i="43"/>
  <c r="AA20" i="43"/>
  <c r="R39" i="43"/>
  <c r="R18" i="43"/>
  <c r="AA4" i="43"/>
  <c r="AA27" i="43"/>
  <c r="AA88" i="43"/>
  <c r="AA7" i="43"/>
  <c r="AA51" i="43"/>
  <c r="AA60" i="43"/>
  <c r="I27" i="43"/>
  <c r="R74" i="43"/>
  <c r="I40" i="43"/>
  <c r="AA34" i="43"/>
  <c r="I63" i="43"/>
  <c r="I66" i="43"/>
  <c r="I54" i="43"/>
  <c r="I46" i="43"/>
  <c r="I83" i="43"/>
  <c r="R46" i="43"/>
  <c r="AA59" i="43"/>
  <c r="I4" i="43"/>
  <c r="I15" i="43"/>
  <c r="I76" i="43"/>
  <c r="I64" i="43"/>
  <c r="AA41" i="43"/>
  <c r="R45" i="43"/>
  <c r="R11" i="43"/>
  <c r="R25" i="43"/>
  <c r="R52" i="43"/>
  <c r="R35" i="43"/>
  <c r="R19" i="43"/>
  <c r="R81" i="43"/>
  <c r="R72" i="43"/>
  <c r="R93" i="43"/>
  <c r="AA15" i="43"/>
  <c r="R82" i="43"/>
  <c r="AA35" i="43"/>
  <c r="Z68" i="43"/>
  <c r="Z47" i="43"/>
  <c r="Z49" i="43"/>
  <c r="Z36" i="43"/>
  <c r="Z74" i="43"/>
  <c r="Z87" i="43"/>
  <c r="H92" i="43"/>
  <c r="Q79" i="43"/>
  <c r="H41" i="43"/>
  <c r="Z86" i="43"/>
  <c r="H61" i="43"/>
  <c r="H39" i="43"/>
  <c r="H65" i="43"/>
  <c r="H90" i="43"/>
  <c r="H18" i="43"/>
  <c r="Q78" i="43"/>
  <c r="Z62" i="43"/>
  <c r="H84" i="43"/>
  <c r="H32" i="43"/>
  <c r="H37" i="43"/>
  <c r="H35" i="43"/>
  <c r="Q41" i="43"/>
  <c r="Q71" i="43"/>
  <c r="Q29" i="43"/>
  <c r="Q31" i="43"/>
  <c r="H88" i="43"/>
  <c r="Q44" i="43"/>
  <c r="Q64" i="43"/>
  <c r="Q86" i="43"/>
  <c r="Q69" i="43"/>
  <c r="Q66" i="43"/>
  <c r="H53" i="43"/>
  <c r="H50" i="43"/>
  <c r="Q60" i="43"/>
  <c r="Z56" i="43"/>
  <c r="Z14" i="43"/>
  <c r="Z25" i="43"/>
  <c r="Z93" i="43"/>
  <c r="Z57" i="43"/>
  <c r="Z89" i="43"/>
  <c r="H56" i="43"/>
  <c r="H36" i="43"/>
  <c r="Z84" i="43"/>
  <c r="H85" i="43"/>
  <c r="H25" i="43"/>
  <c r="H34" i="43"/>
  <c r="Z58" i="43"/>
  <c r="Q88" i="43"/>
  <c r="Z79" i="43"/>
  <c r="Z17" i="43"/>
  <c r="H91" i="43"/>
  <c r="H80" i="43"/>
  <c r="H62" i="43"/>
  <c r="Q58" i="43"/>
  <c r="H22" i="43"/>
  <c r="Q90" i="43"/>
  <c r="Q55" i="43"/>
  <c r="Q22" i="43"/>
  <c r="H45" i="43"/>
  <c r="Q70" i="43"/>
  <c r="Q12" i="43"/>
  <c r="H93" i="43"/>
  <c r="Q14" i="43"/>
  <c r="Q57" i="43"/>
  <c r="Q23" i="43"/>
  <c r="Z46" i="43"/>
  <c r="Z42" i="43"/>
  <c r="Z54" i="43"/>
  <c r="Z83" i="43"/>
  <c r="Z13" i="43"/>
  <c r="Z28" i="43"/>
  <c r="H78" i="43"/>
  <c r="H72" i="43"/>
  <c r="H71" i="43"/>
  <c r="H38" i="43"/>
  <c r="Z8" i="43"/>
  <c r="H51" i="43"/>
  <c r="H67" i="43"/>
  <c r="H86" i="43"/>
  <c r="H5" i="43"/>
  <c r="Z52" i="43"/>
  <c r="Z9" i="43"/>
  <c r="Z43" i="43"/>
  <c r="Z65" i="43"/>
  <c r="Z92" i="43"/>
  <c r="H21" i="43"/>
  <c r="Z55" i="43"/>
  <c r="Q38" i="43"/>
  <c r="H17" i="43"/>
  <c r="Q8" i="43"/>
  <c r="Q92" i="43"/>
  <c r="Q30" i="43"/>
  <c r="Q89" i="43"/>
  <c r="Q7" i="43"/>
  <c r="Q10" i="43"/>
  <c r="Q65" i="43"/>
  <c r="Q36" i="43"/>
  <c r="Q59" i="43"/>
  <c r="Q4" i="43"/>
  <c r="H24" i="43"/>
  <c r="Z44" i="43"/>
  <c r="Z75" i="43"/>
  <c r="Z81" i="43"/>
  <c r="Z19" i="43"/>
  <c r="Z70" i="43"/>
  <c r="Z53" i="43"/>
  <c r="H68" i="43"/>
  <c r="Z11" i="43"/>
  <c r="H89" i="43"/>
  <c r="H10" i="43"/>
  <c r="Z26" i="43"/>
  <c r="H81" i="43"/>
  <c r="H77" i="43"/>
  <c r="H30" i="43"/>
  <c r="H49" i="43"/>
  <c r="Q49" i="43"/>
  <c r="Z22" i="43"/>
  <c r="Z21" i="43"/>
  <c r="Z71" i="43"/>
  <c r="Z69" i="43"/>
  <c r="H19" i="43"/>
  <c r="H69" i="43"/>
  <c r="Q47" i="43"/>
  <c r="Q33" i="43"/>
  <c r="Q16" i="43"/>
  <c r="Q24" i="43"/>
  <c r="Q37" i="43"/>
  <c r="Q9" i="43"/>
  <c r="Q15" i="43"/>
  <c r="Q28" i="43"/>
  <c r="Q77" i="43"/>
  <c r="Q32" i="43"/>
  <c r="Q56" i="43"/>
  <c r="Z6" i="43"/>
  <c r="H29" i="43"/>
  <c r="Z66" i="43"/>
  <c r="H23" i="43"/>
  <c r="Q62" i="43"/>
  <c r="H9" i="43"/>
  <c r="H16" i="43"/>
  <c r="Q27" i="43"/>
  <c r="Q43" i="43"/>
  <c r="Q51" i="43"/>
  <c r="H79" i="43"/>
  <c r="H70" i="43"/>
  <c r="Z72" i="43"/>
  <c r="Z85" i="43"/>
  <c r="Z76" i="43"/>
  <c r="Z38" i="43"/>
  <c r="Z48" i="43"/>
  <c r="Z40" i="43"/>
  <c r="H58" i="43"/>
  <c r="Z80" i="43"/>
  <c r="H6" i="43"/>
  <c r="Z90" i="43"/>
  <c r="Z61" i="43"/>
  <c r="H73" i="43"/>
  <c r="H26" i="43"/>
  <c r="H82" i="43"/>
  <c r="H13" i="43"/>
  <c r="Q68" i="43"/>
  <c r="Z50" i="43"/>
  <c r="H55" i="43"/>
  <c r="Z29" i="43"/>
  <c r="Z24" i="43"/>
  <c r="Z10" i="43"/>
  <c r="H74" i="43"/>
  <c r="Q61" i="43"/>
  <c r="Q40" i="43"/>
  <c r="Q26" i="43"/>
  <c r="Q53" i="43"/>
  <c r="Q83" i="43"/>
  <c r="Q13" i="43"/>
  <c r="H87" i="43"/>
  <c r="Q42" i="43"/>
  <c r="Q76" i="43"/>
  <c r="H75" i="43"/>
  <c r="Q75" i="43"/>
  <c r="Z37" i="43"/>
  <c r="Z63" i="43"/>
  <c r="Z12" i="43"/>
  <c r="H44" i="43"/>
  <c r="H43" i="43"/>
  <c r="Z67" i="43"/>
  <c r="H11" i="43"/>
  <c r="Q50" i="43"/>
  <c r="Q17" i="43"/>
  <c r="Q20" i="43"/>
  <c r="Q87" i="43"/>
  <c r="Z16" i="43"/>
  <c r="Z91" i="43"/>
  <c r="Z31" i="43"/>
  <c r="Z18" i="43"/>
  <c r="Z23" i="43"/>
  <c r="Z32" i="43"/>
  <c r="H14" i="43"/>
  <c r="Z33" i="43"/>
  <c r="H59" i="43"/>
  <c r="Z45" i="43"/>
  <c r="Z30" i="43"/>
  <c r="H20" i="43"/>
  <c r="H48" i="43"/>
  <c r="H57" i="43"/>
  <c r="H8" i="43"/>
  <c r="Q85" i="43"/>
  <c r="Z73" i="43"/>
  <c r="H33" i="43"/>
  <c r="Z77" i="43"/>
  <c r="H7" i="43"/>
  <c r="H52" i="43"/>
  <c r="Z78" i="43"/>
  <c r="Q54" i="43"/>
  <c r="Q48" i="43"/>
  <c r="H12" i="43"/>
  <c r="Q80" i="43"/>
  <c r="Q6" i="43"/>
  <c r="Q21" i="43"/>
  <c r="H28" i="43"/>
  <c r="Q34" i="43"/>
  <c r="Q84" i="43"/>
  <c r="Z64" i="43"/>
  <c r="Q63" i="43"/>
  <c r="Z5" i="43"/>
  <c r="Z82" i="43"/>
  <c r="Q91" i="43"/>
  <c r="H42" i="43"/>
  <c r="H31" i="43"/>
  <c r="Z39" i="43"/>
  <c r="Z20" i="43"/>
  <c r="Q39" i="43"/>
  <c r="Q18" i="43"/>
  <c r="Q67" i="43"/>
  <c r="Z4" i="43"/>
  <c r="Z27" i="43"/>
  <c r="Z88" i="43"/>
  <c r="Z7" i="43"/>
  <c r="Z51" i="43"/>
  <c r="Z60" i="43"/>
  <c r="H27" i="43"/>
  <c r="Q74" i="43"/>
  <c r="H40" i="43"/>
  <c r="Z34" i="43"/>
  <c r="H63" i="43"/>
  <c r="H66" i="43"/>
  <c r="H54" i="43"/>
  <c r="H46" i="43"/>
  <c r="H83" i="43"/>
  <c r="Q46" i="43"/>
  <c r="Z59" i="43"/>
  <c r="H4" i="43"/>
  <c r="H15" i="43"/>
  <c r="H76" i="43"/>
  <c r="H64" i="43"/>
  <c r="Z41" i="43"/>
  <c r="Q45" i="43"/>
  <c r="Q11" i="43"/>
  <c r="Q25" i="43"/>
  <c r="Q52" i="43"/>
  <c r="Q35" i="43"/>
  <c r="Q19" i="43"/>
  <c r="Q81" i="43"/>
  <c r="Q72" i="43"/>
  <c r="Q93" i="43"/>
  <c r="Z15" i="43"/>
  <c r="Q82" i="43"/>
  <c r="AI9" i="45"/>
  <c r="AI7" i="45"/>
  <c r="AI8" i="45"/>
  <c r="AI9" i="47"/>
  <c r="AI8" i="47"/>
  <c r="AI7" i="47"/>
  <c r="AI8" i="46"/>
  <c r="AI7" i="46"/>
  <c r="AI9" i="46"/>
  <c r="AI7" i="44"/>
  <c r="AI9" i="44"/>
  <c r="AI8" i="44"/>
  <c r="D91" i="10"/>
  <c r="H91" i="10" s="1"/>
  <c r="D88" i="10"/>
  <c r="H88" i="10" s="1"/>
  <c r="D55" i="10"/>
  <c r="H55" i="10" s="1"/>
  <c r="D45" i="10"/>
  <c r="H45" i="10" s="1"/>
  <c r="D7" i="10"/>
  <c r="H7" i="10" s="1"/>
  <c r="D89" i="10"/>
  <c r="H89" i="10" s="1"/>
  <c r="D41" i="10"/>
  <c r="H41" i="10" s="1"/>
  <c r="D61" i="10"/>
  <c r="H61" i="10" s="1"/>
  <c r="D40" i="10"/>
  <c r="H40" i="10" s="1"/>
  <c r="D33" i="10"/>
  <c r="H33" i="10" s="1"/>
  <c r="D25" i="10"/>
  <c r="H25" i="10" s="1"/>
  <c r="D22" i="10"/>
  <c r="H22" i="10" s="1"/>
  <c r="D34" i="10"/>
  <c r="H34" i="10" s="1"/>
  <c r="D48" i="10"/>
  <c r="H48" i="10" s="1"/>
  <c r="D46" i="10"/>
  <c r="H46" i="10" s="1"/>
  <c r="D44" i="10"/>
  <c r="H44" i="10" s="1"/>
  <c r="D76" i="10"/>
  <c r="H76" i="10" s="1"/>
  <c r="D75" i="10"/>
  <c r="H75" i="10" s="1"/>
  <c r="D37" i="10"/>
  <c r="H37" i="10" s="1"/>
  <c r="D15" i="10"/>
  <c r="H15" i="10" s="1"/>
  <c r="D12" i="10"/>
  <c r="H12" i="10" s="1"/>
  <c r="D18" i="10"/>
  <c r="H18" i="10" s="1"/>
  <c r="D21" i="10"/>
  <c r="H21" i="10" s="1"/>
  <c r="D49" i="10"/>
  <c r="H49" i="10" s="1"/>
  <c r="D42" i="10"/>
  <c r="H42" i="10" s="1"/>
  <c r="D14" i="10"/>
  <c r="H14" i="10" s="1"/>
  <c r="D13" i="10"/>
  <c r="H13" i="10" s="1"/>
  <c r="D85" i="10"/>
  <c r="H85" i="10" s="1"/>
  <c r="D23" i="10"/>
  <c r="H23" i="10" s="1"/>
  <c r="D92" i="10"/>
  <c r="H92" i="10" s="1"/>
  <c r="D28" i="10"/>
  <c r="H28" i="10" s="1"/>
  <c r="D68" i="10"/>
  <c r="H68" i="10" s="1"/>
  <c r="D17" i="10"/>
  <c r="H17" i="10" s="1"/>
  <c r="D58" i="10"/>
  <c r="H58" i="10" s="1"/>
  <c r="D27" i="10"/>
  <c r="H27" i="10" s="1"/>
  <c r="D64" i="10"/>
  <c r="H64" i="10" s="1"/>
  <c r="D32" i="10"/>
  <c r="H32" i="10" s="1"/>
  <c r="D16" i="10"/>
  <c r="H16" i="10" s="1"/>
  <c r="D93" i="10"/>
  <c r="H93" i="10" s="1"/>
  <c r="D54" i="10"/>
  <c r="H54" i="10" s="1"/>
  <c r="D81" i="10"/>
  <c r="H81" i="10" s="1"/>
  <c r="D8" i="10"/>
  <c r="H8" i="10" s="1"/>
  <c r="D39" i="10"/>
  <c r="H39" i="10" s="1"/>
  <c r="D71" i="10"/>
  <c r="H71" i="10" s="1"/>
  <c r="D70" i="10"/>
  <c r="H70" i="10" s="1"/>
  <c r="D9" i="10"/>
  <c r="H9" i="10" s="1"/>
  <c r="D6" i="10"/>
  <c r="H6" i="10" s="1"/>
  <c r="D79" i="10"/>
  <c r="H79" i="10" s="1"/>
  <c r="D86" i="10"/>
  <c r="H86" i="10" s="1"/>
  <c r="D53" i="10"/>
  <c r="H53" i="10" s="1"/>
  <c r="D19" i="10"/>
  <c r="H19" i="10" s="1"/>
  <c r="D36" i="10"/>
  <c r="H36" i="10" s="1"/>
  <c r="D77" i="10"/>
  <c r="H77" i="10" s="1"/>
  <c r="D11" i="10"/>
  <c r="H11" i="10" s="1"/>
  <c r="D51" i="10"/>
  <c r="H51" i="10" s="1"/>
  <c r="D62" i="10"/>
  <c r="H62" i="10" s="1"/>
  <c r="D66" i="10"/>
  <c r="H66" i="10" s="1"/>
  <c r="D35" i="10"/>
  <c r="H35" i="10" s="1"/>
  <c r="D83" i="10"/>
  <c r="H83" i="10" s="1"/>
  <c r="D78" i="10"/>
  <c r="H78" i="10" s="1"/>
  <c r="D80" i="10"/>
  <c r="H80" i="10" s="1"/>
  <c r="D30" i="10"/>
  <c r="H30" i="10" s="1"/>
  <c r="D60" i="10"/>
  <c r="H60" i="10" s="1"/>
  <c r="D10" i="10"/>
  <c r="H10" i="10" s="1"/>
  <c r="D67" i="10"/>
  <c r="H67" i="10" s="1"/>
  <c r="D65" i="10"/>
  <c r="H65" i="10" s="1"/>
  <c r="D57" i="10"/>
  <c r="H57" i="10" s="1"/>
  <c r="D82" i="10"/>
  <c r="H82" i="10" s="1"/>
  <c r="D63" i="10"/>
  <c r="H63" i="10" s="1"/>
  <c r="D69" i="10"/>
  <c r="H69" i="10" s="1"/>
  <c r="D50" i="10"/>
  <c r="H50" i="10" s="1"/>
  <c r="D43" i="10"/>
  <c r="H43" i="10" s="1"/>
  <c r="D29" i="10"/>
  <c r="H29" i="10" s="1"/>
  <c r="D72" i="10"/>
  <c r="H72" i="10" s="1"/>
  <c r="D4" i="10"/>
  <c r="H4" i="10" s="1"/>
  <c r="D38" i="10"/>
  <c r="H38" i="10" s="1"/>
  <c r="D24" i="10"/>
  <c r="H24" i="10" s="1"/>
  <c r="D87" i="10"/>
  <c r="H87" i="10" s="1"/>
  <c r="D20" i="10"/>
  <c r="H20" i="10" s="1"/>
  <c r="D73" i="10"/>
  <c r="H73" i="10" s="1"/>
  <c r="D52" i="10"/>
  <c r="H52" i="10" s="1"/>
  <c r="D5" i="10"/>
  <c r="H5" i="10" s="1"/>
  <c r="D84" i="10"/>
  <c r="H84" i="10" s="1"/>
  <c r="D90" i="10"/>
  <c r="H90" i="10" s="1"/>
  <c r="D74" i="10"/>
  <c r="H74" i="10" s="1"/>
  <c r="D26" i="10"/>
  <c r="H26" i="10" s="1"/>
  <c r="D31" i="10"/>
  <c r="H31" i="10" s="1"/>
  <c r="D47" i="10"/>
  <c r="H47" i="10" s="1"/>
  <c r="D59" i="10"/>
  <c r="H59" i="10" s="1"/>
  <c r="D56" i="10"/>
  <c r="H56" i="10" s="1"/>
  <c r="G46" i="33"/>
  <c r="G88" i="33"/>
  <c r="G67" i="33"/>
  <c r="G24" i="33"/>
  <c r="M89" i="10"/>
  <c r="Q89" i="10" s="1"/>
  <c r="M49" i="10"/>
  <c r="Q49" i="10" s="1"/>
  <c r="M35" i="10"/>
  <c r="Q35" i="10" s="1"/>
  <c r="M34" i="10"/>
  <c r="Q34" i="10" s="1"/>
  <c r="M14" i="10"/>
  <c r="Q14" i="10" s="1"/>
  <c r="M72" i="10"/>
  <c r="Q72" i="10" s="1"/>
  <c r="M22" i="10"/>
  <c r="Q22" i="10" s="1"/>
  <c r="M17" i="10"/>
  <c r="Q17" i="10" s="1"/>
  <c r="M51" i="10"/>
  <c r="Q51" i="10" s="1"/>
  <c r="M43" i="10"/>
  <c r="Q43" i="10" s="1"/>
  <c r="M29" i="10"/>
  <c r="Q29" i="10" s="1"/>
  <c r="M48" i="10"/>
  <c r="Q48" i="10" s="1"/>
  <c r="M24" i="10"/>
  <c r="Q24" i="10" s="1"/>
  <c r="M65" i="10"/>
  <c r="Q65" i="10" s="1"/>
  <c r="M30" i="10"/>
  <c r="Q30" i="10" s="1"/>
  <c r="M9" i="10"/>
  <c r="Q9" i="10" s="1"/>
  <c r="M31" i="10"/>
  <c r="Q31" i="10" s="1"/>
  <c r="M8" i="10"/>
  <c r="Q8" i="10" s="1"/>
  <c r="M86" i="10"/>
  <c r="Q86" i="10" s="1"/>
  <c r="M61" i="10"/>
  <c r="Q61" i="10" s="1"/>
  <c r="M53" i="10"/>
  <c r="Q53" i="10" s="1"/>
  <c r="M56" i="10"/>
  <c r="Q56" i="10" s="1"/>
  <c r="M11" i="10"/>
  <c r="Q11" i="10" s="1"/>
  <c r="M25" i="10"/>
  <c r="Q25" i="10" s="1"/>
  <c r="M27" i="10"/>
  <c r="Q27" i="10" s="1"/>
  <c r="M83" i="10"/>
  <c r="Q83" i="10" s="1"/>
  <c r="M38" i="10"/>
  <c r="Q38" i="10" s="1"/>
  <c r="M50" i="10"/>
  <c r="Q50" i="10" s="1"/>
  <c r="M12" i="10"/>
  <c r="Q12" i="10" s="1"/>
  <c r="M36" i="10"/>
  <c r="Q36" i="10" s="1"/>
  <c r="M92" i="10"/>
  <c r="Q92" i="10" s="1"/>
  <c r="M91" i="10"/>
  <c r="Q91" i="10" s="1"/>
  <c r="M47" i="10"/>
  <c r="Q47" i="10" s="1"/>
  <c r="M75" i="10"/>
  <c r="Q75" i="10" s="1"/>
  <c r="M90" i="10"/>
  <c r="Q90" i="10" s="1"/>
  <c r="M21" i="10"/>
  <c r="Q21" i="10" s="1"/>
  <c r="M67" i="10"/>
  <c r="Q67" i="10" s="1"/>
  <c r="M4" i="10"/>
  <c r="Q4" i="10" s="1"/>
  <c r="M71" i="10"/>
  <c r="Q71" i="10" s="1"/>
  <c r="M57" i="10"/>
  <c r="Q57" i="10" s="1"/>
  <c r="M68" i="10"/>
  <c r="Q68" i="10" s="1"/>
  <c r="M69" i="10"/>
  <c r="Q69" i="10" s="1"/>
  <c r="M76" i="10"/>
  <c r="Q76" i="10" s="1"/>
  <c r="M41" i="10"/>
  <c r="Q41" i="10" s="1"/>
  <c r="M37" i="10"/>
  <c r="Q37" i="10" s="1"/>
  <c r="M66" i="10"/>
  <c r="Q66" i="10" s="1"/>
  <c r="M28" i="10"/>
  <c r="Q28" i="10" s="1"/>
  <c r="M19" i="10"/>
  <c r="Q19" i="10" s="1"/>
  <c r="M44" i="10"/>
  <c r="Q44" i="10" s="1"/>
  <c r="M59" i="10"/>
  <c r="Q59" i="10" s="1"/>
  <c r="M16" i="10"/>
  <c r="Q16" i="10" s="1"/>
  <c r="M42" i="10"/>
  <c r="Q42" i="10" s="1"/>
  <c r="M26" i="10"/>
  <c r="Q26" i="10" s="1"/>
  <c r="M77" i="10"/>
  <c r="Q77" i="10" s="1"/>
  <c r="M15" i="10"/>
  <c r="Q15" i="10" s="1"/>
  <c r="M39" i="10"/>
  <c r="Q39" i="10" s="1"/>
  <c r="M87" i="10"/>
  <c r="Q87" i="10" s="1"/>
  <c r="M54" i="10"/>
  <c r="Q54" i="10" s="1"/>
  <c r="M13" i="10"/>
  <c r="Q13" i="10" s="1"/>
  <c r="M18" i="10"/>
  <c r="Q18" i="10" s="1"/>
  <c r="M84" i="10"/>
  <c r="Q84" i="10" s="1"/>
  <c r="M74" i="10"/>
  <c r="Q74" i="10" s="1"/>
  <c r="M85" i="10"/>
  <c r="Q85" i="10" s="1"/>
  <c r="M45" i="10"/>
  <c r="Q45" i="10" s="1"/>
  <c r="M20" i="10"/>
  <c r="Q20" i="10" s="1"/>
  <c r="M46" i="10"/>
  <c r="Q46" i="10" s="1"/>
  <c r="M81" i="10"/>
  <c r="Q81" i="10" s="1"/>
  <c r="M64" i="10"/>
  <c r="Q64" i="10" s="1"/>
  <c r="M32" i="10"/>
  <c r="Q32" i="10" s="1"/>
  <c r="M55" i="10"/>
  <c r="Q55" i="10" s="1"/>
  <c r="M52" i="10"/>
  <c r="Q52" i="10" s="1"/>
  <c r="M7" i="10"/>
  <c r="Q7" i="10" s="1"/>
  <c r="M58" i="10"/>
  <c r="Q58" i="10" s="1"/>
  <c r="M88" i="10"/>
  <c r="Q88" i="10" s="1"/>
  <c r="M60" i="10"/>
  <c r="Q60" i="10" s="1"/>
  <c r="M78" i="10"/>
  <c r="Q78" i="10" s="1"/>
  <c r="M62" i="10"/>
  <c r="Q62" i="10" s="1"/>
  <c r="M10" i="10"/>
  <c r="Q10" i="10" s="1"/>
  <c r="M23" i="10"/>
  <c r="Q23" i="10" s="1"/>
  <c r="M79" i="10"/>
  <c r="Q79" i="10" s="1"/>
  <c r="M63" i="10"/>
  <c r="Q63" i="10" s="1"/>
  <c r="M82" i="10"/>
  <c r="Q82" i="10" s="1"/>
  <c r="M6" i="10"/>
  <c r="Q6" i="10" s="1"/>
  <c r="M40" i="10"/>
  <c r="Q40" i="10" s="1"/>
  <c r="M73" i="10"/>
  <c r="Q73" i="10" s="1"/>
  <c r="M93" i="10"/>
  <c r="Q93" i="10" s="1"/>
  <c r="M5" i="10"/>
  <c r="Q5" i="10" s="1"/>
  <c r="M80" i="10"/>
  <c r="Q80" i="10" s="1"/>
  <c r="M33" i="10"/>
  <c r="Q33" i="10" s="1"/>
  <c r="M70" i="10"/>
  <c r="Q70" i="10" s="1"/>
  <c r="I21" i="11"/>
  <c r="R20" i="11"/>
  <c r="H21" i="11"/>
  <c r="C14" i="11" s="1"/>
  <c r="Q20" i="11"/>
  <c r="L14" i="11" s="1"/>
  <c r="AP31" i="27"/>
  <c r="O30" i="27"/>
  <c r="P29" i="27"/>
  <c r="R29" i="27" s="1"/>
  <c r="AM32" i="27"/>
  <c r="AN32" i="27" s="1"/>
  <c r="AO32" i="27" s="1" a="1"/>
  <c r="AO32" i="27" s="1"/>
  <c r="AL33" i="27"/>
  <c r="O60" i="29"/>
  <c r="P59" i="29"/>
  <c r="R58" i="29"/>
  <c r="S58" i="29"/>
  <c r="AL64" i="29"/>
  <c r="AM63" i="29"/>
  <c r="U14" i="11"/>
  <c r="U14" i="10"/>
  <c r="W20" i="10"/>
  <c r="W27" i="11"/>
  <c r="E47" i="11"/>
  <c r="N50" i="10"/>
  <c r="E37" i="11"/>
  <c r="W58" i="11"/>
  <c r="W4" i="10"/>
  <c r="W33" i="11"/>
  <c r="N44" i="10"/>
  <c r="N92" i="10"/>
  <c r="N6" i="11"/>
  <c r="E43" i="10"/>
  <c r="N46" i="11"/>
  <c r="W49" i="10"/>
  <c r="AI12" i="46"/>
  <c r="E60" i="10"/>
  <c r="E28" i="11"/>
  <c r="E11" i="10"/>
  <c r="N82" i="11"/>
  <c r="E78" i="11"/>
  <c r="N53" i="11"/>
  <c r="E69" i="11"/>
  <c r="W45" i="11"/>
  <c r="W90" i="10"/>
  <c r="E45" i="11"/>
  <c r="N77" i="11"/>
  <c r="E41" i="11"/>
  <c r="N28" i="11"/>
  <c r="C26" i="33"/>
  <c r="W85" i="10"/>
  <c r="N38" i="10"/>
  <c r="W58" i="10"/>
  <c r="E26" i="10"/>
  <c r="E22" i="11"/>
  <c r="N76" i="10"/>
  <c r="N37" i="11"/>
  <c r="N73" i="10"/>
  <c r="E15" i="10"/>
  <c r="N60" i="10"/>
  <c r="N76" i="11"/>
  <c r="N73" i="11"/>
  <c r="W32" i="11"/>
  <c r="E10" i="10"/>
  <c r="N72" i="11"/>
  <c r="N17" i="10"/>
  <c r="W84" i="11"/>
  <c r="W39" i="10"/>
  <c r="E12" i="10"/>
  <c r="E57" i="11"/>
  <c r="W81" i="11"/>
  <c r="N61" i="11"/>
  <c r="W63" i="10"/>
  <c r="W56" i="11"/>
  <c r="N55" i="10"/>
  <c r="N28" i="10"/>
  <c r="N35" i="10"/>
  <c r="N85" i="10"/>
  <c r="E58" i="10"/>
  <c r="W36" i="11"/>
  <c r="N23" i="10"/>
  <c r="E20" i="10"/>
  <c r="W41" i="10"/>
  <c r="E83" i="10"/>
  <c r="AI12" i="27"/>
  <c r="W87" i="10"/>
  <c r="E17" i="10"/>
  <c r="E8" i="11"/>
  <c r="N64" i="11"/>
  <c r="N52" i="10"/>
  <c r="E10" i="11"/>
  <c r="E70" i="10"/>
  <c r="E15" i="11"/>
  <c r="W22" i="11"/>
  <c r="N14" i="11"/>
  <c r="W42" i="11"/>
  <c r="N12" i="10"/>
  <c r="N69" i="11"/>
  <c r="E42" i="11"/>
  <c r="N39" i="10"/>
  <c r="W14" i="10"/>
  <c r="N13" i="10"/>
  <c r="E33" i="10"/>
  <c r="E66" i="10"/>
  <c r="N54" i="11"/>
  <c r="W81" i="10"/>
  <c r="N57" i="10"/>
  <c r="W30" i="11"/>
  <c r="N10" i="11"/>
  <c r="E35" i="11"/>
  <c r="N50" i="11"/>
  <c r="E50" i="11"/>
  <c r="E38" i="10"/>
  <c r="E76" i="11"/>
  <c r="W69" i="10"/>
  <c r="W48" i="10"/>
  <c r="W30" i="10"/>
  <c r="N18" i="11"/>
  <c r="N92" i="11"/>
  <c r="E88" i="11"/>
  <c r="N87" i="11"/>
  <c r="N75" i="11"/>
  <c r="N26" i="10"/>
  <c r="E31" i="10"/>
  <c r="N13" i="11"/>
  <c r="W8" i="11"/>
  <c r="W23" i="10"/>
  <c r="N81" i="10"/>
  <c r="W15" i="11"/>
  <c r="N68" i="10"/>
  <c r="W29" i="11"/>
  <c r="W10" i="10"/>
  <c r="N45" i="11"/>
  <c r="W40" i="10"/>
  <c r="N61" i="10"/>
  <c r="W17" i="10"/>
  <c r="W36" i="10"/>
  <c r="W53" i="11"/>
  <c r="N16" i="10"/>
  <c r="E52" i="11"/>
  <c r="E63" i="10"/>
  <c r="N58" i="10"/>
  <c r="W41" i="11"/>
  <c r="W76" i="11"/>
  <c r="E30" i="10"/>
  <c r="N36" i="10"/>
  <c r="E19" i="11"/>
  <c r="N43" i="11"/>
  <c r="N10" i="10"/>
  <c r="E20" i="11"/>
  <c r="E26" i="33"/>
  <c r="W59" i="10"/>
  <c r="E49" i="11"/>
  <c r="E71" i="10"/>
  <c r="W87" i="11"/>
  <c r="W24" i="10"/>
  <c r="N51" i="10"/>
  <c r="N74" i="10"/>
  <c r="E12" i="11"/>
  <c r="W68" i="11"/>
  <c r="E11" i="11"/>
  <c r="N80" i="11"/>
  <c r="N12" i="11"/>
  <c r="E61" i="11"/>
  <c r="E5" i="10"/>
  <c r="E42" i="10"/>
  <c r="W93" i="10"/>
  <c r="E81" i="10"/>
  <c r="E82" i="10"/>
  <c r="E27" i="10"/>
  <c r="N36" i="11"/>
  <c r="E23" i="10"/>
  <c r="N62" i="10"/>
  <c r="E25" i="11"/>
  <c r="N91" i="10"/>
  <c r="W78" i="11"/>
  <c r="W49" i="11"/>
  <c r="E24" i="10"/>
  <c r="N77" i="10"/>
  <c r="E51" i="10"/>
  <c r="E4" i="11"/>
  <c r="N89" i="10"/>
  <c r="W45" i="10"/>
  <c r="W25" i="11"/>
  <c r="E81" i="11"/>
  <c r="N55" i="11"/>
  <c r="N44" i="11"/>
  <c r="W27" i="10"/>
  <c r="N30" i="11"/>
  <c r="W76" i="10"/>
  <c r="N79" i="11"/>
  <c r="N56" i="11"/>
  <c r="W62" i="11"/>
  <c r="W40" i="11"/>
  <c r="E39" i="11"/>
  <c r="W24" i="11"/>
  <c r="W63" i="11"/>
  <c r="N18" i="10"/>
  <c r="N59" i="11"/>
  <c r="E93" i="10"/>
  <c r="N37" i="10"/>
  <c r="E89" i="10"/>
  <c r="E85" i="10"/>
  <c r="E73" i="10"/>
  <c r="N56" i="10"/>
  <c r="W89" i="11"/>
  <c r="N78" i="11"/>
  <c r="E19" i="10"/>
  <c r="W47" i="11"/>
  <c r="E91" i="11"/>
  <c r="N63" i="11"/>
  <c r="N78" i="10"/>
  <c r="N25" i="11"/>
  <c r="E53" i="11"/>
  <c r="E83" i="11"/>
  <c r="W35" i="10"/>
  <c r="W22" i="10"/>
  <c r="W9" i="11"/>
  <c r="N67" i="11"/>
  <c r="N83" i="11"/>
  <c r="W7" i="11"/>
  <c r="E77" i="11"/>
  <c r="E9" i="10"/>
  <c r="E43" i="11"/>
  <c r="N21" i="11"/>
  <c r="W8" i="10"/>
  <c r="E59" i="10"/>
  <c r="E27" i="11"/>
  <c r="W82" i="10"/>
  <c r="E36" i="10"/>
  <c r="W93" i="11"/>
  <c r="W84" i="10"/>
  <c r="E71" i="11"/>
  <c r="E16" i="11"/>
  <c r="N88" i="10"/>
  <c r="E17" i="11"/>
  <c r="N34" i="11"/>
  <c r="W4" i="11"/>
  <c r="W43" i="10"/>
  <c r="E76" i="10"/>
  <c r="E74" i="11"/>
  <c r="E35" i="10"/>
  <c r="N90" i="11"/>
  <c r="W91" i="11"/>
  <c r="N43" i="10"/>
  <c r="W59" i="11"/>
  <c r="N8" i="10"/>
  <c r="E69" i="10"/>
  <c r="W70" i="11"/>
  <c r="W78" i="10"/>
  <c r="N35" i="11"/>
  <c r="N88" i="11"/>
  <c r="W32" i="10"/>
  <c r="N75" i="10"/>
  <c r="E25" i="10"/>
  <c r="W88" i="10"/>
  <c r="W44" i="11"/>
  <c r="N14" i="10"/>
  <c r="W73" i="10"/>
  <c r="W18" i="11"/>
  <c r="W91" i="10"/>
  <c r="W79" i="11"/>
  <c r="N87" i="10"/>
  <c r="E40" i="10"/>
  <c r="E72" i="11"/>
  <c r="E73" i="11"/>
  <c r="E14" i="11"/>
  <c r="W73" i="11"/>
  <c r="E54" i="10"/>
  <c r="W10" i="11"/>
  <c r="N74" i="11"/>
  <c r="E65" i="10"/>
  <c r="N58" i="11"/>
  <c r="W72" i="10"/>
  <c r="N70" i="10"/>
  <c r="N6" i="10"/>
  <c r="W75" i="10"/>
  <c r="N49" i="11"/>
  <c r="E68" i="11"/>
  <c r="N9" i="10"/>
  <c r="N24" i="11"/>
  <c r="E40" i="11"/>
  <c r="W7" i="10"/>
  <c r="W25" i="10"/>
  <c r="N48" i="11"/>
  <c r="W65" i="10"/>
  <c r="W90" i="11"/>
  <c r="E13" i="11"/>
  <c r="E86" i="10"/>
  <c r="E58" i="11"/>
  <c r="N40" i="10"/>
  <c r="E63" i="11"/>
  <c r="W61" i="11"/>
  <c r="E49" i="10"/>
  <c r="N69" i="10"/>
  <c r="W34" i="11"/>
  <c r="W86" i="11"/>
  <c r="N80" i="10"/>
  <c r="E26" i="11"/>
  <c r="E34" i="10"/>
  <c r="N30" i="10"/>
  <c r="N90" i="10"/>
  <c r="N4" i="11"/>
  <c r="N38" i="11"/>
  <c r="N34" i="10"/>
  <c r="N93" i="11"/>
  <c r="W75" i="11"/>
  <c r="E41" i="10"/>
  <c r="W57" i="10"/>
  <c r="W13" i="11"/>
  <c r="W55" i="11"/>
  <c r="N65" i="11"/>
  <c r="N19" i="11"/>
  <c r="E52" i="10"/>
  <c r="W51" i="10"/>
  <c r="W28" i="11"/>
  <c r="W79" i="10"/>
  <c r="E62" i="10"/>
  <c r="E92" i="10"/>
  <c r="W21" i="10"/>
  <c r="N5" i="11"/>
  <c r="E29" i="10"/>
  <c r="W31" i="10"/>
  <c r="E44" i="10"/>
  <c r="E18" i="10"/>
  <c r="E86" i="11"/>
  <c r="W57" i="11"/>
  <c r="W33" i="10"/>
  <c r="E45" i="10"/>
  <c r="E37" i="10"/>
  <c r="W52" i="11"/>
  <c r="W55" i="10"/>
  <c r="W67" i="10"/>
  <c r="W23" i="11"/>
  <c r="E50" i="10"/>
  <c r="E23" i="11"/>
  <c r="W9" i="10"/>
  <c r="W51" i="11"/>
  <c r="W83" i="11"/>
  <c r="E90" i="11"/>
  <c r="N29" i="11"/>
  <c r="N27" i="11"/>
  <c r="W82" i="11"/>
  <c r="E47" i="10"/>
  <c r="E61" i="10"/>
  <c r="E48" i="10"/>
  <c r="W21" i="11"/>
  <c r="W42" i="10"/>
  <c r="W26" i="11"/>
  <c r="W77" i="10"/>
  <c r="N81" i="11"/>
  <c r="E36" i="11"/>
  <c r="W46" i="11"/>
  <c r="N22" i="11"/>
  <c r="W6" i="11"/>
  <c r="W6" i="10"/>
  <c r="W37" i="11"/>
  <c r="W20" i="11"/>
  <c r="E46" i="10"/>
  <c r="W92" i="10"/>
  <c r="E29" i="11"/>
  <c r="W50" i="10"/>
  <c r="N42" i="11"/>
  <c r="W80" i="10"/>
  <c r="E38" i="11"/>
  <c r="W46" i="10"/>
  <c r="E64" i="11"/>
  <c r="E32" i="11"/>
  <c r="W89" i="10"/>
  <c r="N4" i="10"/>
  <c r="E54" i="11"/>
  <c r="N11" i="10"/>
  <c r="W16" i="10"/>
  <c r="N93" i="10"/>
  <c r="W69" i="11"/>
  <c r="N26" i="11"/>
  <c r="N57" i="11"/>
  <c r="E67" i="10"/>
  <c r="E28" i="10"/>
  <c r="W48" i="11"/>
  <c r="N62" i="11"/>
  <c r="N32" i="11"/>
  <c r="E65" i="11"/>
  <c r="E21" i="10"/>
  <c r="N79" i="10"/>
  <c r="N41" i="10"/>
  <c r="E75" i="10"/>
  <c r="N31" i="10"/>
  <c r="W5" i="11"/>
  <c r="E34" i="11"/>
  <c r="E60" i="11"/>
  <c r="W37" i="10"/>
  <c r="W71" i="11"/>
  <c r="E46" i="11"/>
  <c r="W19" i="10"/>
  <c r="W12" i="10"/>
  <c r="W15" i="10"/>
  <c r="W92" i="11"/>
  <c r="N84" i="10"/>
  <c r="E9" i="11"/>
  <c r="E59" i="11"/>
  <c r="W77" i="11"/>
  <c r="E33" i="11"/>
  <c r="E8" i="10"/>
  <c r="W56" i="10"/>
  <c r="W12" i="11"/>
  <c r="N71" i="10"/>
  <c r="E22" i="10"/>
  <c r="E14" i="10"/>
  <c r="E32" i="10"/>
  <c r="E84" i="10"/>
  <c r="N25" i="10"/>
  <c r="N21" i="10"/>
  <c r="E79" i="11"/>
  <c r="N8" i="11"/>
  <c r="N31" i="11"/>
  <c r="E89" i="11"/>
  <c r="N23" i="11"/>
  <c r="E5" i="11"/>
  <c r="W61" i="10"/>
  <c r="N42" i="10"/>
  <c r="W14" i="11"/>
  <c r="N51" i="11"/>
  <c r="N91" i="11"/>
  <c r="E56" i="11"/>
  <c r="N84" i="11"/>
  <c r="N41" i="11"/>
  <c r="W11" i="11"/>
  <c r="E16" i="10"/>
  <c r="E53" i="10"/>
  <c r="E55" i="10"/>
  <c r="E13" i="10"/>
  <c r="W26" i="10"/>
  <c r="N16" i="11"/>
  <c r="W64" i="10"/>
  <c r="E7" i="11"/>
  <c r="E18" i="11"/>
  <c r="W66" i="11"/>
  <c r="W74" i="10"/>
  <c r="N49" i="10"/>
  <c r="N86" i="11"/>
  <c r="W38" i="10"/>
  <c r="E92" i="11"/>
  <c r="W43" i="11"/>
  <c r="N72" i="10"/>
  <c r="E80" i="10"/>
  <c r="N52" i="11"/>
  <c r="W60" i="11"/>
  <c r="E55" i="11"/>
  <c r="E24" i="11"/>
  <c r="W88" i="11"/>
  <c r="N64" i="10"/>
  <c r="W66" i="10"/>
  <c r="E87" i="11"/>
  <c r="W74" i="11"/>
  <c r="E6" i="10"/>
  <c r="N20" i="10"/>
  <c r="N47" i="10"/>
  <c r="N89" i="11"/>
  <c r="N45" i="10"/>
  <c r="E4" i="10"/>
  <c r="N82" i="10"/>
  <c r="N67" i="10"/>
  <c r="E62" i="11"/>
  <c r="AI7" i="29" a="1"/>
  <c r="W39" i="11"/>
  <c r="E64" i="10"/>
  <c r="W67" i="11"/>
  <c r="N33" i="10"/>
  <c r="N7" i="11"/>
  <c r="N29" i="10"/>
  <c r="N85" i="11"/>
  <c r="N59" i="10"/>
  <c r="E84" i="11"/>
  <c r="W11" i="10"/>
  <c r="N54" i="10"/>
  <c r="N15" i="11"/>
  <c r="W13" i="10"/>
  <c r="N39" i="11"/>
  <c r="E90" i="10"/>
  <c r="E80" i="11"/>
  <c r="E79" i="10"/>
  <c r="AI12" i="47"/>
  <c r="E93" i="11"/>
  <c r="N53" i="10"/>
  <c r="W5" i="10"/>
  <c r="W18" i="10"/>
  <c r="E82" i="11"/>
  <c r="E66" i="11"/>
  <c r="E68" i="10"/>
  <c r="N22" i="10"/>
  <c r="E67" i="11"/>
  <c r="E30" i="11"/>
  <c r="W52" i="10"/>
  <c r="N15" i="10"/>
  <c r="N70" i="11"/>
  <c r="N66" i="11"/>
  <c r="W47" i="10"/>
  <c r="W65" i="11"/>
  <c r="N65" i="10"/>
  <c r="N11" i="11"/>
  <c r="W34" i="10"/>
  <c r="W17" i="11"/>
  <c r="W80" i="11"/>
  <c r="N83" i="10"/>
  <c r="E7" i="10"/>
  <c r="W60" i="10"/>
  <c r="E72" i="10"/>
  <c r="E85" i="11"/>
  <c r="W29" i="10"/>
  <c r="E74" i="10"/>
  <c r="N7" i="10"/>
  <c r="W54" i="10"/>
  <c r="E56" i="10"/>
  <c r="W64" i="11"/>
  <c r="N32" i="10"/>
  <c r="E6" i="11"/>
  <c r="N46" i="10"/>
  <c r="N27" i="10"/>
  <c r="E91" i="10"/>
  <c r="W44" i="10"/>
  <c r="N71" i="11"/>
  <c r="W70" i="10"/>
  <c r="N40" i="11"/>
  <c r="N86" i="10"/>
  <c r="W19" i="11"/>
  <c r="N63" i="10"/>
  <c r="E88" i="10"/>
  <c r="E75" i="11"/>
  <c r="E48" i="11"/>
  <c r="W53" i="10"/>
  <c r="E70" i="11"/>
  <c r="W38" i="11"/>
  <c r="W50" i="11"/>
  <c r="E87" i="10"/>
  <c r="E57" i="10"/>
  <c r="E39" i="10"/>
  <c r="N68" i="11"/>
  <c r="E51" i="11"/>
  <c r="W35" i="11"/>
  <c r="N19" i="10"/>
  <c r="W68" i="10"/>
  <c r="N33" i="11"/>
  <c r="N47" i="11"/>
  <c r="W54" i="11"/>
  <c r="W83" i="10"/>
  <c r="N66" i="10"/>
  <c r="W28" i="10"/>
  <c r="W72" i="11"/>
  <c r="W62" i="10"/>
  <c r="W16" i="11"/>
  <c r="N24" i="10"/>
  <c r="AI12" i="29"/>
  <c r="N5" i="10"/>
  <c r="W85" i="11"/>
  <c r="N48" i="10"/>
  <c r="N9" i="11"/>
  <c r="W71" i="10"/>
  <c r="N17" i="11"/>
  <c r="E77" i="10"/>
  <c r="E78" i="10"/>
  <c r="N60" i="11"/>
  <c r="E31" i="11"/>
  <c r="E44" i="11"/>
  <c r="W31" i="11"/>
  <c r="W86" i="10"/>
  <c r="AI13" i="45"/>
  <c r="C14" i="43" l="1"/>
  <c r="U14" i="43"/>
  <c r="L14" i="43"/>
  <c r="F4" i="33"/>
  <c r="C14" i="10"/>
  <c r="L14" i="10"/>
  <c r="AI7" i="29"/>
  <c r="AI9" i="29"/>
  <c r="AI8" i="29"/>
  <c r="AP32" i="27"/>
  <c r="P30" i="27"/>
  <c r="R30" i="27" s="1"/>
  <c r="O31" i="27"/>
  <c r="AM33" i="27"/>
  <c r="AN33" i="27" s="1"/>
  <c r="AO33" i="27" s="1" a="1"/>
  <c r="AO33" i="27" s="1"/>
  <c r="AL34" i="27"/>
  <c r="R59" i="29"/>
  <c r="S59" i="29"/>
  <c r="O61" i="29"/>
  <c r="P60" i="29"/>
  <c r="AO63" i="29" a="1"/>
  <c r="AN63" i="29"/>
  <c r="AM64" i="29"/>
  <c r="AL65" i="29"/>
  <c r="R4" i="10"/>
  <c r="AA4" i="11"/>
  <c r="I4" i="11"/>
  <c r="AA4" i="10"/>
  <c r="R4" i="11"/>
  <c r="AA62" i="10"/>
  <c r="AA19" i="11"/>
  <c r="AA25" i="10"/>
  <c r="AA51" i="10"/>
  <c r="R50" i="11"/>
  <c r="I26" i="11"/>
  <c r="AA27" i="11"/>
  <c r="AA16" i="11"/>
  <c r="AA14" i="11"/>
  <c r="I23" i="11"/>
  <c r="AA54" i="10"/>
  <c r="AA8" i="10"/>
  <c r="I29" i="11"/>
  <c r="AA13" i="10"/>
  <c r="AA7" i="11"/>
  <c r="R24" i="11"/>
  <c r="AA38" i="10"/>
  <c r="I24" i="11"/>
  <c r="I13" i="11"/>
  <c r="R7" i="11"/>
  <c r="AA60" i="10"/>
  <c r="R14" i="11"/>
  <c r="AA57" i="10"/>
  <c r="AA45" i="11"/>
  <c r="I19" i="11"/>
  <c r="AA8" i="11"/>
  <c r="AA33" i="10"/>
  <c r="I33" i="11"/>
  <c r="I12" i="11"/>
  <c r="R32" i="11"/>
  <c r="R12" i="11"/>
  <c r="AA11" i="11"/>
  <c r="R58" i="11"/>
  <c r="I32" i="11"/>
  <c r="I37" i="11"/>
  <c r="R45" i="11"/>
  <c r="AA36" i="10"/>
  <c r="AA17" i="10"/>
  <c r="I34" i="11"/>
  <c r="R51" i="11"/>
  <c r="I10" i="11"/>
  <c r="R21" i="11"/>
  <c r="AA61" i="10"/>
  <c r="R43" i="11"/>
  <c r="I8" i="11"/>
  <c r="AA65" i="10"/>
  <c r="I7" i="11"/>
  <c r="I40" i="11"/>
  <c r="AA15" i="10"/>
  <c r="R37" i="11"/>
  <c r="R6" i="11"/>
  <c r="AA5" i="10"/>
  <c r="AA29" i="11"/>
  <c r="AA42" i="11"/>
  <c r="R59" i="11"/>
  <c r="I30" i="11"/>
  <c r="R23" i="11"/>
  <c r="R36" i="11"/>
  <c r="AA28" i="11"/>
  <c r="AA41" i="10"/>
  <c r="I18" i="11"/>
  <c r="AA17" i="11"/>
  <c r="AA34" i="10"/>
  <c r="AA35" i="11"/>
  <c r="I27" i="11"/>
  <c r="R46" i="11"/>
  <c r="R44" i="11"/>
  <c r="AA24" i="11"/>
  <c r="AA58" i="11"/>
  <c r="R33" i="11"/>
  <c r="AA63" i="10"/>
  <c r="R54" i="11"/>
  <c r="AA47" i="11"/>
  <c r="AA7" i="10"/>
  <c r="AA66" i="10"/>
  <c r="R22" i="11"/>
  <c r="AA40" i="11"/>
  <c r="I25" i="11"/>
  <c r="I39" i="11"/>
  <c r="R5" i="11"/>
  <c r="AA56" i="10"/>
  <c r="AA28" i="10"/>
  <c r="AA46" i="11"/>
  <c r="I5" i="11"/>
  <c r="I6" i="11"/>
  <c r="I9" i="11"/>
  <c r="AA55" i="11"/>
  <c r="R41" i="11"/>
  <c r="I17" i="11"/>
  <c r="AA21" i="11"/>
  <c r="R55" i="11"/>
  <c r="I14" i="11"/>
  <c r="I11" i="11"/>
  <c r="AA64" i="10"/>
  <c r="AA67" i="10"/>
  <c r="R11" i="11"/>
  <c r="AA31" i="10"/>
  <c r="AA52" i="10"/>
  <c r="AA45" i="10"/>
  <c r="AA59" i="10"/>
  <c r="R17" i="11"/>
  <c r="AA48" i="10"/>
  <c r="AA26" i="11"/>
  <c r="AA5" i="11"/>
  <c r="AA15" i="11"/>
  <c r="AA14" i="10"/>
  <c r="AA32" i="10"/>
  <c r="AA47" i="10"/>
  <c r="AA6" i="10"/>
  <c r="I41" i="11"/>
  <c r="AA55" i="10"/>
  <c r="I28" i="11"/>
  <c r="I42" i="11"/>
  <c r="AA31" i="11"/>
  <c r="AA20" i="10"/>
  <c r="AA9" i="11"/>
  <c r="AA59" i="11"/>
  <c r="AA42" i="10"/>
  <c r="R31" i="11"/>
  <c r="R47" i="11"/>
  <c r="AA10" i="11"/>
  <c r="AA49" i="10"/>
  <c r="R65" i="10"/>
  <c r="R32" i="10"/>
  <c r="R22" i="10"/>
  <c r="AA21" i="10"/>
  <c r="AA20" i="11"/>
  <c r="AA30" i="11"/>
  <c r="AA26" i="10"/>
  <c r="AA41" i="11"/>
  <c r="R39" i="11"/>
  <c r="AA11" i="10"/>
  <c r="R56" i="11"/>
  <c r="R47" i="10"/>
  <c r="R30" i="11"/>
  <c r="R67" i="10"/>
  <c r="R20" i="10"/>
  <c r="R38" i="11"/>
  <c r="AA12" i="11"/>
  <c r="R52" i="11"/>
  <c r="R26" i="11"/>
  <c r="AA33" i="11"/>
  <c r="AA22" i="10"/>
  <c r="AA58" i="10"/>
  <c r="AA29" i="10"/>
  <c r="AA43" i="11"/>
  <c r="AA56" i="11"/>
  <c r="R48" i="11"/>
  <c r="I16" i="11"/>
  <c r="AA19" i="10"/>
  <c r="AA25" i="11"/>
  <c r="I36" i="11"/>
  <c r="AA46" i="10"/>
  <c r="AA57" i="11"/>
  <c r="AA39" i="10"/>
  <c r="R16" i="10"/>
  <c r="R31" i="10"/>
  <c r="AA24" i="10"/>
  <c r="R29" i="10"/>
  <c r="R8" i="11"/>
  <c r="AA44" i="10"/>
  <c r="R13" i="11"/>
  <c r="AA51" i="11"/>
  <c r="I38" i="11"/>
  <c r="R19" i="10"/>
  <c r="R25" i="11"/>
  <c r="R66" i="10"/>
  <c r="R19" i="11"/>
  <c r="AA18" i="11"/>
  <c r="R13" i="10"/>
  <c r="AA68" i="10"/>
  <c r="R57" i="10"/>
  <c r="R18" i="11"/>
  <c r="AA37" i="11"/>
  <c r="AA54" i="11"/>
  <c r="R55" i="10"/>
  <c r="AA36" i="11"/>
  <c r="R28" i="10"/>
  <c r="AA49" i="11"/>
  <c r="R48" i="10"/>
  <c r="R56" i="10"/>
  <c r="AA39" i="11"/>
  <c r="AA16" i="10"/>
  <c r="I22" i="11"/>
  <c r="AA34" i="11"/>
  <c r="R30" i="10"/>
  <c r="AA53" i="11"/>
  <c r="AA48" i="11"/>
  <c r="I35" i="11"/>
  <c r="R37" i="10"/>
  <c r="R29" i="11"/>
  <c r="R18" i="10"/>
  <c r="I20" i="11"/>
  <c r="AA35" i="10"/>
  <c r="R10" i="11"/>
  <c r="R42" i="10"/>
  <c r="R16" i="11"/>
  <c r="AA50" i="10"/>
  <c r="AA43" i="10"/>
  <c r="AA32" i="11"/>
  <c r="AA40" i="10"/>
  <c r="R51" i="10"/>
  <c r="AA13" i="11"/>
  <c r="AA27" i="10"/>
  <c r="AA53" i="10"/>
  <c r="R49" i="11"/>
  <c r="R15" i="10"/>
  <c r="R49" i="10"/>
  <c r="R28" i="11"/>
  <c r="AA12" i="10"/>
  <c r="R35" i="11"/>
  <c r="AA6" i="11"/>
  <c r="AA23" i="10"/>
  <c r="R40" i="11"/>
  <c r="AA23" i="11"/>
  <c r="R34" i="11"/>
  <c r="AA38" i="11"/>
  <c r="R35" i="10"/>
  <c r="R42" i="11"/>
  <c r="R52" i="10"/>
  <c r="AA9" i="10"/>
  <c r="AA30" i="10"/>
  <c r="R50" i="10"/>
  <c r="AA50" i="11"/>
  <c r="I15" i="11"/>
  <c r="R57" i="11"/>
  <c r="AA44" i="11"/>
  <c r="AA22" i="11"/>
  <c r="R43" i="10"/>
  <c r="R63" i="10"/>
  <c r="AA18" i="10"/>
  <c r="AA10" i="10"/>
  <c r="R10" i="10"/>
  <c r="R61" i="10"/>
  <c r="R40" i="10"/>
  <c r="R36" i="10"/>
  <c r="R27" i="11"/>
  <c r="R44" i="10"/>
  <c r="R15" i="11"/>
  <c r="I31" i="11"/>
  <c r="AA52" i="11"/>
  <c r="R53" i="11"/>
  <c r="AA37" i="10"/>
  <c r="R9" i="11"/>
  <c r="R25" i="10"/>
  <c r="R27" i="10"/>
  <c r="I54" i="10"/>
  <c r="R5" i="10"/>
  <c r="R26" i="10"/>
  <c r="I52" i="10"/>
  <c r="R12" i="10"/>
  <c r="I33" i="10"/>
  <c r="I13" i="10"/>
  <c r="R23" i="10"/>
  <c r="I60" i="10"/>
  <c r="I51" i="10"/>
  <c r="R17" i="10"/>
  <c r="I22" i="10"/>
  <c r="R46" i="10"/>
  <c r="R38" i="10"/>
  <c r="R53" i="10"/>
  <c r="I37" i="10"/>
  <c r="I12" i="10"/>
  <c r="I17" i="10"/>
  <c r="R45" i="10"/>
  <c r="I35" i="10"/>
  <c r="R6" i="10"/>
  <c r="I26" i="10"/>
  <c r="R7" i="10"/>
  <c r="I5" i="10"/>
  <c r="I19" i="10"/>
  <c r="R41" i="10"/>
  <c r="R34" i="10"/>
  <c r="I4" i="10"/>
  <c r="R64" i="10"/>
  <c r="I66" i="10"/>
  <c r="I58" i="10"/>
  <c r="I7" i="10"/>
  <c r="R11" i="10"/>
  <c r="R39" i="10"/>
  <c r="I27" i="10"/>
  <c r="R62" i="10"/>
  <c r="I16" i="10"/>
  <c r="R59" i="10"/>
  <c r="I63" i="10"/>
  <c r="I11" i="10"/>
  <c r="R68" i="10"/>
  <c r="I32" i="10"/>
  <c r="R9" i="10"/>
  <c r="I6" i="10"/>
  <c r="R33" i="10"/>
  <c r="R58" i="10"/>
  <c r="I20" i="10"/>
  <c r="R21" i="10"/>
  <c r="I23" i="10"/>
  <c r="R24" i="10"/>
  <c r="R8" i="10"/>
  <c r="I45" i="10"/>
  <c r="I25" i="10"/>
  <c r="I34" i="10"/>
  <c r="I49" i="10"/>
  <c r="I31" i="10"/>
  <c r="I47" i="10"/>
  <c r="R14" i="10"/>
  <c r="I59" i="10"/>
  <c r="I9" i="10"/>
  <c r="R54" i="10"/>
  <c r="I42" i="10"/>
  <c r="I18" i="10"/>
  <c r="I29" i="10"/>
  <c r="I43" i="10"/>
  <c r="I50" i="10"/>
  <c r="R60" i="10"/>
  <c r="I46" i="10"/>
  <c r="I41" i="10"/>
  <c r="I64" i="10"/>
  <c r="I65" i="10"/>
  <c r="I62" i="10"/>
  <c r="I30" i="10"/>
  <c r="I53" i="10"/>
  <c r="I61" i="10"/>
  <c r="I28" i="10"/>
  <c r="I40" i="10"/>
  <c r="I38" i="10"/>
  <c r="I57" i="10"/>
  <c r="I8" i="10"/>
  <c r="I48" i="10"/>
  <c r="I24" i="10"/>
  <c r="I44" i="10"/>
  <c r="I39" i="10"/>
  <c r="I21" i="10"/>
  <c r="I15" i="10"/>
  <c r="I10" i="10"/>
  <c r="I36" i="10"/>
  <c r="I56" i="10"/>
  <c r="I14" i="10"/>
  <c r="I55" i="10"/>
  <c r="AA85" i="11"/>
  <c r="I68" i="11"/>
  <c r="I70" i="10"/>
  <c r="AA71" i="10"/>
  <c r="I67" i="10"/>
  <c r="AA92" i="10"/>
  <c r="I44" i="11"/>
  <c r="I69" i="10"/>
  <c r="I59" i="11"/>
  <c r="R81" i="11"/>
  <c r="AA63" i="11"/>
  <c r="R60" i="11"/>
  <c r="R66" i="11"/>
  <c r="R75" i="11"/>
  <c r="AA61" i="11"/>
  <c r="AA86" i="11"/>
  <c r="I46" i="11"/>
  <c r="AA70" i="10"/>
  <c r="I62" i="11"/>
  <c r="I65" i="11"/>
  <c r="I63" i="11"/>
  <c r="R81" i="10"/>
  <c r="AA90" i="11"/>
  <c r="R62" i="11"/>
  <c r="I84" i="11"/>
  <c r="I77" i="10"/>
  <c r="AA89" i="11"/>
  <c r="AA81" i="10"/>
  <c r="I84" i="10"/>
  <c r="R82" i="10"/>
  <c r="I86" i="11"/>
  <c r="I76" i="11"/>
  <c r="I81" i="11"/>
  <c r="AA93" i="11"/>
  <c r="I87" i="11"/>
  <c r="AA65" i="11"/>
  <c r="I74" i="11"/>
  <c r="AA88" i="10"/>
  <c r="I90" i="11"/>
  <c r="I57" i="11"/>
  <c r="I88" i="10"/>
  <c r="AA76" i="10"/>
  <c r="R93" i="10"/>
  <c r="R71" i="10"/>
  <c r="I76" i="10"/>
  <c r="I66" i="11"/>
  <c r="I80" i="10"/>
  <c r="R83" i="10"/>
  <c r="AA90" i="10"/>
  <c r="R87" i="10"/>
  <c r="AA85" i="10"/>
  <c r="I71" i="11"/>
  <c r="R88" i="11"/>
  <c r="I89" i="10"/>
  <c r="R80" i="11"/>
  <c r="R92" i="11"/>
  <c r="AA80" i="11"/>
  <c r="I70" i="11"/>
  <c r="R78" i="11"/>
  <c r="I75" i="11"/>
  <c r="R85" i="10"/>
  <c r="AA87" i="10"/>
  <c r="R79" i="10"/>
  <c r="AA91" i="10"/>
  <c r="R76" i="10"/>
  <c r="I77" i="11"/>
  <c r="AA79" i="11"/>
  <c r="R76" i="11"/>
  <c r="R65" i="11"/>
  <c r="I81" i="10"/>
  <c r="I49" i="11"/>
  <c r="R79" i="11"/>
  <c r="I91" i="11"/>
  <c r="R83" i="11"/>
  <c r="R63" i="11"/>
  <c r="R84" i="11"/>
  <c r="AA64" i="11"/>
  <c r="R70" i="10"/>
  <c r="I67" i="11"/>
  <c r="R71" i="11"/>
  <c r="I78" i="10"/>
  <c r="AA81" i="11"/>
  <c r="I51" i="11"/>
  <c r="R74" i="11"/>
  <c r="R68" i="11"/>
  <c r="R90" i="11"/>
  <c r="R88" i="10"/>
  <c r="R93" i="11"/>
  <c r="AA76" i="11"/>
  <c r="I61" i="11"/>
  <c r="R85" i="11"/>
  <c r="AA71" i="11"/>
  <c r="AA78" i="11"/>
  <c r="R61" i="11"/>
  <c r="AA83" i="11"/>
  <c r="I83" i="10"/>
  <c r="AA73" i="10"/>
  <c r="R64" i="11"/>
  <c r="R70" i="11"/>
  <c r="I52" i="11"/>
  <c r="I75" i="10"/>
  <c r="R84" i="10"/>
  <c r="I53" i="11"/>
  <c r="I56" i="11"/>
  <c r="R89" i="10"/>
  <c r="R74" i="10"/>
  <c r="I50" i="11"/>
  <c r="AA80" i="10"/>
  <c r="I93" i="11"/>
  <c r="AA79" i="10"/>
  <c r="R72" i="11"/>
  <c r="I47" i="11"/>
  <c r="I87" i="10"/>
  <c r="I90" i="10"/>
  <c r="I92" i="10"/>
  <c r="R73" i="11"/>
  <c r="R78" i="10"/>
  <c r="R89" i="11"/>
  <c r="I60" i="11"/>
  <c r="R90" i="10"/>
  <c r="R91" i="11"/>
  <c r="AA86" i="10"/>
  <c r="R77" i="10"/>
  <c r="AA91" i="11"/>
  <c r="I82" i="10"/>
  <c r="I71" i="10"/>
  <c r="I68" i="10"/>
  <c r="AA75" i="10"/>
  <c r="AA73" i="11"/>
  <c r="AA78" i="10"/>
  <c r="R87" i="11"/>
  <c r="AA72" i="11"/>
  <c r="R75" i="10"/>
  <c r="I83" i="11"/>
  <c r="AA77" i="10"/>
  <c r="I48" i="11"/>
  <c r="I88" i="11"/>
  <c r="I69" i="11"/>
  <c r="I93" i="10"/>
  <c r="R67" i="11"/>
  <c r="R91" i="10"/>
  <c r="I55" i="11"/>
  <c r="I58" i="11"/>
  <c r="AA74" i="10"/>
  <c r="R69" i="11"/>
  <c r="R86" i="10"/>
  <c r="R72" i="10"/>
  <c r="AA72" i="10"/>
  <c r="I79" i="11"/>
  <c r="R69" i="10"/>
  <c r="AA92" i="11"/>
  <c r="AA82" i="11"/>
  <c r="R82" i="11"/>
  <c r="R92" i="10"/>
  <c r="R77" i="11"/>
  <c r="I72" i="11"/>
  <c r="I78" i="11"/>
  <c r="I45" i="11"/>
  <c r="I72" i="10"/>
  <c r="R73" i="10"/>
  <c r="AA84" i="11"/>
  <c r="AA66" i="11"/>
  <c r="AA88" i="11"/>
  <c r="I74" i="10"/>
  <c r="AA93" i="10"/>
  <c r="I79" i="10"/>
  <c r="I89" i="11"/>
  <c r="R80" i="10"/>
  <c r="I73" i="10"/>
  <c r="AA62" i="11"/>
  <c r="I80" i="11"/>
  <c r="AA82" i="10"/>
  <c r="AA69" i="10"/>
  <c r="AA83" i="10"/>
  <c r="AA87" i="11"/>
  <c r="AA75" i="11"/>
  <c r="AA69" i="11"/>
  <c r="I85" i="10"/>
  <c r="I82" i="11"/>
  <c r="AA74" i="11"/>
  <c r="I73" i="11"/>
  <c r="AA67" i="11"/>
  <c r="AA70" i="11"/>
  <c r="I54" i="11"/>
  <c r="I91" i="10"/>
  <c r="I64" i="11"/>
  <c r="R86" i="11"/>
  <c r="I43" i="11"/>
  <c r="AA84" i="10"/>
  <c r="I92" i="11"/>
  <c r="AA89" i="10"/>
  <c r="AA68" i="11"/>
  <c r="AA60" i="11"/>
  <c r="AA77" i="11"/>
  <c r="I86" i="10"/>
  <c r="I85" i="11"/>
  <c r="C15" i="43"/>
  <c r="U15" i="43"/>
  <c r="AI16" i="45"/>
  <c r="L15" i="11"/>
  <c r="L15" i="43"/>
  <c r="AI13" i="47"/>
  <c r="C15" i="11"/>
  <c r="AI13" i="46"/>
  <c r="U15" i="10"/>
  <c r="U15" i="11"/>
  <c r="AI15" i="45"/>
  <c r="AI14" i="45"/>
  <c r="AI13" i="44"/>
  <c r="C15" i="10"/>
  <c r="L15" i="10"/>
  <c r="AI13" i="29"/>
  <c r="AP33" i="27" l="1"/>
  <c r="AM34" i="27"/>
  <c r="AN34" i="27" s="1"/>
  <c r="AO34" i="27" s="1" a="1"/>
  <c r="AP34" i="27" s="1"/>
  <c r="AL35" i="27"/>
  <c r="P31" i="27"/>
  <c r="R31" i="27" s="1"/>
  <c r="O32" i="27"/>
  <c r="AP63" i="29"/>
  <c r="AO63" i="29"/>
  <c r="R60" i="29"/>
  <c r="S60" i="29"/>
  <c r="AM65" i="29"/>
  <c r="AL66" i="29"/>
  <c r="P61" i="29"/>
  <c r="O62" i="29"/>
  <c r="AO64" i="29" a="1"/>
  <c r="AN64" i="29"/>
  <c r="AI16" i="44"/>
  <c r="AI15" i="29"/>
  <c r="AI18" i="45"/>
  <c r="AI16" i="29"/>
  <c r="AI17" i="45"/>
  <c r="AI16" i="47"/>
  <c r="AI14" i="44"/>
  <c r="AI15" i="46"/>
  <c r="AI16" i="46"/>
  <c r="AI14" i="29"/>
  <c r="AI15" i="44"/>
  <c r="AI14" i="46"/>
  <c r="AI14" i="47"/>
  <c r="AI15" i="47"/>
  <c r="I3" i="46" l="1" a="1"/>
  <c r="I3" i="45" a="1"/>
  <c r="AO34" i="27"/>
  <c r="P32" i="27"/>
  <c r="R32" i="27" s="1"/>
  <c r="O33" i="27"/>
  <c r="AL36" i="27"/>
  <c r="AM35" i="27"/>
  <c r="AN35" i="27" s="1"/>
  <c r="AO35" i="27" s="1" a="1"/>
  <c r="AP35" i="27" s="1"/>
  <c r="AM66" i="29"/>
  <c r="AL67" i="29"/>
  <c r="AO65" i="29" a="1"/>
  <c r="AN65" i="29"/>
  <c r="AP64" i="29"/>
  <c r="AO64" i="29"/>
  <c r="P62" i="29"/>
  <c r="O63" i="29"/>
  <c r="S61" i="29"/>
  <c r="R61" i="29"/>
  <c r="AI17" i="47"/>
  <c r="AI18" i="47"/>
  <c r="AI17" i="46"/>
  <c r="AI17" i="29"/>
  <c r="AI17" i="44"/>
  <c r="AI18" i="46"/>
  <c r="AI18" i="44"/>
  <c r="AI18" i="29"/>
  <c r="I3" i="47" l="1" a="1"/>
  <c r="I4" i="46"/>
  <c r="I3" i="46"/>
  <c r="I3" i="45"/>
  <c r="I4" i="45"/>
  <c r="I3" i="44" a="1"/>
  <c r="I3" i="29" a="1"/>
  <c r="AO35" i="27"/>
  <c r="AM36" i="27"/>
  <c r="AN36" i="27" s="1"/>
  <c r="AO36" i="27" s="1" a="1"/>
  <c r="AP36" i="27" s="1"/>
  <c r="AL37" i="27"/>
  <c r="P33" i="27"/>
  <c r="R33" i="27" s="1"/>
  <c r="O34" i="27"/>
  <c r="AP65" i="29"/>
  <c r="AO65" i="29"/>
  <c r="AL68" i="29"/>
  <c r="AM67" i="29"/>
  <c r="AO66" i="29" a="1"/>
  <c r="AN66" i="29"/>
  <c r="O64" i="29"/>
  <c r="P63" i="29"/>
  <c r="R62" i="29"/>
  <c r="S62" i="29"/>
  <c r="I3" i="47" l="1"/>
  <c r="I4" i="47"/>
  <c r="L3" i="46"/>
  <c r="S3" i="46" s="1"/>
  <c r="AI19" i="46"/>
  <c r="L4" i="46"/>
  <c r="S4" i="46" s="1"/>
  <c r="AI20" i="46"/>
  <c r="L4" i="45"/>
  <c r="S4" i="45" s="1"/>
  <c r="AI20" i="45"/>
  <c r="L3" i="45"/>
  <c r="S3" i="45" s="1"/>
  <c r="AI19" i="45"/>
  <c r="I4" i="44"/>
  <c r="I3" i="44"/>
  <c r="I3" i="29"/>
  <c r="AI19" i="29" s="1"/>
  <c r="I4" i="29"/>
  <c r="L4" i="29" s="1"/>
  <c r="S4" i="29" s="1"/>
  <c r="AO36" i="27"/>
  <c r="O35" i="27"/>
  <c r="P34" i="27"/>
  <c r="R34" i="27" s="1"/>
  <c r="AL38" i="27"/>
  <c r="AM37" i="27"/>
  <c r="AN37" i="27" s="1"/>
  <c r="AO37" i="27" s="1" a="1"/>
  <c r="AP37" i="27" s="1"/>
  <c r="S63" i="29"/>
  <c r="R63" i="29"/>
  <c r="AP66" i="29"/>
  <c r="AO66" i="29"/>
  <c r="AM68" i="29"/>
  <c r="AL69" i="29"/>
  <c r="P64" i="29"/>
  <c r="O65" i="29"/>
  <c r="AO67" i="29" a="1"/>
  <c r="AN67" i="29"/>
  <c r="U3" i="45" a="1"/>
  <c r="U3" i="46" a="1"/>
  <c r="L4" i="47" l="1"/>
  <c r="AI20" i="47"/>
  <c r="L3" i="47"/>
  <c r="AI19" i="47"/>
  <c r="V76" i="46"/>
  <c r="V72" i="46"/>
  <c r="V68" i="46"/>
  <c r="V64" i="46"/>
  <c r="V60" i="46"/>
  <c r="V56" i="46"/>
  <c r="V52" i="46"/>
  <c r="V48" i="46"/>
  <c r="V44" i="46"/>
  <c r="V40" i="46"/>
  <c r="V36" i="46"/>
  <c r="V32" i="46"/>
  <c r="V28" i="46"/>
  <c r="V24" i="46"/>
  <c r="V20" i="46"/>
  <c r="V16" i="46"/>
  <c r="V12" i="46"/>
  <c r="V8" i="46"/>
  <c r="V4" i="46"/>
  <c r="U77" i="46"/>
  <c r="U72" i="46"/>
  <c r="U79" i="46"/>
  <c r="U74" i="46"/>
  <c r="U69" i="46"/>
  <c r="U64" i="46"/>
  <c r="V59" i="46"/>
  <c r="U55" i="46"/>
  <c r="V50" i="46"/>
  <c r="U46" i="46"/>
  <c r="V41" i="46"/>
  <c r="U37" i="46"/>
  <c r="U32" i="46"/>
  <c r="V27" i="46"/>
  <c r="U23" i="46"/>
  <c r="V18" i="46"/>
  <c r="U14" i="46"/>
  <c r="V9" i="46"/>
  <c r="U5" i="46"/>
  <c r="V73" i="46"/>
  <c r="V63" i="46"/>
  <c r="V54" i="46"/>
  <c r="V45" i="46"/>
  <c r="U41" i="46"/>
  <c r="U36" i="46"/>
  <c r="U27" i="46"/>
  <c r="V22" i="46"/>
  <c r="U18" i="46"/>
  <c r="V13" i="46"/>
  <c r="U4" i="46"/>
  <c r="V78" i="46"/>
  <c r="U68" i="46"/>
  <c r="U59" i="46"/>
  <c r="U50" i="46"/>
  <c r="V31" i="46"/>
  <c r="U9" i="46"/>
  <c r="U73" i="46"/>
  <c r="V66" i="46"/>
  <c r="U61" i="46"/>
  <c r="U54" i="46"/>
  <c r="U48" i="46"/>
  <c r="V42" i="46"/>
  <c r="V35" i="46"/>
  <c r="U30" i="46"/>
  <c r="U24" i="46"/>
  <c r="V17" i="46"/>
  <c r="V11" i="46"/>
  <c r="U6" i="46"/>
  <c r="V71" i="46"/>
  <c r="U60" i="46"/>
  <c r="V47" i="46"/>
  <c r="U35" i="46"/>
  <c r="V29" i="46"/>
  <c r="V23" i="46"/>
  <c r="U11" i="46"/>
  <c r="V5" i="46"/>
  <c r="U78" i="46"/>
  <c r="V65" i="46"/>
  <c r="V58" i="46"/>
  <c r="U53" i="46"/>
  <c r="U47" i="46"/>
  <c r="U40" i="46"/>
  <c r="V34" i="46"/>
  <c r="U29" i="46"/>
  <c r="U22" i="46"/>
  <c r="U16" i="46"/>
  <c r="V10" i="46"/>
  <c r="V3" i="46"/>
  <c r="V77" i="46"/>
  <c r="U58" i="46"/>
  <c r="U52" i="46"/>
  <c r="V39" i="46"/>
  <c r="V21" i="46"/>
  <c r="U3" i="46"/>
  <c r="U70" i="46"/>
  <c r="U63" i="46"/>
  <c r="V51" i="46"/>
  <c r="U39" i="46"/>
  <c r="V26" i="46"/>
  <c r="U21" i="46"/>
  <c r="U8" i="46"/>
  <c r="U51" i="46"/>
  <c r="U33" i="46"/>
  <c r="V14" i="46"/>
  <c r="V49" i="46"/>
  <c r="U38" i="46"/>
  <c r="V25" i="46"/>
  <c r="U7" i="46"/>
  <c r="V79" i="46"/>
  <c r="U66" i="46"/>
  <c r="V53" i="46"/>
  <c r="U42" i="46"/>
  <c r="U17" i="46"/>
  <c r="U65" i="46"/>
  <c r="V46" i="46"/>
  <c r="U28" i="46"/>
  <c r="V15" i="46"/>
  <c r="U10" i="46"/>
  <c r="V33" i="46"/>
  <c r="V75" i="46"/>
  <c r="V69" i="46"/>
  <c r="U57" i="46"/>
  <c r="U44" i="46"/>
  <c r="V38" i="46"/>
  <c r="U26" i="46"/>
  <c r="V7" i="46"/>
  <c r="U75" i="46"/>
  <c r="V67" i="46"/>
  <c r="U62" i="46"/>
  <c r="U56" i="46"/>
  <c r="V43" i="46"/>
  <c r="U31" i="46"/>
  <c r="V19" i="46"/>
  <c r="V74" i="46"/>
  <c r="V61" i="46"/>
  <c r="U43" i="46"/>
  <c r="V30" i="46"/>
  <c r="U19" i="46"/>
  <c r="U71" i="46"/>
  <c r="V70" i="46"/>
  <c r="U34" i="46"/>
  <c r="U76" i="46"/>
  <c r="V57" i="46"/>
  <c r="U45" i="46"/>
  <c r="U15" i="46"/>
  <c r="V62" i="46"/>
  <c r="U20" i="46"/>
  <c r="U13" i="46"/>
  <c r="U67" i="46"/>
  <c r="V55" i="46"/>
  <c r="U49" i="46"/>
  <c r="V37" i="46"/>
  <c r="U25" i="46"/>
  <c r="U12" i="46"/>
  <c r="V6" i="46"/>
  <c r="U76" i="45"/>
  <c r="U72" i="45"/>
  <c r="U68" i="45"/>
  <c r="U64" i="45"/>
  <c r="U60" i="45"/>
  <c r="U56" i="45"/>
  <c r="U52" i="45"/>
  <c r="U48" i="45"/>
  <c r="U44" i="45"/>
  <c r="U40" i="45"/>
  <c r="U36" i="45"/>
  <c r="U32" i="45"/>
  <c r="U28" i="45"/>
  <c r="U24" i="45"/>
  <c r="U20" i="45"/>
  <c r="U16" i="45"/>
  <c r="U12" i="45"/>
  <c r="U8" i="45"/>
  <c r="U4" i="45"/>
  <c r="U78" i="45"/>
  <c r="V73" i="45"/>
  <c r="U69" i="45"/>
  <c r="V64" i="45"/>
  <c r="V59" i="45"/>
  <c r="U55" i="45"/>
  <c r="V50" i="45"/>
  <c r="U46" i="45"/>
  <c r="V41" i="45"/>
  <c r="U37" i="45"/>
  <c r="V32" i="45"/>
  <c r="V27" i="45"/>
  <c r="U23" i="45"/>
  <c r="V18" i="45"/>
  <c r="U14" i="45"/>
  <c r="V9" i="45"/>
  <c r="U5" i="45"/>
  <c r="V63" i="45"/>
  <c r="U50" i="45"/>
  <c r="U41" i="45"/>
  <c r="V31" i="45"/>
  <c r="U27" i="45"/>
  <c r="U18" i="45"/>
  <c r="V13" i="45"/>
  <c r="U9" i="45"/>
  <c r="U63" i="45"/>
  <c r="V49" i="45"/>
  <c r="V35" i="45"/>
  <c r="U22" i="45"/>
  <c r="V8" i="45"/>
  <c r="U49" i="45"/>
  <c r="V77" i="45"/>
  <c r="U73" i="45"/>
  <c r="V68" i="45"/>
  <c r="U59" i="45"/>
  <c r="V54" i="45"/>
  <c r="V45" i="45"/>
  <c r="V36" i="45"/>
  <c r="V22" i="45"/>
  <c r="V4" i="45"/>
  <c r="V72" i="45"/>
  <c r="V58" i="45"/>
  <c r="U45" i="45"/>
  <c r="V26" i="45"/>
  <c r="U13" i="45"/>
  <c r="V3" i="45"/>
  <c r="V76" i="45"/>
  <c r="V71" i="45"/>
  <c r="U67" i="45"/>
  <c r="V53" i="45"/>
  <c r="V39" i="45"/>
  <c r="U77" i="45"/>
  <c r="V67" i="45"/>
  <c r="U54" i="45"/>
  <c r="V40" i="45"/>
  <c r="U31" i="45"/>
  <c r="V17" i="45"/>
  <c r="U58" i="45"/>
  <c r="V44" i="45"/>
  <c r="U35" i="45"/>
  <c r="U79" i="45"/>
  <c r="U70" i="45"/>
  <c r="V61" i="45"/>
  <c r="V52" i="45"/>
  <c r="U43" i="45"/>
  <c r="U34" i="45"/>
  <c r="U26" i="45"/>
  <c r="V19" i="45"/>
  <c r="V11" i="45"/>
  <c r="V5" i="45"/>
  <c r="V78" i="45"/>
  <c r="V69" i="45"/>
  <c r="U61" i="45"/>
  <c r="V51" i="45"/>
  <c r="V42" i="45"/>
  <c r="V33" i="45"/>
  <c r="V25" i="45"/>
  <c r="U19" i="45"/>
  <c r="U11" i="45"/>
  <c r="U3" i="45"/>
  <c r="V75" i="45"/>
  <c r="V66" i="45"/>
  <c r="V60" i="45"/>
  <c r="U51" i="45"/>
  <c r="U42" i="45"/>
  <c r="U33" i="45"/>
  <c r="U25" i="45"/>
  <c r="U17" i="45"/>
  <c r="V10" i="45"/>
  <c r="U75" i="45"/>
  <c r="U66" i="45"/>
  <c r="V57" i="45"/>
  <c r="V48" i="45"/>
  <c r="U39" i="45"/>
  <c r="V30" i="45"/>
  <c r="V24" i="45"/>
  <c r="V16" i="45"/>
  <c r="U10" i="45"/>
  <c r="V38" i="45"/>
  <c r="U74" i="45"/>
  <c r="U65" i="45"/>
  <c r="V56" i="45"/>
  <c r="U47" i="45"/>
  <c r="U38" i="45"/>
  <c r="V29" i="45"/>
  <c r="V21" i="45"/>
  <c r="U15" i="45"/>
  <c r="U62" i="45"/>
  <c r="V28" i="45"/>
  <c r="U6" i="45"/>
  <c r="V74" i="45"/>
  <c r="V65" i="45"/>
  <c r="U57" i="45"/>
  <c r="V47" i="45"/>
  <c r="U30" i="45"/>
  <c r="V23" i="45"/>
  <c r="V15" i="45"/>
  <c r="V7" i="45"/>
  <c r="U71" i="45"/>
  <c r="V55" i="45"/>
  <c r="V46" i="45"/>
  <c r="V37" i="45"/>
  <c r="U21" i="45"/>
  <c r="V14" i="45"/>
  <c r="V43" i="45"/>
  <c r="V12" i="45"/>
  <c r="U7" i="45"/>
  <c r="V62" i="45"/>
  <c r="U29" i="45"/>
  <c r="V6" i="45"/>
  <c r="V79" i="45"/>
  <c r="V70" i="45"/>
  <c r="U53" i="45"/>
  <c r="V34" i="45"/>
  <c r="V20" i="45"/>
  <c r="L3" i="44"/>
  <c r="S3" i="44" s="1"/>
  <c r="AI19" i="44"/>
  <c r="L4" i="44"/>
  <c r="S4" i="44" s="1"/>
  <c r="AI20" i="44"/>
  <c r="AI20" i="29"/>
  <c r="L3" i="29"/>
  <c r="S3" i="29" s="1"/>
  <c r="AO37" i="27"/>
  <c r="AM38" i="27"/>
  <c r="AN38" i="27" s="1"/>
  <c r="AO38" i="27" s="1" a="1"/>
  <c r="AO38" i="27" s="1"/>
  <c r="AL39" i="27"/>
  <c r="P35" i="27"/>
  <c r="R35" i="27" s="1"/>
  <c r="O36" i="27"/>
  <c r="R64" i="29"/>
  <c r="S64" i="29"/>
  <c r="P65" i="29"/>
  <c r="O66" i="29"/>
  <c r="AL70" i="29"/>
  <c r="AM69" i="29"/>
  <c r="AP67" i="29"/>
  <c r="AO67" i="29"/>
  <c r="AO68" i="29" a="1"/>
  <c r="AN68" i="29"/>
  <c r="U3" i="29" a="1"/>
  <c r="U3" i="44" a="1"/>
  <c r="V79" i="44" l="1"/>
  <c r="V75" i="44"/>
  <c r="V71" i="44"/>
  <c r="V67" i="44"/>
  <c r="V63" i="44"/>
  <c r="V59" i="44"/>
  <c r="V55" i="44"/>
  <c r="V51" i="44"/>
  <c r="V47" i="44"/>
  <c r="V43" i="44"/>
  <c r="V39" i="44"/>
  <c r="V35" i="44"/>
  <c r="V31" i="44"/>
  <c r="V27" i="44"/>
  <c r="V23" i="44"/>
  <c r="V19" i="44"/>
  <c r="V15" i="44"/>
  <c r="V11" i="44"/>
  <c r="V7" i="44"/>
  <c r="V3" i="44"/>
  <c r="V76" i="44"/>
  <c r="U72" i="44"/>
  <c r="U67" i="44"/>
  <c r="V62" i="44"/>
  <c r="U58" i="44"/>
  <c r="V53" i="44"/>
  <c r="U49" i="44"/>
  <c r="V44" i="44"/>
  <c r="U40" i="44"/>
  <c r="U35" i="44"/>
  <c r="V30" i="44"/>
  <c r="U26" i="44"/>
  <c r="V21" i="44"/>
  <c r="U17" i="44"/>
  <c r="V12" i="44"/>
  <c r="U8" i="44"/>
  <c r="U3" i="44"/>
  <c r="U62" i="44"/>
  <c r="V48" i="44"/>
  <c r="U39" i="44"/>
  <c r="U30" i="44"/>
  <c r="V25" i="44"/>
  <c r="V16" i="44"/>
  <c r="U7" i="44"/>
  <c r="U75" i="44"/>
  <c r="V70" i="44"/>
  <c r="U66" i="44"/>
  <c r="V61" i="44"/>
  <c r="U57" i="44"/>
  <c r="V52" i="44"/>
  <c r="U48" i="44"/>
  <c r="U43" i="44"/>
  <c r="V38" i="44"/>
  <c r="U34" i="44"/>
  <c r="U25" i="44"/>
  <c r="U16" i="44"/>
  <c r="U11" i="44"/>
  <c r="V6" i="44"/>
  <c r="U61" i="44"/>
  <c r="U76" i="44"/>
  <c r="U71" i="44"/>
  <c r="V66" i="44"/>
  <c r="V57" i="44"/>
  <c r="U53" i="44"/>
  <c r="U44" i="44"/>
  <c r="V34" i="44"/>
  <c r="U21" i="44"/>
  <c r="U12" i="44"/>
  <c r="V20" i="44"/>
  <c r="U79" i="44"/>
  <c r="V74" i="44"/>
  <c r="V65" i="44"/>
  <c r="U52" i="44"/>
  <c r="U38" i="44"/>
  <c r="U29" i="44"/>
  <c r="U20" i="44"/>
  <c r="U6" i="44"/>
  <c r="V29" i="44"/>
  <c r="U70" i="44"/>
  <c r="V56" i="44"/>
  <c r="U47" i="44"/>
  <c r="V42" i="44"/>
  <c r="V33" i="44"/>
  <c r="V24" i="44"/>
  <c r="V10" i="44"/>
  <c r="V72" i="44"/>
  <c r="U63" i="44"/>
  <c r="U54" i="44"/>
  <c r="U45" i="44"/>
  <c r="U36" i="44"/>
  <c r="V26" i="44"/>
  <c r="V17" i="44"/>
  <c r="U9" i="44"/>
  <c r="V78" i="44"/>
  <c r="V69" i="44"/>
  <c r="V60" i="44"/>
  <c r="U51" i="44"/>
  <c r="U42" i="44"/>
  <c r="U33" i="44"/>
  <c r="U24" i="44"/>
  <c r="U15" i="44"/>
  <c r="V8" i="44"/>
  <c r="U60" i="44"/>
  <c r="V50" i="44"/>
  <c r="V41" i="44"/>
  <c r="U23" i="44"/>
  <c r="V14" i="44"/>
  <c r="V5" i="44"/>
  <c r="V68" i="44"/>
  <c r="U59" i="44"/>
  <c r="U50" i="44"/>
  <c r="U41" i="44"/>
  <c r="U32" i="44"/>
  <c r="U14" i="44"/>
  <c r="U5" i="44"/>
  <c r="U68" i="44"/>
  <c r="V58" i="44"/>
  <c r="V49" i="44"/>
  <c r="V40" i="44"/>
  <c r="U31" i="44"/>
  <c r="U22" i="44"/>
  <c r="V13" i="44"/>
  <c r="V4" i="44"/>
  <c r="V37" i="44"/>
  <c r="U13" i="44"/>
  <c r="V73" i="44"/>
  <c r="V64" i="44"/>
  <c r="U55" i="44"/>
  <c r="U46" i="44"/>
  <c r="U37" i="44"/>
  <c r="U28" i="44"/>
  <c r="V18" i="44"/>
  <c r="U10" i="44"/>
  <c r="V36" i="44"/>
  <c r="V9" i="44"/>
  <c r="U69" i="44"/>
  <c r="V32" i="44"/>
  <c r="V77" i="44"/>
  <c r="V22" i="44"/>
  <c r="U77" i="44"/>
  <c r="V28" i="44"/>
  <c r="U73" i="44"/>
  <c r="V45" i="44"/>
  <c r="U18" i="44"/>
  <c r="U78" i="44"/>
  <c r="U74" i="44"/>
  <c r="U65" i="44"/>
  <c r="U56" i="44"/>
  <c r="V46" i="44"/>
  <c r="U19" i="44"/>
  <c r="U4" i="44"/>
  <c r="U64" i="44"/>
  <c r="U27" i="44"/>
  <c r="V54" i="44"/>
  <c r="V28" i="29"/>
  <c r="F38" i="39" s="1"/>
  <c r="V59" i="29"/>
  <c r="F69" i="39" s="1"/>
  <c r="U52" i="29"/>
  <c r="E62" i="39" s="1"/>
  <c r="V55" i="29"/>
  <c r="F65" i="39" s="1"/>
  <c r="V73" i="29"/>
  <c r="F83" i="39" s="1"/>
  <c r="V47" i="29"/>
  <c r="F57" i="39" s="1"/>
  <c r="U79" i="29"/>
  <c r="E89" i="39" s="1"/>
  <c r="V14" i="29"/>
  <c r="F24" i="39" s="1"/>
  <c r="V15" i="29"/>
  <c r="F25" i="39" s="1"/>
  <c r="U58" i="29"/>
  <c r="E68" i="39" s="1"/>
  <c r="V43" i="29"/>
  <c r="F53" i="39" s="1"/>
  <c r="U77" i="29"/>
  <c r="E87" i="39" s="1"/>
  <c r="U3" i="29"/>
  <c r="E13" i="39" s="1"/>
  <c r="U67" i="29"/>
  <c r="E77" i="39" s="1"/>
  <c r="U5" i="29"/>
  <c r="E15" i="39" s="1"/>
  <c r="V31" i="29"/>
  <c r="F41" i="39" s="1"/>
  <c r="V68" i="29"/>
  <c r="F78" i="39" s="1"/>
  <c r="U20" i="29"/>
  <c r="E30" i="39" s="1"/>
  <c r="V3" i="29"/>
  <c r="F13" i="39" s="1"/>
  <c r="U33" i="29"/>
  <c r="E43" i="39" s="1"/>
  <c r="U35" i="29"/>
  <c r="E45" i="39" s="1"/>
  <c r="U40" i="29"/>
  <c r="E50" i="39" s="1"/>
  <c r="V9" i="29"/>
  <c r="F19" i="39" s="1"/>
  <c r="V60" i="29"/>
  <c r="F70" i="39" s="1"/>
  <c r="U6" i="29"/>
  <c r="E16" i="39" s="1"/>
  <c r="V51" i="29"/>
  <c r="F61" i="39" s="1"/>
  <c r="U31" i="29"/>
  <c r="E41" i="39" s="1"/>
  <c r="V69" i="29"/>
  <c r="F79" i="39" s="1"/>
  <c r="V62" i="29"/>
  <c r="F72" i="39" s="1"/>
  <c r="V57" i="29"/>
  <c r="F67" i="39" s="1"/>
  <c r="U21" i="29"/>
  <c r="E31" i="39" s="1"/>
  <c r="V50" i="29"/>
  <c r="F60" i="39" s="1"/>
  <c r="V39" i="29"/>
  <c r="F49" i="39" s="1"/>
  <c r="U32" i="29"/>
  <c r="E42" i="39" s="1"/>
  <c r="V58" i="29"/>
  <c r="F68" i="39" s="1"/>
  <c r="U26" i="29"/>
  <c r="E36" i="39" s="1"/>
  <c r="U65" i="29"/>
  <c r="E75" i="39" s="1"/>
  <c r="U11" i="29"/>
  <c r="E21" i="39" s="1"/>
  <c r="U64" i="29"/>
  <c r="E74" i="39" s="1"/>
  <c r="U36" i="29"/>
  <c r="E46" i="39" s="1"/>
  <c r="U54" i="29"/>
  <c r="E64" i="39" s="1"/>
  <c r="U66" i="29"/>
  <c r="E76" i="39" s="1"/>
  <c r="U25" i="29"/>
  <c r="E35" i="39" s="1"/>
  <c r="U16" i="29"/>
  <c r="E26" i="39" s="1"/>
  <c r="V19" i="29"/>
  <c r="F29" i="39" s="1"/>
  <c r="V63" i="29"/>
  <c r="F73" i="39" s="1"/>
  <c r="U8" i="29"/>
  <c r="E18" i="39" s="1"/>
  <c r="V11" i="29"/>
  <c r="F21" i="39" s="1"/>
  <c r="V52" i="29"/>
  <c r="F62" i="39" s="1"/>
  <c r="U29" i="29"/>
  <c r="E39" i="39" s="1"/>
  <c r="U7" i="29"/>
  <c r="E17" i="39" s="1"/>
  <c r="U22" i="29"/>
  <c r="E32" i="39" s="1"/>
  <c r="V40" i="29"/>
  <c r="F50" i="39" s="1"/>
  <c r="U62" i="29"/>
  <c r="E72" i="39" s="1"/>
  <c r="U70" i="29"/>
  <c r="E80" i="39" s="1"/>
  <c r="V76" i="29"/>
  <c r="F86" i="39" s="1"/>
  <c r="U24" i="29"/>
  <c r="E34" i="39" s="1"/>
  <c r="U59" i="29"/>
  <c r="E69" i="39" s="1"/>
  <c r="U30" i="29"/>
  <c r="E40" i="39" s="1"/>
  <c r="V46" i="29"/>
  <c r="F56" i="39" s="1"/>
  <c r="V18" i="29"/>
  <c r="F28" i="39" s="1"/>
  <c r="V74" i="29"/>
  <c r="F84" i="39" s="1"/>
  <c r="U42" i="29"/>
  <c r="E52" i="39" s="1"/>
  <c r="V66" i="29"/>
  <c r="F76" i="39" s="1"/>
  <c r="U76" i="29"/>
  <c r="E86" i="39" s="1"/>
  <c r="V41" i="29"/>
  <c r="F51" i="39" s="1"/>
  <c r="U41" i="29"/>
  <c r="E51" i="39" s="1"/>
  <c r="V77" i="29"/>
  <c r="F87" i="39" s="1"/>
  <c r="V22" i="29"/>
  <c r="F32" i="39" s="1"/>
  <c r="V30" i="29"/>
  <c r="F40" i="39" s="1"/>
  <c r="U73" i="29"/>
  <c r="E83" i="39" s="1"/>
  <c r="U75" i="29"/>
  <c r="E85" i="39" s="1"/>
  <c r="V71" i="29"/>
  <c r="F81" i="39" s="1"/>
  <c r="V7" i="29"/>
  <c r="F17" i="39" s="1"/>
  <c r="V61" i="29"/>
  <c r="F71" i="39" s="1"/>
  <c r="V45" i="29"/>
  <c r="F55" i="39" s="1"/>
  <c r="V75" i="29"/>
  <c r="F85" i="39" s="1"/>
  <c r="U50" i="29"/>
  <c r="E60" i="39" s="1"/>
  <c r="V20" i="29"/>
  <c r="F30" i="39" s="1"/>
  <c r="V54" i="29"/>
  <c r="F64" i="39" s="1"/>
  <c r="V56" i="29"/>
  <c r="F66" i="39" s="1"/>
  <c r="V33" i="29"/>
  <c r="F43" i="39" s="1"/>
  <c r="U14" i="29"/>
  <c r="E24" i="39" s="1"/>
  <c r="U68" i="29"/>
  <c r="E78" i="39" s="1"/>
  <c r="V79" i="29"/>
  <c r="F89" i="39" s="1"/>
  <c r="V24" i="29"/>
  <c r="F34" i="39" s="1"/>
  <c r="U39" i="29"/>
  <c r="E49" i="39" s="1"/>
  <c r="V34" i="29"/>
  <c r="F44" i="39" s="1"/>
  <c r="U78" i="29"/>
  <c r="E88" i="39" s="1"/>
  <c r="U43" i="29"/>
  <c r="E53" i="39" s="1"/>
  <c r="U56" i="29"/>
  <c r="E66" i="39" s="1"/>
  <c r="U45" i="29"/>
  <c r="E55" i="39" s="1"/>
  <c r="V5" i="29"/>
  <c r="F15" i="39" s="1"/>
  <c r="V16" i="29"/>
  <c r="F26" i="39" s="1"/>
  <c r="V38" i="29"/>
  <c r="F48" i="39" s="1"/>
  <c r="U57" i="29"/>
  <c r="E67" i="39" s="1"/>
  <c r="U38" i="29"/>
  <c r="E48" i="39" s="1"/>
  <c r="U63" i="29"/>
  <c r="E73" i="39" s="1"/>
  <c r="U10" i="29"/>
  <c r="E20" i="39" s="1"/>
  <c r="V35" i="29"/>
  <c r="F45" i="39" s="1"/>
  <c r="V25" i="29"/>
  <c r="F35" i="39" s="1"/>
  <c r="V13" i="29"/>
  <c r="F23" i="39" s="1"/>
  <c r="U46" i="29"/>
  <c r="E56" i="39" s="1"/>
  <c r="U72" i="29"/>
  <c r="E82" i="39" s="1"/>
  <c r="V48" i="29"/>
  <c r="F58" i="39" s="1"/>
  <c r="U37" i="29"/>
  <c r="E47" i="39" s="1"/>
  <c r="V72" i="29"/>
  <c r="F82" i="39" s="1"/>
  <c r="U44" i="29"/>
  <c r="E54" i="39" s="1"/>
  <c r="V10" i="29"/>
  <c r="F20" i="39" s="1"/>
  <c r="V32" i="29"/>
  <c r="F42" i="39" s="1"/>
  <c r="U15" i="29"/>
  <c r="E25" i="39" s="1"/>
  <c r="V21" i="29"/>
  <c r="F31" i="39" s="1"/>
  <c r="U13" i="29"/>
  <c r="E23" i="39" s="1"/>
  <c r="V49" i="29"/>
  <c r="F59" i="39" s="1"/>
  <c r="U55" i="29"/>
  <c r="E65" i="39" s="1"/>
  <c r="U27" i="29"/>
  <c r="E37" i="39" s="1"/>
  <c r="V6" i="29"/>
  <c r="F16" i="39" s="1"/>
  <c r="U51" i="29"/>
  <c r="E61" i="39" s="1"/>
  <c r="V17" i="29"/>
  <c r="F27" i="39" s="1"/>
  <c r="U4" i="29"/>
  <c r="E14" i="39" s="1"/>
  <c r="V26" i="29"/>
  <c r="F36" i="39" s="1"/>
  <c r="U47" i="29"/>
  <c r="E57" i="39" s="1"/>
  <c r="U61" i="29"/>
  <c r="E71" i="39" s="1"/>
  <c r="V70" i="29"/>
  <c r="F80" i="39" s="1"/>
  <c r="U28" i="29"/>
  <c r="E38" i="39" s="1"/>
  <c r="V67" i="29"/>
  <c r="F77" i="39" s="1"/>
  <c r="U34" i="29"/>
  <c r="E44" i="39" s="1"/>
  <c r="U53" i="29"/>
  <c r="E63" i="39" s="1"/>
  <c r="V64" i="29"/>
  <c r="F74" i="39" s="1"/>
  <c r="V44" i="29"/>
  <c r="F54" i="39" s="1"/>
  <c r="U48" i="29"/>
  <c r="E58" i="39" s="1"/>
  <c r="U18" i="29"/>
  <c r="E28" i="39" s="1"/>
  <c r="V37" i="29"/>
  <c r="F47" i="39" s="1"/>
  <c r="U60" i="29"/>
  <c r="E70" i="39" s="1"/>
  <c r="V65" i="29"/>
  <c r="F75" i="39" s="1"/>
  <c r="U12" i="29"/>
  <c r="E22" i="39" s="1"/>
  <c r="V27" i="29"/>
  <c r="F37" i="39" s="1"/>
  <c r="V12" i="29"/>
  <c r="F22" i="39" s="1"/>
  <c r="U17" i="29"/>
  <c r="E27" i="39" s="1"/>
  <c r="V29" i="29"/>
  <c r="F39" i="39" s="1"/>
  <c r="U69" i="29"/>
  <c r="E79" i="39" s="1"/>
  <c r="V4" i="29"/>
  <c r="F14" i="39" s="1"/>
  <c r="V78" i="29"/>
  <c r="F88" i="39" s="1"/>
  <c r="U49" i="29"/>
  <c r="E59" i="39" s="1"/>
  <c r="V53" i="29"/>
  <c r="F63" i="39" s="1"/>
  <c r="U9" i="29"/>
  <c r="E19" i="39" s="1"/>
  <c r="V42" i="29"/>
  <c r="F52" i="39" s="1"/>
  <c r="U71" i="29"/>
  <c r="E81" i="39" s="1"/>
  <c r="V8" i="29"/>
  <c r="F18" i="39" s="1"/>
  <c r="U74" i="29"/>
  <c r="E84" i="39" s="1"/>
  <c r="V23" i="29"/>
  <c r="F33" i="39" s="1"/>
  <c r="U23" i="29"/>
  <c r="E33" i="39" s="1"/>
  <c r="V36" i="29"/>
  <c r="F46" i="39" s="1"/>
  <c r="U19" i="29"/>
  <c r="E29" i="39" s="1"/>
  <c r="AP38" i="27"/>
  <c r="P36" i="27"/>
  <c r="R36" i="27" s="1"/>
  <c r="O37" i="27"/>
  <c r="AM39" i="27"/>
  <c r="AN39" i="27" s="1"/>
  <c r="AO39" i="27" s="1" a="1"/>
  <c r="AO39" i="27" s="1"/>
  <c r="AL40" i="27"/>
  <c r="AP68" i="29"/>
  <c r="AO68" i="29"/>
  <c r="AO69" i="29" a="1"/>
  <c r="AN69" i="29"/>
  <c r="AM70" i="29"/>
  <c r="AL71" i="29"/>
  <c r="P66" i="29"/>
  <c r="O67" i="29"/>
  <c r="P67" i="29" s="1"/>
  <c r="S65" i="29"/>
  <c r="R65" i="29"/>
  <c r="F3" i="39" l="1"/>
  <c r="AP39" i="27"/>
  <c r="AM40" i="27"/>
  <c r="AN40" i="27" s="1"/>
  <c r="AO40" i="27" s="1" a="1"/>
  <c r="AO40" i="27" s="1"/>
  <c r="AL41" i="27"/>
  <c r="P37" i="27"/>
  <c r="R37" i="27" s="1"/>
  <c r="O38" i="27"/>
  <c r="AP69" i="29"/>
  <c r="AO69" i="29"/>
  <c r="R66" i="29"/>
  <c r="S66" i="29"/>
  <c r="AM71" i="29"/>
  <c r="AL72" i="29"/>
  <c r="AM72" i="29" s="1"/>
  <c r="AO70" i="29" a="1"/>
  <c r="AN70" i="29"/>
  <c r="S67" i="29"/>
  <c r="R67" i="29"/>
  <c r="F9" i="39"/>
  <c r="P38" i="27" l="1"/>
  <c r="R38" i="27" s="1"/>
  <c r="O39" i="27"/>
  <c r="AP40" i="27"/>
  <c r="AM41" i="27"/>
  <c r="AN41" i="27" s="1"/>
  <c r="AO41" i="27" s="1" a="1"/>
  <c r="AO41" i="27" s="1"/>
  <c r="AL42" i="27"/>
  <c r="AP70" i="29"/>
  <c r="AO70" i="29"/>
  <c r="AO72" i="29" a="1"/>
  <c r="AN72" i="29"/>
  <c r="AO71" i="29" a="1"/>
  <c r="AN71" i="29"/>
  <c r="AP41" i="27" l="1"/>
  <c r="AM42" i="27"/>
  <c r="AN42" i="27" s="1"/>
  <c r="AO42" i="27" s="1" a="1"/>
  <c r="AP42" i="27" s="1"/>
  <c r="AL43" i="27"/>
  <c r="P39" i="27"/>
  <c r="R39" i="27" s="1"/>
  <c r="O40" i="27"/>
  <c r="AP72" i="29"/>
  <c r="AO72" i="29"/>
  <c r="AP71" i="29"/>
  <c r="AO71" i="29"/>
  <c r="AO42" i="27" l="1"/>
  <c r="P40" i="27"/>
  <c r="R40" i="27" s="1"/>
  <c r="O41" i="27"/>
  <c r="AM43" i="27"/>
  <c r="AN43" i="27" s="1"/>
  <c r="AO43" i="27" s="1" a="1"/>
  <c r="AP43" i="27" s="1"/>
  <c r="AL44" i="27"/>
  <c r="AM44" i="27" l="1"/>
  <c r="AN44" i="27" s="1"/>
  <c r="AO44" i="27" s="1" a="1"/>
  <c r="AO44" i="27" s="1"/>
  <c r="AL45" i="27"/>
  <c r="AO43" i="27"/>
  <c r="P41" i="27"/>
  <c r="R41" i="27" s="1"/>
  <c r="O42" i="27"/>
  <c r="AR31" i="27" a="1"/>
  <c r="AP44" i="27" l="1"/>
  <c r="AR31" i="27"/>
  <c r="AR47" i="27"/>
  <c r="AR38" i="27"/>
  <c r="AR52" i="27"/>
  <c r="AR50" i="27"/>
  <c r="AR36" i="27"/>
  <c r="AR56" i="27"/>
  <c r="AR33" i="27"/>
  <c r="AR63" i="27"/>
  <c r="AR61" i="27"/>
  <c r="AR45" i="27"/>
  <c r="AR39" i="27"/>
  <c r="AR55" i="27"/>
  <c r="AR37" i="27"/>
  <c r="AR34" i="27"/>
  <c r="AR42" i="27"/>
  <c r="AR57" i="27"/>
  <c r="AR48" i="27"/>
  <c r="AR58" i="27"/>
  <c r="AR51" i="27"/>
  <c r="AR49" i="27"/>
  <c r="AR54" i="27"/>
  <c r="AR53" i="27"/>
  <c r="AR43" i="27"/>
  <c r="AR40" i="27"/>
  <c r="AR64" i="27"/>
  <c r="AR41" i="27"/>
  <c r="AR46" i="27"/>
  <c r="AR60" i="27"/>
  <c r="AR35" i="27"/>
  <c r="AR59" i="27"/>
  <c r="AR32" i="27"/>
  <c r="AR62" i="27"/>
  <c r="AR44" i="27"/>
  <c r="P42" i="27"/>
  <c r="R42" i="27" s="1"/>
  <c r="O43" i="27"/>
  <c r="AM45" i="27"/>
  <c r="AL46" i="27"/>
  <c r="I32" i="27"/>
  <c r="L32" i="27" s="1"/>
  <c r="S32" i="27" s="1"/>
  <c r="I40" i="27"/>
  <c r="L40" i="27" s="1"/>
  <c r="S40" i="27" s="1"/>
  <c r="I48" i="27"/>
  <c r="L48" i="27" s="1"/>
  <c r="I33" i="27"/>
  <c r="L33" i="27" s="1"/>
  <c r="I41" i="27"/>
  <c r="L41" i="27" s="1"/>
  <c r="S41" i="27" s="1"/>
  <c r="I49" i="27"/>
  <c r="L49" i="27" s="1"/>
  <c r="I28" i="27"/>
  <c r="L28" i="27" s="1"/>
  <c r="I44" i="27"/>
  <c r="L44" i="27" s="1"/>
  <c r="I37" i="27"/>
  <c r="L37" i="27" s="1"/>
  <c r="S37" i="27" s="1"/>
  <c r="I53" i="27"/>
  <c r="L53" i="27" s="1"/>
  <c r="I38" i="27"/>
  <c r="L38" i="27" s="1"/>
  <c r="S38" i="27" s="1"/>
  <c r="I46" i="27"/>
  <c r="L46" i="27" s="1"/>
  <c r="I54" i="27"/>
  <c r="L54" i="27" s="1"/>
  <c r="I31" i="27"/>
  <c r="L31" i="27" s="1"/>
  <c r="S31" i="27" s="1"/>
  <c r="I39" i="27"/>
  <c r="L39" i="27" s="1"/>
  <c r="S39" i="27" s="1"/>
  <c r="I47" i="27"/>
  <c r="L47" i="27" s="1"/>
  <c r="I55" i="27"/>
  <c r="L55" i="27" s="1"/>
  <c r="I26" i="27"/>
  <c r="L26" i="27" s="1"/>
  <c r="I34" i="27"/>
  <c r="L34" i="27" s="1"/>
  <c r="I42" i="27"/>
  <c r="L42" i="27" s="1"/>
  <c r="I50" i="27"/>
  <c r="L50" i="27" s="1"/>
  <c r="I36" i="27"/>
  <c r="L36" i="27" s="1"/>
  <c r="I29" i="27"/>
  <c r="L29" i="27" s="1"/>
  <c r="S29" i="27" s="1"/>
  <c r="I45" i="27"/>
  <c r="L45" i="27" s="1"/>
  <c r="I30" i="27"/>
  <c r="L30" i="27" s="1"/>
  <c r="S30" i="27" s="1"/>
  <c r="I27" i="27"/>
  <c r="L27" i="27" s="1"/>
  <c r="S27" i="27" s="1"/>
  <c r="I35" i="27"/>
  <c r="L35" i="27" s="1"/>
  <c r="I43" i="27"/>
  <c r="L43" i="27" s="1"/>
  <c r="I51" i="27"/>
  <c r="L51" i="27" s="1"/>
  <c r="I52" i="27"/>
  <c r="L52" i="27" s="1"/>
  <c r="S26" i="27" l="1"/>
  <c r="S28" i="27"/>
  <c r="S33" i="27"/>
  <c r="S34" i="27"/>
  <c r="S36" i="27"/>
  <c r="S35" i="27"/>
  <c r="S42" i="27"/>
  <c r="AO45" i="27" a="1"/>
  <c r="AN45" i="27"/>
  <c r="P43" i="27"/>
  <c r="R43" i="27" s="1"/>
  <c r="O44" i="27"/>
  <c r="AM46" i="27"/>
  <c r="AL47" i="27"/>
  <c r="P44" i="27" l="1"/>
  <c r="O45" i="27"/>
  <c r="AO45" i="27"/>
  <c r="AP45" i="27"/>
  <c r="AO46" i="27" a="1"/>
  <c r="AN46" i="27"/>
  <c r="AL48" i="27"/>
  <c r="AM47" i="27"/>
  <c r="S43" i="27"/>
  <c r="AO46" i="27" l="1"/>
  <c r="AP46" i="27"/>
  <c r="AN47" i="27"/>
  <c r="AO47" i="27" a="1"/>
  <c r="P45" i="27"/>
  <c r="O46" i="27"/>
  <c r="AM48" i="27"/>
  <c r="AL49" i="27"/>
  <c r="R44" i="27"/>
  <c r="S44" i="27"/>
  <c r="AM49" i="27" l="1"/>
  <c r="AL50" i="27"/>
  <c r="P46" i="27"/>
  <c r="O47" i="27"/>
  <c r="AN48" i="27"/>
  <c r="AO48" i="27" a="1"/>
  <c r="R45" i="27"/>
  <c r="S45" i="27"/>
  <c r="AO47" i="27"/>
  <c r="AP47" i="27"/>
  <c r="R46" i="27" l="1"/>
  <c r="S46" i="27"/>
  <c r="AO48" i="27"/>
  <c r="AP48" i="27"/>
  <c r="P47" i="27"/>
  <c r="O48" i="27"/>
  <c r="AL51" i="27"/>
  <c r="AM50" i="27"/>
  <c r="AN49" i="27"/>
  <c r="AO49" i="27" a="1"/>
  <c r="O49" i="27" l="1"/>
  <c r="P48" i="27"/>
  <c r="AN50" i="27"/>
  <c r="AO50" i="27" a="1"/>
  <c r="AO49" i="27"/>
  <c r="AP49" i="27"/>
  <c r="AM51" i="27"/>
  <c r="AL52" i="27"/>
  <c r="R47" i="27"/>
  <c r="S47" i="27"/>
  <c r="AO50" i="27" l="1"/>
  <c r="AP50" i="27"/>
  <c r="AO51" i="27" a="1"/>
  <c r="AN51" i="27"/>
  <c r="R48" i="27"/>
  <c r="S48" i="27"/>
  <c r="AM52" i="27"/>
  <c r="AL53" i="27"/>
  <c r="P49" i="27"/>
  <c r="O50" i="27"/>
  <c r="AN52" i="27" l="1"/>
  <c r="AO52" i="27" a="1"/>
  <c r="AP51" i="27"/>
  <c r="AO51" i="27"/>
  <c r="O51" i="27"/>
  <c r="P50" i="27"/>
  <c r="AL54" i="27"/>
  <c r="AM53" i="27"/>
  <c r="R49" i="27"/>
  <c r="S49" i="27"/>
  <c r="AM54" i="27" l="1"/>
  <c r="AL55" i="27"/>
  <c r="O52" i="27"/>
  <c r="P51" i="27"/>
  <c r="AO53" i="27" a="1"/>
  <c r="AN53" i="27"/>
  <c r="AO52" i="27"/>
  <c r="AP52" i="27"/>
  <c r="S50" i="27"/>
  <c r="R50" i="27"/>
  <c r="AO53" i="27" l="1"/>
  <c r="AP53" i="27"/>
  <c r="P52" i="27"/>
  <c r="O53" i="27"/>
  <c r="AM55" i="27"/>
  <c r="AL56" i="27"/>
  <c r="S51" i="27"/>
  <c r="R51" i="27"/>
  <c r="AN54" i="27"/>
  <c r="AO54" i="27" a="1"/>
  <c r="AO55" i="27" l="1" a="1"/>
  <c r="AN55" i="27"/>
  <c r="R52" i="27"/>
  <c r="S52" i="27"/>
  <c r="AP54" i="27"/>
  <c r="AO54" i="27"/>
  <c r="AM56" i="27"/>
  <c r="AL57" i="27"/>
  <c r="P53" i="27"/>
  <c r="O54" i="27"/>
  <c r="AO56" i="27" l="1" a="1"/>
  <c r="AN56" i="27"/>
  <c r="AM57" i="27"/>
  <c r="AL58" i="27"/>
  <c r="O55" i="27"/>
  <c r="P54" i="27"/>
  <c r="S53" i="27"/>
  <c r="R53" i="27"/>
  <c r="AO55" i="27"/>
  <c r="AP55" i="27"/>
  <c r="R54" i="27" l="1"/>
  <c r="S54" i="27"/>
  <c r="AN57" i="27"/>
  <c r="AO57" i="27" a="1"/>
  <c r="AM58" i="27"/>
  <c r="AL59" i="27"/>
  <c r="P55" i="27"/>
  <c r="O56" i="27"/>
  <c r="AO56" i="27"/>
  <c r="AP56" i="27"/>
  <c r="P56" i="27" l="1"/>
  <c r="O57" i="27"/>
  <c r="AM59" i="27"/>
  <c r="AL60" i="27"/>
  <c r="R55" i="27"/>
  <c r="S55" i="27"/>
  <c r="AN58" i="27"/>
  <c r="AO58" i="27" a="1"/>
  <c r="AO57" i="27"/>
  <c r="AP57" i="27"/>
  <c r="AP58" i="27" l="1"/>
  <c r="AO58" i="27"/>
  <c r="AN59" i="27"/>
  <c r="AO59" i="27" a="1"/>
  <c r="P57" i="27"/>
  <c r="O58" i="27"/>
  <c r="AM60" i="27"/>
  <c r="AL61" i="27"/>
  <c r="R56" i="27"/>
  <c r="S56" i="27"/>
  <c r="AL62" i="27" l="1"/>
  <c r="AM61" i="27"/>
  <c r="AN61" i="27" s="1"/>
  <c r="P58" i="27"/>
  <c r="O59" i="27"/>
  <c r="R57" i="27"/>
  <c r="S57" i="27"/>
  <c r="AN60" i="27"/>
  <c r="AO60" i="27" a="1"/>
  <c r="AP59" i="27"/>
  <c r="AO59" i="27"/>
  <c r="R58" i="27" l="1"/>
  <c r="S58" i="27"/>
  <c r="AO60" i="27"/>
  <c r="AP60" i="27"/>
  <c r="P59" i="27"/>
  <c r="O60" i="27"/>
  <c r="AL63" i="27"/>
  <c r="AM62" i="27"/>
  <c r="AN62" i="27" s="1"/>
  <c r="AM63" i="27" l="1"/>
  <c r="AL64" i="27"/>
  <c r="P60" i="27"/>
  <c r="O61" i="27"/>
  <c r="S59" i="27"/>
  <c r="R59" i="27"/>
  <c r="S60" i="27" l="1"/>
  <c r="R60" i="27"/>
  <c r="AM64" i="27"/>
  <c r="AL65" i="27"/>
  <c r="P61" i="27"/>
  <c r="O62" i="27"/>
  <c r="AN63" i="27"/>
  <c r="AO63" i="27" a="1"/>
  <c r="AM65" i="27" l="1"/>
  <c r="AL66" i="27"/>
  <c r="AO64" i="27" a="1"/>
  <c r="AN64" i="27"/>
  <c r="P62" i="27"/>
  <c r="O63" i="27"/>
  <c r="AP63" i="27"/>
  <c r="AO63" i="27"/>
  <c r="R61" i="27"/>
  <c r="S61" i="27"/>
  <c r="AP64" i="27" l="1"/>
  <c r="AO64" i="27"/>
  <c r="R62" i="27"/>
  <c r="S62" i="27"/>
  <c r="AL67" i="27"/>
  <c r="AM66" i="27"/>
  <c r="P63" i="27"/>
  <c r="O64" i="27"/>
  <c r="AN65" i="27"/>
  <c r="AO65" i="27" a="1"/>
  <c r="R63" i="27" l="1"/>
  <c r="S63" i="27"/>
  <c r="AN66" i="27"/>
  <c r="AO66" i="27" a="1"/>
  <c r="P64" i="27"/>
  <c r="O65" i="27"/>
  <c r="AM67" i="27"/>
  <c r="AL68" i="27"/>
  <c r="AP65" i="27"/>
  <c r="AO65" i="27"/>
  <c r="AL69" i="27" l="1"/>
  <c r="AM68" i="27"/>
  <c r="P65" i="27"/>
  <c r="O66" i="27"/>
  <c r="AP66" i="27"/>
  <c r="AO66" i="27"/>
  <c r="AO67" i="27" a="1"/>
  <c r="AN67" i="27"/>
  <c r="S64" i="27"/>
  <c r="R64" i="27"/>
  <c r="R65" i="27" l="1"/>
  <c r="S65" i="27"/>
  <c r="P66" i="27"/>
  <c r="O67" i="27"/>
  <c r="P67" i="27" s="1"/>
  <c r="AO68" i="27" a="1"/>
  <c r="AN68" i="27"/>
  <c r="AO67" i="27"/>
  <c r="AP67" i="27"/>
  <c r="AM69" i="27"/>
  <c r="AL70" i="27"/>
  <c r="S67" i="27" l="1"/>
  <c r="R67" i="27"/>
  <c r="AL71" i="27"/>
  <c r="AM70" i="27"/>
  <c r="AP68" i="27"/>
  <c r="AO68" i="27"/>
  <c r="S66" i="27"/>
  <c r="R66" i="27"/>
  <c r="AN69" i="27"/>
  <c r="AO69" i="27" a="1"/>
  <c r="AN70" i="27" l="1"/>
  <c r="AO70" i="27" a="1"/>
  <c r="AL72" i="27"/>
  <c r="AM72" i="27" s="1"/>
  <c r="AM71" i="27"/>
  <c r="AP69" i="27"/>
  <c r="AO69" i="27"/>
  <c r="AO72" i="27" l="1" a="1"/>
  <c r="AN72" i="27"/>
  <c r="AO70" i="27"/>
  <c r="AP70" i="27"/>
  <c r="AN71" i="27"/>
  <c r="AO71" i="27" a="1"/>
  <c r="AP71" i="27" l="1"/>
  <c r="AO71" i="27"/>
  <c r="AO72" i="27"/>
  <c r="AP72" i="27"/>
  <c r="AI7" i="27" a="1"/>
  <c r="AI8" i="27" l="1"/>
  <c r="AI7" i="27"/>
  <c r="AI9" i="27"/>
  <c r="AI13" i="27"/>
  <c r="I3" i="27" l="1" a="1"/>
  <c r="AI14" i="27"/>
  <c r="AI15" i="27"/>
  <c r="AI16" i="27"/>
  <c r="AI18" i="27" l="1"/>
  <c r="AI17" i="27"/>
  <c r="I3" i="27" l="1"/>
  <c r="L3" i="27" s="1"/>
  <c r="S3" i="27" s="1"/>
  <c r="I4" i="27"/>
  <c r="L4" i="27" s="1"/>
  <c r="S4" i="27" s="1"/>
  <c r="AI20" i="27"/>
  <c r="U3" i="27" a="1"/>
  <c r="V56" i="27" l="1"/>
  <c r="C66" i="39" s="1"/>
  <c r="V65" i="27"/>
  <c r="C75" i="39" s="1"/>
  <c r="V55" i="27"/>
  <c r="C65" i="39" s="1"/>
  <c r="V50" i="27"/>
  <c r="C60" i="39" s="1"/>
  <c r="V71" i="27"/>
  <c r="C81" i="39" s="1"/>
  <c r="V62" i="27"/>
  <c r="C72" i="39" s="1"/>
  <c r="U56" i="27"/>
  <c r="B66" i="39" s="1"/>
  <c r="V48" i="27"/>
  <c r="C58" i="39" s="1"/>
  <c r="U45" i="27"/>
  <c r="B55" i="39" s="1"/>
  <c r="V15" i="27"/>
  <c r="C25" i="39" s="1"/>
  <c r="U8" i="27"/>
  <c r="B18" i="39" s="1"/>
  <c r="U18" i="27"/>
  <c r="B28" i="39" s="1"/>
  <c r="V77" i="27"/>
  <c r="C87" i="39" s="1"/>
  <c r="U41" i="27"/>
  <c r="B51" i="39" s="1"/>
  <c r="U21" i="27"/>
  <c r="B31" i="39" s="1"/>
  <c r="V10" i="27"/>
  <c r="C20" i="39" s="1"/>
  <c r="U37" i="27"/>
  <c r="B47" i="39" s="1"/>
  <c r="V74" i="27"/>
  <c r="C84" i="39" s="1"/>
  <c r="V32" i="27"/>
  <c r="C42" i="39" s="1"/>
  <c r="V38" i="27"/>
  <c r="C48" i="39" s="1"/>
  <c r="U60" i="27"/>
  <c r="B70" i="39" s="1"/>
  <c r="V22" i="27"/>
  <c r="C32" i="39" s="1"/>
  <c r="U50" i="27"/>
  <c r="B60" i="39" s="1"/>
  <c r="U30" i="27"/>
  <c r="B40" i="39" s="1"/>
  <c r="U33" i="27"/>
  <c r="B43" i="39" s="1"/>
  <c r="V25" i="27"/>
  <c r="C35" i="39" s="1"/>
  <c r="U9" i="27"/>
  <c r="B19" i="39" s="1"/>
  <c r="U11" i="27"/>
  <c r="B21" i="39" s="1"/>
  <c r="U23" i="27"/>
  <c r="B33" i="39" s="1"/>
  <c r="V35" i="27"/>
  <c r="C45" i="39" s="1"/>
  <c r="V44" i="27"/>
  <c r="C54" i="39" s="1"/>
  <c r="V23" i="27"/>
  <c r="C33" i="39" s="1"/>
  <c r="U55" i="27"/>
  <c r="B65" i="39" s="1"/>
  <c r="V6" i="27"/>
  <c r="C16" i="39" s="1"/>
  <c r="V31" i="27"/>
  <c r="C41" i="39" s="1"/>
  <c r="V68" i="27"/>
  <c r="C78" i="39" s="1"/>
  <c r="U79" i="27"/>
  <c r="B89" i="39" s="1"/>
  <c r="U16" i="27"/>
  <c r="B26" i="39" s="1"/>
  <c r="U12" i="27"/>
  <c r="B22" i="39" s="1"/>
  <c r="U26" i="27"/>
  <c r="B36" i="39" s="1"/>
  <c r="U3" i="27"/>
  <c r="B13" i="39" s="1"/>
  <c r="V36" i="27"/>
  <c r="C46" i="39" s="1"/>
  <c r="U28" i="27"/>
  <c r="B38" i="39" s="1"/>
  <c r="U22" i="27"/>
  <c r="B32" i="39" s="1"/>
  <c r="U40" i="27"/>
  <c r="B50" i="39" s="1"/>
  <c r="U38" i="27"/>
  <c r="B48" i="39" s="1"/>
  <c r="V17" i="27"/>
  <c r="C27" i="39" s="1"/>
  <c r="V53" i="27"/>
  <c r="C63" i="39" s="1"/>
  <c r="V45" i="27"/>
  <c r="C55" i="39" s="1"/>
  <c r="V8" i="27"/>
  <c r="C18" i="39" s="1"/>
  <c r="U57" i="27"/>
  <c r="B67" i="39" s="1"/>
  <c r="U10" i="27"/>
  <c r="B20" i="39" s="1"/>
  <c r="V18" i="27"/>
  <c r="C28" i="39" s="1"/>
  <c r="V34" i="27"/>
  <c r="C44" i="39" s="1"/>
  <c r="V54" i="27"/>
  <c r="C64" i="39" s="1"/>
  <c r="V59" i="27"/>
  <c r="C69" i="39" s="1"/>
  <c r="U78" i="27"/>
  <c r="B88" i="39" s="1"/>
  <c r="U36" i="27"/>
  <c r="B46" i="39" s="1"/>
  <c r="V9" i="27"/>
  <c r="C19" i="39" s="1"/>
  <c r="V46" i="27"/>
  <c r="C56" i="39" s="1"/>
  <c r="U48" i="27"/>
  <c r="B58" i="39" s="1"/>
  <c r="U25" i="27"/>
  <c r="B35" i="39" s="1"/>
  <c r="U15" i="27"/>
  <c r="B25" i="39" s="1"/>
  <c r="V37" i="27"/>
  <c r="C47" i="39" s="1"/>
  <c r="U70" i="27"/>
  <c r="B80" i="39" s="1"/>
  <c r="U43" i="27"/>
  <c r="B53" i="39" s="1"/>
  <c r="U19" i="27"/>
  <c r="B29" i="39" s="1"/>
  <c r="V13" i="27"/>
  <c r="C23" i="39" s="1"/>
  <c r="U13" i="27"/>
  <c r="B23" i="39" s="1"/>
  <c r="U20" i="27"/>
  <c r="B30" i="39" s="1"/>
  <c r="V33" i="27"/>
  <c r="C43" i="39" s="1"/>
  <c r="V28" i="27"/>
  <c r="C38" i="39" s="1"/>
  <c r="V20" i="27"/>
  <c r="C30" i="39" s="1"/>
  <c r="V51" i="27"/>
  <c r="C61" i="39" s="1"/>
  <c r="V30" i="27"/>
  <c r="C40" i="39" s="1"/>
  <c r="U68" i="27"/>
  <c r="B78" i="39" s="1"/>
  <c r="U39" i="27"/>
  <c r="B49" i="39" s="1"/>
  <c r="V16" i="27"/>
  <c r="C26" i="39" s="1"/>
  <c r="U76" i="27"/>
  <c r="B86" i="39" s="1"/>
  <c r="V79" i="27"/>
  <c r="C89" i="39" s="1"/>
  <c r="V69" i="27"/>
  <c r="C79" i="39" s="1"/>
  <c r="U27" i="27"/>
  <c r="B37" i="39" s="1"/>
  <c r="V70" i="27"/>
  <c r="C80" i="39" s="1"/>
  <c r="V3" i="27"/>
  <c r="C13" i="39" s="1"/>
  <c r="V43" i="27"/>
  <c r="C53" i="39" s="1"/>
  <c r="V26" i="27"/>
  <c r="C36" i="39" s="1"/>
  <c r="U73" i="27"/>
  <c r="B83" i="39" s="1"/>
  <c r="V7" i="27"/>
  <c r="C17" i="39" s="1"/>
  <c r="U34" i="27"/>
  <c r="B44" i="39" s="1"/>
  <c r="U77" i="27"/>
  <c r="B87" i="39" s="1"/>
  <c r="U64" i="27"/>
  <c r="B74" i="39" s="1"/>
  <c r="U49" i="27"/>
  <c r="B59" i="39" s="1"/>
  <c r="V66" i="27"/>
  <c r="C76" i="39" s="1"/>
  <c r="V47" i="27"/>
  <c r="C57" i="39" s="1"/>
  <c r="U69" i="27"/>
  <c r="B79" i="39" s="1"/>
  <c r="U51" i="27"/>
  <c r="B61" i="39" s="1"/>
  <c r="V72" i="27"/>
  <c r="C82" i="39" s="1"/>
  <c r="U35" i="27"/>
  <c r="B45" i="39" s="1"/>
  <c r="U47" i="27"/>
  <c r="B57" i="39" s="1"/>
  <c r="U4" i="27"/>
  <c r="B14" i="39" s="1"/>
  <c r="V39" i="27"/>
  <c r="C49" i="39" s="1"/>
  <c r="V67" i="27"/>
  <c r="C77" i="39" s="1"/>
  <c r="U6" i="27"/>
  <c r="B16" i="39" s="1"/>
  <c r="U24" i="27"/>
  <c r="B34" i="39" s="1"/>
  <c r="U59" i="27"/>
  <c r="B69" i="39" s="1"/>
  <c r="V75" i="27"/>
  <c r="C85" i="39" s="1"/>
  <c r="V76" i="27"/>
  <c r="C86" i="39" s="1"/>
  <c r="V19" i="27"/>
  <c r="C29" i="39" s="1"/>
  <c r="U67" i="27"/>
  <c r="B77" i="39" s="1"/>
  <c r="V58" i="27"/>
  <c r="C68" i="39" s="1"/>
  <c r="U75" i="27"/>
  <c r="B85" i="39" s="1"/>
  <c r="V24" i="27"/>
  <c r="C34" i="39" s="1"/>
  <c r="V41" i="27"/>
  <c r="C51" i="39" s="1"/>
  <c r="V64" i="27"/>
  <c r="C74" i="39" s="1"/>
  <c r="U17" i="27"/>
  <c r="B27" i="39" s="1"/>
  <c r="V42" i="27"/>
  <c r="C52" i="39" s="1"/>
  <c r="V60" i="27"/>
  <c r="C70" i="39" s="1"/>
  <c r="U54" i="27"/>
  <c r="B64" i="39" s="1"/>
  <c r="U46" i="27"/>
  <c r="B56" i="39" s="1"/>
  <c r="V27" i="27"/>
  <c r="C37" i="39" s="1"/>
  <c r="U65" i="27"/>
  <c r="B75" i="39" s="1"/>
  <c r="V12" i="27"/>
  <c r="C22" i="39" s="1"/>
  <c r="V14" i="27"/>
  <c r="C24" i="39" s="1"/>
  <c r="U14" i="27"/>
  <c r="B24" i="39" s="1"/>
  <c r="U58" i="27"/>
  <c r="B68" i="39" s="1"/>
  <c r="V57" i="27"/>
  <c r="C67" i="39" s="1"/>
  <c r="V61" i="27"/>
  <c r="C71" i="39" s="1"/>
  <c r="U71" i="27"/>
  <c r="B81" i="39" s="1"/>
  <c r="V29" i="27"/>
  <c r="C39" i="39" s="1"/>
  <c r="U62" i="27"/>
  <c r="B72" i="39" s="1"/>
  <c r="V63" i="27"/>
  <c r="C73" i="39" s="1"/>
  <c r="U7" i="27"/>
  <c r="B17" i="39" s="1"/>
  <c r="V40" i="27"/>
  <c r="C50" i="39" s="1"/>
  <c r="U31" i="27"/>
  <c r="B41" i="39" s="1"/>
  <c r="U63" i="27"/>
  <c r="B73" i="39" s="1"/>
  <c r="V11" i="27"/>
  <c r="C21" i="39" s="1"/>
  <c r="U74" i="27"/>
  <c r="B84" i="39" s="1"/>
  <c r="V49" i="27"/>
  <c r="C59" i="39" s="1"/>
  <c r="V5" i="27"/>
  <c r="C15" i="39" s="1"/>
  <c r="U44" i="27"/>
  <c r="B54" i="39" s="1"/>
  <c r="V73" i="27"/>
  <c r="C83" i="39" s="1"/>
  <c r="U66" i="27"/>
  <c r="B76" i="39" s="1"/>
  <c r="V21" i="27"/>
  <c r="C31" i="39" s="1"/>
  <c r="V78" i="27"/>
  <c r="C88" i="39" s="1"/>
  <c r="V52" i="27"/>
  <c r="C62" i="39" s="1"/>
  <c r="V4" i="27"/>
  <c r="C14" i="39" s="1"/>
  <c r="U61" i="27"/>
  <c r="B71" i="39" s="1"/>
  <c r="U72" i="27"/>
  <c r="B82" i="39" s="1"/>
  <c r="U53" i="27"/>
  <c r="B63" i="39" s="1"/>
  <c r="U29" i="27"/>
  <c r="B39" i="39" s="1"/>
  <c r="U32" i="27"/>
  <c r="B42" i="39" s="1"/>
  <c r="U52" i="27"/>
  <c r="B62" i="39" s="1"/>
  <c r="U5" i="27"/>
  <c r="B15" i="39" s="1"/>
  <c r="U42" i="27"/>
  <c r="B52" i="39" s="1"/>
  <c r="AI19" i="27"/>
  <c r="C3" i="39" l="1"/>
  <c r="C9" i="39"/>
  <c r="I22" i="42" l="1"/>
  <c r="I27" i="42"/>
  <c r="I29" i="42"/>
  <c r="I23" i="42"/>
  <c r="I24" i="42"/>
  <c r="I25" i="42"/>
  <c r="I28" i="42"/>
  <c r="I30" i="42"/>
  <c r="I31" i="42"/>
  <c r="I26" i="42"/>
  <c r="K27" i="42"/>
  <c r="K28" i="42"/>
  <c r="K29" i="42"/>
  <c r="K22" i="42"/>
  <c r="K30" i="42"/>
  <c r="K23" i="42"/>
  <c r="K31" i="42"/>
  <c r="K24" i="42"/>
  <c r="K25" i="42"/>
  <c r="K26" i="42"/>
</calcChain>
</file>

<file path=xl/sharedStrings.xml><?xml version="1.0" encoding="utf-8"?>
<sst xmlns="http://schemas.openxmlformats.org/spreadsheetml/2006/main" count="1592" uniqueCount="306">
  <si>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</si>
  <si>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</si>
  <si>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</si>
  <si>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</si>
  <si>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</si>
  <si>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</si>
  <si>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</si>
  <si>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</si>
  <si>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</si>
  <si>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</si>
  <si>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</si>
  <si>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</si>
  <si>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</si>
  <si>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</si>
  <si>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</si>
  <si>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</si>
  <si>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</si>
  <si>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</si>
  <si>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</si>
  <si>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</si>
  <si>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</si>
  <si>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</si>
  <si>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</si>
  <si>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</si>
  <si>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</si>
  <si>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</si>
  <si>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</si>
  <si>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</si>
  <si>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</si>
  <si>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</si>
  <si>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</si>
  <si>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</si>
  <si>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</si>
  <si>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</si>
  <si>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</si>
  <si>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</si>
  <si>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</si>
  <si>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</si>
  <si>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</si>
  <si>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</si>
  <si>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</si>
  <si>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</si>
  <si>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</si>
  <si>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</si>
  <si>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</si>
  <si>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</si>
  <si>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</si>
  <si>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</si>
  <si>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</si>
  <si>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</si>
  <si>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</si>
  <si>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</si>
  <si>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</si>
  <si>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</si>
  <si>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</si>
  <si>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</si>
  <si>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</si>
  <si>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</si>
  <si>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</si>
  <si>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</si>
  <si>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</si>
  <si>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</si>
  <si>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</si>
  <si>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</si>
  <si>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</si>
  <si>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</si>
  <si>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</si>
  <si>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</si>
  <si>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</si>
  <si>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</si>
  <si>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</si>
  <si>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</si>
  <si>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</si>
  <si>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</si>
  <si>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</si>
  <si>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</si>
  <si>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</si>
  <si>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</si>
  <si>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</si>
  <si>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</si>
  <si>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</si>
  <si>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</si>
  <si>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</si>
  <si>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</si>
  <si>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</si>
  <si>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</si>
  <si>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</si>
  <si>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</si>
  <si>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</si>
  <si>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</si>
  <si>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</si>
  <si>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</si>
  <si>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</si>
  <si>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</si>
  <si>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</si>
  <si>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</si>
  <si>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</si>
  <si>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</si>
  <si>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</si>
  <si>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</si>
  <si>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</si>
  <si>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</si>
  <si>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</si>
  <si>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</si>
  <si>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</si>
  <si>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</si>
  <si>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</si>
  <si>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</si>
  <si>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</si>
  <si>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</si>
  <si>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</si>
  <si>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</si>
  <si>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</si>
  <si>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</si>
  <si>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</si>
  <si>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</si>
  <si>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</si>
  <si>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</si>
  <si>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</si>
  <si>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</si>
  <si>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</si>
  <si>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</si>
  <si>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</si>
  <si>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</si>
  <si>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</si>
  <si>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InterpY</t>
  </si>
  <si>
    <t>InterpX</t>
  </si>
  <si>
    <t>Interp CCS Quotes</t>
  </si>
  <si>
    <t>t+1</t>
  </si>
  <si>
    <t>t+2</t>
  </si>
  <si>
    <t>t+2+1w</t>
  </si>
  <si>
    <t>[0,1W] Zero rate spread</t>
  </si>
  <si>
    <t>Factor</t>
  </si>
  <si>
    <t>QL Object Class</t>
  </si>
  <si>
    <t>DateChooser</t>
  </si>
  <si>
    <t>EURSTD</t>
  </si>
  <si>
    <t>EUR3M</t>
  </si>
  <si>
    <t>EURON</t>
  </si>
  <si>
    <t>CCSDom1stRateFixed</t>
  </si>
  <si>
    <t>CCSFor1stRateFixed</t>
  </si>
  <si>
    <t>RTData Trigger</t>
  </si>
  <si>
    <t>QuantLib</t>
  </si>
  <si>
    <t>InUse</t>
  </si>
  <si>
    <t>EURON_</t>
  </si>
  <si>
    <t>EUR3M_</t>
  </si>
  <si>
    <t>Discount</t>
  </si>
  <si>
    <t>ManualEvalDate</t>
  </si>
  <si>
    <t>QLEvaluationDate</t>
  </si>
  <si>
    <t>semiannual</t>
  </si>
  <si>
    <t>quarterly</t>
  </si>
  <si>
    <t>monthly</t>
  </si>
  <si>
    <t>dvPayFreqType</t>
  </si>
  <si>
    <t>D=CKCC</t>
  </si>
  <si>
    <t>GBP</t>
  </si>
  <si>
    <t>ON/TN DEPO SPREADS TO MATCH MX DISCOUNTS</t>
  </si>
  <si>
    <t>USDON</t>
  </si>
  <si>
    <t>USD3M</t>
  </si>
  <si>
    <t>USDSTD</t>
  </si>
  <si>
    <t>USD</t>
  </si>
  <si>
    <t>USDBASIS.EURON</t>
  </si>
  <si>
    <t>USD3M_</t>
  </si>
  <si>
    <t>Disc@t+1, USDON</t>
  </si>
  <si>
    <t>Disc@t+2, USDON</t>
  </si>
  <si>
    <t>Disc@t+2+1w, USDON</t>
  </si>
  <si>
    <t>USD Yrf Code</t>
  </si>
  <si>
    <t>Disc@t+1, MX-USDBasis</t>
  </si>
  <si>
    <t>Disc@t+2, MX-USDBasis</t>
  </si>
  <si>
    <t>Disc@t+2+1w, MX-USDBasis</t>
  </si>
  <si>
    <t>MX-USDBasis simple rate t,t+1</t>
  </si>
  <si>
    <t>MX-USDBasis simple rate t+1,t+2</t>
  </si>
  <si>
    <t>spread BASIS-USDON "on" (%)</t>
  </si>
  <si>
    <t>spread BASIS-USDON "tn" (%)</t>
  </si>
  <si>
    <t>MX ccs curve built as spread curve over</t>
  </si>
  <si>
    <t>USDON_</t>
  </si>
  <si>
    <t>EURSTD_</t>
  </si>
  <si>
    <t>USDBASIS.EURSTD</t>
  </si>
  <si>
    <t>USDSTD_</t>
  </si>
  <si>
    <t>1Y</t>
  </si>
  <si>
    <t>=ICAP</t>
  </si>
  <si>
    <t>2Y</t>
  </si>
  <si>
    <t>3Y</t>
  </si>
  <si>
    <t>4Y</t>
  </si>
  <si>
    <t>5Y</t>
  </si>
  <si>
    <t>7Y</t>
  </si>
  <si>
    <t>10Y</t>
  </si>
  <si>
    <t>15Y</t>
  </si>
  <si>
    <t>3M</t>
  </si>
  <si>
    <t>6M</t>
  </si>
  <si>
    <t>9M</t>
  </si>
  <si>
    <t>20Y</t>
  </si>
  <si>
    <t>30Y</t>
  </si>
  <si>
    <t>MONTHS</t>
  </si>
  <si>
    <t>Pay</t>
  </si>
  <si>
    <t>startDate</t>
  </si>
  <si>
    <t>matDate</t>
  </si>
  <si>
    <t>matMonth</t>
  </si>
  <si>
    <t>payment frequency</t>
  </si>
  <si>
    <t>dayCount</t>
  </si>
  <si>
    <t>adjustDates</t>
  </si>
  <si>
    <t>modFollow</t>
  </si>
  <si>
    <t>notional</t>
  </si>
  <si>
    <t>spotFXDom2For</t>
  </si>
  <si>
    <t>discountCurveName</t>
  </si>
  <si>
    <t>forwardingCurveName</t>
  </si>
  <si>
    <t>marked2MarketCurr</t>
  </si>
  <si>
    <t>rateMult</t>
  </si>
  <si>
    <t>rateMargin (%)</t>
  </si>
  <si>
    <t>is1stCpnFixed</t>
  </si>
  <si>
    <t>firstCpnRate (%)</t>
  </si>
  <si>
    <t>CCSUSDEUR</t>
  </si>
  <si>
    <t>CCSUSDEURSTD</t>
  </si>
  <si>
    <t>M=</t>
  </si>
  <si>
    <t>W=</t>
  </si>
  <si>
    <t>Linear Yrf 1W Depo</t>
  </si>
  <si>
    <t>Zero Rate Yrf Code</t>
  </si>
  <si>
    <t>IsBootstrapSheet</t>
  </si>
  <si>
    <t>CHF3M_</t>
  </si>
  <si>
    <t>CHFBASIS.EURSTD(USD)</t>
  </si>
  <si>
    <t>CHFBASIS.EURON(USD)</t>
  </si>
  <si>
    <t>PRIMACT_1</t>
  </si>
  <si>
    <t>Calendar</t>
  </si>
  <si>
    <t>Date</t>
  </si>
  <si>
    <t>qlYieldCurve</t>
  </si>
  <si>
    <t>KrugerLogCubic</t>
  </si>
  <si>
    <t>InterpolatorID</t>
  </si>
  <si>
    <t>TraitsID</t>
  </si>
  <si>
    <t>Actual/365 (Fixed)</t>
  </si>
  <si>
    <t>DayCounter</t>
  </si>
  <si>
    <t>TARGET</t>
  </si>
  <si>
    <t>Pillars Count</t>
  </si>
  <si>
    <t>SEC_ACT_1</t>
  </si>
  <si>
    <t>EUR2USD</t>
  </si>
  <si>
    <t>USD2CHF</t>
  </si>
  <si>
    <t>EUR2CHF</t>
  </si>
  <si>
    <t>CSA</t>
  </si>
  <si>
    <t>NO CSA</t>
  </si>
  <si>
    <t>EURCBS</t>
  </si>
  <si>
    <t>SwapMat</t>
  </si>
  <si>
    <t>*</t>
  </si>
  <si>
    <t>BID Label</t>
  </si>
  <si>
    <t>ASK Label</t>
  </si>
  <si>
    <t>Scaling</t>
  </si>
  <si>
    <t>Major Currency</t>
  </si>
  <si>
    <t>Minor Currency</t>
  </si>
  <si>
    <t>Major Disc Curve</t>
  </si>
  <si>
    <t>Major Fwd Curve</t>
  </si>
  <si>
    <t>Minor Disc Curve</t>
  </si>
  <si>
    <t>Minor Fwd Curve</t>
  </si>
  <si>
    <t>MajFreq</t>
  </si>
  <si>
    <t>MajYrf</t>
  </si>
  <si>
    <t>MinFreq</t>
  </si>
  <si>
    <t>MinYrf</t>
  </si>
  <si>
    <t>MinorAnnuity</t>
  </si>
  <si>
    <t>"OIS"</t>
  </si>
  <si>
    <t>"STD"</t>
  </si>
  <si>
    <t>NO-Spread NPV</t>
  </si>
  <si>
    <t>MID</t>
  </si>
  <si>
    <t>TOT</t>
  </si>
  <si>
    <t>GBPON</t>
  </si>
  <si>
    <t>GBP3M</t>
  </si>
  <si>
    <t>GBPSTD</t>
  </si>
  <si>
    <t>GBPBASIS.EURON.USD</t>
  </si>
  <si>
    <t>GBP3M_</t>
  </si>
  <si>
    <t>GBPCBS</t>
  </si>
  <si>
    <t>GBPON_</t>
  </si>
  <si>
    <t>Disc@t+1, GBPON</t>
  </si>
  <si>
    <t>Disc@t+2, GBPON</t>
  </si>
  <si>
    <t>Disc@t+2+1w, GBPON</t>
  </si>
  <si>
    <t>GBP Yrf Code</t>
  </si>
  <si>
    <t>Disc@t+1, MX-GBPBasis</t>
  </si>
  <si>
    <t>Disc@t+2, MX-GBPBasis</t>
  </si>
  <si>
    <t>Disc@t+2+1w, MX-GBPBasis</t>
  </si>
  <si>
    <t>MX-GBPBasis simple rate t,t+1</t>
  </si>
  <si>
    <t>MX-GBPBasis simple rate t+1,t+2</t>
  </si>
  <si>
    <t>spread BASIS-GBPON "on" (%)</t>
  </si>
  <si>
    <t>spread BASIS-GBPON "tn" (%)</t>
  </si>
  <si>
    <t>CCSGBPEUROIS</t>
  </si>
  <si>
    <t>GBPECB</t>
  </si>
  <si>
    <t>GBPBASIS.EURSTD.USD</t>
  </si>
  <si>
    <t>CCSGBPEUR</t>
  </si>
  <si>
    <t>GBPSTD_</t>
  </si>
  <si>
    <t>Disc@t+1, GBPSTD</t>
  </si>
  <si>
    <t>Disc@t+2, GBPSTD</t>
  </si>
  <si>
    <t>Disc@t+2+1w, GBPSTD</t>
  </si>
  <si>
    <t>spread BASIS-GBPSTD "on" (%)</t>
  </si>
  <si>
    <t>spread BASIS-GBPSTD "tn" (%)</t>
  </si>
  <si>
    <t>GBPBASIS.USDON</t>
  </si>
  <si>
    <t>?????</t>
  </si>
  <si>
    <t>??????</t>
  </si>
  <si>
    <t>EURBASIS.USDON</t>
  </si>
  <si>
    <t>"MKT" QUOTES</t>
  </si>
  <si>
    <t>IMPLIED BY TRIANGULATION</t>
  </si>
  <si>
    <t>USD BASIS (EUR)</t>
  </si>
  <si>
    <t>EUR BASIS, GBP BASIS (USD)</t>
  </si>
  <si>
    <t>CONTRIBUTE TO INTERNAL RICS</t>
  </si>
  <si>
    <t>TRIANGULATION via USD BASIS (EUR)</t>
  </si>
  <si>
    <t>CONTRIBUTION SETTINGS</t>
  </si>
  <si>
    <t>SourceAlias</t>
  </si>
  <si>
    <t>EUR-GBP CCSWAP Settings</t>
  </si>
  <si>
    <t>TRIANGULATION via EUR BASIS (USD), GBP BASIS (USD)</t>
  </si>
  <si>
    <t>RIC (OIS)</t>
  </si>
  <si>
    <t>RIC (STD)</t>
  </si>
  <si>
    <t>FieldLabel</t>
  </si>
  <si>
    <t>RtMode</t>
  </si>
  <si>
    <t>SCOPE:SERVER</t>
  </si>
  <si>
    <t>Contribution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</si>
</sst>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(* #,##0_);_(* \(#,##0\);_(* &quot;-&quot;_);_(@_)"/>
    <numFmt numFmtId="165" formatCode="_(* #,##0.00_);_(* \(#,##0.00\);_(* &quot;-&quot;??_);_(@_)"/>
    <numFmt numFmtId="166" formatCode="&quot;$&quot;#,##0.00_);[Red]\(&quot;$&quot;#,##0.00\)"/>
    <numFmt numFmtId="167" formatCode="_(&quot;$&quot;* #,##0_);_(&quot;$&quot;* \(#,##0\);_(&quot;$&quot;* &quot;-&quot;_);_(@_)"/>
    <numFmt numFmtId="168" formatCode="ddd\,\ dd\-mmm\-yyyy"/>
    <numFmt numFmtId="169" formatCode="ddd\,\ d\-mmm\-yyyy"/>
    <numFmt numFmtId="170" formatCode="d\ mmm\ yy"/>
    <numFmt numFmtId="171" formatCode="#,##0.00000000"/>
    <numFmt numFmtId="172" formatCode="_-[$€]\ * #,##0.00_-;\-[$€]\ * #,##0.00_-;_-[$€]\ * &quot;-&quot;??_-;_-@_-"/>
    <numFmt numFmtId="173" formatCode="0.0000"/>
    <numFmt numFmtId="174" formatCode="0.000000000"/>
    <numFmt numFmtId="175" formatCode="dd\ mmm\ yy"/>
    <numFmt numFmtId="176" formatCode="0.000%"/>
    <numFmt numFmtId="177" formatCode="mmm\ yy"/>
    <numFmt numFmtId="178" formatCode="0&quot;M&quot;"/>
    <numFmt numFmtId="179" formatCode="0&quot;W&quot;"/>
    <numFmt numFmtId="180" formatCode="#,##0.0;#,##0.0"/>
    <numFmt numFmtId="181" formatCode="ddd\,\ dd/mm/yyyy"/>
    <numFmt numFmtId="182" formatCode="#,##0.00_ ;\-#,##0.00\ "/>
    <numFmt numFmtId="183" formatCode="0.00000"/>
  </numFmts>
  <fonts count="48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i/>
      <sz val="8"/>
      <color theme="0" tint="-0.14999847407452621"/>
      <name val="Arial"/>
      <family val="2"/>
    </font>
    <font>
      <sz val="8"/>
      <color rgb="FF000000"/>
      <name val="Arial"/>
      <family val="2"/>
    </font>
    <font>
      <b/>
      <i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8"/>
      <color theme="0" tint="-0.34998626667073579"/>
      <name val="Arial"/>
      <family val="2"/>
    </font>
    <font>
      <sz val="9"/>
      <name val="Arial"/>
      <family val="2"/>
    </font>
    <font>
      <i/>
      <sz val="8"/>
      <color indexed="12"/>
      <name val="Arial"/>
      <family val="2"/>
    </font>
    <font>
      <i/>
      <sz val="8"/>
      <color indexed="8"/>
      <name val="Arial"/>
      <family val="2"/>
    </font>
    <font>
      <sz val="8"/>
      <color theme="0"/>
      <name val="Arial"/>
      <family val="2"/>
    </font>
    <font>
      <sz val="8"/>
      <color theme="0" tint="-0.249977111117893"/>
      <name val="Arial"/>
      <family val="2"/>
    </font>
    <font>
      <b/>
      <sz val="8"/>
      <color theme="0" tint="-0.499984740745262"/>
      <name val="Arial"/>
      <family val="2"/>
    </font>
    <font>
      <b/>
      <i/>
      <sz val="8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gray0625"/>
    </fill>
    <fill>
      <patternFill patternType="gray0625">
        <bgColor theme="0" tint="-0.24994659260841701"/>
      </patternFill>
    </fill>
    <fill>
      <patternFill patternType="gray125">
        <bgColor rgb="FFFFCCFF"/>
      </patternFill>
    </fill>
    <fill>
      <patternFill patternType="gray125">
        <bgColor rgb="FFCCFFFF"/>
      </patternFill>
    </fill>
    <fill>
      <patternFill patternType="solid">
        <fgColor rgb="FFFF66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24">
    <xf numFmtId="0" fontId="0" fillId="0" borderId="0"/>
    <xf numFmtId="0" fontId="3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18" borderId="21" applyNumberFormat="0" applyAlignment="0" applyProtection="0"/>
    <xf numFmtId="0" fontId="8" fillId="0" borderId="22" applyNumberFormat="0" applyFill="0" applyAlignment="0" applyProtection="0"/>
    <xf numFmtId="0" fontId="9" fillId="19" borderId="23" applyNumberFormat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172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25" borderId="24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25" applyNumberFormat="0" applyFill="0" applyAlignment="0" applyProtection="0"/>
    <xf numFmtId="0" fontId="2" fillId="3" borderId="17" applyNumberFormat="0" applyFont="0" applyAlignment="0">
      <protection locked="0"/>
    </xf>
    <xf numFmtId="0" fontId="1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0" fontId="28" fillId="5" borderId="0" applyNumberFormat="0" applyBorder="0" applyAlignment="0" applyProtection="0"/>
    <xf numFmtId="0" fontId="7" fillId="18" borderId="29" applyNumberFormat="0" applyAlignment="0" applyProtection="0"/>
    <xf numFmtId="0" fontId="7" fillId="18" borderId="29" applyNumberFormat="0" applyAlignment="0" applyProtection="0"/>
    <xf numFmtId="0" fontId="9" fillId="19" borderId="23" applyNumberFormat="0" applyAlignment="0" applyProtection="0"/>
    <xf numFmtId="0" fontId="14" fillId="0" borderId="0" applyNumberFormat="0" applyFill="0" applyBorder="0" applyAlignment="0" applyProtection="0"/>
    <xf numFmtId="0" fontId="29" fillId="6" borderId="0" applyNumberFormat="0" applyBorder="0" applyAlignment="0" applyProtection="0"/>
    <xf numFmtId="0" fontId="16" fillId="0" borderId="25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1" fillId="9" borderId="29" applyNumberFormat="0" applyAlignment="0" applyProtection="0"/>
    <xf numFmtId="0" fontId="8" fillId="0" borderId="22" applyNumberFormat="0" applyFill="0" applyAlignment="0" applyProtection="0"/>
    <xf numFmtId="40" fontId="22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0" borderId="0"/>
    <xf numFmtId="0" fontId="22" fillId="0" borderId="0"/>
    <xf numFmtId="0" fontId="10" fillId="25" borderId="32" applyNumberFormat="0" applyFont="0" applyAlignment="0" applyProtection="0"/>
    <xf numFmtId="0" fontId="2" fillId="25" borderId="32" applyNumberFormat="0" applyFont="0" applyAlignment="0" applyProtection="0"/>
    <xf numFmtId="0" fontId="23" fillId="18" borderId="33" applyNumberFormat="0" applyAlignment="0" applyProtection="0"/>
    <xf numFmtId="9" fontId="10" fillId="0" borderId="0" applyFont="0" applyFill="0" applyBorder="0" applyAlignment="0" applyProtection="0"/>
    <xf numFmtId="180" fontId="24" fillId="38" borderId="0">
      <alignment horizontal="center" vertical="center"/>
    </xf>
    <xf numFmtId="0" fontId="15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34" applyNumberFormat="0" applyFill="0" applyAlignment="0" applyProtection="0"/>
    <xf numFmtId="0" fontId="27" fillId="0" borderId="34" applyNumberFormat="0" applyFill="0" applyAlignment="0" applyProtection="0"/>
    <xf numFmtId="0" fontId="28" fillId="5" borderId="0" applyNumberFormat="0" applyBorder="0" applyAlignment="0" applyProtection="0"/>
    <xf numFmtId="0" fontId="29" fillId="6" borderId="0" applyNumberFormat="0" applyBorder="0" applyAlignment="0" applyProtection="0"/>
    <xf numFmtId="167" fontId="11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0" fillId="0" borderId="0"/>
    <xf numFmtId="0" fontId="10" fillId="0" borderId="0"/>
    <xf numFmtId="0" fontId="2" fillId="0" borderId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21" fillId="9" borderId="37" applyNumberFormat="0" applyAlignment="0" applyProtection="0"/>
    <xf numFmtId="0" fontId="21" fillId="9" borderId="37" applyNumberForma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2" fillId="25" borderId="38" applyNumberFormat="0" applyFont="0" applyAlignment="0" applyProtection="0"/>
    <xf numFmtId="0" fontId="2" fillId="25" borderId="38" applyNumberFormat="0" applyFont="0" applyAlignment="0" applyProtection="0"/>
    <xf numFmtId="0" fontId="23" fillId="18" borderId="39" applyNumberFormat="0" applyAlignment="0" applyProtection="0"/>
    <xf numFmtId="0" fontId="23" fillId="18" borderId="39" applyNumberFormat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" fillId="3" borderId="35" applyNumberFormat="0" applyFont="0" applyAlignment="0">
      <protection locked="0"/>
    </xf>
    <xf numFmtId="0" fontId="2" fillId="3" borderId="35" applyNumberFormat="0" applyFont="0" applyAlignment="0">
      <protection locked="0"/>
    </xf>
    <xf numFmtId="0" fontId="2" fillId="0" borderId="0"/>
    <xf numFmtId="165" fontId="35" fillId="0" borderId="0" applyFont="0" applyFill="0" applyBorder="0" applyAlignment="0" applyProtection="0"/>
    <xf numFmtId="0" fontId="2" fillId="3" borderId="63" applyNumberFormat="0" applyFont="0" applyAlignment="0">
      <protection locked="0"/>
    </xf>
  </cellStyleXfs>
  <cellXfs count="542">
    <xf numFmtId="0" fontId="0" fillId="0" borderId="0" xfId="0"/>
    <xf numFmtId="0" fontId="2" fillId="2" borderId="4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8" fontId="2" fillId="3" borderId="8" xfId="0" applyNumberFormat="1" applyFont="1" applyFill="1" applyBorder="1" applyAlignment="1" applyProtection="1">
      <alignment horizontal="center"/>
      <protection locked="0"/>
    </xf>
    <xf numFmtId="0" fontId="2" fillId="2" borderId="9" xfId="0" applyFont="1" applyFill="1" applyBorder="1"/>
    <xf numFmtId="169" fontId="2" fillId="2" borderId="11" xfId="0" applyNumberFormat="1" applyFont="1" applyFill="1" applyBorder="1" applyAlignment="1" applyProtection="1">
      <alignment horizontal="center"/>
      <protection locked="0"/>
    </xf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170" fontId="0" fillId="0" borderId="20" xfId="0" applyNumberFormat="1" applyBorder="1"/>
    <xf numFmtId="171" fontId="0" fillId="0" borderId="20" xfId="0" applyNumberFormat="1" applyBorder="1"/>
    <xf numFmtId="170" fontId="0" fillId="0" borderId="19" xfId="0" applyNumberFormat="1" applyBorder="1"/>
    <xf numFmtId="171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3" fillId="0" borderId="0" xfId="1"/>
    <xf numFmtId="0" fontId="3" fillId="0" borderId="19" xfId="1" applyBorder="1" applyAlignment="1">
      <alignment horizontal="center"/>
    </xf>
    <xf numFmtId="0" fontId="3" fillId="0" borderId="18" xfId="1" applyBorder="1" applyAlignment="1">
      <alignment horizontal="center"/>
    </xf>
    <xf numFmtId="0" fontId="4" fillId="0" borderId="18" xfId="1" applyFont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0" xfId="1" applyBorder="1" applyAlignment="1">
      <alignment horizontal="center"/>
    </xf>
    <xf numFmtId="11" fontId="3" fillId="0" borderId="20" xfId="1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14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6" xfId="0" applyNumberFormat="1" applyBorder="1" applyAlignment="1">
      <alignment horizontal="center"/>
    </xf>
    <xf numFmtId="170" fontId="0" fillId="0" borderId="36" xfId="0" applyNumberFormat="1" applyBorder="1"/>
    <xf numFmtId="0" fontId="2" fillId="2" borderId="13" xfId="0" applyNumberFormat="1" applyFont="1" applyFill="1" applyBorder="1" applyAlignment="1" applyProtection="1">
      <alignment horizontal="center"/>
      <protection locked="0"/>
    </xf>
    <xf numFmtId="21" fontId="2" fillId="2" borderId="11" xfId="0" applyNumberFormat="1" applyFont="1" applyFill="1" applyBorder="1" applyAlignment="1" applyProtection="1">
      <alignment horizontal="center"/>
      <protection locked="0"/>
    </xf>
    <xf numFmtId="171" fontId="0" fillId="31" borderId="36" xfId="0" applyNumberFormat="1" applyFill="1" applyBorder="1"/>
    <xf numFmtId="171" fontId="0" fillId="31" borderId="20" xfId="0" applyNumberFormat="1" applyFill="1" applyBorder="1"/>
    <xf numFmtId="171" fontId="0" fillId="39" borderId="36" xfId="0" applyNumberFormat="1" applyFill="1" applyBorder="1"/>
    <xf numFmtId="171" fontId="0" fillId="39" borderId="20" xfId="0" applyNumberFormat="1" applyFill="1" applyBorder="1"/>
    <xf numFmtId="0" fontId="20" fillId="35" borderId="36" xfId="0" applyFont="1" applyFill="1" applyBorder="1" applyAlignment="1">
      <alignment horizontal="right"/>
    </xf>
    <xf numFmtId="0" fontId="20" fillId="35" borderId="20" xfId="0" applyFont="1" applyFill="1" applyBorder="1" applyAlignment="1">
      <alignment horizontal="right"/>
    </xf>
    <xf numFmtId="0" fontId="20" fillId="35" borderId="19" xfId="0" applyFont="1" applyFill="1" applyBorder="1" applyAlignment="1">
      <alignment horizontal="right"/>
    </xf>
    <xf numFmtId="0" fontId="20" fillId="35" borderId="35" xfId="0" applyFont="1" applyFill="1" applyBorder="1" applyAlignment="1">
      <alignment horizontal="center"/>
    </xf>
    <xf numFmtId="0" fontId="0" fillId="31" borderId="26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170" fontId="0" fillId="31" borderId="36" xfId="0" applyNumberFormat="1" applyFill="1" applyBorder="1"/>
    <xf numFmtId="170" fontId="0" fillId="31" borderId="20" xfId="0" applyNumberFormat="1" applyFill="1" applyBorder="1"/>
    <xf numFmtId="170" fontId="0" fillId="31" borderId="19" xfId="0" applyNumberFormat="1" applyFill="1" applyBorder="1"/>
    <xf numFmtId="171" fontId="0" fillId="31" borderId="19" xfId="0" applyNumberFormat="1" applyFill="1" applyBorder="1"/>
    <xf numFmtId="170" fontId="0" fillId="40" borderId="36" xfId="0" applyNumberFormat="1" applyFill="1" applyBorder="1"/>
    <xf numFmtId="171" fontId="0" fillId="40" borderId="36" xfId="0" applyNumberFormat="1" applyFill="1" applyBorder="1"/>
    <xf numFmtId="170" fontId="0" fillId="40" borderId="20" xfId="0" applyNumberFormat="1" applyFill="1" applyBorder="1"/>
    <xf numFmtId="171" fontId="0" fillId="40" borderId="20" xfId="0" applyNumberFormat="1" applyFill="1" applyBorder="1"/>
    <xf numFmtId="170" fontId="0" fillId="40" borderId="19" xfId="0" applyNumberFormat="1" applyFill="1" applyBorder="1"/>
    <xf numFmtId="171" fontId="0" fillId="40" borderId="19" xfId="0" applyNumberFormat="1" applyFill="1" applyBorder="1"/>
    <xf numFmtId="0" fontId="31" fillId="2" borderId="9" xfId="0" applyFont="1" applyFill="1" applyBorder="1"/>
    <xf numFmtId="0" fontId="1" fillId="35" borderId="7" xfId="0" applyFont="1" applyFill="1" applyBorder="1" applyAlignment="1">
      <alignment horizontal="right"/>
    </xf>
    <xf numFmtId="0" fontId="1" fillId="35" borderId="10" xfId="0" applyFont="1" applyFill="1" applyBorder="1" applyAlignment="1">
      <alignment horizontal="right"/>
    </xf>
    <xf numFmtId="0" fontId="1" fillId="35" borderId="12" xfId="0" applyFont="1" applyFill="1" applyBorder="1" applyAlignment="1">
      <alignment horizontal="right"/>
    </xf>
    <xf numFmtId="169" fontId="2" fillId="31" borderId="11" xfId="0" applyNumberFormat="1" applyFont="1" applyFill="1" applyBorder="1" applyAlignment="1" applyProtection="1">
      <alignment horizontal="center"/>
      <protection locked="0"/>
    </xf>
    <xf numFmtId="0" fontId="2" fillId="0" borderId="26" xfId="1" applyFont="1" applyBorder="1"/>
    <xf numFmtId="0" fontId="2" fillId="0" borderId="6" xfId="1" applyFont="1" applyBorder="1"/>
    <xf numFmtId="0" fontId="2" fillId="0" borderId="14" xfId="1" applyFont="1" applyBorder="1"/>
    <xf numFmtId="0" fontId="3" fillId="0" borderId="41" xfId="1" applyBorder="1"/>
    <xf numFmtId="0" fontId="3" fillId="0" borderId="20" xfId="1" applyBorder="1"/>
    <xf numFmtId="0" fontId="3" fillId="0" borderId="19" xfId="1" applyBorder="1"/>
    <xf numFmtId="14" fontId="0" fillId="0" borderId="0" xfId="0" applyNumberFormat="1"/>
    <xf numFmtId="173" fontId="0" fillId="0" borderId="0" xfId="0" applyNumberFormat="1"/>
    <xf numFmtId="0" fontId="2" fillId="0" borderId="0" xfId="121" applyProtection="1"/>
    <xf numFmtId="0" fontId="2" fillId="0" borderId="0" xfId="121"/>
    <xf numFmtId="0" fontId="2" fillId="0" borderId="0" xfId="121" applyBorder="1" applyProtection="1"/>
    <xf numFmtId="174" fontId="2" fillId="30" borderId="19" xfId="121" applyNumberFormat="1" applyFont="1" applyFill="1" applyBorder="1" applyProtection="1"/>
    <xf numFmtId="175" fontId="2" fillId="30" borderId="19" xfId="121" applyNumberFormat="1" applyFont="1" applyFill="1" applyBorder="1" applyAlignment="1" applyProtection="1">
      <alignment horizontal="center"/>
    </xf>
    <xf numFmtId="174" fontId="2" fillId="30" borderId="20" xfId="121" applyNumberFormat="1" applyFont="1" applyFill="1" applyBorder="1" applyProtection="1"/>
    <xf numFmtId="175" fontId="2" fillId="30" borderId="20" xfId="121" applyNumberFormat="1" applyFont="1" applyFill="1" applyBorder="1" applyAlignment="1" applyProtection="1">
      <alignment horizontal="center"/>
    </xf>
    <xf numFmtId="0" fontId="2" fillId="0" borderId="42" xfId="121" applyBorder="1" applyAlignment="1" applyProtection="1">
      <alignment horizontal="center"/>
    </xf>
    <xf numFmtId="0" fontId="2" fillId="0" borderId="15" xfId="121" applyBorder="1" applyAlignment="1" applyProtection="1">
      <alignment horizontal="center"/>
    </xf>
    <xf numFmtId="0" fontId="2" fillId="0" borderId="14" xfId="121" applyBorder="1" applyAlignment="1" applyProtection="1">
      <alignment horizontal="center"/>
    </xf>
    <xf numFmtId="0" fontId="2" fillId="0" borderId="16" xfId="121" applyBorder="1" applyAlignment="1" applyProtection="1">
      <alignment horizontal="center"/>
    </xf>
    <xf numFmtId="1" fontId="2" fillId="0" borderId="19" xfId="121" applyNumberFormat="1" applyBorder="1" applyAlignment="1" applyProtection="1">
      <alignment horizontal="center"/>
    </xf>
    <xf numFmtId="0" fontId="2" fillId="0" borderId="9" xfId="121" applyBorder="1" applyAlignment="1" applyProtection="1">
      <alignment horizontal="center"/>
    </xf>
    <xf numFmtId="0" fontId="2" fillId="0" borderId="0" xfId="121" applyBorder="1" applyAlignment="1" applyProtection="1">
      <alignment horizontal="center"/>
    </xf>
    <xf numFmtId="0" fontId="2" fillId="0" borderId="6" xfId="121" applyBorder="1" applyAlignment="1" applyProtection="1">
      <alignment horizontal="center"/>
    </xf>
    <xf numFmtId="1" fontId="2" fillId="0" borderId="20" xfId="121" applyNumberFormat="1" applyBorder="1" applyAlignment="1" applyProtection="1">
      <alignment horizontal="center"/>
    </xf>
    <xf numFmtId="0" fontId="2" fillId="39" borderId="19" xfId="121" applyFill="1" applyBorder="1" applyAlignment="1">
      <alignment horizontal="center"/>
    </xf>
    <xf numFmtId="0" fontId="2" fillId="39" borderId="19" xfId="121" applyFill="1" applyBorder="1"/>
    <xf numFmtId="173" fontId="2" fillId="39" borderId="20" xfId="121" applyNumberFormat="1" applyFill="1" applyBorder="1" applyAlignment="1">
      <alignment horizontal="center"/>
    </xf>
    <xf numFmtId="0" fontId="2" fillId="39" borderId="20" xfId="121" applyFill="1" applyBorder="1"/>
    <xf numFmtId="173" fontId="2" fillId="0" borderId="16" xfId="121" applyNumberFormat="1" applyFill="1" applyBorder="1" applyAlignment="1" applyProtection="1">
      <alignment horizontal="center"/>
    </xf>
    <xf numFmtId="0" fontId="2" fillId="0" borderId="14" xfId="121" applyFill="1" applyBorder="1" applyAlignment="1" applyProtection="1">
      <alignment horizontal="center"/>
    </xf>
    <xf numFmtId="173" fontId="2" fillId="0" borderId="19" xfId="121" applyNumberFormat="1" applyFill="1" applyBorder="1" applyAlignment="1" applyProtection="1">
      <alignment horizontal="center"/>
    </xf>
    <xf numFmtId="173" fontId="2" fillId="26" borderId="19" xfId="121" applyNumberFormat="1" applyFill="1" applyBorder="1" applyAlignment="1" applyProtection="1">
      <alignment horizontal="center"/>
    </xf>
    <xf numFmtId="173" fontId="2" fillId="27" borderId="19" xfId="121" applyNumberFormat="1" applyFill="1" applyBorder="1" applyAlignment="1" applyProtection="1">
      <alignment horizontal="center"/>
    </xf>
    <xf numFmtId="0" fontId="2" fillId="29" borderId="19" xfId="121" applyFill="1" applyBorder="1" applyProtection="1"/>
    <xf numFmtId="0" fontId="2" fillId="39" borderId="20" xfId="121" applyNumberFormat="1" applyFill="1" applyBorder="1" applyAlignment="1">
      <alignment horizontal="center"/>
    </xf>
    <xf numFmtId="173" fontId="2" fillId="0" borderId="9" xfId="121" applyNumberFormat="1" applyFill="1" applyBorder="1" applyAlignment="1" applyProtection="1">
      <alignment horizontal="center"/>
    </xf>
    <xf numFmtId="0" fontId="2" fillId="0" borderId="6" xfId="121" applyFill="1" applyBorder="1" applyAlignment="1" applyProtection="1">
      <alignment horizontal="center"/>
    </xf>
    <xf numFmtId="173" fontId="2" fillId="0" borderId="20" xfId="121" applyNumberFormat="1" applyFill="1" applyBorder="1" applyAlignment="1" applyProtection="1">
      <alignment horizontal="center"/>
    </xf>
    <xf numFmtId="173" fontId="2" fillId="26" borderId="20" xfId="121" applyNumberFormat="1" applyFill="1" applyBorder="1" applyAlignment="1" applyProtection="1">
      <alignment horizontal="center"/>
    </xf>
    <xf numFmtId="173" fontId="2" fillId="27" borderId="20" xfId="121" applyNumberFormat="1" applyFill="1" applyBorder="1" applyAlignment="1" applyProtection="1">
      <alignment horizontal="center"/>
    </xf>
    <xf numFmtId="0" fontId="2" fillId="29" borderId="20" xfId="121" applyFill="1" applyBorder="1" applyProtection="1"/>
    <xf numFmtId="0" fontId="2" fillId="39" borderId="20" xfId="121" applyFill="1" applyBorder="1" applyAlignment="1">
      <alignment horizontal="center"/>
    </xf>
    <xf numFmtId="0" fontId="2" fillId="39" borderId="41" xfId="121" applyNumberFormat="1" applyFill="1" applyBorder="1" applyAlignment="1">
      <alignment horizontal="center"/>
    </xf>
    <xf numFmtId="0" fontId="2" fillId="39" borderId="41" xfId="121" applyFill="1" applyBorder="1"/>
    <xf numFmtId="0" fontId="2" fillId="0" borderId="0" xfId="121" applyBorder="1"/>
    <xf numFmtId="0" fontId="2" fillId="0" borderId="20" xfId="121" applyFill="1" applyBorder="1" applyAlignment="1">
      <alignment horizontal="center"/>
    </xf>
    <xf numFmtId="0" fontId="2" fillId="0" borderId="20" xfId="121" applyFill="1" applyBorder="1"/>
    <xf numFmtId="0" fontId="2" fillId="39" borderId="20" xfId="121" applyFont="1" applyFill="1" applyBorder="1"/>
    <xf numFmtId="0" fontId="4" fillId="0" borderId="42" xfId="121" applyFont="1" applyFill="1" applyBorder="1" applyAlignment="1">
      <alignment horizontal="center"/>
    </xf>
    <xf numFmtId="0" fontId="2" fillId="0" borderId="42" xfId="121" applyBorder="1" applyAlignment="1">
      <alignment horizontal="center"/>
    </xf>
    <xf numFmtId="0" fontId="4" fillId="0" borderId="42" xfId="121" applyFont="1" applyBorder="1"/>
    <xf numFmtId="0" fontId="2" fillId="31" borderId="42" xfId="121" applyFont="1" applyFill="1" applyBorder="1" applyAlignment="1" applyProtection="1">
      <alignment horizontal="center"/>
    </xf>
    <xf numFmtId="0" fontId="2" fillId="27" borderId="19" xfId="121" applyFont="1" applyFill="1" applyBorder="1" applyProtection="1"/>
    <xf numFmtId="173" fontId="2" fillId="31" borderId="19" xfId="121" applyNumberFormat="1" applyFill="1" applyBorder="1" applyAlignment="1">
      <alignment horizontal="center"/>
    </xf>
    <xf numFmtId="0" fontId="2" fillId="32" borderId="19" xfId="121" applyFill="1" applyBorder="1" applyProtection="1"/>
    <xf numFmtId="0" fontId="2" fillId="31" borderId="20" xfId="121" applyFill="1" applyBorder="1" applyAlignment="1">
      <alignment horizontal="center"/>
    </xf>
    <xf numFmtId="0" fontId="2" fillId="32" borderId="20" xfId="121" applyFill="1" applyBorder="1" applyProtection="1"/>
    <xf numFmtId="173" fontId="2" fillId="31" borderId="20" xfId="121" applyNumberFormat="1" applyFont="1" applyFill="1" applyBorder="1" applyAlignment="1" applyProtection="1">
      <alignment horizontal="center"/>
    </xf>
    <xf numFmtId="0" fontId="2" fillId="32" borderId="20" xfId="121" applyFont="1" applyFill="1" applyBorder="1" applyProtection="1"/>
    <xf numFmtId="0" fontId="2" fillId="0" borderId="16" xfId="121" applyFont="1" applyBorder="1" applyProtection="1"/>
    <xf numFmtId="0" fontId="2" fillId="0" borderId="14" xfId="121" applyBorder="1" applyProtection="1"/>
    <xf numFmtId="0" fontId="2" fillId="31" borderId="20" xfId="121" applyFont="1" applyFill="1" applyBorder="1" applyAlignment="1" applyProtection="1">
      <alignment horizontal="center"/>
    </xf>
    <xf numFmtId="0" fontId="2" fillId="0" borderId="9" xfId="121" applyFont="1" applyBorder="1" applyProtection="1"/>
    <xf numFmtId="0" fontId="2" fillId="0" borderId="6" xfId="121" applyBorder="1" applyProtection="1"/>
    <xf numFmtId="0" fontId="2" fillId="0" borderId="0" xfId="121" applyFont="1" applyProtection="1"/>
    <xf numFmtId="0" fontId="2" fillId="0" borderId="5" xfId="121" applyFont="1" applyBorder="1" applyProtection="1"/>
    <xf numFmtId="0" fontId="2" fillId="0" borderId="26" xfId="121" applyBorder="1" applyProtection="1"/>
    <xf numFmtId="0" fontId="2" fillId="31" borderId="20" xfId="121" applyFill="1" applyBorder="1" applyAlignment="1" applyProtection="1">
      <alignment horizontal="center"/>
    </xf>
    <xf numFmtId="0" fontId="2" fillId="0" borderId="5" xfId="121" applyBorder="1" applyProtection="1"/>
    <xf numFmtId="0" fontId="2" fillId="0" borderId="5" xfId="121" applyBorder="1" applyAlignment="1" applyProtection="1">
      <alignment horizontal="center"/>
    </xf>
    <xf numFmtId="0" fontId="2" fillId="0" borderId="45" xfId="121" applyBorder="1" applyAlignment="1" applyProtection="1">
      <alignment horizontal="center"/>
    </xf>
    <xf numFmtId="0" fontId="2" fillId="0" borderId="26" xfId="121" applyBorder="1" applyAlignment="1" applyProtection="1">
      <alignment horizontal="center"/>
    </xf>
    <xf numFmtId="1" fontId="2" fillId="0" borderId="41" xfId="121" applyNumberFormat="1" applyBorder="1" applyAlignment="1" applyProtection="1">
      <alignment horizontal="center"/>
    </xf>
    <xf numFmtId="0" fontId="2" fillId="31" borderId="41" xfId="121" applyFill="1" applyBorder="1" applyAlignment="1" applyProtection="1">
      <alignment horizontal="center"/>
    </xf>
    <xf numFmtId="0" fontId="2" fillId="32" borderId="41" xfId="121" applyFont="1" applyFill="1" applyBorder="1" applyProtection="1"/>
    <xf numFmtId="0" fontId="17" fillId="0" borderId="42" xfId="121" applyFont="1" applyBorder="1" applyAlignment="1" applyProtection="1">
      <alignment horizontal="center"/>
    </xf>
    <xf numFmtId="0" fontId="1" fillId="0" borderId="5" xfId="121" applyFont="1" applyBorder="1" applyAlignment="1" applyProtection="1">
      <alignment horizontal="center"/>
    </xf>
    <xf numFmtId="0" fontId="1" fillId="0" borderId="26" xfId="121" applyFont="1" applyBorder="1" applyAlignment="1" applyProtection="1">
      <alignment horizontal="center"/>
    </xf>
    <xf numFmtId="0" fontId="2" fillId="31" borderId="19" xfId="121" applyFont="1" applyFill="1" applyBorder="1" applyAlignment="1" applyProtection="1">
      <alignment horizontal="center"/>
    </xf>
    <xf numFmtId="0" fontId="2" fillId="35" borderId="19" xfId="121" applyFont="1" applyFill="1" applyBorder="1" applyProtection="1"/>
    <xf numFmtId="0" fontId="2" fillId="0" borderId="0" xfId="121" applyAlignment="1" applyProtection="1">
      <alignment horizontal="center"/>
    </xf>
    <xf numFmtId="0" fontId="2" fillId="31" borderId="20" xfId="121" applyFont="1" applyFill="1" applyBorder="1" applyAlignment="1">
      <alignment horizontal="center"/>
    </xf>
    <xf numFmtId="0" fontId="2" fillId="35" borderId="20" xfId="121" applyFont="1" applyFill="1" applyBorder="1"/>
    <xf numFmtId="0" fontId="2" fillId="31" borderId="41" xfId="121" applyFill="1" applyBorder="1" applyAlignment="1">
      <alignment horizontal="center"/>
    </xf>
    <xf numFmtId="0" fontId="2" fillId="35" borderId="41" xfId="121" applyFont="1" applyFill="1" applyBorder="1"/>
    <xf numFmtId="0" fontId="2" fillId="0" borderId="0" xfId="121" applyFont="1" applyBorder="1" applyProtection="1"/>
    <xf numFmtId="0" fontId="2" fillId="0" borderId="44" xfId="121" applyBorder="1" applyAlignment="1" applyProtection="1">
      <alignment horizontal="center"/>
    </xf>
    <xf numFmtId="0" fontId="2" fillId="0" borderId="43" xfId="121" applyBorder="1" applyAlignment="1" applyProtection="1">
      <alignment horizontal="center"/>
    </xf>
    <xf numFmtId="0" fontId="2" fillId="0" borderId="43" xfId="121" applyFont="1" applyBorder="1" applyAlignment="1" applyProtection="1">
      <alignment horizontal="center"/>
    </xf>
    <xf numFmtId="0" fontId="2" fillId="34" borderId="19" xfId="121" applyFont="1" applyFill="1" applyBorder="1" applyProtection="1"/>
    <xf numFmtId="0" fontId="1" fillId="0" borderId="44" xfId="121" applyFont="1" applyBorder="1" applyAlignment="1" applyProtection="1">
      <alignment horizontal="center"/>
    </xf>
    <xf numFmtId="0" fontId="1" fillId="0" borderId="43" xfId="121" applyFont="1" applyBorder="1" applyAlignment="1" applyProtection="1">
      <alignment horizontal="center"/>
    </xf>
    <xf numFmtId="173" fontId="2" fillId="0" borderId="5" xfId="121" applyNumberFormat="1" applyFill="1" applyBorder="1" applyAlignment="1" applyProtection="1">
      <alignment horizontal="center"/>
    </xf>
    <xf numFmtId="0" fontId="2" fillId="0" borderId="26" xfId="121" applyFill="1" applyBorder="1" applyAlignment="1" applyProtection="1">
      <alignment horizontal="center"/>
    </xf>
    <xf numFmtId="173" fontId="2" fillId="0" borderId="41" xfId="121" applyNumberFormat="1" applyFill="1" applyBorder="1" applyAlignment="1" applyProtection="1">
      <alignment horizontal="center"/>
    </xf>
    <xf numFmtId="173" fontId="2" fillId="26" borderId="41" xfId="121" applyNumberFormat="1" applyFill="1" applyBorder="1" applyAlignment="1" applyProtection="1">
      <alignment horizontal="center"/>
    </xf>
    <xf numFmtId="173" fontId="2" fillId="27" borderId="41" xfId="121" applyNumberFormat="1" applyFill="1" applyBorder="1" applyAlignment="1" applyProtection="1">
      <alignment horizontal="center"/>
    </xf>
    <xf numFmtId="0" fontId="2" fillId="36" borderId="19" xfId="121" applyFont="1" applyFill="1" applyBorder="1" applyProtection="1"/>
    <xf numFmtId="176" fontId="18" fillId="33" borderId="42" xfId="121" applyNumberFormat="1" applyFont="1" applyFill="1" applyBorder="1" applyAlignment="1" applyProtection="1">
      <alignment horizontal="center"/>
    </xf>
    <xf numFmtId="0" fontId="2" fillId="31" borderId="41" xfId="121" applyFont="1" applyFill="1" applyBorder="1" applyAlignment="1" applyProtection="1">
      <alignment horizontal="center"/>
    </xf>
    <xf numFmtId="0" fontId="2" fillId="36" borderId="41" xfId="121" applyFont="1" applyFill="1" applyBorder="1" applyProtection="1"/>
    <xf numFmtId="0" fontId="2" fillId="0" borderId="16" xfId="121" applyFill="1" applyBorder="1" applyAlignment="1" applyProtection="1">
      <alignment horizontal="center"/>
    </xf>
    <xf numFmtId="173" fontId="2" fillId="0" borderId="42" xfId="121" applyNumberFormat="1" applyFill="1" applyBorder="1" applyAlignment="1" applyProtection="1">
      <alignment horizontal="center"/>
    </xf>
    <xf numFmtId="173" fontId="2" fillId="26" borderId="42" xfId="121" applyNumberFormat="1" applyFill="1" applyBorder="1" applyAlignment="1" applyProtection="1">
      <alignment horizontal="center"/>
    </xf>
    <xf numFmtId="173" fontId="2" fillId="27" borderId="42" xfId="121" applyNumberFormat="1" applyFill="1" applyBorder="1" applyAlignment="1" applyProtection="1">
      <alignment horizontal="center"/>
    </xf>
    <xf numFmtId="177" fontId="2" fillId="28" borderId="42" xfId="121" applyNumberFormat="1" applyFill="1" applyBorder="1" applyAlignment="1" applyProtection="1">
      <alignment horizontal="center"/>
    </xf>
    <xf numFmtId="0" fontId="2" fillId="29" borderId="42" xfId="121" applyFill="1" applyBorder="1" applyProtection="1"/>
    <xf numFmtId="173" fontId="19" fillId="26" borderId="19" xfId="121" applyNumberFormat="1" applyFont="1" applyFill="1" applyBorder="1" applyAlignment="1" applyProtection="1">
      <alignment horizontal="center"/>
    </xf>
    <xf numFmtId="178" fontId="2" fillId="28" borderId="19" xfId="121" applyNumberFormat="1" applyFill="1" applyBorder="1" applyAlignment="1" applyProtection="1">
      <alignment horizontal="center"/>
    </xf>
    <xf numFmtId="174" fontId="2" fillId="0" borderId="16" xfId="121" applyNumberFormat="1" applyBorder="1" applyProtection="1"/>
    <xf numFmtId="0" fontId="2" fillId="0" borderId="15" xfId="121" applyBorder="1" applyProtection="1"/>
    <xf numFmtId="178" fontId="2" fillId="28" borderId="20" xfId="121" applyNumberFormat="1" applyFill="1" applyBorder="1" applyAlignment="1" applyProtection="1">
      <alignment horizontal="center"/>
    </xf>
    <xf numFmtId="174" fontId="2" fillId="0" borderId="9" xfId="121" applyNumberFormat="1" applyBorder="1" applyProtection="1"/>
    <xf numFmtId="21" fontId="2" fillId="31" borderId="42" xfId="121" applyNumberFormat="1" applyFill="1" applyBorder="1" applyAlignment="1">
      <alignment horizontal="center"/>
    </xf>
    <xf numFmtId="0" fontId="2" fillId="37" borderId="42" xfId="121" applyFont="1" applyFill="1" applyBorder="1"/>
    <xf numFmtId="0" fontId="4" fillId="0" borderId="0" xfId="121" applyFont="1" applyBorder="1" applyAlignment="1" applyProtection="1">
      <alignment horizontal="center"/>
    </xf>
    <xf numFmtId="0" fontId="2" fillId="36" borderId="20" xfId="121" applyFont="1" applyFill="1" applyBorder="1" applyProtection="1"/>
    <xf numFmtId="0" fontId="2" fillId="0" borderId="14" xfId="121" applyFont="1" applyBorder="1" applyProtection="1"/>
    <xf numFmtId="174" fontId="2" fillId="0" borderId="5" xfId="121" applyNumberFormat="1" applyBorder="1" applyProtection="1"/>
    <xf numFmtId="0" fontId="2" fillId="0" borderId="45" xfId="121" applyBorder="1" applyProtection="1"/>
    <xf numFmtId="0" fontId="2" fillId="0" borderId="26" xfId="121" applyFont="1" applyBorder="1" applyProtection="1"/>
    <xf numFmtId="0" fontId="2" fillId="35" borderId="19" xfId="121" applyFont="1" applyFill="1" applyBorder="1"/>
    <xf numFmtId="0" fontId="2" fillId="0" borderId="26" xfId="121" applyFont="1" applyBorder="1" applyAlignment="1" applyProtection="1">
      <alignment horizontal="center"/>
    </xf>
    <xf numFmtId="181" fontId="2" fillId="0" borderId="16" xfId="121" applyNumberFormat="1" applyBorder="1" applyProtection="1"/>
    <xf numFmtId="0" fontId="2" fillId="29" borderId="41" xfId="121" applyFill="1" applyBorder="1" applyProtection="1"/>
    <xf numFmtId="0" fontId="2" fillId="34" borderId="20" xfId="121" applyFont="1" applyFill="1" applyBorder="1" applyProtection="1"/>
    <xf numFmtId="181" fontId="2" fillId="0" borderId="9" xfId="121" applyNumberFormat="1" applyBorder="1" applyProtection="1"/>
    <xf numFmtId="1" fontId="2" fillId="28" borderId="19" xfId="121" applyNumberFormat="1" applyFill="1" applyBorder="1" applyAlignment="1" applyProtection="1">
      <alignment horizontal="center"/>
    </xf>
    <xf numFmtId="0" fontId="2" fillId="34" borderId="41" xfId="121" applyFont="1" applyFill="1" applyBorder="1" applyProtection="1"/>
    <xf numFmtId="181" fontId="2" fillId="0" borderId="5" xfId="121" applyNumberFormat="1" applyBorder="1" applyProtection="1"/>
    <xf numFmtId="0" fontId="2" fillId="31" borderId="20" xfId="121" applyFont="1" applyFill="1" applyBorder="1" applyAlignment="1" applyProtection="1">
      <alignment horizontal="center"/>
      <protection locked="0"/>
    </xf>
    <xf numFmtId="0" fontId="2" fillId="30" borderId="20" xfId="121" applyFont="1" applyFill="1" applyBorder="1" applyProtection="1"/>
    <xf numFmtId="0" fontId="1" fillId="0" borderId="0" xfId="121" applyFont="1" applyBorder="1" applyProtection="1"/>
    <xf numFmtId="0" fontId="1" fillId="0" borderId="6" xfId="121" applyFont="1" applyBorder="1" applyProtection="1"/>
    <xf numFmtId="174" fontId="2" fillId="30" borderId="41" xfId="121" applyNumberFormat="1" applyFont="1" applyFill="1" applyBorder="1" applyProtection="1"/>
    <xf numFmtId="175" fontId="2" fillId="30" borderId="41" xfId="121" applyNumberFormat="1" applyFont="1" applyFill="1" applyBorder="1" applyAlignment="1" applyProtection="1">
      <alignment horizontal="center"/>
    </xf>
    <xf numFmtId="170" fontId="2" fillId="31" borderId="41" xfId="121" applyNumberFormat="1" applyFont="1" applyFill="1" applyBorder="1" applyAlignment="1" applyProtection="1">
      <alignment horizontal="center"/>
    </xf>
    <xf numFmtId="14" fontId="2" fillId="30" borderId="41" xfId="121" applyNumberFormat="1" applyFont="1" applyFill="1" applyBorder="1" applyProtection="1"/>
    <xf numFmtId="0" fontId="1" fillId="0" borderId="5" xfId="121" applyFont="1" applyBorder="1" applyProtection="1"/>
    <xf numFmtId="0" fontId="1" fillId="0" borderId="45" xfId="121" applyFont="1" applyBorder="1" applyProtection="1"/>
    <xf numFmtId="0" fontId="1" fillId="0" borderId="26" xfId="121" applyFont="1" applyBorder="1" applyProtection="1"/>
    <xf numFmtId="0" fontId="18" fillId="33" borderId="42" xfId="121" applyNumberFormat="1" applyFont="1" applyFill="1" applyBorder="1" applyAlignment="1" applyProtection="1">
      <alignment horizontal="center"/>
    </xf>
    <xf numFmtId="175" fontId="2" fillId="0" borderId="0" xfId="121" applyNumberFormat="1" applyBorder="1" applyProtection="1"/>
    <xf numFmtId="173" fontId="4" fillId="41" borderId="41" xfId="121" applyNumberFormat="1" applyFont="1" applyFill="1" applyBorder="1" applyAlignment="1" applyProtection="1">
      <alignment horizontal="center"/>
    </xf>
    <xf numFmtId="173" fontId="4" fillId="41" borderId="19" xfId="121" applyNumberFormat="1" applyFont="1" applyFill="1" applyBorder="1" applyAlignment="1" applyProtection="1">
      <alignment horizontal="center"/>
    </xf>
    <xf numFmtId="0" fontId="2" fillId="29" borderId="41" xfId="121" applyFont="1" applyFill="1" applyBorder="1" applyProtection="1"/>
    <xf numFmtId="1" fontId="2" fillId="28" borderId="41" xfId="121" applyNumberFormat="1" applyFont="1" applyFill="1" applyBorder="1" applyAlignment="1" applyProtection="1">
      <alignment horizontal="center"/>
    </xf>
    <xf numFmtId="0" fontId="2" fillId="0" borderId="5" xfId="121" applyFont="1" applyBorder="1" applyAlignment="1" applyProtection="1">
      <alignment horizontal="center"/>
    </xf>
    <xf numFmtId="173" fontId="2" fillId="0" borderId="41" xfId="121" applyNumberFormat="1" applyFont="1" applyFill="1" applyBorder="1" applyAlignment="1" applyProtection="1">
      <alignment horizontal="center"/>
    </xf>
    <xf numFmtId="173" fontId="2" fillId="26" borderId="41" xfId="121" applyNumberFormat="1" applyFont="1" applyFill="1" applyBorder="1" applyAlignment="1" applyProtection="1">
      <alignment horizontal="center"/>
    </xf>
    <xf numFmtId="0" fontId="2" fillId="29" borderId="19" xfId="121" applyFont="1" applyFill="1" applyBorder="1" applyProtection="1"/>
    <xf numFmtId="1" fontId="2" fillId="28" borderId="19" xfId="121" applyNumberFormat="1" applyFont="1" applyFill="1" applyBorder="1" applyAlignment="1" applyProtection="1">
      <alignment horizontal="center"/>
    </xf>
    <xf numFmtId="0" fontId="2" fillId="0" borderId="14" xfId="121" applyFont="1" applyBorder="1" applyAlignment="1" applyProtection="1">
      <alignment horizontal="center"/>
    </xf>
    <xf numFmtId="0" fontId="2" fillId="0" borderId="16" xfId="121" applyFont="1" applyBorder="1" applyAlignment="1" applyProtection="1">
      <alignment horizontal="center"/>
    </xf>
    <xf numFmtId="173" fontId="2" fillId="0" borderId="19" xfId="121" applyNumberFormat="1" applyFont="1" applyFill="1" applyBorder="1" applyAlignment="1" applyProtection="1">
      <alignment horizontal="center"/>
    </xf>
    <xf numFmtId="173" fontId="2" fillId="26" borderId="19" xfId="121" applyNumberFormat="1" applyFont="1" applyFill="1" applyBorder="1" applyAlignment="1" applyProtection="1">
      <alignment horizontal="center"/>
    </xf>
    <xf numFmtId="0" fontId="1" fillId="0" borderId="42" xfId="121" applyFont="1" applyBorder="1" applyAlignment="1" applyProtection="1">
      <alignment horizontal="center"/>
    </xf>
    <xf numFmtId="0" fontId="2" fillId="0" borderId="16" xfId="121" quotePrefix="1" applyFont="1" applyBorder="1" applyProtection="1"/>
    <xf numFmtId="178" fontId="2" fillId="28" borderId="41" xfId="121" applyNumberFormat="1" applyFill="1" applyBorder="1" applyAlignment="1" applyProtection="1">
      <alignment horizontal="center"/>
    </xf>
    <xf numFmtId="0" fontId="2" fillId="42" borderId="0" xfId="121" applyFill="1" applyProtection="1"/>
    <xf numFmtId="0" fontId="2" fillId="42" borderId="0" xfId="121" applyFill="1" applyAlignment="1" applyProtection="1">
      <alignment horizontal="center"/>
    </xf>
    <xf numFmtId="0" fontId="0" fillId="42" borderId="0" xfId="0" applyFill="1"/>
    <xf numFmtId="0" fontId="17" fillId="42" borderId="42" xfId="121" applyFont="1" applyFill="1" applyBorder="1" applyAlignment="1" applyProtection="1">
      <alignment horizontal="center"/>
    </xf>
    <xf numFmtId="0" fontId="2" fillId="42" borderId="14" xfId="121" applyFill="1" applyBorder="1" applyAlignment="1" applyProtection="1">
      <alignment horizontal="center"/>
    </xf>
    <xf numFmtId="0" fontId="17" fillId="42" borderId="15" xfId="121" applyFont="1" applyFill="1" applyBorder="1" applyAlignment="1" applyProtection="1">
      <alignment horizontal="center"/>
    </xf>
    <xf numFmtId="0" fontId="0" fillId="42" borderId="42" xfId="0" applyFill="1" applyBorder="1" applyAlignment="1">
      <alignment horizontal="center"/>
    </xf>
    <xf numFmtId="0" fontId="0" fillId="42" borderId="0" xfId="0" applyFill="1" applyBorder="1" applyAlignment="1">
      <alignment horizontal="center"/>
    </xf>
    <xf numFmtId="0" fontId="2" fillId="42" borderId="26" xfId="121" applyFill="1" applyBorder="1" applyAlignment="1" applyProtection="1">
      <alignment horizontal="center"/>
    </xf>
    <xf numFmtId="0" fontId="2" fillId="42" borderId="45" xfId="121" applyFill="1" applyBorder="1" applyAlignment="1" applyProtection="1">
      <alignment horizontal="center"/>
    </xf>
    <xf numFmtId="0" fontId="2" fillId="42" borderId="0" xfId="121" applyFill="1" applyBorder="1" applyAlignment="1" applyProtection="1">
      <alignment horizontal="center"/>
    </xf>
    <xf numFmtId="0" fontId="2" fillId="42" borderId="5" xfId="121" applyFill="1" applyBorder="1" applyAlignment="1" applyProtection="1">
      <alignment horizontal="center"/>
    </xf>
    <xf numFmtId="0" fontId="0" fillId="42" borderId="43" xfId="0" applyFill="1" applyBorder="1" applyAlignment="1">
      <alignment horizontal="center"/>
    </xf>
    <xf numFmtId="0" fontId="0" fillId="42" borderId="26" xfId="0" applyFill="1" applyBorder="1" applyAlignment="1">
      <alignment horizontal="center"/>
    </xf>
    <xf numFmtId="0" fontId="0" fillId="42" borderId="5" xfId="0" applyFill="1" applyBorder="1" applyAlignment="1">
      <alignment horizontal="center"/>
    </xf>
    <xf numFmtId="0" fontId="2" fillId="42" borderId="5" xfId="121" applyFill="1" applyBorder="1" applyProtection="1"/>
    <xf numFmtId="0" fontId="2" fillId="42" borderId="6" xfId="121" applyFill="1" applyBorder="1" applyAlignment="1" applyProtection="1">
      <alignment horizontal="center"/>
    </xf>
    <xf numFmtId="0" fontId="2" fillId="42" borderId="9" xfId="121" applyFill="1" applyBorder="1" applyAlignment="1" applyProtection="1">
      <alignment horizontal="center"/>
    </xf>
    <xf numFmtId="0" fontId="0" fillId="42" borderId="6" xfId="0" applyFill="1" applyBorder="1" applyAlignment="1">
      <alignment horizontal="center"/>
    </xf>
    <xf numFmtId="0" fontId="0" fillId="42" borderId="9" xfId="0" applyFill="1" applyBorder="1" applyAlignment="1">
      <alignment horizontal="center"/>
    </xf>
    <xf numFmtId="0" fontId="2" fillId="42" borderId="9" xfId="121" applyFill="1" applyBorder="1" applyProtection="1"/>
    <xf numFmtId="0" fontId="0" fillId="42" borderId="14" xfId="0" applyFill="1" applyBorder="1" applyAlignment="1">
      <alignment horizontal="center"/>
    </xf>
    <xf numFmtId="0" fontId="0" fillId="42" borderId="6" xfId="0" applyFill="1" applyBorder="1"/>
    <xf numFmtId="0" fontId="0" fillId="42" borderId="9" xfId="0" applyFill="1" applyBorder="1"/>
    <xf numFmtId="0" fontId="2" fillId="42" borderId="16" xfId="121" applyFill="1" applyBorder="1" applyProtection="1"/>
    <xf numFmtId="0" fontId="2" fillId="43" borderId="6" xfId="121" applyFill="1" applyBorder="1" applyProtection="1"/>
    <xf numFmtId="0" fontId="2" fillId="43" borderId="9" xfId="121" applyFill="1" applyBorder="1" applyProtection="1"/>
    <xf numFmtId="0" fontId="2" fillId="42" borderId="15" xfId="121" applyFill="1" applyBorder="1" applyAlignment="1" applyProtection="1">
      <alignment horizontal="center"/>
    </xf>
    <xf numFmtId="0" fontId="2" fillId="42" borderId="42" xfId="121" applyFill="1" applyBorder="1" applyAlignment="1" applyProtection="1">
      <alignment horizontal="center"/>
    </xf>
    <xf numFmtId="0" fontId="0" fillId="42" borderId="15" xfId="0" applyFill="1" applyBorder="1" applyAlignment="1">
      <alignment horizontal="center"/>
    </xf>
    <xf numFmtId="0" fontId="0" fillId="42" borderId="16" xfId="0" applyFill="1" applyBorder="1" applyAlignment="1">
      <alignment horizontal="center"/>
    </xf>
    <xf numFmtId="0" fontId="2" fillId="43" borderId="14" xfId="121" applyFill="1" applyBorder="1" applyProtection="1"/>
    <xf numFmtId="0" fontId="2" fillId="43" borderId="16" xfId="121" applyFill="1" applyBorder="1" applyProtection="1"/>
    <xf numFmtId="0" fontId="0" fillId="43" borderId="26" xfId="0" applyFill="1" applyBorder="1"/>
    <xf numFmtId="0" fontId="2" fillId="43" borderId="5" xfId="121" applyFill="1" applyBorder="1" applyProtection="1"/>
    <xf numFmtId="0" fontId="0" fillId="43" borderId="6" xfId="0" applyFill="1" applyBorder="1"/>
    <xf numFmtId="0" fontId="33" fillId="44" borderId="42" xfId="121" applyFont="1" applyFill="1" applyBorder="1" applyAlignment="1">
      <alignment horizontal="center"/>
    </xf>
    <xf numFmtId="0" fontId="34" fillId="45" borderId="42" xfId="121" applyFont="1" applyFill="1" applyBorder="1"/>
    <xf numFmtId="0" fontId="0" fillId="46" borderId="46" xfId="0" applyFill="1" applyBorder="1"/>
    <xf numFmtId="0" fontId="37" fillId="39" borderId="41" xfId="0" applyFont="1" applyFill="1" applyBorder="1" applyAlignment="1">
      <alignment horizontal="center"/>
    </xf>
    <xf numFmtId="0" fontId="0" fillId="39" borderId="19" xfId="0" applyFill="1" applyBorder="1" applyAlignment="1">
      <alignment horizontal="center"/>
    </xf>
    <xf numFmtId="0" fontId="0" fillId="0" borderId="26" xfId="0" applyBorder="1"/>
    <xf numFmtId="0" fontId="0" fillId="0" borderId="5" xfId="0" applyBorder="1"/>
    <xf numFmtId="0" fontId="0" fillId="0" borderId="16" xfId="0" applyBorder="1"/>
    <xf numFmtId="0" fontId="0" fillId="0" borderId="41" xfId="0" applyBorder="1"/>
    <xf numFmtId="0" fontId="0" fillId="0" borderId="20" xfId="0" applyBorder="1"/>
    <xf numFmtId="0" fontId="0" fillId="0" borderId="19" xfId="0" applyBorder="1"/>
    <xf numFmtId="0" fontId="38" fillId="35" borderId="47" xfId="0" applyFont="1" applyFill="1" applyBorder="1"/>
    <xf numFmtId="0" fontId="37" fillId="35" borderId="48" xfId="0" applyFont="1" applyFill="1" applyBorder="1" applyAlignment="1">
      <alignment horizontal="center"/>
    </xf>
    <xf numFmtId="0" fontId="37" fillId="35" borderId="49" xfId="0" applyFont="1" applyFill="1" applyBorder="1" applyAlignment="1">
      <alignment horizontal="center"/>
    </xf>
    <xf numFmtId="0" fontId="37" fillId="35" borderId="50" xfId="0" applyFont="1" applyFill="1" applyBorder="1" applyAlignment="1">
      <alignment horizontal="right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9" borderId="0" xfId="0" applyFont="1" applyFill="1" applyBorder="1" applyAlignment="1">
      <alignment horizontal="center"/>
    </xf>
    <xf numFmtId="0" fontId="38" fillId="39" borderId="52" xfId="0" applyFont="1" applyFill="1" applyBorder="1" applyAlignment="1">
      <alignment horizontal="center"/>
    </xf>
    <xf numFmtId="0" fontId="0" fillId="39" borderId="0" xfId="0" applyFont="1" applyFill="1" applyBorder="1" applyAlignment="1">
      <alignment horizontal="center"/>
    </xf>
    <xf numFmtId="0" fontId="0" fillId="39" borderId="52" xfId="0" applyFont="1" applyFill="1" applyBorder="1" applyAlignment="1">
      <alignment horizontal="center"/>
    </xf>
    <xf numFmtId="0" fontId="0" fillId="39" borderId="15" xfId="0" applyFont="1" applyFill="1" applyBorder="1" applyAlignment="1">
      <alignment horizontal="center"/>
    </xf>
    <xf numFmtId="0" fontId="0" fillId="39" borderId="53" xfId="0" applyFont="1" applyFill="1" applyBorder="1" applyAlignment="1">
      <alignment horizontal="center"/>
    </xf>
    <xf numFmtId="3" fontId="38" fillId="39" borderId="0" xfId="0" applyNumberFormat="1" applyFont="1" applyFill="1" applyBorder="1" applyAlignment="1">
      <alignment horizontal="center"/>
    </xf>
    <xf numFmtId="3" fontId="38" fillId="39" borderId="52" xfId="0" applyNumberFormat="1" applyFont="1" applyFill="1" applyBorder="1" applyAlignment="1">
      <alignment horizontal="center"/>
    </xf>
    <xf numFmtId="0" fontId="0" fillId="31" borderId="0" xfId="0" applyFont="1" applyFill="1" applyBorder="1" applyAlignment="1">
      <alignment horizontal="center"/>
    </xf>
    <xf numFmtId="0" fontId="0" fillId="31" borderId="52" xfId="0" applyFont="1" applyFill="1" applyBorder="1" applyAlignment="1">
      <alignment horizontal="center"/>
    </xf>
    <xf numFmtId="0" fontId="37" fillId="35" borderId="54" xfId="0" applyFont="1" applyFill="1" applyBorder="1" applyAlignment="1">
      <alignment horizontal="right"/>
    </xf>
    <xf numFmtId="0" fontId="0" fillId="31" borderId="15" xfId="0" applyFont="1" applyFill="1" applyBorder="1" applyAlignment="1">
      <alignment horizontal="center"/>
    </xf>
    <xf numFmtId="0" fontId="0" fillId="31" borderId="53" xfId="0" applyFont="1" applyFill="1" applyBorder="1" applyAlignment="1">
      <alignment horizontal="center"/>
    </xf>
    <xf numFmtId="3" fontId="38" fillId="31" borderId="0" xfId="0" applyNumberFormat="1" applyFont="1" applyFill="1" applyBorder="1" applyAlignment="1">
      <alignment horizontal="center"/>
    </xf>
    <xf numFmtId="3" fontId="38" fillId="31" borderId="52" xfId="0" applyNumberFormat="1" applyFont="1" applyFill="1" applyBorder="1" applyAlignment="1">
      <alignment horizontal="center"/>
    </xf>
    <xf numFmtId="2" fontId="38" fillId="39" borderId="55" xfId="0" applyNumberFormat="1" applyFont="1" applyFill="1" applyBorder="1" applyAlignment="1">
      <alignment horizontal="center"/>
    </xf>
    <xf numFmtId="2" fontId="38" fillId="39" borderId="56" xfId="0" applyNumberFormat="1" applyFont="1" applyFill="1" applyBorder="1" applyAlignment="1">
      <alignment horizontal="center"/>
    </xf>
    <xf numFmtId="0" fontId="37" fillId="35" borderId="57" xfId="0" applyFont="1" applyFill="1" applyBorder="1" applyAlignment="1">
      <alignment horizontal="right"/>
    </xf>
    <xf numFmtId="2" fontId="38" fillId="31" borderId="55" xfId="0" applyNumberFormat="1" applyFont="1" applyFill="1" applyBorder="1" applyAlignment="1">
      <alignment horizontal="center"/>
    </xf>
    <xf numFmtId="2" fontId="38" fillId="31" borderId="56" xfId="0" applyNumberFormat="1" applyFont="1" applyFill="1" applyBorder="1" applyAlignment="1">
      <alignment horizontal="center"/>
    </xf>
    <xf numFmtId="0" fontId="0" fillId="0" borderId="0" xfId="0" applyAlignment="1"/>
    <xf numFmtId="0" fontId="2" fillId="0" borderId="16" xfId="121" applyBorder="1" applyProtection="1"/>
    <xf numFmtId="0" fontId="40" fillId="0" borderId="63" xfId="0" applyFont="1" applyBorder="1"/>
    <xf numFmtId="0" fontId="40" fillId="0" borderId="63" xfId="121" applyFont="1" applyBorder="1"/>
    <xf numFmtId="0" fontId="36" fillId="35" borderId="64" xfId="0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1" fillId="42" borderId="26" xfId="121" applyFont="1" applyFill="1" applyBorder="1" applyAlignment="1" applyProtection="1">
      <alignment horizontal="center"/>
    </xf>
    <xf numFmtId="0" fontId="1" fillId="42" borderId="5" xfId="121" applyFont="1" applyFill="1" applyBorder="1" applyAlignment="1" applyProtection="1">
      <alignment horizontal="center"/>
    </xf>
    <xf numFmtId="0" fontId="2" fillId="42" borderId="26" xfId="121" applyFill="1" applyBorder="1" applyProtection="1"/>
    <xf numFmtId="0" fontId="2" fillId="42" borderId="5" xfId="121" applyFont="1" applyFill="1" applyBorder="1" applyProtection="1"/>
    <xf numFmtId="0" fontId="2" fillId="42" borderId="6" xfId="121" applyFill="1" applyBorder="1" applyProtection="1"/>
    <xf numFmtId="0" fontId="2" fillId="42" borderId="9" xfId="121" applyFont="1" applyFill="1" applyBorder="1" applyProtection="1"/>
    <xf numFmtId="0" fontId="2" fillId="42" borderId="16" xfId="121" applyFill="1" applyBorder="1" applyAlignment="1" applyProtection="1">
      <alignment horizontal="center"/>
    </xf>
    <xf numFmtId="0" fontId="2" fillId="42" borderId="14" xfId="121" applyFill="1" applyBorder="1" applyProtection="1"/>
    <xf numFmtId="0" fontId="2" fillId="42" borderId="16" xfId="121" applyFont="1" applyFill="1" applyBorder="1" applyProtection="1"/>
    <xf numFmtId="0" fontId="41" fillId="31" borderId="0" xfId="0" applyFont="1" applyFill="1" applyBorder="1" applyAlignment="1">
      <alignment horizontal="center"/>
    </xf>
    <xf numFmtId="0" fontId="41" fillId="31" borderId="52" xfId="0" applyFont="1" applyFill="1" applyBorder="1" applyAlignment="1">
      <alignment horizontal="center"/>
    </xf>
    <xf numFmtId="179" fontId="2" fillId="28" borderId="41" xfId="121" applyNumberFormat="1" applyFont="1" applyFill="1" applyBorder="1" applyAlignment="1" applyProtection="1">
      <alignment horizontal="center"/>
    </xf>
    <xf numFmtId="179" fontId="2" fillId="28" borderId="20" xfId="121" applyNumberFormat="1" applyFont="1" applyFill="1" applyBorder="1" applyAlignment="1" applyProtection="1">
      <alignment horizontal="center"/>
    </xf>
    <xf numFmtId="179" fontId="2" fillId="28" borderId="19" xfId="121" applyNumberFormat="1" applyFont="1" applyFill="1" applyBorder="1" applyAlignment="1" applyProtection="1">
      <alignment horizontal="center"/>
    </xf>
    <xf numFmtId="178" fontId="2" fillId="28" borderId="20" xfId="121" applyNumberFormat="1" applyFont="1" applyFill="1" applyBorder="1" applyAlignment="1" applyProtection="1">
      <alignment horizontal="center"/>
    </xf>
    <xf numFmtId="0" fontId="18" fillId="33" borderId="63" xfId="121" applyNumberFormat="1" applyFont="1" applyFill="1" applyBorder="1" applyAlignment="1" applyProtection="1">
      <alignment horizontal="center"/>
    </xf>
    <xf numFmtId="174" fontId="2" fillId="30" borderId="41" xfId="121" applyNumberFormat="1" applyFont="1" applyFill="1" applyBorder="1" applyAlignment="1" applyProtection="1"/>
    <xf numFmtId="0" fontId="0" fillId="0" borderId="63" xfId="0" applyBorder="1" applyAlignment="1">
      <alignment horizontal="center"/>
    </xf>
    <xf numFmtId="0" fontId="42" fillId="0" borderId="63" xfId="0" applyFont="1" applyBorder="1" applyAlignment="1">
      <alignment horizontal="right"/>
    </xf>
    <xf numFmtId="0" fontId="43" fillId="0" borderId="20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43" fillId="0" borderId="41" xfId="0" applyFont="1" applyBorder="1" applyAlignment="1">
      <alignment horizontal="right"/>
    </xf>
    <xf numFmtId="0" fontId="44" fillId="47" borderId="63" xfId="0" applyFont="1" applyFill="1" applyBorder="1" applyAlignment="1">
      <alignment horizontal="centerContinuous" vertical="center"/>
    </xf>
    <xf numFmtId="0" fontId="38" fillId="31" borderId="52" xfId="0" applyFont="1" applyFill="1" applyBorder="1" applyAlignment="1">
      <alignment horizontal="center"/>
    </xf>
    <xf numFmtId="0" fontId="37" fillId="39" borderId="49" xfId="0" applyFont="1" applyFill="1" applyBorder="1" applyAlignment="1">
      <alignment horizontal="center"/>
    </xf>
    <xf numFmtId="0" fontId="37" fillId="31" borderId="65" xfId="0" applyFont="1" applyFill="1" applyBorder="1" applyAlignment="1">
      <alignment horizontal="center"/>
    </xf>
    <xf numFmtId="0" fontId="38" fillId="31" borderId="52" xfId="0" applyNumberFormat="1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1" borderId="0" xfId="0" applyNumberFormat="1" applyFont="1" applyFill="1" applyBorder="1" applyAlignment="1">
      <alignment horizontal="center"/>
    </xf>
    <xf numFmtId="0" fontId="2" fillId="39" borderId="0" xfId="121" applyFill="1" applyBorder="1" applyProtection="1"/>
    <xf numFmtId="0" fontId="0" fillId="39" borderId="6" xfId="0" applyFill="1" applyBorder="1"/>
    <xf numFmtId="0" fontId="0" fillId="39" borderId="14" xfId="0" applyFill="1" applyBorder="1"/>
    <xf numFmtId="0" fontId="17" fillId="35" borderId="63" xfId="121" applyFont="1" applyFill="1" applyBorder="1" applyAlignment="1" applyProtection="1">
      <alignment horizontal="center"/>
    </xf>
    <xf numFmtId="1" fontId="2" fillId="31" borderId="41" xfId="121" applyNumberFormat="1" applyFill="1" applyBorder="1" applyAlignment="1" applyProtection="1">
      <alignment horizontal="center"/>
    </xf>
    <xf numFmtId="1" fontId="2" fillId="31" borderId="20" xfId="121" applyNumberFormat="1" applyFill="1" applyBorder="1" applyAlignment="1" applyProtection="1">
      <alignment horizontal="center"/>
    </xf>
    <xf numFmtId="0" fontId="0" fillId="31" borderId="20" xfId="0" applyFill="1" applyBorder="1"/>
    <xf numFmtId="0" fontId="0" fillId="31" borderId="19" xfId="0" applyFill="1" applyBorder="1"/>
    <xf numFmtId="0" fontId="0" fillId="39" borderId="27" xfId="0" applyFill="1" applyBorder="1"/>
    <xf numFmtId="14" fontId="0" fillId="39" borderId="28" xfId="0" applyNumberFormat="1" applyFill="1" applyBorder="1"/>
    <xf numFmtId="0" fontId="0" fillId="36" borderId="47" xfId="0" applyFill="1" applyBorder="1"/>
    <xf numFmtId="0" fontId="0" fillId="36" borderId="50" xfId="0" applyFill="1" applyBorder="1"/>
    <xf numFmtId="0" fontId="0" fillId="36" borderId="57" xfId="0" applyFill="1" applyBorder="1"/>
    <xf numFmtId="0" fontId="2" fillId="35" borderId="47" xfId="121" applyFont="1" applyFill="1" applyBorder="1"/>
    <xf numFmtId="0" fontId="2" fillId="31" borderId="73" xfId="121" applyFont="1" applyFill="1" applyBorder="1" applyAlignment="1" applyProtection="1">
      <alignment horizontal="center"/>
    </xf>
    <xf numFmtId="0" fontId="2" fillId="35" borderId="50" xfId="121" applyFont="1" applyFill="1" applyBorder="1"/>
    <xf numFmtId="0" fontId="2" fillId="31" borderId="74" xfId="121" applyFont="1" applyFill="1" applyBorder="1" applyAlignment="1" applyProtection="1">
      <alignment horizontal="center"/>
    </xf>
    <xf numFmtId="0" fontId="2" fillId="35" borderId="57" xfId="121" applyFont="1" applyFill="1" applyBorder="1"/>
    <xf numFmtId="0" fontId="2" fillId="31" borderId="75" xfId="121" applyFont="1" applyFill="1" applyBorder="1" applyAlignment="1" applyProtection="1">
      <alignment horizontal="center"/>
    </xf>
    <xf numFmtId="0" fontId="2" fillId="31" borderId="76" xfId="121" applyFont="1" applyFill="1" applyBorder="1" applyAlignment="1" applyProtection="1">
      <alignment horizontal="center"/>
    </xf>
    <xf numFmtId="0" fontId="2" fillId="34" borderId="47" xfId="121" applyFont="1" applyFill="1" applyBorder="1" applyProtection="1"/>
    <xf numFmtId="0" fontId="2" fillId="34" borderId="50" xfId="121" applyFont="1" applyFill="1" applyBorder="1" applyProtection="1"/>
    <xf numFmtId="0" fontId="2" fillId="34" borderId="57" xfId="121" applyFont="1" applyFill="1" applyBorder="1" applyProtection="1"/>
    <xf numFmtId="14" fontId="2" fillId="30" borderId="47" xfId="121" applyNumberFormat="1" applyFont="1" applyFill="1" applyBorder="1" applyProtection="1"/>
    <xf numFmtId="0" fontId="2" fillId="30" borderId="57" xfId="121" applyFont="1" applyFill="1" applyBorder="1" applyProtection="1"/>
    <xf numFmtId="0" fontId="17" fillId="39" borderId="26" xfId="121" applyFont="1" applyFill="1" applyBorder="1" applyAlignment="1" applyProtection="1">
      <alignment horizontal="center"/>
    </xf>
    <xf numFmtId="1" fontId="2" fillId="39" borderId="26" xfId="121" applyNumberFormat="1" applyFill="1" applyBorder="1" applyAlignment="1" applyProtection="1">
      <alignment horizontal="center"/>
    </xf>
    <xf numFmtId="1" fontId="2" fillId="39" borderId="6" xfId="121" applyNumberFormat="1" applyFill="1" applyBorder="1" applyAlignment="1" applyProtection="1">
      <alignment horizontal="center"/>
    </xf>
    <xf numFmtId="2" fontId="34" fillId="39" borderId="26" xfId="0" applyNumberFormat="1" applyFont="1" applyFill="1" applyBorder="1"/>
    <xf numFmtId="2" fontId="34" fillId="39" borderId="6" xfId="0" applyNumberFormat="1" applyFont="1" applyFill="1" applyBorder="1"/>
    <xf numFmtId="2" fontId="34" fillId="39" borderId="14" xfId="0" applyNumberFormat="1" applyFont="1" applyFill="1" applyBorder="1"/>
    <xf numFmtId="0" fontId="0" fillId="0" borderId="0" xfId="0" applyBorder="1"/>
    <xf numFmtId="0" fontId="45" fillId="0" borderId="63" xfId="0" applyFont="1" applyBorder="1"/>
    <xf numFmtId="0" fontId="45" fillId="0" borderId="19" xfId="0" applyFont="1" applyBorder="1"/>
    <xf numFmtId="0" fontId="2" fillId="39" borderId="6" xfId="121" applyFill="1" applyBorder="1" applyAlignment="1" applyProtection="1">
      <alignment horizontal="right"/>
    </xf>
    <xf numFmtId="0" fontId="2" fillId="39" borderId="9" xfId="121" applyFill="1" applyBorder="1" applyAlignment="1" applyProtection="1">
      <alignment horizontal="right"/>
    </xf>
    <xf numFmtId="0" fontId="0" fillId="39" borderId="6" xfId="0" applyFill="1" applyBorder="1" applyAlignment="1">
      <alignment horizontal="right"/>
    </xf>
    <xf numFmtId="0" fontId="0" fillId="39" borderId="9" xfId="0" applyFill="1" applyBorder="1" applyAlignment="1">
      <alignment horizontal="right"/>
    </xf>
    <xf numFmtId="0" fontId="0" fillId="39" borderId="14" xfId="0" applyFill="1" applyBorder="1" applyAlignment="1">
      <alignment horizontal="right"/>
    </xf>
    <xf numFmtId="0" fontId="0" fillId="39" borderId="16" xfId="0" applyFill="1" applyBorder="1" applyAlignment="1">
      <alignment horizontal="right"/>
    </xf>
    <xf numFmtId="173" fontId="2" fillId="39" borderId="26" xfId="121" applyNumberFormat="1" applyFill="1" applyBorder="1" applyAlignment="1" applyProtection="1">
      <alignment horizontal="right"/>
    </xf>
    <xf numFmtId="173" fontId="2" fillId="39" borderId="5" xfId="121" applyNumberFormat="1" applyFill="1" applyBorder="1" applyAlignment="1" applyProtection="1">
      <alignment horizontal="right"/>
    </xf>
    <xf numFmtId="173" fontId="2" fillId="39" borderId="6" xfId="121" applyNumberFormat="1" applyFill="1" applyBorder="1" applyAlignment="1" applyProtection="1">
      <alignment horizontal="right"/>
    </xf>
    <xf numFmtId="173" fontId="2" fillId="39" borderId="9" xfId="121" applyNumberFormat="1" applyFill="1" applyBorder="1" applyAlignment="1" applyProtection="1">
      <alignment horizontal="right"/>
    </xf>
    <xf numFmtId="173" fontId="1" fillId="39" borderId="0" xfId="121" applyNumberFormat="1" applyFont="1" applyFill="1" applyBorder="1" applyAlignment="1" applyProtection="1">
      <alignment horizontal="right"/>
    </xf>
    <xf numFmtId="0" fontId="1" fillId="39" borderId="0" xfId="121" applyFont="1" applyFill="1" applyBorder="1" applyAlignment="1" applyProtection="1">
      <alignment horizontal="right"/>
    </xf>
    <xf numFmtId="0" fontId="36" fillId="39" borderId="0" xfId="0" applyFont="1" applyFill="1" applyBorder="1" applyAlignment="1">
      <alignment horizontal="right"/>
    </xf>
    <xf numFmtId="0" fontId="36" fillId="39" borderId="15" xfId="0" applyFont="1" applyFill="1" applyBorder="1" applyAlignment="1">
      <alignment horizontal="right"/>
    </xf>
    <xf numFmtId="0" fontId="0" fillId="31" borderId="6" xfId="0" applyFill="1" applyBorder="1" applyAlignment="1">
      <alignment horizontal="center"/>
    </xf>
    <xf numFmtId="0" fontId="27" fillId="13" borderId="58" xfId="13" applyFont="1" applyBorder="1" applyAlignment="1">
      <alignment horizontal="center" vertical="center"/>
    </xf>
    <xf numFmtId="182" fontId="27" fillId="13" borderId="61" xfId="13" applyNumberFormat="1" applyFont="1" applyBorder="1" applyAlignment="1">
      <alignment horizontal="center" vertical="center"/>
    </xf>
    <xf numFmtId="0" fontId="46" fillId="35" borderId="27" xfId="0" applyFont="1" applyFill="1" applyBorder="1" applyAlignment="1">
      <alignment horizontal="center"/>
    </xf>
    <xf numFmtId="0" fontId="36" fillId="35" borderId="27" xfId="0" applyFont="1" applyFill="1" applyBorder="1" applyAlignment="1">
      <alignment horizontal="center"/>
    </xf>
    <xf numFmtId="0" fontId="36" fillId="35" borderId="28" xfId="0" applyFont="1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52" xfId="0" applyFill="1" applyBorder="1" applyAlignment="1">
      <alignment horizontal="center"/>
    </xf>
    <xf numFmtId="0" fontId="0" fillId="31" borderId="60" xfId="0" applyFont="1" applyFill="1" applyBorder="1" applyAlignment="1">
      <alignment horizontal="center"/>
    </xf>
    <xf numFmtId="0" fontId="0" fillId="31" borderId="52" xfId="0" applyFont="1" applyFill="1" applyBorder="1"/>
    <xf numFmtId="183" fontId="36" fillId="30" borderId="6" xfId="0" applyNumberFormat="1" applyFont="1" applyFill="1" applyBorder="1" applyAlignment="1">
      <alignment horizontal="center"/>
    </xf>
    <xf numFmtId="0" fontId="2" fillId="39" borderId="43" xfId="121" applyFont="1" applyFill="1" applyBorder="1" applyAlignment="1" applyProtection="1">
      <alignment horizontal="center"/>
    </xf>
    <xf numFmtId="0" fontId="2" fillId="39" borderId="44" xfId="121" applyFont="1" applyFill="1" applyBorder="1" applyAlignment="1" applyProtection="1">
      <alignment horizontal="center"/>
    </xf>
    <xf numFmtId="0" fontId="2" fillId="0" borderId="42" xfId="121" applyFont="1" applyBorder="1" applyAlignment="1" applyProtection="1">
      <alignment horizontal="center"/>
    </xf>
    <xf numFmtId="0" fontId="2" fillId="0" borderId="44" xfId="121" applyFont="1" applyBorder="1" applyAlignment="1" applyProtection="1">
      <alignment horizontal="center"/>
    </xf>
    <xf numFmtId="0" fontId="0" fillId="35" borderId="14" xfId="0" applyFill="1" applyBorder="1"/>
    <xf numFmtId="0" fontId="0" fillId="35" borderId="15" xfId="0" applyFill="1" applyBorder="1"/>
    <xf numFmtId="0" fontId="0" fillId="35" borderId="16" xfId="0" applyFill="1" applyBorder="1"/>
    <xf numFmtId="0" fontId="1" fillId="35" borderId="6" xfId="121" applyFont="1" applyFill="1" applyBorder="1" applyAlignment="1" applyProtection="1">
      <alignment horizontal="center"/>
    </xf>
    <xf numFmtId="0" fontId="1" fillId="35" borderId="9" xfId="121" applyFont="1" applyFill="1" applyBorder="1" applyAlignment="1" applyProtection="1">
      <alignment horizontal="center"/>
    </xf>
    <xf numFmtId="0" fontId="1" fillId="35" borderId="19" xfId="121" applyFont="1" applyFill="1" applyBorder="1" applyAlignment="1" applyProtection="1">
      <alignment horizontal="center"/>
    </xf>
    <xf numFmtId="0" fontId="0" fillId="35" borderId="41" xfId="0" applyFill="1" applyBorder="1"/>
    <xf numFmtId="0" fontId="0" fillId="35" borderId="19" xfId="0" applyFill="1" applyBorder="1"/>
    <xf numFmtId="0" fontId="46" fillId="35" borderId="63" xfId="0" applyFont="1" applyFill="1" applyBorder="1" applyAlignment="1">
      <alignment horizontal="center"/>
    </xf>
    <xf numFmtId="173" fontId="34" fillId="39" borderId="41" xfId="0" applyNumberFormat="1" applyFont="1" applyFill="1" applyBorder="1"/>
    <xf numFmtId="173" fontId="34" fillId="39" borderId="20" xfId="0" applyNumberFormat="1" applyFont="1" applyFill="1" applyBorder="1"/>
    <xf numFmtId="173" fontId="34" fillId="39" borderId="19" xfId="0" applyNumberFormat="1" applyFont="1" applyFill="1" applyBorder="1"/>
    <xf numFmtId="0" fontId="0" fillId="35" borderId="5" xfId="0" applyFill="1" applyBorder="1" applyAlignment="1"/>
    <xf numFmtId="0" fontId="36" fillId="35" borderId="0" xfId="0" applyFont="1" applyFill="1" applyBorder="1"/>
    <xf numFmtId="0" fontId="36" fillId="35" borderId="69" xfId="0" applyFont="1" applyFill="1" applyBorder="1"/>
    <xf numFmtId="1" fontId="2" fillId="35" borderId="70" xfId="121" applyNumberFormat="1" applyFill="1" applyBorder="1" applyAlignment="1" applyProtection="1">
      <alignment horizontal="center"/>
    </xf>
    <xf numFmtId="0" fontId="0" fillId="31" borderId="0" xfId="0" applyFill="1" applyBorder="1"/>
    <xf numFmtId="1" fontId="2" fillId="35" borderId="50" xfId="121" applyNumberFormat="1" applyFill="1" applyBorder="1" applyAlignment="1" applyProtection="1">
      <alignment horizontal="center"/>
    </xf>
    <xf numFmtId="0" fontId="0" fillId="35" borderId="50" xfId="0" applyFill="1" applyBorder="1"/>
    <xf numFmtId="0" fontId="0" fillId="35" borderId="57" xfId="0" applyFill="1" applyBorder="1"/>
    <xf numFmtId="0" fontId="0" fillId="0" borderId="55" xfId="0" applyBorder="1"/>
    <xf numFmtId="0" fontId="0" fillId="31" borderId="66" xfId="0" applyFill="1" applyBorder="1"/>
    <xf numFmtId="0" fontId="0" fillId="31" borderId="64" xfId="0" applyFill="1" applyBorder="1"/>
    <xf numFmtId="0" fontId="0" fillId="31" borderId="46" xfId="0" applyFill="1" applyBorder="1"/>
    <xf numFmtId="0" fontId="0" fillId="39" borderId="0" xfId="0" applyFill="1" applyBorder="1"/>
    <xf numFmtId="0" fontId="0" fillId="39" borderId="52" xfId="0" applyFill="1" applyBorder="1"/>
    <xf numFmtId="0" fontId="2" fillId="39" borderId="67" xfId="121" applyFill="1" applyBorder="1" applyProtection="1"/>
    <xf numFmtId="0" fontId="2" fillId="39" borderId="69" xfId="121" applyFill="1" applyBorder="1" applyProtection="1"/>
    <xf numFmtId="0" fontId="2" fillId="39" borderId="70" xfId="121" applyFill="1" applyBorder="1" applyProtection="1"/>
    <xf numFmtId="0" fontId="2" fillId="39" borderId="54" xfId="121" applyFill="1" applyBorder="1" applyProtection="1"/>
    <xf numFmtId="183" fontId="36" fillId="39" borderId="9" xfId="0" applyNumberFormat="1" applyFont="1" applyFill="1" applyBorder="1" applyAlignment="1">
      <alignment horizontal="center"/>
    </xf>
    <xf numFmtId="0" fontId="36" fillId="35" borderId="66" xfId="0" applyFont="1" applyFill="1" applyBorder="1" applyAlignment="1"/>
    <xf numFmtId="0" fontId="36" fillId="35" borderId="64" xfId="0" applyFont="1" applyFill="1" applyBorder="1" applyAlignment="1"/>
    <xf numFmtId="0" fontId="36" fillId="35" borderId="46" xfId="0" applyFont="1" applyFill="1" applyBorder="1" applyAlignment="1"/>
    <xf numFmtId="0" fontId="2" fillId="50" borderId="79" xfId="121" applyFont="1" applyFill="1" applyBorder="1"/>
    <xf numFmtId="0" fontId="0" fillId="35" borderId="77" xfId="0" applyFill="1" applyBorder="1"/>
    <xf numFmtId="0" fontId="0" fillId="31" borderId="6" xfId="0" applyFill="1" applyBorder="1"/>
    <xf numFmtId="0" fontId="0" fillId="31" borderId="78" xfId="0" applyFill="1" applyBorder="1"/>
    <xf numFmtId="0" fontId="36" fillId="35" borderId="68" xfId="0" applyFont="1" applyFill="1" applyBorder="1"/>
    <xf numFmtId="0" fontId="36" fillId="35" borderId="48" xfId="0" applyFont="1" applyFill="1" applyBorder="1"/>
    <xf numFmtId="0" fontId="36" fillId="35" borderId="49" xfId="0" applyFont="1" applyFill="1" applyBorder="1"/>
    <xf numFmtId="0" fontId="39" fillId="46" borderId="58" xfId="0" applyFont="1" applyFill="1" applyBorder="1"/>
    <xf numFmtId="0" fontId="39" fillId="51" borderId="77" xfId="0" applyFont="1" applyFill="1" applyBorder="1" applyAlignment="1">
      <alignment horizontal="center"/>
    </xf>
    <xf numFmtId="0" fontId="1" fillId="35" borderId="1" xfId="0" applyFont="1" applyFill="1" applyBorder="1" applyAlignment="1">
      <alignment horizontal="center"/>
    </xf>
    <xf numFmtId="0" fontId="1" fillId="35" borderId="2" xfId="0" applyFont="1" applyFill="1" applyBorder="1" applyAlignment="1">
      <alignment horizontal="center"/>
    </xf>
    <xf numFmtId="0" fontId="1" fillId="35" borderId="3" xfId="0" applyFont="1" applyFill="1" applyBorder="1" applyAlignment="1">
      <alignment horizontal="center"/>
    </xf>
    <xf numFmtId="176" fontId="1" fillId="35" borderId="27" xfId="1" applyNumberFormat="1" applyFont="1" applyFill="1" applyBorder="1" applyAlignment="1" applyProtection="1">
      <alignment horizontal="center"/>
    </xf>
    <xf numFmtId="176" fontId="1" fillId="35" borderId="28" xfId="1" applyNumberFormat="1" applyFont="1" applyFill="1" applyBorder="1" applyAlignment="1" applyProtection="1">
      <alignment horizontal="center"/>
    </xf>
    <xf numFmtId="176" fontId="18" fillId="33" borderId="43" xfId="121" applyNumberFormat="1" applyFont="1" applyFill="1" applyBorder="1" applyAlignment="1" applyProtection="1">
      <alignment horizontal="center"/>
    </xf>
    <xf numFmtId="176" fontId="18" fillId="33" borderId="44" xfId="121" applyNumberFormat="1" applyFont="1" applyFill="1" applyBorder="1" applyAlignment="1" applyProtection="1">
      <alignment horizontal="center"/>
    </xf>
    <xf numFmtId="0" fontId="2" fillId="31" borderId="6" xfId="121" applyFont="1" applyFill="1" applyBorder="1" applyAlignment="1" applyProtection="1">
      <alignment horizontal="center"/>
    </xf>
    <xf numFmtId="0" fontId="2" fillId="31" borderId="52" xfId="121" applyFont="1" applyFill="1" applyBorder="1" applyAlignment="1" applyProtection="1">
      <alignment horizontal="center"/>
    </xf>
    <xf numFmtId="0" fontId="2" fillId="31" borderId="72" xfId="121" applyFont="1" applyFill="1" applyBorder="1" applyAlignment="1" applyProtection="1">
      <alignment horizontal="center"/>
    </xf>
    <xf numFmtId="0" fontId="2" fillId="31" borderId="56" xfId="121" applyFont="1" applyFill="1" applyBorder="1" applyAlignment="1" applyProtection="1">
      <alignment horizontal="center"/>
    </xf>
    <xf numFmtId="176" fontId="18" fillId="33" borderId="66" xfId="121" applyNumberFormat="1" applyFont="1" applyFill="1" applyBorder="1" applyAlignment="1" applyProtection="1">
      <alignment horizontal="center"/>
    </xf>
    <xf numFmtId="176" fontId="18" fillId="33" borderId="64" xfId="121" applyNumberFormat="1" applyFont="1" applyFill="1" applyBorder="1" applyAlignment="1" applyProtection="1">
      <alignment horizontal="center"/>
    </xf>
    <xf numFmtId="176" fontId="18" fillId="33" borderId="46" xfId="121" applyNumberFormat="1" applyFont="1" applyFill="1" applyBorder="1" applyAlignment="1" applyProtection="1">
      <alignment horizontal="center"/>
    </xf>
    <xf numFmtId="0" fontId="2" fillId="39" borderId="6" xfId="121" applyFont="1" applyFill="1" applyBorder="1" applyAlignment="1" applyProtection="1">
      <alignment horizontal="center"/>
    </xf>
    <xf numFmtId="0" fontId="2" fillId="39" borderId="52" xfId="121" applyFont="1" applyFill="1" applyBorder="1" applyAlignment="1" applyProtection="1">
      <alignment horizontal="center"/>
    </xf>
    <xf numFmtId="0" fontId="2" fillId="39" borderId="14" xfId="121" quotePrefix="1" applyFont="1" applyFill="1" applyBorder="1" applyAlignment="1" applyProtection="1">
      <alignment horizontal="center"/>
    </xf>
    <xf numFmtId="0" fontId="2" fillId="39" borderId="53" xfId="121" quotePrefix="1" applyFont="1" applyFill="1" applyBorder="1" applyAlignment="1" applyProtection="1">
      <alignment horizontal="center"/>
    </xf>
    <xf numFmtId="0" fontId="2" fillId="39" borderId="26" xfId="121" applyFill="1" applyBorder="1" applyAlignment="1" applyProtection="1">
      <alignment horizontal="center"/>
    </xf>
    <xf numFmtId="0" fontId="2" fillId="39" borderId="51" xfId="121" applyFill="1" applyBorder="1" applyAlignment="1" applyProtection="1">
      <alignment horizontal="center"/>
    </xf>
    <xf numFmtId="0" fontId="2" fillId="39" borderId="14" xfId="121" applyFill="1" applyBorder="1" applyAlignment="1" applyProtection="1">
      <alignment horizontal="center"/>
    </xf>
    <xf numFmtId="0" fontId="2" fillId="39" borderId="53" xfId="121" applyFill="1" applyBorder="1" applyAlignment="1" applyProtection="1">
      <alignment horizontal="center"/>
    </xf>
    <xf numFmtId="0" fontId="36" fillId="35" borderId="26" xfId="0" applyFont="1" applyFill="1" applyBorder="1" applyAlignment="1">
      <alignment horizontal="center"/>
    </xf>
    <xf numFmtId="0" fontId="36" fillId="35" borderId="45" xfId="0" applyFont="1" applyFill="1" applyBorder="1" applyAlignment="1">
      <alignment horizontal="center"/>
    </xf>
    <xf numFmtId="0" fontId="2" fillId="39" borderId="26" xfId="121" applyFont="1" applyFill="1" applyBorder="1" applyAlignment="1" applyProtection="1">
      <alignment horizontal="center"/>
    </xf>
    <xf numFmtId="0" fontId="2" fillId="39" borderId="51" xfId="121" applyFont="1" applyFill="1" applyBorder="1" applyAlignment="1" applyProtection="1">
      <alignment horizontal="center"/>
    </xf>
    <xf numFmtId="0" fontId="0" fillId="39" borderId="68" xfId="0" applyFill="1" applyBorder="1" applyAlignment="1">
      <alignment horizontal="center"/>
    </xf>
    <xf numFmtId="0" fontId="0" fillId="39" borderId="49" xfId="0" applyFill="1" applyBorder="1" applyAlignment="1">
      <alignment horizontal="center"/>
    </xf>
    <xf numFmtId="0" fontId="36" fillId="35" borderId="27" xfId="0" applyFont="1" applyFill="1" applyBorder="1" applyAlignment="1">
      <alignment horizontal="center"/>
    </xf>
    <xf numFmtId="0" fontId="36" fillId="35" borderId="2" xfId="0" applyFont="1" applyFill="1" applyBorder="1" applyAlignment="1">
      <alignment horizontal="center"/>
    </xf>
    <xf numFmtId="0" fontId="36" fillId="35" borderId="28" xfId="0" applyFont="1" applyFill="1" applyBorder="1" applyAlignment="1">
      <alignment horizontal="center"/>
    </xf>
    <xf numFmtId="0" fontId="0" fillId="35" borderId="27" xfId="0" applyFill="1" applyBorder="1" applyAlignment="1">
      <alignment horizontal="center"/>
    </xf>
    <xf numFmtId="0" fontId="0" fillId="35" borderId="2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176" fontId="18" fillId="39" borderId="66" xfId="121" applyNumberFormat="1" applyFont="1" applyFill="1" applyBorder="1" applyAlignment="1" applyProtection="1">
      <alignment horizontal="center"/>
    </xf>
    <xf numFmtId="176" fontId="18" fillId="39" borderId="64" xfId="121" applyNumberFormat="1" applyFont="1" applyFill="1" applyBorder="1" applyAlignment="1" applyProtection="1">
      <alignment horizontal="center"/>
    </xf>
    <xf numFmtId="176" fontId="18" fillId="39" borderId="46" xfId="121" applyNumberFormat="1" applyFont="1" applyFill="1" applyBorder="1" applyAlignment="1" applyProtection="1">
      <alignment horizontal="center"/>
    </xf>
    <xf numFmtId="170" fontId="2" fillId="31" borderId="71" xfId="121" applyNumberFormat="1" applyFont="1" applyFill="1" applyBorder="1" applyAlignment="1" applyProtection="1">
      <alignment horizontal="center"/>
    </xf>
    <xf numFmtId="170" fontId="2" fillId="31" borderId="60" xfId="121" applyNumberFormat="1" applyFont="1" applyFill="1" applyBorder="1" applyAlignment="1" applyProtection="1">
      <alignment horizontal="center"/>
    </xf>
    <xf numFmtId="0" fontId="2" fillId="31" borderId="72" xfId="121" applyFont="1" applyFill="1" applyBorder="1" applyAlignment="1" applyProtection="1">
      <alignment horizontal="center"/>
      <protection locked="0"/>
    </xf>
    <xf numFmtId="0" fontId="2" fillId="31" borderId="56" xfId="121" applyFont="1" applyFill="1" applyBorder="1" applyAlignment="1" applyProtection="1">
      <alignment horizontal="center"/>
      <protection locked="0"/>
    </xf>
    <xf numFmtId="21" fontId="2" fillId="31" borderId="78" xfId="121" applyNumberFormat="1" applyFill="1" applyBorder="1" applyAlignment="1">
      <alignment horizontal="center"/>
    </xf>
    <xf numFmtId="21" fontId="2" fillId="31" borderId="46" xfId="121" applyNumberFormat="1" applyFill="1" applyBorder="1" applyAlignment="1">
      <alignment horizontal="center"/>
    </xf>
    <xf numFmtId="0" fontId="46" fillId="35" borderId="27" xfId="0" applyFont="1" applyFill="1" applyBorder="1" applyAlignment="1">
      <alignment horizontal="center"/>
    </xf>
    <xf numFmtId="0" fontId="46" fillId="35" borderId="28" xfId="0" applyFont="1" applyFill="1" applyBorder="1" applyAlignment="1">
      <alignment horizontal="center"/>
    </xf>
    <xf numFmtId="0" fontId="0" fillId="31" borderId="72" xfId="0" applyFill="1" applyBorder="1" applyAlignment="1">
      <alignment horizontal="center"/>
    </xf>
    <xf numFmtId="0" fontId="0" fillId="31" borderId="56" xfId="0" applyFill="1" applyBorder="1" applyAlignment="1">
      <alignment horizontal="center"/>
    </xf>
    <xf numFmtId="0" fontId="38" fillId="31" borderId="6" xfId="0" applyNumberFormat="1" applyFont="1" applyFill="1" applyBorder="1" applyAlignment="1">
      <alignment horizontal="center"/>
    </xf>
    <xf numFmtId="0" fontId="38" fillId="31" borderId="52" xfId="0" applyNumberFormat="1" applyFont="1" applyFill="1" applyBorder="1" applyAlignment="1">
      <alignment horizontal="center"/>
    </xf>
    <xf numFmtId="0" fontId="38" fillId="31" borderId="6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1" borderId="72" xfId="0" applyNumberFormat="1" applyFont="1" applyFill="1" applyBorder="1" applyAlignment="1">
      <alignment horizontal="center"/>
    </xf>
    <xf numFmtId="0" fontId="38" fillId="31" borderId="56" xfId="0" applyNumberFormat="1" applyFont="1" applyFill="1" applyBorder="1" applyAlignment="1">
      <alignment horizontal="center"/>
    </xf>
    <xf numFmtId="0" fontId="38" fillId="31" borderId="71" xfId="0" applyFont="1" applyFill="1" applyBorder="1" applyAlignment="1">
      <alignment horizontal="center"/>
    </xf>
    <xf numFmtId="0" fontId="38" fillId="31" borderId="60" xfId="0" applyFont="1" applyFill="1" applyBorder="1" applyAlignment="1">
      <alignment horizontal="center"/>
    </xf>
    <xf numFmtId="0" fontId="2" fillId="31" borderId="71" xfId="121" applyFont="1" applyFill="1" applyBorder="1" applyAlignment="1" applyProtection="1">
      <alignment horizontal="center"/>
    </xf>
    <xf numFmtId="0" fontId="2" fillId="31" borderId="60" xfId="121" applyFont="1" applyFill="1" applyBorder="1" applyAlignment="1" applyProtection="1">
      <alignment horizontal="center"/>
    </xf>
    <xf numFmtId="0" fontId="0" fillId="31" borderId="6" xfId="0" applyFill="1" applyBorder="1" applyAlignment="1">
      <alignment horizontal="center"/>
    </xf>
    <xf numFmtId="0" fontId="0" fillId="31" borderId="52" xfId="0" applyFill="1" applyBorder="1" applyAlignment="1">
      <alignment horizontal="center"/>
    </xf>
    <xf numFmtId="182" fontId="36" fillId="0" borderId="58" xfId="0" applyNumberFormat="1" applyFont="1" applyBorder="1" applyAlignment="1">
      <alignment horizontal="center" vertical="center"/>
    </xf>
    <xf numFmtId="182" fontId="36" fillId="0" borderId="61" xfId="0" applyNumberFormat="1" applyFont="1" applyBorder="1" applyAlignment="1">
      <alignment horizontal="center" vertical="center"/>
    </xf>
    <xf numFmtId="0" fontId="36" fillId="48" borderId="66" xfId="0" applyFont="1" applyFill="1" applyBorder="1" applyAlignment="1">
      <alignment horizontal="center"/>
    </xf>
    <xf numFmtId="0" fontId="36" fillId="48" borderId="46" xfId="0" applyFont="1" applyFill="1" applyBorder="1" applyAlignment="1">
      <alignment horizontal="center"/>
    </xf>
    <xf numFmtId="0" fontId="36" fillId="49" borderId="66" xfId="0" applyFont="1" applyFill="1" applyBorder="1" applyAlignment="1">
      <alignment horizontal="center"/>
    </xf>
    <xf numFmtId="0" fontId="36" fillId="49" borderId="46" xfId="0" applyFont="1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0" fontId="0" fillId="39" borderId="52" xfId="0" applyFill="1" applyBorder="1" applyAlignment="1">
      <alignment horizontal="center"/>
    </xf>
    <xf numFmtId="0" fontId="39" fillId="35" borderId="58" xfId="0" applyFont="1" applyFill="1" applyBorder="1" applyAlignment="1">
      <alignment horizontal="center" vertical="center"/>
    </xf>
    <xf numFmtId="0" fontId="39" fillId="35" borderId="61" xfId="0" applyFont="1" applyFill="1" applyBorder="1" applyAlignment="1">
      <alignment horizontal="center" vertical="center"/>
    </xf>
    <xf numFmtId="182" fontId="39" fillId="48" borderId="59" xfId="122" applyNumberFormat="1" applyFont="1" applyFill="1" applyBorder="1" applyAlignment="1">
      <alignment horizontal="center" vertical="center"/>
    </xf>
    <xf numFmtId="182" fontId="39" fillId="48" borderId="60" xfId="122" applyNumberFormat="1" applyFont="1" applyFill="1" applyBorder="1" applyAlignment="1">
      <alignment horizontal="center" vertical="center"/>
    </xf>
    <xf numFmtId="182" fontId="39" fillId="48" borderId="62" xfId="122" applyNumberFormat="1" applyFont="1" applyFill="1" applyBorder="1" applyAlignment="1">
      <alignment horizontal="center" vertical="center"/>
    </xf>
    <xf numFmtId="182" fontId="39" fillId="48" borderId="56" xfId="122" applyNumberFormat="1" applyFont="1" applyFill="1" applyBorder="1" applyAlignment="1">
      <alignment horizontal="center" vertical="center"/>
    </xf>
    <xf numFmtId="182" fontId="39" fillId="49" borderId="59" xfId="122" applyNumberFormat="1" applyFont="1" applyFill="1" applyBorder="1" applyAlignment="1">
      <alignment horizontal="center" vertical="center"/>
    </xf>
    <xf numFmtId="182" fontId="39" fillId="49" borderId="60" xfId="122" applyNumberFormat="1" applyFont="1" applyFill="1" applyBorder="1" applyAlignment="1">
      <alignment horizontal="center" vertical="center"/>
    </xf>
    <xf numFmtId="182" fontId="39" fillId="49" borderId="62" xfId="122" applyNumberFormat="1" applyFont="1" applyFill="1" applyBorder="1" applyAlignment="1">
      <alignment horizontal="center" vertical="center"/>
    </xf>
    <xf numFmtId="182" fontId="39" fillId="49" borderId="56" xfId="122" applyNumberFormat="1" applyFont="1" applyFill="1" applyBorder="1" applyAlignment="1">
      <alignment horizontal="center" vertical="center"/>
    </xf>
    <xf numFmtId="14" fontId="38" fillId="31" borderId="26" xfId="0" applyNumberFormat="1" applyFont="1" applyFill="1" applyBorder="1" applyAlignment="1">
      <alignment horizontal="center"/>
    </xf>
    <xf numFmtId="14" fontId="38" fillId="31" borderId="51" xfId="0" applyNumberFormat="1" applyFont="1" applyFill="1" applyBorder="1" applyAlignment="1">
      <alignment horizontal="center"/>
    </xf>
    <xf numFmtId="14" fontId="38" fillId="39" borderId="26" xfId="0" applyNumberFormat="1" applyFont="1" applyFill="1" applyBorder="1" applyAlignment="1">
      <alignment horizontal="center"/>
    </xf>
    <xf numFmtId="14" fontId="38" fillId="39" borderId="51" xfId="0" applyNumberFormat="1" applyFont="1" applyFill="1" applyBorder="1" applyAlignment="1">
      <alignment horizontal="center"/>
    </xf>
    <xf numFmtId="14" fontId="38" fillId="31" borderId="6" xfId="0" applyNumberFormat="1" applyFont="1" applyFill="1" applyBorder="1" applyAlignment="1">
      <alignment horizontal="center"/>
    </xf>
    <xf numFmtId="14" fontId="38" fillId="31" borderId="52" xfId="0" applyNumberFormat="1" applyFont="1" applyFill="1" applyBorder="1" applyAlignment="1">
      <alignment horizontal="center"/>
    </xf>
    <xf numFmtId="14" fontId="38" fillId="39" borderId="6" xfId="0" applyNumberFormat="1" applyFont="1" applyFill="1" applyBorder="1" applyAlignment="1">
      <alignment horizontal="center"/>
    </xf>
    <xf numFmtId="14" fontId="38" fillId="39" borderId="52" xfId="0" applyNumberFormat="1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1" fontId="38" fillId="39" borderId="0" xfId="0" applyNumberFormat="1" applyFont="1" applyFill="1" applyBorder="1" applyAlignment="1">
      <alignment horizontal="center"/>
    </xf>
    <xf numFmtId="1" fontId="38" fillId="39" borderId="52" xfId="0" applyNumberFormat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3" xfId="1" applyBorder="1" applyAlignment="1"/>
    <xf numFmtId="2" fontId="34" fillId="39" borderId="26" xfId="0" applyNumberFormat="1" applyFont="1" applyFill="1" applyBorder="1" applyAlignment="1">
      <alignment horizontal="center"/>
    </xf>
    <xf numFmtId="2" fontId="34" fillId="39" borderId="5" xfId="0" applyNumberFormat="1" applyFont="1" applyFill="1" applyBorder="1" applyAlignment="1">
      <alignment horizontal="center"/>
    </xf>
    <xf numFmtId="173" fontId="34" fillId="39" borderId="26" xfId="0" applyNumberFormat="1" applyFont="1" applyFill="1" applyBorder="1" applyAlignment="1">
      <alignment horizontal="center"/>
    </xf>
    <xf numFmtId="173" fontId="34" fillId="39" borderId="5" xfId="0" applyNumberFormat="1" applyFont="1" applyFill="1" applyBorder="1" applyAlignment="1">
      <alignment horizontal="center"/>
    </xf>
    <xf numFmtId="2" fontId="34" fillId="39" borderId="6" xfId="0" applyNumberFormat="1" applyFont="1" applyFill="1" applyBorder="1" applyAlignment="1">
      <alignment horizontal="center"/>
    </xf>
    <xf numFmtId="2" fontId="34" fillId="39" borderId="9" xfId="0" applyNumberFormat="1" applyFont="1" applyFill="1" applyBorder="1" applyAlignment="1">
      <alignment horizontal="center"/>
    </xf>
    <xf numFmtId="173" fontId="34" fillId="39" borderId="6" xfId="0" applyNumberFormat="1" applyFont="1" applyFill="1" applyBorder="1" applyAlignment="1">
      <alignment horizontal="center"/>
    </xf>
    <xf numFmtId="173" fontId="34" fillId="39" borderId="9" xfId="0" applyNumberFormat="1" applyFont="1" applyFill="1" applyBorder="1" applyAlignment="1">
      <alignment horizontal="center"/>
    </xf>
    <xf numFmtId="183" fontId="47" fillId="30" borderId="6" xfId="0" applyNumberFormat="1" applyFont="1" applyFill="1" applyBorder="1" applyAlignment="1">
      <alignment horizontal="center"/>
    </xf>
    <xf numFmtId="183" fontId="47" fillId="39" borderId="9" xfId="0" applyNumberFormat="1" applyFont="1" applyFill="1" applyBorder="1" applyAlignment="1">
      <alignment horizontal="center"/>
    </xf>
    <xf numFmtId="183" fontId="36" fillId="30" borderId="14" xfId="0" applyNumberFormat="1" applyFont="1" applyFill="1" applyBorder="1" applyAlignment="1">
      <alignment horizontal="center"/>
    </xf>
    <xf numFmtId="183" fontId="36" fillId="39" borderId="16" xfId="0" applyNumberFormat="1" applyFont="1" applyFill="1" applyBorder="1" applyAlignment="1">
      <alignment horizontal="center"/>
    </xf>
    <xf numFmtId="183" fontId="47" fillId="30" borderId="14" xfId="0" applyNumberFormat="1" applyFont="1" applyFill="1" applyBorder="1" applyAlignment="1">
      <alignment horizontal="center"/>
    </xf>
    <xf numFmtId="183" fontId="47" fillId="39" borderId="16" xfId="0" applyNumberFormat="1" applyFont="1" applyFill="1" applyBorder="1" applyAlignment="1">
      <alignment horizontal="center"/>
    </xf>
    <xf numFmtId="2" fontId="34" fillId="39" borderId="14" xfId="0" applyNumberFormat="1" applyFont="1" applyFill="1" applyBorder="1" applyAlignment="1">
      <alignment horizontal="center"/>
    </xf>
    <xf numFmtId="2" fontId="34" fillId="39" borderId="16" xfId="0" applyNumberFormat="1" applyFont="1" applyFill="1" applyBorder="1" applyAlignment="1">
      <alignment horizontal="center"/>
    </xf>
    <xf numFmtId="173" fontId="34" fillId="39" borderId="14" xfId="0" applyNumberFormat="1" applyFont="1" applyFill="1" applyBorder="1" applyAlignment="1">
      <alignment horizontal="center"/>
    </xf>
    <xf numFmtId="173" fontId="34" fillId="39" borderId="16" xfId="0" applyNumberFormat="1" applyFont="1" applyFill="1" applyBorder="1" applyAlignment="1">
      <alignment horizontal="center"/>
    </xf>
    <xf numFmtId="183" fontId="36" fillId="30" borderId="19" xfId="0" applyNumberFormat="1" applyFont="1" applyFill="1" applyBorder="1" applyAlignment="1">
      <alignment horizontal="center"/>
    </xf>
  </cellXfs>
  <cellStyles count="124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Comma" xfId="122" builtinId="3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2 3" xfId="121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Trigger 4" xfId="123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78"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0" tint="-0.14996795556505021"/>
      </font>
    </dxf>
    <dxf>
      <font>
        <b val="0"/>
        <i/>
        <color theme="0" tint="-0.14996795556505021"/>
      </font>
    </dxf>
  </dxfs>
  <tableStyles count="0" defaultTableStyle="TableStyleMedium2" defaultPivotStyle="PivotStyleLight16"/>
  <colors>
    <mruColors>
      <color rgb="FFFF66FF"/>
      <color rgb="FF99CCFF"/>
      <color rgb="FFCCFFFF"/>
      <color rgb="FFCCFFCC"/>
      <color rgb="FFFFCCFF"/>
      <color rgb="FF66FF66"/>
      <color rgb="FFCCCCFF"/>
      <color rgb="FFF9A9AB"/>
      <color rgb="FFCCEC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CCSGBPEUR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5"/>
      </tp>
      <tp t="s">
        <v>#N/A RIC Not Found</v>
        <stp/>
        <stp>_x000C_CCSGBPEUR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5"/>
      </tp>
      <tp t="s">
        <v>#N/A RIC Not Found</v>
        <stp/>
        <stp>_x000C_CCSGBPEUR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5"/>
      </tp>
    </main>
    <main first="pldatasource.rtnowrtdserver">
      <tp>
        <v>0.7800462962986785</v>
        <stp/>
        <stp>D8</stp>
        <stp>45</stp>
        <tr r="D8" s="8"/>
      </tp>
    </main>
    <main first="pldatasource.rtgetrtdserver">
      <tp t="s">
        <v>#N/A RIC Not Found</v>
        <stp/>
        <stp>_x000C_CCSGBPEUR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5"/>
      </tp>
      <tp t="s">
        <v>#N/A RIC Not Found</v>
        <stp/>
        <stp>_x000C_CCSGBPEUR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5"/>
      </tp>
      <tp t="s">
        <v>#N/A RIC Not Found</v>
        <stp/>
        <stp>_x000C_CCSGBPEUR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5"/>
      </tp>
    </main>
    <main first="pldatasource.rtgetrtdserver">
      <tp>
        <v>-29.25</v>
        <stp/>
        <stp>_x000D_EURCBS9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27"/>
        <tr r="Z33" s="29"/>
        <tr r="Z33" s="47"/>
      </tp>
      <tp>
        <v>-26.25</v>
        <stp/>
        <stp>_x000D_EURCBS6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27"/>
        <tr r="Z32" s="29"/>
        <tr r="Z32" s="47"/>
      </tp>
      <tp>
        <v>-24.25</v>
        <stp/>
        <stp>_x000D_EURCBS3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27"/>
        <tr r="Z31" s="29"/>
        <tr r="Z31" s="47"/>
      </tp>
      <tp>
        <v>-9.5</v>
        <stp/>
        <stp>_x000D_GBPCBS9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4"/>
        <tr r="Z33" s="45"/>
        <tr r="Z33" s="46"/>
      </tp>
      <tp>
        <v>-9.25</v>
        <stp/>
        <stp>_x000D_GBPCBS6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4"/>
        <tr r="Z32" s="46"/>
        <tr r="Z32" s="45"/>
      </tp>
      <tp>
        <v>-9.25</v>
        <stp/>
        <stp>_x000D_GBPCBS3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4"/>
        <tr r="Z31" s="46"/>
        <tr r="Z31" s="45"/>
      </tp>
    </main>
    <main first="pldatasource.rtnowrtdserver">
      <tp>
        <v>0.78023148148349719</v>
        <stp/>
        <stp>C15</stp>
        <stp>60</stp>
        <tr r="C15" s="27"/>
        <tr r="C15" s="29"/>
        <tr r="C15" s="44"/>
        <tr r="C15" s="45"/>
        <tr r="C15" s="47"/>
        <tr r="C15" s="46"/>
      </tp>
      <tp>
        <v>0.78023148148349719</v>
        <stp/>
        <stp>C27</stp>
        <stp>60</stp>
        <tr r="C27" s="42"/>
      </tp>
    </main>
    <main first="pldatasource.rtgetrtdserver">
      <tp t="s">
        <v>#N/A RIC Not Found</v>
        <stp/>
        <stp xml:space="preserve">	??????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6"/>
        <tr r="AA24" s="47"/>
      </tp>
      <tp t="s">
        <v>#N/A RIC Not Found</v>
        <stp/>
        <stp xml:space="preserve">	??????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7"/>
        <tr r="AA23" s="46"/>
      </tp>
      <tp t="s">
        <v>#N/A RIC Not Found</v>
        <stp/>
        <stp xml:space="preserve">	??????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7"/>
        <tr r="AA22" s="46"/>
      </tp>
    </main>
    <main first="pldatasource.rtgetrtdserver">
      <tp>
        <v>-4.25</v>
        <stp/>
        <stp>_x000D_GBPCBS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4"/>
        <tr r="AA37" s="45"/>
        <tr r="AA37" s="46"/>
      </tp>
      <tp>
        <v>-4.75</v>
        <stp/>
        <stp>_x000D_GBPCBS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4"/>
        <tr r="AA38" s="45"/>
        <tr r="AA38" s="46"/>
      </tp>
      <tp>
        <v>-6.75</v>
        <stp/>
        <stp>_x000D_GBPCBS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4"/>
        <tr r="AA39" s="45"/>
        <tr r="AA39" s="46"/>
      </tp>
      <tp>
        <v>0.25</v>
        <stp/>
        <stp>_x000D_GBPCBS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4"/>
        <tr r="AA34" s="45"/>
        <tr r="AA34" s="46"/>
      </tp>
      <tp>
        <v>-3.5</v>
        <stp/>
        <stp>_x000D_GBPCBS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4"/>
        <tr r="AA35" s="46"/>
        <tr r="AA35" s="45"/>
      </tp>
      <tp>
        <v>-3.75</v>
        <stp/>
        <stp>_x000D_GBPCBS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4"/>
        <tr r="AA36" s="46"/>
        <tr r="AA36" s="45"/>
      </tp>
      <tp>
        <v>-31.875</v>
        <stp/>
        <stp>_x000D_EURCBS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27"/>
        <tr r="AA39" s="29"/>
        <tr r="AA39" s="47"/>
      </tp>
      <tp>
        <v>-32</v>
        <stp/>
        <stp>_x000D_EURCBS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27"/>
        <tr r="AA37" s="29"/>
        <tr r="AA37" s="47"/>
      </tp>
      <tp>
        <v>-31.875</v>
        <stp/>
        <stp>_x000D_EURCBS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27"/>
        <tr r="AA38" s="29"/>
        <tr r="AA38" s="47"/>
      </tp>
      <tp>
        <v>-29.5</v>
        <stp/>
        <stp>_x000D_EURCBS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27"/>
        <tr r="AA35" s="29"/>
        <tr r="AA35" s="47"/>
      </tp>
      <tp>
        <v>-31.375</v>
        <stp/>
        <stp>_x000D_EURCBS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27"/>
        <tr r="AA36" s="29"/>
        <tr r="AA36" s="47"/>
      </tp>
      <tp>
        <v>-24</v>
        <stp/>
        <stp>_x000D_EURCBS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27"/>
        <tr r="AA34" s="29"/>
        <tr r="AA34" s="47"/>
      </tp>
    </main>
    <main first="pldatasource.rtgetrtdserver">
      <tp t="s">
        <v>#N/A RIC Not Found</v>
        <stp/>
        <stp>_x0008_??????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7"/>
        <tr r="Z20" s="46"/>
      </tp>
      <tp t="s">
        <v>#N/A RIC Not Found</v>
        <stp/>
        <stp>_x0008_??????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7"/>
        <tr r="Z21" s="46"/>
      </tp>
      <tp t="s">
        <v>#N/A RIC Not Found</v>
        <stp/>
        <stp>_x0008_??????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7"/>
        <tr r="Z16" s="46"/>
      </tp>
      <tp t="s">
        <v>#N/A RIC Not Found</v>
        <stp/>
        <stp>_x0008_??????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7"/>
        <tr r="Z17" s="46"/>
      </tp>
      <tp t="s">
        <v>#N/A RIC Not Found</v>
        <stp/>
        <stp>_x0008_??????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6"/>
        <tr r="Z18" s="47"/>
      </tp>
      <tp t="s">
        <v>#N/A RIC Not Found</v>
        <stp/>
        <stp>_x0008_??????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6"/>
        <tr r="Z19" s="47"/>
      </tp>
      <tp t="s">
        <v>#N/A RIC Not Found</v>
        <stp/>
        <stp>_x0008_??????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7"/>
        <tr r="Z13" s="46"/>
      </tp>
      <tp t="s">
        <v>#N/A RIC Not Found</v>
        <stp/>
        <stp>_x0008_??????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6"/>
        <tr r="Z14" s="47"/>
      </tp>
      <tp t="s">
        <v>#N/A RIC Not Found</v>
        <stp/>
        <stp>_x0008_??????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6"/>
        <tr r="Z15" s="47"/>
      </tp>
      <tp>
        <v>-36.875</v>
        <stp/>
        <stp>_x000D_EURCBS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27"/>
        <tr r="Z38" s="29"/>
        <tr r="Z38" s="47"/>
      </tp>
      <tp>
        <v>-37</v>
        <stp/>
        <stp>_x000D_EURCBS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27"/>
        <tr r="Z37" s="29"/>
        <tr r="Z37" s="47"/>
      </tp>
      <tp>
        <v>-36.875</v>
        <stp/>
        <stp>_x000D_EURCBS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27"/>
        <tr r="Z39" s="29"/>
        <tr r="Z39" s="47"/>
      </tp>
      <tp>
        <v>-29</v>
        <stp/>
        <stp>_x000D_EURCBS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27"/>
        <tr r="Z34" s="29"/>
        <tr r="Z34" s="47"/>
      </tp>
      <tp>
        <v>-36.375</v>
        <stp/>
        <stp>_x000D_EURCBS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27"/>
        <tr r="Z36" s="29"/>
        <tr r="Z36" s="47"/>
      </tp>
      <tp>
        <v>-34.5</v>
        <stp/>
        <stp>_x000D_EURCBS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27"/>
        <tr r="Z35" s="29"/>
        <tr r="Z35" s="47"/>
      </tp>
      <tp>
        <v>-11.75</v>
        <stp/>
        <stp>_x000D_GBPCBS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4"/>
        <tr r="Z39" s="45"/>
        <tr r="Z39" s="46"/>
      </tp>
      <tp>
        <v>-9.75</v>
        <stp/>
        <stp>_x000D_GBPCBS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4"/>
        <tr r="Z38" s="46"/>
        <tr r="Z38" s="45"/>
      </tp>
      <tp>
        <v>-9.25</v>
        <stp/>
        <stp>_x000D_GBPCBS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4"/>
        <tr r="Z37" s="46"/>
        <tr r="Z37" s="45"/>
      </tp>
      <tp>
        <v>-8.75</v>
        <stp/>
        <stp>_x000D_GBPCBS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4"/>
        <tr r="Z36" s="45"/>
        <tr r="Z36" s="46"/>
      </tp>
      <tp>
        <v>-8.5</v>
        <stp/>
        <stp>_x000D_GBPCBS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4"/>
        <tr r="Z35" s="46"/>
        <tr r="Z35" s="45"/>
      </tp>
      <tp>
        <v>-9.75</v>
        <stp/>
        <stp>_x000D_GBPCBS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4"/>
        <tr r="Z34" s="45"/>
        <tr r="Z34" s="46"/>
      </tp>
    </main>
    <main first="pldatasource.rtgetrtdserver">
      <tp>
        <v>19</v>
        <stp/>
        <stp>_x000E_GBPECB10Y=ICAP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" s="42"/>
      </tp>
      <tp t="s">
        <v>#N/A The record could not be found</v>
        <stp/>
        <stp>_x000E_GBPECB30Y=ICAP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5" s="42"/>
      </tp>
      <tp>
        <v>7.5</v>
        <stp/>
        <stp>_x000E_GBPECB20Y=ICAP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4" s="42"/>
      </tp>
      <tp>
        <v>0.5</v>
        <stp/>
        <stp>_x000D_GBPCBS9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4"/>
        <tr r="AA33" s="46"/>
        <tr r="AA33" s="45"/>
      </tp>
      <tp>
        <v>0.75</v>
        <stp/>
        <stp>_x000D_GBPCBS6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4"/>
        <tr r="AA32" s="45"/>
        <tr r="AA32" s="46"/>
      </tp>
      <tp>
        <v>0.75</v>
        <stp/>
        <stp>_x000D_GBPCBS3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4"/>
        <tr r="AA31" s="46"/>
        <tr r="AA31" s="45"/>
      </tp>
      <tp>
        <v>-19.25</v>
        <stp/>
        <stp>_x000D_EURCBS9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27"/>
        <tr r="AA33" s="29"/>
        <tr r="AA33" s="47"/>
      </tp>
      <tp>
        <v>-16.25</v>
        <stp/>
        <stp>_x000D_EURCBS6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27"/>
        <tr r="AA32" s="29"/>
        <tr r="AA32" s="47"/>
      </tp>
      <tp>
        <v>-14.25</v>
        <stp/>
        <stp>_x000D_EURCBS3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27"/>
        <tr r="AA31" s="29"/>
        <tr r="AA31" s="47"/>
      </tp>
    </main>
    <main first="pldatasource.rtgetrtdserver">
      <tp t="s">
        <v>#N/A The record could not be found</v>
        <stp/>
        <stp>_x000E_GBPECB30Y=ICAP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5" s="42"/>
      </tp>
      <tp>
        <v>13.5</v>
        <stp/>
        <stp>_x000E_GBPECB20Y=ICAP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4" s="42"/>
      </tp>
      <tp>
        <v>25</v>
        <stp/>
        <stp>_x000E_GBPECB10Y=ICAP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" s="42"/>
      </tp>
    </main>
    <main first="pldatasource.rtgetrtdserver">
      <tp t="s">
        <v>#N/A RIC Not Found</v>
        <stp/>
        <stp xml:space="preserve">	??????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7"/>
        <tr r="Z23" s="46"/>
      </tp>
    </main>
    <main first="pldatasource.rtgetrtdserver">
      <tp>
        <v>11</v>
        <stp/>
        <stp>_x000E_GBPECB15Y=ICAP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3" s="42"/>
      </tp>
      <tp t="s">
        <v>#N/A RIC Not Found</v>
        <stp/>
        <stp>_x0008_??????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7"/>
        <tr r="AA18" s="46"/>
      </tp>
      <tp t="s">
        <v>#N/A RIC Not Found</v>
        <stp/>
        <stp>_x0008_??????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7"/>
        <tr r="AA19" s="46"/>
      </tp>
      <tp t="s">
        <v>#N/A RIC Not Found</v>
        <stp/>
        <stp>_x0008_??????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6"/>
        <tr r="AA16" s="47"/>
      </tp>
      <tp t="s">
        <v>#N/A RIC Not Found</v>
        <stp/>
        <stp>_x0008_??????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7"/>
        <tr r="AA17" s="46"/>
      </tp>
      <tp t="s">
        <v>#N/A RIC Not Found</v>
        <stp/>
        <stp>_x0008_??????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7"/>
        <tr r="AA14" s="46"/>
      </tp>
      <tp t="s">
        <v>#N/A RIC Not Found</v>
        <stp/>
        <stp>_x0008_??????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6"/>
        <tr r="AA15" s="47"/>
      </tp>
      <tp t="s">
        <v>#N/A RIC Not Found</v>
        <stp/>
        <stp>_x0008_??????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7"/>
        <tr r="AA13" s="46"/>
      </tp>
      <tp t="s">
        <v>#N/A RIC Not Found</v>
        <stp/>
        <stp>_x0008_??????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6"/>
        <tr r="AA20" s="47"/>
      </tp>
      <tp t="s">
        <v>#N/A RIC Not Found</v>
        <stp/>
        <stp>_x0008_??????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7"/>
        <tr r="AA21" s="46"/>
      </tp>
      <tp t="s">
        <v>#N/A RIC Not Found</v>
        <stp/>
        <stp xml:space="preserve">	??????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7"/>
        <tr r="Z22" s="46"/>
      </tp>
    </main>
    <main first="pldatasource.rtgetrtdserver">
      <tp t="s">
        <v>#N/A RIC Not Found</v>
        <stp/>
        <stp xml:space="preserve">	??????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7"/>
        <tr r="Z24" s="46"/>
      </tp>
    </main>
    <main first="pldatasource.rtgetrtdserver">
      <tp>
        <v>17</v>
        <stp/>
        <stp>_x000E_GBPECB15Y=ICAP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3" s="42"/>
      </tp>
    </main>
    <main first="pldatasource.rtgetrtdserver">
      <tp>
        <v>1.5471999999999999</v>
        <stp/>
        <stp>_x0004_GBP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45"/>
        <tr r="AA27" s="46"/>
        <tr r="AA27" s="44"/>
      </tp>
      <tp>
        <v>1.1162000000000001</v>
        <stp/>
        <stp>_x0004_EUR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27"/>
        <tr r="AA27" s="29"/>
        <tr r="AA27" s="47"/>
      </tp>
      <tp>
        <v>-15</v>
        <stp/>
        <stp>_x000E_EURCBS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27"/>
        <tr r="AA43" s="29"/>
        <tr r="AA43" s="47"/>
      </tp>
      <tp>
        <v>-20.875</v>
        <stp/>
        <stp>_x000E_EURCBS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27"/>
        <tr r="AA42" s="29"/>
        <tr r="AA42" s="47"/>
      </tp>
      <tp>
        <v>-30.125</v>
        <stp/>
        <stp>_x000E_EURCBS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27"/>
        <tr r="AA40" s="29"/>
        <tr r="AA40" s="47"/>
      </tp>
      <tp>
        <v>-10.75</v>
        <stp/>
        <stp>_x000E_GBPCBS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4"/>
        <tr r="AA40" s="46"/>
        <tr r="AA40" s="45"/>
      </tp>
      <tp>
        <v>-7</v>
        <stp/>
        <stp>_x000E_GBPCBS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44"/>
        <tr r="AA43" s="46"/>
        <tr r="AA43" s="45"/>
      </tp>
      <tp>
        <v>-13.75</v>
        <stp/>
        <stp>_x000E_GBPCBS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44"/>
        <tr r="AA42" s="46"/>
        <tr r="AA42" s="45"/>
      </tp>
      <tp>
        <v>-15.75</v>
        <stp/>
        <stp>_x000E_GBPCBS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4"/>
        <tr r="Z40" s="45"/>
        <tr r="Z40" s="46"/>
      </tp>
      <tp>
        <v>-12</v>
        <stp/>
        <stp>_x000E_GBPCBS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4"/>
        <tr r="Z43" s="46"/>
        <tr r="Z43" s="45"/>
      </tp>
      <tp>
        <v>-18.75</v>
        <stp/>
        <stp>_x000E_GBPCBS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44"/>
        <tr r="Z42" s="46"/>
        <tr r="Z42" s="45"/>
      </tp>
      <tp>
        <v>-20</v>
        <stp/>
        <stp>_x000E_EURCBS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27"/>
        <tr r="Z43" s="29"/>
        <tr r="Z43" s="47"/>
      </tp>
      <tp>
        <v>-25.875</v>
        <stp/>
        <stp>_x000E_EURCBS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27"/>
        <tr r="Z42" s="29"/>
        <tr r="Z42" s="47"/>
      </tp>
      <tp>
        <v>-35.125</v>
        <stp/>
        <stp>_x000E_EURCBS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27"/>
        <tr r="Z40" s="29"/>
        <tr r="Z40" s="47"/>
      </tp>
      <tp>
        <v>-25.375</v>
        <stp/>
        <stp>_x000E_EURCBS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27"/>
        <tr r="AA41" s="29"/>
        <tr r="AA41" s="47"/>
      </tp>
      <tp>
        <v>-14.5</v>
        <stp/>
        <stp>_x000E_GBPCBS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44"/>
        <tr r="AA41" s="46"/>
        <tr r="AA41" s="45"/>
      </tp>
      <tp>
        <v>1.5468</v>
        <stp/>
        <stp>_x0004_GBP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46"/>
        <tr r="Z27" s="45"/>
        <tr r="Z27" s="44"/>
      </tp>
      <tp>
        <v>1.1161000000000001</v>
        <stp/>
        <stp>_x0004_EUR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27"/>
        <tr r="Z27" s="29"/>
        <tr r="Z27" s="47"/>
      </tp>
      <tp>
        <v>-19.5</v>
        <stp/>
        <stp>_x000E_GBPCBS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44"/>
        <tr r="Z41" s="45"/>
        <tr r="Z41" s="46"/>
      </tp>
      <tp>
        <v>-30.375</v>
        <stp/>
        <stp>_x000E_EURCBS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27"/>
        <tr r="Z41" s="29"/>
        <tr r="Z41" s="47"/>
      </tp>
    </main>
    <main first="pldatasource.rtgetrtdserver">
      <tp t="s">
        <v>#N/A RIC Not Found</v>
        <stp/>
        <stp>_x000D_CCSUSDEUR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7"/>
      </tp>
      <tp t="s">
        <v>#N/A RIC Not Found</v>
        <stp/>
        <stp>_x000D_CCSUSDEUR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7"/>
      </tp>
      <tp t="s">
        <v>#N/A RIC Not Found</v>
        <stp/>
        <stp>_x000D_CCSUSDEUR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7"/>
      </tp>
    </main>
    <main first="pldatasource.rtgetrtdserver">
      <tp>
        <v>0.63813089899999997</v>
        <stp/>
        <stp>_x000E_CCSGBPEUROIS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4"/>
      </tp>
      <tp t="s">
        <v>#N/A RIC Not Found</v>
        <stp/>
        <stp>_x000E_CCSGBPEUROI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4"/>
      </tp>
      <tp>
        <v>0.700860767</v>
        <stp/>
        <stp>_x000E_CCSGBPEUROI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4"/>
      </tp>
      <tp>
        <v>0.626527681</v>
        <stp/>
        <stp>_x000E_CCSGBPEUROI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4"/>
      </tp>
      <tp>
        <v>0.63379476400000001</v>
        <stp/>
        <stp>_x000E_CCSGBPEUROI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4"/>
      </tp>
      <tp>
        <v>0.62030810799999991</v>
        <stp/>
        <stp>_x000E_CCSGBPEUROI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4"/>
      </tp>
      <tp>
        <v>0.60571856300000004</v>
        <stp/>
        <stp>_x000E_CCSGBPEUROI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4"/>
      </tp>
      <tp>
        <v>0.61270339800000007</v>
        <stp/>
        <stp>_x000E_CCSGBPEUROI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4"/>
      </tp>
      <tp>
        <v>0.655054358</v>
        <stp/>
        <stp>_x000E_CCSGBPEUROI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4"/>
      </tp>
      <tp>
        <v>0.64618729399999997</v>
        <stp/>
        <stp>_x000E_CCSGBPEUROI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4"/>
      </tp>
      <tp>
        <v>0.64523040399999998</v>
        <stp/>
        <stp>_x000E_CCSGBPEUROI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4"/>
      </tp>
      <tp t="s">
        <v>#N/A RIC Not Found</v>
        <stp/>
        <stp>_x000E_CCSGBPEUROI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4"/>
      </tp>
    </main>
    <main first="pldatasource.rtgetrtdserver">
      <tp>
        <v>0.63813089899999997</v>
        <stp/>
        <stp>_x000E_CCSGBPEUROIS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4"/>
      </tp>
    </main>
    <main first="pldatasource.rtgetrtdserver">
      <tp>
        <v>0.63379476400000001</v>
        <stp/>
        <stp>_x000E_CCSGBPEUROIS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4"/>
      </tp>
      <tp>
        <v>0.62030810799999991</v>
        <stp/>
        <stp>_x000E_CCSGBPEUROIS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4"/>
      </tp>
      <tp>
        <v>0.60571856300000004</v>
        <stp/>
        <stp>_x000E_CCSGBPEUROIS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4"/>
      </tp>
      <tp>
        <v>0.61270339800000007</v>
        <stp/>
        <stp>_x000E_CCSGBPEUROIS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4"/>
      </tp>
      <tp>
        <v>0.626527681</v>
        <stp/>
        <stp>_x000E_CCSGBPEUROIS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4"/>
      </tp>
      <tp>
        <v>0.64523040399999998</v>
        <stp/>
        <stp>_x000E_CCSGBPEUROIS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4"/>
      </tp>
      <tp t="s">
        <v>#N/A RIC Not Found</v>
        <stp/>
        <stp>_x000E_CCSGBPEUROIS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4"/>
      </tp>
      <tp>
        <v>0.655054358</v>
        <stp/>
        <stp>_x000E_CCSGBPEUROIS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4"/>
      </tp>
      <tp>
        <v>0.64618729399999997</v>
        <stp/>
        <stp>_x000E_CCSGBPEUROIS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4"/>
      </tp>
      <tp t="s">
        <v>#N/A RIC Not Found</v>
        <stp/>
        <stp>_x000E_CCSGBPEUROIS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4"/>
      </tp>
      <tp>
        <v>0.700860767</v>
        <stp/>
        <stp>_x000E_CCSGBPEUROIS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4"/>
      </tp>
    </main>
    <main first="pldatasource.rtgetrtdserver">
      <tp>
        <v>0.40043055399999999</v>
        <stp/>
        <stp>_x000E_CCSUSDEURSTD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9"/>
      </tp>
    </main>
    <main first="pldatasource.rtgetrtdserver">
      <tp>
        <v>0.74960700499999999</v>
        <stp/>
        <stp>_x000E_CCSUSDEURSTD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9"/>
      </tp>
      <tp>
        <v>0.72590587400000006</v>
        <stp/>
        <stp>_x000E_CCSUSDEURSTD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9"/>
      </tp>
      <tp>
        <v>0.40902687300000001</v>
        <stp/>
        <stp>_x000E_CCSUSDEURSTD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9"/>
      </tp>
      <tp>
        <v>0.48609652800000003</v>
        <stp/>
        <stp>_x000E_CCSUSDEURSTD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9"/>
      </tp>
      <tp>
        <v>0.40556781500000005</v>
        <stp/>
        <stp>_x000E_CCSUSDEURSTD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9"/>
      </tp>
      <tp>
        <v>0.46880502099999999</v>
        <stp/>
        <stp>_x000E_CCSUSDEURSTD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9"/>
      </tp>
      <tp>
        <v>0.38498028000000001</v>
        <stp/>
        <stp>_x000E_CCSUSDEURSTD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9"/>
      </tp>
      <tp>
        <v>0.57396876900000005</v>
        <stp/>
        <stp>_x000E_CCSUSDEURSTD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9"/>
      </tp>
      <tp>
        <v>0.52051940900000004</v>
        <stp/>
        <stp>_x000E_CCSUSDEURSTD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9"/>
      </tp>
      <tp>
        <v>0.68023657000000004</v>
        <stp/>
        <stp>_x000E_CCSUSDEURSTD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9"/>
      </tp>
      <tp>
        <v>0.62583894600000001</v>
        <stp/>
        <stp>_x000E_CCSUSDEURSTD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9"/>
      </tp>
      <tp>
        <v>0.40043055399999999</v>
        <stp/>
        <stp>_x000E_CCSUSDEURSTD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9"/>
      </tp>
    </main>
    <main first="pldatasource.rtgetrtdserver">
      <tp>
        <v>0.48609652800000003</v>
        <stp/>
        <stp>_x000E_CCSUSDEURSTD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9"/>
      </tp>
      <tp>
        <v>0.40556781500000005</v>
        <stp/>
        <stp>_x000E_CCSUSDEURSTD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9"/>
      </tp>
      <tp>
        <v>0.46880502099999999</v>
        <stp/>
        <stp>_x000E_CCSUSDEURSTD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9"/>
      </tp>
      <tp>
        <v>0.38498028000000001</v>
        <stp/>
        <stp>_x000E_CCSUSDEURSTD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9"/>
      </tp>
      <tp>
        <v>0.40902687300000001</v>
        <stp/>
        <stp>_x000E_CCSUSDEURSTD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9"/>
      </tp>
      <tp>
        <v>0.68023657000000004</v>
        <stp/>
        <stp>_x000E_CCSUSDEURSTD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9"/>
      </tp>
      <tp>
        <v>0.62583894600000001</v>
        <stp/>
        <stp>_x000E_CCSUSDEURSTD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9"/>
      </tp>
      <tp>
        <v>0.57396876900000005</v>
        <stp/>
        <stp>_x000E_CCSUSDEURSTD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9"/>
      </tp>
      <tp>
        <v>0.52051940900000004</v>
        <stp/>
        <stp>_x000E_CCSUSDEURSTD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9"/>
      </tp>
      <tp>
        <v>0.74960700499999999</v>
        <stp/>
        <stp>_x000E_CCSUSDEURSTD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9"/>
      </tp>
      <tp>
        <v>0.72590587400000006</v>
        <stp/>
        <stp>_x000E_CCSUSDEURSTD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9"/>
      </tp>
    </main>
    <main first="pldatasource.rtgetrtdserver">
      <tp>
        <v>0.37957319700000003</v>
        <stp/>
        <stp>_x000C_CCSUSDEUR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7"/>
      </tp>
      <tp>
        <v>0.475743957</v>
        <stp/>
        <stp>_x000C_CCSUSDEUR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7"/>
      </tp>
      <tp>
        <v>0.50649353499999994</v>
        <stp/>
        <stp>_x000C_CCSUSDEUR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7"/>
      </tp>
      <tp>
        <v>0.41767822199999999</v>
        <stp/>
        <stp>_x000C_CCSUSDEUR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7"/>
      </tp>
      <tp>
        <v>0.45838667199999994</v>
        <stp/>
        <stp>_x000C_CCSUSDEUR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7"/>
      </tp>
      <tp>
        <v>0.38814738300000001</v>
        <stp/>
        <stp>_x000C_CCSUSDEUR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7"/>
      </tp>
      <tp>
        <v>0.404595445</v>
        <stp/>
        <stp>_x000C_CCSUSDEUR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7"/>
      </tp>
      <tp>
        <v>0.39042294900000002</v>
        <stp/>
        <stp>_x000C_CCSUSDEUR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7"/>
      </tp>
      <tp>
        <v>0.36931616700000003</v>
        <stp/>
        <stp>_x000C_CCSUSDEUR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7"/>
      </tp>
      <tp>
        <v>0.36363705399999996</v>
        <stp/>
        <stp>_x000C_CCSUSDEUR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7"/>
      </tp>
      <tp>
        <v>0.37911567599999996</v>
        <stp/>
        <stp>_x000C_CCSUSDEUR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7"/>
      </tp>
      <tp>
        <v>0.36162747099999998</v>
        <stp/>
        <stp>_x000C_CCSUSDEUR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7"/>
      </tp>
      <tp>
        <v>0.37957319700000003</v>
        <stp/>
        <stp>_x000C_CCSUSDEUR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7"/>
      </tp>
      <tp>
        <v>0.50649353499999994</v>
        <stp/>
        <stp>_x000C_CCSUSDEUR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7"/>
      </tp>
      <tp>
        <v>0.475743957</v>
        <stp/>
        <stp>_x000C_CCSUSDEUR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7"/>
      </tp>
      <tp>
        <v>0.404595445</v>
        <stp/>
        <stp>_x000C_CCSUSDEUR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7"/>
      </tp>
      <tp>
        <v>0.38814738300000001</v>
        <stp/>
        <stp>_x000C_CCSUSDEUR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7"/>
      </tp>
      <tp>
        <v>0.45838667199999994</v>
        <stp/>
        <stp>_x000C_CCSUSDEUR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7"/>
      </tp>
      <tp>
        <v>0.41767822199999999</v>
        <stp/>
        <stp>_x000C_CCSUSDEUR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7"/>
      </tp>
      <tp>
        <v>0.36162747099999998</v>
        <stp/>
        <stp>_x000C_CCSUSDEUR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7"/>
      </tp>
      <tp>
        <v>0.37911567599999996</v>
        <stp/>
        <stp>_x000C_CCSUSDEUR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7"/>
      </tp>
      <tp>
        <v>0.36363705399999996</v>
        <stp/>
        <stp>_x000C_CCSUSDEUR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7"/>
      </tp>
      <tp>
        <v>0.36931616700000003</v>
        <stp/>
        <stp>_x000C_CCSUSDEUR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7"/>
      </tp>
      <tp>
        <v>0.39042294900000002</v>
        <stp/>
        <stp>_x000C_CCSUSDEUR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7"/>
      </tp>
      <tp t="s">
        <v>#N/A RIC Not Found</v>
        <stp/>
        <stp>_x000D_CCSUSDEUR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7"/>
      </tp>
      <tp t="s">
        <v>#N/A RIC Not Found</v>
        <stp/>
        <stp>_x000D_CCSUSDEUR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7"/>
      </tp>
      <tp t="s">
        <v>#N/A RIC Not Found</v>
        <stp/>
        <stp>_x000D_CCSUSDEUR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7"/>
      </tp>
      <tp>
        <v>0.27999999999999997</v>
        <stp/>
        <stp>_x000B_USD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27"/>
        <tr r="AA5" s="29"/>
        <tr r="AA5" s="44"/>
        <tr r="AA5" s="47"/>
        <tr r="AA5" s="46"/>
        <tr r="AA5" s="45"/>
      </tp>
      <tp>
        <v>0.18</v>
        <stp/>
        <stp>_x000B_USD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27"/>
        <tr r="Z5" s="29"/>
        <tr r="Z5" s="44"/>
        <tr r="Z5" s="47"/>
        <tr r="Z5" s="46"/>
        <tr r="Z5" s="45"/>
      </tp>
      <tp>
        <v>0.32</v>
        <stp/>
        <stp>_x000B_USD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27"/>
        <tr r="AA4" s="29"/>
        <tr r="AA4" s="44"/>
        <tr r="AA4" s="46"/>
        <tr r="AA4" s="45"/>
        <tr r="AA4" s="47"/>
      </tp>
      <tp>
        <v>0.22000000000000003</v>
        <stp/>
        <stp>_x000B_USD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27"/>
        <tr r="Z4" s="29"/>
        <tr r="Z4" s="44"/>
        <tr r="Z4" s="47"/>
        <tr r="Z4" s="45"/>
        <tr r="Z4" s="46"/>
      </tp>
      <tp t="s">
        <v>#N/A</v>
        <stp/>
        <stp>_x000B_GBPCBS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4"/>
        <tr r="Z50" s="44"/>
        <tr r="Z54" s="44"/>
        <tr r="Z52" s="44"/>
        <tr r="Z72" s="44"/>
        <tr r="Z71" s="44"/>
        <tr r="Z64" s="44"/>
        <tr r="Z57" s="44"/>
        <tr r="Z60" s="44"/>
        <tr r="Z69" s="44"/>
        <tr r="Z47" s="44"/>
        <tr r="Z63" s="44"/>
        <tr r="Z62" s="44"/>
        <tr r="Z70" s="44"/>
        <tr r="Z56" s="44"/>
        <tr r="Z46" s="44"/>
        <tr r="Z59" s="44"/>
        <tr r="Z51" s="44"/>
        <tr r="Z65" s="44"/>
        <tr r="Z66" s="44"/>
        <tr r="Z44" s="44"/>
        <tr r="Z61" s="44"/>
        <tr r="Z58" s="44"/>
        <tr r="Z49" s="44"/>
        <tr r="Z67" s="44"/>
        <tr r="Z53" s="44"/>
        <tr r="Z68" s="44"/>
        <tr r="Z55" s="44"/>
        <tr r="Z48" s="44"/>
        <tr r="Z63" s="46"/>
        <tr r="Z56" s="45"/>
        <tr r="Z48" s="45"/>
        <tr r="Z72" s="46"/>
        <tr r="Z67" s="46"/>
        <tr r="Z53" s="46"/>
        <tr r="Z55" s="46"/>
        <tr r="Z66" s="46"/>
        <tr r="Z69" s="45"/>
        <tr r="Z65" s="46"/>
        <tr r="Z66" s="45"/>
        <tr r="Z46" s="46"/>
        <tr r="Z70" s="46"/>
        <tr r="Z55" s="45"/>
        <tr r="Z62" s="46"/>
        <tr r="Z67" s="45"/>
        <tr r="Z47" s="45"/>
        <tr r="Z68" s="46"/>
        <tr r="Z60" s="46"/>
        <tr r="Z44" s="46"/>
        <tr r="Z50" s="46"/>
        <tr r="Z52" s="45"/>
        <tr r="Z57" s="45"/>
        <tr r="Z70" s="45"/>
        <tr r="Z62" s="45"/>
        <tr r="Z47" s="46"/>
        <tr r="Z44" s="45"/>
        <tr r="Z54" s="46"/>
        <tr r="Z51" s="46"/>
        <tr r="Z72" s="45"/>
        <tr r="Z59" s="45"/>
        <tr r="Z64" s="45"/>
        <tr r="Z49" s="46"/>
        <tr r="Z61" s="45"/>
        <tr r="Z58" s="45"/>
        <tr r="Z54" s="45"/>
        <tr r="Z57" s="46"/>
        <tr r="Z71" s="46"/>
        <tr r="Z49" s="45"/>
        <tr r="Z51" s="45"/>
        <tr r="Z61" s="46"/>
        <tr r="Z46" s="45"/>
        <tr r="Z60" s="45"/>
        <tr r="Z65" s="45"/>
        <tr r="Z48" s="46"/>
        <tr r="Z58" s="46"/>
        <tr r="Z56" s="46"/>
        <tr r="Z64" s="46"/>
        <tr r="Z59" s="46"/>
        <tr r="Z68" s="45"/>
        <tr r="Z45" s="46"/>
        <tr r="Z50" s="45"/>
        <tr r="Z53" s="45"/>
        <tr r="Z52" s="46"/>
        <tr r="Z63" s="45"/>
        <tr r="Z69" s="46"/>
        <tr r="Z71" s="45"/>
        <tr r="Z45" s="45"/>
      </tp>
      <tp t="s">
        <v>#N/A</v>
        <stp/>
        <stp>_x000B_EURCBS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2" s="27"/>
        <tr r="AA71" s="27"/>
        <tr r="AA70" s="27"/>
        <tr r="AA69" s="27"/>
        <tr r="AA68" s="27"/>
        <tr r="AA67" s="27"/>
        <tr r="AA64" s="27"/>
        <tr r="AA65" s="27"/>
        <tr r="AA66" s="27"/>
        <tr r="AA63" s="27"/>
        <tr r="AA62" s="27"/>
        <tr r="AA61" s="27"/>
        <tr r="AA60" s="27"/>
        <tr r="AA59" s="27"/>
        <tr r="AA58" s="27"/>
        <tr r="AA57" s="27"/>
        <tr r="AA56" s="27"/>
        <tr r="AA54" s="27"/>
        <tr r="AA55" s="27"/>
        <tr r="AA53" s="27"/>
        <tr r="AA52" s="27"/>
        <tr r="AA51" s="27"/>
        <tr r="AA49" s="27"/>
        <tr r="AA50" s="27"/>
        <tr r="AA48" s="27"/>
        <tr r="AA47" s="27"/>
        <tr r="AA46" s="27"/>
        <tr r="AA45" s="27"/>
        <tr r="AA44" s="27"/>
        <tr r="AA65" s="29"/>
        <tr r="AA66" s="29"/>
        <tr r="AA44" s="29"/>
        <tr r="AA72" s="29"/>
        <tr r="AA69" s="29"/>
        <tr r="AA50" s="29"/>
        <tr r="AA51" s="29"/>
        <tr r="AA55" s="29"/>
        <tr r="AA47" s="29"/>
        <tr r="AA60" s="29"/>
        <tr r="AA59" s="29"/>
        <tr r="AA54" s="29"/>
        <tr r="AA56" s="29"/>
        <tr r="AA68" s="29"/>
        <tr r="AA45" s="29"/>
        <tr r="AA71" s="29"/>
        <tr r="AA52" s="29"/>
        <tr r="AA57" s="29"/>
        <tr r="AA48" s="29"/>
        <tr r="AA58" s="29"/>
        <tr r="AA64" s="29"/>
        <tr r="AA49" s="29"/>
        <tr r="AA63" s="29"/>
        <tr r="AA53" s="29"/>
        <tr r="AA61" s="29"/>
        <tr r="AA70" s="29"/>
        <tr r="AA46" s="29"/>
        <tr r="AA67" s="29"/>
        <tr r="AA62" s="29"/>
        <tr r="AA46" s="47"/>
        <tr r="AA55" s="47"/>
        <tr r="AA56" s="47"/>
        <tr r="AA49" s="47"/>
        <tr r="AA68" s="47"/>
        <tr r="AA47" s="47"/>
        <tr r="AA44" s="47"/>
        <tr r="AA45" s="47"/>
        <tr r="AA70" s="47"/>
        <tr r="AA58" s="47"/>
        <tr r="AA64" s="47"/>
        <tr r="AA69" s="47"/>
        <tr r="AA50" s="47"/>
        <tr r="AA63" s="47"/>
        <tr r="AA60" s="47"/>
        <tr r="AA48" s="47"/>
        <tr r="AA66" s="47"/>
        <tr r="AA65" s="47"/>
        <tr r="AA72" s="47"/>
        <tr r="AA61" s="47"/>
        <tr r="AA62" s="47"/>
        <tr r="AA67" s="47"/>
        <tr r="AA71" s="47"/>
        <tr r="AA57" s="47"/>
        <tr r="AA53" s="47"/>
        <tr r="AA59" s="47"/>
        <tr r="AA54" s="47"/>
        <tr r="AA52" s="47"/>
        <tr r="AA51" s="47"/>
      </tp>
      <tp t="s">
        <v>#N/A</v>
        <stp/>
        <stp>_x000B_EURCBS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27"/>
        <tr r="Z71" s="27"/>
        <tr r="Z70" s="27"/>
        <tr r="Z69" s="27"/>
        <tr r="Z68" s="27"/>
        <tr r="Z67" s="27"/>
        <tr r="Z64" s="27"/>
        <tr r="Z66" s="27"/>
        <tr r="Z63" s="27"/>
        <tr r="Z65" s="27"/>
        <tr r="Z62" s="27"/>
        <tr r="Z61" s="27"/>
        <tr r="Z60" s="27"/>
        <tr r="Z59" s="27"/>
        <tr r="Z58" s="27"/>
        <tr r="Z57" s="27"/>
        <tr r="Z56" s="27"/>
        <tr r="Z54" s="27"/>
        <tr r="Z55" s="27"/>
        <tr r="Z53" s="27"/>
        <tr r="Z52" s="27"/>
        <tr r="Z51" s="27"/>
        <tr r="Z49" s="27"/>
        <tr r="Z50" s="27"/>
        <tr r="Z48" s="27"/>
        <tr r="Z47" s="27"/>
        <tr r="Z46" s="27"/>
        <tr r="Z45" s="27"/>
        <tr r="Z44" s="27"/>
        <tr r="Z60" s="29"/>
        <tr r="Z62" s="29"/>
        <tr r="Z65" s="29"/>
        <tr r="Z66" s="29"/>
        <tr r="Z68" s="29"/>
        <tr r="Z46" s="29"/>
        <tr r="Z47" s="29"/>
        <tr r="Z63" s="29"/>
        <tr r="Z51" s="29"/>
        <tr r="Z57" s="29"/>
        <tr r="Z67" s="29"/>
        <tr r="Z54" s="29"/>
        <tr r="Z55" s="29"/>
        <tr r="Z58" s="29"/>
        <tr r="Z61" s="29"/>
        <tr r="Z49" s="29"/>
        <tr r="Z59" s="29"/>
        <tr r="Z50" s="29"/>
        <tr r="Z53" s="29"/>
        <tr r="Z64" s="29"/>
        <tr r="Z45" s="29"/>
        <tr r="Z52" s="29"/>
        <tr r="Z72" s="29"/>
        <tr r="Z56" s="29"/>
        <tr r="Z44" s="29"/>
        <tr r="Z69" s="29"/>
        <tr r="Z71" s="29"/>
        <tr r="Z70" s="29"/>
        <tr r="Z48" s="29"/>
        <tr r="Z72" s="47"/>
        <tr r="Z51" s="47"/>
        <tr r="Z59" s="47"/>
        <tr r="Z55" s="47"/>
        <tr r="Z61" s="47"/>
        <tr r="Z52" s="47"/>
        <tr r="Z60" s="47"/>
        <tr r="Z58" s="47"/>
        <tr r="Z62" s="47"/>
        <tr r="Z56" s="47"/>
        <tr r="Z66" s="47"/>
        <tr r="Z53" s="47"/>
        <tr r="Z65" s="47"/>
        <tr r="Z48" s="47"/>
        <tr r="Z63" s="47"/>
        <tr r="Z54" s="47"/>
        <tr r="Z50" s="47"/>
        <tr r="Z70" s="47"/>
        <tr r="Z46" s="47"/>
        <tr r="Z45" s="47"/>
        <tr r="Z67" s="47"/>
        <tr r="Z64" s="47"/>
        <tr r="Z57" s="47"/>
        <tr r="Z71" s="47"/>
        <tr r="Z68" s="47"/>
        <tr r="Z69" s="47"/>
        <tr r="Z47" s="47"/>
        <tr r="Z44" s="47"/>
        <tr r="Z49" s="47"/>
      </tp>
      <tp t="s">
        <v>#N/A</v>
        <stp/>
        <stp>_x000B_GBPCBS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5" s="44"/>
        <tr r="AA49" s="44"/>
        <tr r="AA63" s="44"/>
        <tr r="AA57" s="44"/>
        <tr r="AA62" s="44"/>
        <tr r="AA50" s="44"/>
        <tr r="AA68" s="44"/>
        <tr r="AA44" s="44"/>
        <tr r="AA54" s="44"/>
        <tr r="AA46" s="44"/>
        <tr r="AA47" s="44"/>
        <tr r="AA69" s="44"/>
        <tr r="AA52" s="44"/>
        <tr r="AA48" s="44"/>
        <tr r="AA64" s="44"/>
        <tr r="AA71" s="44"/>
        <tr r="AA58" s="44"/>
        <tr r="AA70" s="44"/>
        <tr r="AA51" s="44"/>
        <tr r="AA56" s="44"/>
        <tr r="AA45" s="44"/>
        <tr r="AA66" s="44"/>
        <tr r="AA60" s="44"/>
        <tr r="AA67" s="44"/>
        <tr r="AA53" s="44"/>
        <tr r="AA61" s="44"/>
        <tr r="AA59" s="44"/>
        <tr r="AA72" s="44"/>
        <tr r="AA65" s="44"/>
        <tr r="AA55" s="45"/>
        <tr r="AA48" s="45"/>
        <tr r="AA51" s="45"/>
        <tr r="AA57" s="45"/>
        <tr r="AA47" s="46"/>
        <tr r="AA54" s="45"/>
        <tr r="AA46" s="45"/>
        <tr r="AA44" s="45"/>
        <tr r="AA63" s="45"/>
        <tr r="AA57" s="46"/>
        <tr r="AA62" s="46"/>
        <tr r="AA62" s="45"/>
        <tr r="AA44" s="46"/>
        <tr r="AA71" s="45"/>
        <tr r="AA56" s="46"/>
        <tr r="AA50" s="45"/>
        <tr r="AA72" s="46"/>
        <tr r="AA65" s="45"/>
        <tr r="AA64" s="45"/>
        <tr r="AA69" s="45"/>
        <tr r="AA49" s="45"/>
        <tr r="AA64" s="46"/>
        <tr r="AA47" s="45"/>
        <tr r="AA72" s="45"/>
        <tr r="AA48" s="46"/>
        <tr r="AA59" s="46"/>
        <tr r="AA60" s="45"/>
        <tr r="AA53" s="45"/>
        <tr r="AA59" s="45"/>
        <tr r="AA66" s="46"/>
        <tr r="AA45" s="46"/>
        <tr r="AA52" s="46"/>
        <tr r="AA51" s="46"/>
        <tr r="AA58" s="45"/>
        <tr r="AA58" s="46"/>
        <tr r="AA46" s="46"/>
        <tr r="AA60" s="46"/>
        <tr r="AA65" s="46"/>
        <tr r="AA67" s="46"/>
        <tr r="AA68" s="46"/>
        <tr r="AA52" s="45"/>
        <tr r="AA45" s="45"/>
        <tr r="AA71" s="46"/>
        <tr r="AA53" s="46"/>
        <tr r="AA67" s="45"/>
        <tr r="AA70" s="46"/>
        <tr r="AA49" s="46"/>
        <tr r="AA66" s="45"/>
        <tr r="AA61" s="45"/>
        <tr r="AA68" s="45"/>
        <tr r="AA69" s="46"/>
        <tr r="AA55" s="46"/>
        <tr r="AA63" s="46"/>
        <tr r="AA56" s="45"/>
        <tr r="AA54" s="46"/>
        <tr r="AA70" s="45"/>
        <tr r="AA61" s="46"/>
        <tr r="AA50" s="46"/>
      </tp>
      <tp t="s">
        <v>#N/A RIC Not Found</v>
        <stp/>
        <stp>_x000F_CCSGBPEUROIS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4"/>
      </tp>
      <tp t="s">
        <v>#N/A RIC Not Found</v>
        <stp/>
        <stp>_x000F_CCSGBPEUROIS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4"/>
      </tp>
      <tp t="s">
        <v>#N/A RIC Not Found</v>
        <stp/>
        <stp>_x000F_CCSGBPEUROIS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4"/>
      </tp>
      <tp t="s">
        <v>#N/A RIC Not Found</v>
        <stp/>
        <stp>_x000F_CCSGBPEUROI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4"/>
      </tp>
      <tp t="s">
        <v>#N/A RIC Not Found</v>
        <stp/>
        <stp>_x000F_CCSGBPEUROI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4"/>
      </tp>
      <tp t="s">
        <v>#N/A RIC Not Found</v>
        <stp/>
        <stp>_x000F_CCSGBPEUROI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4"/>
      </tp>
      <tp t="s">
        <v>#N/A RIC Not Found</v>
        <stp/>
        <stp>_x000F_CCSUSDEURSTD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9"/>
      </tp>
      <tp t="s">
        <v>#N/A RIC Not Found</v>
        <stp/>
        <stp>_x000F_CCSUSDEURSTD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9"/>
      </tp>
      <tp t="s">
        <v>#N/A RIC Not Found</v>
        <stp/>
        <stp>_x000F_CCSUSDEURSTD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9"/>
      </tp>
      <tp t="s">
        <v>#N/A RIC Not Found</v>
        <stp/>
        <stp>_x000F_CCSUSDEURSTD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9"/>
      </tp>
      <tp t="s">
        <v>#N/A RIC Not Found</v>
        <stp/>
        <stp>_x000F_CCSUSDEURSTD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9"/>
      </tp>
      <tp t="s">
        <v>#N/A RIC Not Found</v>
        <stp/>
        <stp>_x000F_CCSUSDEURSTD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9"/>
      </tp>
      <tp>
        <v>0.27999999999999997</v>
        <stp/>
        <stp>_x000B_USD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27"/>
        <tr r="AA3" s="29"/>
        <tr r="AA3" s="44"/>
        <tr r="AA3" s="47"/>
        <tr r="AA3" s="45"/>
        <tr r="AA3" s="46"/>
      </tp>
      <tp>
        <v>0.18</v>
        <stp/>
        <stp>_x000B_USD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27"/>
        <tr r="Z3" s="29"/>
        <tr r="Z3" s="44"/>
        <tr r="Z3" s="47"/>
        <tr r="Z3" s="46"/>
        <tr r="Z3" s="45"/>
      </tp>
      <tp>
        <v>0.65927896799999997</v>
        <stp/>
        <stp>_x000B_CCSGBPEUR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5"/>
      </tp>
      <tp>
        <v>0.85651895200000006</v>
        <stp/>
        <stp>_x000B_CCSGBPEUR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5"/>
      </tp>
      <tp t="s">
        <v>#N/A RIC Not Found</v>
        <stp/>
        <stp>_x000B_CCSGBPEUR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5"/>
      </tp>
      <tp>
        <v>0.78938300400000005</v>
        <stp/>
        <stp>_x000B_CCSGBPEUR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5"/>
      </tp>
      <tp>
        <v>0.81808259499999991</v>
        <stp/>
        <stp>_x000B_CCSGBPEUR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5"/>
      </tp>
      <tp>
        <v>0.71329705900000007</v>
        <stp/>
        <stp>_x000B_CCSGBPEUR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5"/>
      </tp>
      <tp>
        <v>0.63619127500000006</v>
        <stp/>
        <stp>_x000B_CCSGBPEUR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5"/>
      </tp>
      <tp>
        <v>0.72995458299999993</v>
        <stp/>
        <stp>_x000B_CCSGBPEUR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5"/>
      </tp>
      <tp>
        <v>0.63952644999999997</v>
        <stp/>
        <stp>_x000B_CCSGBPEUR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5"/>
      </tp>
      <tp>
        <v>0.67459601300000005</v>
        <stp/>
        <stp>_x000B_CCSGBPEUR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5"/>
      </tp>
      <tp t="s">
        <v>#N/A RIC Not Found</v>
        <stp/>
        <stp>_x000B_CCSGBPEUR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5"/>
      </tp>
      <tp>
        <v>0.94769862599999999</v>
        <stp/>
        <stp>_x000B_CCSGBPEUR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5"/>
      </tp>
      <tp>
        <v>0.65927896799999997</v>
        <stp/>
        <stp>_x000B_CCSGBPEUR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5"/>
      </tp>
      <tp t="s">
        <v>#N/A RIC Not Found</v>
        <stp/>
        <stp>_x000B_CCSGBPEUR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5"/>
      </tp>
      <tp>
        <v>0.94769862599999999</v>
        <stp/>
        <stp>_x000B_CCSGBPEUR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5"/>
      </tp>
      <tp>
        <v>0.78938300400000005</v>
        <stp/>
        <stp>_x000B_CCSGBPEUR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5"/>
      </tp>
      <tp>
        <v>0.81808259499999991</v>
        <stp/>
        <stp>_x000B_CCSGBPEUR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5"/>
      </tp>
      <tp>
        <v>0.85651895200000006</v>
        <stp/>
        <stp>_x000B_CCSGBPEUR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5"/>
      </tp>
      <tp t="s">
        <v>#N/A RIC Not Found</v>
        <stp/>
        <stp>_x000B_CCSGBPEUR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5"/>
      </tp>
      <tp>
        <v>0.67459601300000005</v>
        <stp/>
        <stp>_x000B_CCSGBPEUR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5"/>
      </tp>
      <tp>
        <v>0.71329705900000007</v>
        <stp/>
        <stp>_x000B_CCSGBPEUR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5"/>
      </tp>
      <tp>
        <v>0.63619127500000006</v>
        <stp/>
        <stp>_x000B_CCSGBPEUR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5"/>
      </tp>
      <tp>
        <v>0.72995458299999993</v>
        <stp/>
        <stp>_x000B_CCSGBPEUR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5"/>
      </tp>
      <tp>
        <v>0.63952644999999997</v>
        <stp/>
        <stp>_x000B_CCSGBPEUR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5"/>
      </tp>
      <tp>
        <v>25.25</v>
        <stp/>
        <stp>_x000D_GBPECB1Y=ICAP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6" s="42"/>
      </tp>
      <tp>
        <v>31.5</v>
        <stp/>
        <stp>_x000D_GBPECB3Y=ICAP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8" s="42"/>
      </tp>
      <tp>
        <v>29.75</v>
        <stp/>
        <stp>_x000D_GBPECB2Y=ICAP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7" s="42"/>
      </tp>
      <tp>
        <v>31.5</v>
        <stp/>
        <stp>_x000D_GBPECB5Y=ICAP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0" s="42"/>
      </tp>
      <tp>
        <v>32</v>
        <stp/>
        <stp>_x000D_GBPECB4Y=ICAP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9" s="42"/>
      </tp>
      <tp>
        <v>30</v>
        <stp/>
        <stp>_x000D_GBPECB7Y=ICAP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1" s="42"/>
      </tp>
      <tp>
        <v>23.75</v>
        <stp/>
        <stp>_x000D_GBPECB2Y=ICAP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7" s="42"/>
      </tp>
      <tp>
        <v>25.5</v>
        <stp/>
        <stp>_x000D_GBPECB3Y=ICAP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8" s="42"/>
      </tp>
      <tp>
        <v>19.25</v>
        <stp/>
        <stp>_x000D_GBPECB1Y=ICAP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6" s="42"/>
      </tp>
      <tp>
        <v>24</v>
        <stp/>
        <stp>_x000D_GBPECB7Y=ICAP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1" s="42"/>
      </tp>
      <tp>
        <v>26</v>
        <stp/>
        <stp>_x000D_GBPECB4Y=ICAP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9" s="42"/>
      </tp>
      <tp>
        <v>25.5</v>
        <stp/>
        <stp>_x000D_GBPECB5Y=ICAP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0" s="42"/>
      </tp>
      <tp t="s">
        <v>#N/A RIC Not Found</v>
        <stp/>
        <stp>_x0007_?????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7"/>
        <tr r="AA8" s="46"/>
      </tp>
      <tp t="s">
        <v>#N/A RIC Not Found</v>
        <stp/>
        <stp>_x0007_?????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6"/>
        <tr r="AA9" s="47"/>
      </tp>
      <tp t="s">
        <v>#N/A RIC Not Found</v>
        <stp/>
        <stp>_x0007_?????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6"/>
        <tr r="AA10" s="47"/>
      </tp>
      <tp t="s">
        <v>#N/A RIC Not Found</v>
        <stp/>
        <stp>_x0007_?????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7"/>
        <tr r="Z8" s="46"/>
      </tp>
      <tp t="s">
        <v>#N/A RIC Not Found</v>
        <stp/>
        <stp>_x0007_?????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7"/>
        <tr r="Z9" s="46"/>
      </tp>
      <tp t="s">
        <v>#N/A RIC Not Found</v>
        <stp/>
        <stp>_x0007_?????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7"/>
        <tr r="Z10" s="4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'USDBASIS(EURON)'!$AR$31:$AR$60</c:f>
              <c:numCache>
                <c:formatCode>General</c:formatCode>
                <c:ptCount val="30"/>
                <c:pt idx="0">
                  <c:v>-0.21152205497353879</c:v>
                </c:pt>
                <c:pt idx="1">
                  <c:v>-0.22682422769188162</c:v>
                </c:pt>
                <c:pt idx="2">
                  <c:v>-0.24249999999999999</c:v>
                </c:pt>
                <c:pt idx="3">
                  <c:v>-0.25817577230811839</c:v>
                </c:pt>
                <c:pt idx="4">
                  <c:v>-0.28803291856525293</c:v>
                </c:pt>
                <c:pt idx="5">
                  <c:v>-0.31340686974508097</c:v>
                </c:pt>
                <c:pt idx="6">
                  <c:v>-0.33875</c:v>
                </c:pt>
                <c:pt idx="7">
                  <c:v>-0.34089757492113565</c:v>
                </c:pt>
                <c:pt idx="8">
                  <c:v>-0.34246451104100945</c:v>
                </c:pt>
                <c:pt idx="9">
                  <c:v>-0.34342419164037857</c:v>
                </c:pt>
                <c:pt idx="10">
                  <c:v>-0.34375</c:v>
                </c:pt>
                <c:pt idx="11">
                  <c:v>-0.34279870277651342</c:v>
                </c:pt>
                <c:pt idx="12">
                  <c:v>-0.34004494765589438</c:v>
                </c:pt>
                <c:pt idx="13">
                  <c:v>-0.33563893946290396</c:v>
                </c:pt>
                <c:pt idx="14">
                  <c:v>-0.32973088302230313</c:v>
                </c:pt>
                <c:pt idx="15">
                  <c:v>-0.32247098315885298</c:v>
                </c:pt>
                <c:pt idx="16">
                  <c:v>-0.31400944469731451</c:v>
                </c:pt>
                <c:pt idx="17">
                  <c:v>-0.30449647246244882</c:v>
                </c:pt>
                <c:pt idx="18">
                  <c:v>-0.29408227127901687</c:v>
                </c:pt>
                <c:pt idx="19">
                  <c:v>-0.28291704597177969</c:v>
                </c:pt>
                <c:pt idx="20">
                  <c:v>-0.27115100136549841</c:v>
                </c:pt>
                <c:pt idx="21">
                  <c:v>-0.258934342284934</c:v>
                </c:pt>
                <c:pt idx="22">
                  <c:v>-0.24641727355484752</c:v>
                </c:pt>
                <c:pt idx="23">
                  <c:v>-0.23375000000000001</c:v>
                </c:pt>
                <c:pt idx="24">
                  <c:v>-0.22108272644515251</c:v>
                </c:pt>
                <c:pt idx="25">
                  <c:v>-0.20856565771506602</c:v>
                </c:pt>
                <c:pt idx="26">
                  <c:v>-0.19634899863450161</c:v>
                </c:pt>
                <c:pt idx="27">
                  <c:v>-0.18458295402822034</c:v>
                </c:pt>
                <c:pt idx="28">
                  <c:v>-0.17341772872098321</c:v>
                </c:pt>
                <c:pt idx="29">
                  <c:v>-0.16300352753755126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90784"/>
        <c:axId val="1450000768"/>
      </c:scatterChart>
      <c:valAx>
        <c:axId val="144999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0000768"/>
        <c:crosses val="autoZero"/>
        <c:crossBetween val="midCat"/>
      </c:valAx>
      <c:valAx>
        <c:axId val="145000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999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'USDBASIS(EURSTD)'!$AR$30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'USDBASIS(EURSTD)'!$AQ$31:$AQ$60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'USDBASIS(EURSTD)'!$AR$31:$AR$60</c:f>
              <c:numCache>
                <c:formatCode>General</c:formatCode>
                <c:ptCount val="30"/>
                <c:pt idx="0">
                  <c:v>-0.21152205497353879</c:v>
                </c:pt>
                <c:pt idx="1">
                  <c:v>-0.22682422769188162</c:v>
                </c:pt>
                <c:pt idx="2">
                  <c:v>-0.24249999999999999</c:v>
                </c:pt>
                <c:pt idx="3">
                  <c:v>-0.25817577230811839</c:v>
                </c:pt>
                <c:pt idx="4">
                  <c:v>-0.28803291856525293</c:v>
                </c:pt>
                <c:pt idx="5">
                  <c:v>-0.31340686974508097</c:v>
                </c:pt>
                <c:pt idx="6">
                  <c:v>-0.33875</c:v>
                </c:pt>
                <c:pt idx="7">
                  <c:v>-0.34089757492113565</c:v>
                </c:pt>
                <c:pt idx="8">
                  <c:v>-0.34246451104100945</c:v>
                </c:pt>
                <c:pt idx="9">
                  <c:v>-0.34342419164037857</c:v>
                </c:pt>
                <c:pt idx="10">
                  <c:v>-0.34375</c:v>
                </c:pt>
                <c:pt idx="11">
                  <c:v>-0.34279870277651342</c:v>
                </c:pt>
                <c:pt idx="12">
                  <c:v>-0.34004494765589438</c:v>
                </c:pt>
                <c:pt idx="13">
                  <c:v>-0.33563893946290396</c:v>
                </c:pt>
                <c:pt idx="14">
                  <c:v>-0.32973088302230313</c:v>
                </c:pt>
                <c:pt idx="15">
                  <c:v>-0.32247098315885298</c:v>
                </c:pt>
                <c:pt idx="16">
                  <c:v>-0.31400944469731451</c:v>
                </c:pt>
                <c:pt idx="17">
                  <c:v>-0.30449647246244882</c:v>
                </c:pt>
                <c:pt idx="18">
                  <c:v>-0.29408227127901687</c:v>
                </c:pt>
                <c:pt idx="19">
                  <c:v>-0.28291704597177969</c:v>
                </c:pt>
                <c:pt idx="20">
                  <c:v>-0.27115100136549841</c:v>
                </c:pt>
                <c:pt idx="21">
                  <c:v>-0.258934342284934</c:v>
                </c:pt>
                <c:pt idx="22">
                  <c:v>-0.24641727355484752</c:v>
                </c:pt>
                <c:pt idx="23">
                  <c:v>-0.23375000000000001</c:v>
                </c:pt>
                <c:pt idx="24">
                  <c:v>-0.22108272644515251</c:v>
                </c:pt>
                <c:pt idx="25">
                  <c:v>-0.20856565771506602</c:v>
                </c:pt>
                <c:pt idx="26">
                  <c:v>-0.19634899863450161</c:v>
                </c:pt>
                <c:pt idx="27">
                  <c:v>-0.18458295402822034</c:v>
                </c:pt>
                <c:pt idx="28">
                  <c:v>-0.17341772872098321</c:v>
                </c:pt>
                <c:pt idx="29">
                  <c:v>-0.16300352753755126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776960"/>
        <c:axId val="1466877440"/>
      </c:scatterChart>
      <c:valAx>
        <c:axId val="1466776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6877440"/>
        <c:crosses val="autoZero"/>
        <c:crossBetween val="midCat"/>
      </c:valAx>
      <c:valAx>
        <c:axId val="14668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677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'GBPBASIS(EURON,USD)'!$AR$30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'GBPBASIS(EURON,USD)'!$AQ$31:$AQ$60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'GBPBASIS(EURON,USD)'!$AR$31:$AR$60</c:f>
              <c:numCache>
                <c:formatCode>General</c:formatCode>
                <c:ptCount val="30"/>
                <c:pt idx="0">
                  <c:v>-4.1077503429355275E-2</c:v>
                </c:pt>
                <c:pt idx="1">
                  <c:v>-4.3038097019578496E-2</c:v>
                </c:pt>
                <c:pt idx="2">
                  <c:v>-4.4999999999999998E-2</c:v>
                </c:pt>
                <c:pt idx="3">
                  <c:v>-4.6961902980421501E-2</c:v>
                </c:pt>
                <c:pt idx="4">
                  <c:v>-5.088047138047138E-2</c:v>
                </c:pt>
                <c:pt idx="5">
                  <c:v>-5.4783327098141918E-2</c:v>
                </c:pt>
                <c:pt idx="6">
                  <c:v>-6.25E-2</c:v>
                </c:pt>
                <c:pt idx="7">
                  <c:v>-7.0307581411126183E-2</c:v>
                </c:pt>
                <c:pt idx="8">
                  <c:v>-7.8183853459972863E-2</c:v>
                </c:pt>
                <c:pt idx="9">
                  <c:v>-8.5718198778833105E-2</c:v>
                </c:pt>
                <c:pt idx="10">
                  <c:v>-9.2499999999999999E-2</c:v>
                </c:pt>
                <c:pt idx="11">
                  <c:v>-9.8669267454262591E-2</c:v>
                </c:pt>
                <c:pt idx="12">
                  <c:v>-0.10465021841180987</c:v>
                </c:pt>
                <c:pt idx="13">
                  <c:v>-0.11045854591403474</c:v>
                </c:pt>
                <c:pt idx="14">
                  <c:v>-0.11610994300233018</c:v>
                </c:pt>
                <c:pt idx="15">
                  <c:v>-0.12162010271808912</c:v>
                </c:pt>
                <c:pt idx="16">
                  <c:v>-0.1270047181027045</c:v>
                </c:pt>
                <c:pt idx="17">
                  <c:v>-0.1322794821975693</c:v>
                </c:pt>
                <c:pt idx="18">
                  <c:v>-0.13746008804407639</c:v>
                </c:pt>
                <c:pt idx="19">
                  <c:v>-0.14256222868361879</c:v>
                </c:pt>
                <c:pt idx="20">
                  <c:v>-0.14760159715758939</c:v>
                </c:pt>
                <c:pt idx="21">
                  <c:v>-0.15259388650738118</c:v>
                </c:pt>
                <c:pt idx="22">
                  <c:v>-0.15755478977438708</c:v>
                </c:pt>
                <c:pt idx="23">
                  <c:v>-0.16250000000000001</c:v>
                </c:pt>
                <c:pt idx="24">
                  <c:v>-0.16744521022561296</c:v>
                </c:pt>
                <c:pt idx="25">
                  <c:v>-0.17240611349261886</c:v>
                </c:pt>
                <c:pt idx="26">
                  <c:v>-0.17739840284241062</c:v>
                </c:pt>
                <c:pt idx="27">
                  <c:v>-0.18243777131638123</c:v>
                </c:pt>
                <c:pt idx="28">
                  <c:v>-0.18753991195592362</c:v>
                </c:pt>
                <c:pt idx="29">
                  <c:v>-0.19272051780243071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771712"/>
        <c:axId val="1466802176"/>
      </c:scatterChart>
      <c:valAx>
        <c:axId val="146677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6802176"/>
        <c:crosses val="autoZero"/>
        <c:crossBetween val="midCat"/>
      </c:valAx>
      <c:valAx>
        <c:axId val="146680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677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'GBPBASIS(EURSTD,USD)'!$AR$30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'GBPBASIS(EURSTD,USD)'!$AQ$31:$AQ$60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'GBPBASIS(EURSTD,USD)'!$AR$31:$AR$60</c:f>
              <c:numCache>
                <c:formatCode>General</c:formatCode>
                <c:ptCount val="30"/>
                <c:pt idx="0">
                  <c:v>-4.1077503429355275E-2</c:v>
                </c:pt>
                <c:pt idx="1">
                  <c:v>-4.3038097019578496E-2</c:v>
                </c:pt>
                <c:pt idx="2">
                  <c:v>-4.4999999999999998E-2</c:v>
                </c:pt>
                <c:pt idx="3">
                  <c:v>-4.6961902980421501E-2</c:v>
                </c:pt>
                <c:pt idx="4">
                  <c:v>-5.088047138047138E-2</c:v>
                </c:pt>
                <c:pt idx="5">
                  <c:v>-5.4783327098141918E-2</c:v>
                </c:pt>
                <c:pt idx="6">
                  <c:v>-6.25E-2</c:v>
                </c:pt>
                <c:pt idx="7">
                  <c:v>-7.0307581411126183E-2</c:v>
                </c:pt>
                <c:pt idx="8">
                  <c:v>-7.8183853459972863E-2</c:v>
                </c:pt>
                <c:pt idx="9">
                  <c:v>-8.5718198778833105E-2</c:v>
                </c:pt>
                <c:pt idx="10">
                  <c:v>-9.2499999999999999E-2</c:v>
                </c:pt>
                <c:pt idx="11">
                  <c:v>-9.8669267454262591E-2</c:v>
                </c:pt>
                <c:pt idx="12">
                  <c:v>-0.10465021841180987</c:v>
                </c:pt>
                <c:pt idx="13">
                  <c:v>-0.11045854591403474</c:v>
                </c:pt>
                <c:pt idx="14">
                  <c:v>-0.11610994300233018</c:v>
                </c:pt>
                <c:pt idx="15">
                  <c:v>-0.12162010271808912</c:v>
                </c:pt>
                <c:pt idx="16">
                  <c:v>-0.1270047181027045</c:v>
                </c:pt>
                <c:pt idx="17">
                  <c:v>-0.1322794821975693</c:v>
                </c:pt>
                <c:pt idx="18">
                  <c:v>-0.13746008804407639</c:v>
                </c:pt>
                <c:pt idx="19">
                  <c:v>-0.14256222868361879</c:v>
                </c:pt>
                <c:pt idx="20">
                  <c:v>-0.14760159715758939</c:v>
                </c:pt>
                <c:pt idx="21">
                  <c:v>-0.15259388650738118</c:v>
                </c:pt>
                <c:pt idx="22">
                  <c:v>-0.15755478977438708</c:v>
                </c:pt>
                <c:pt idx="23">
                  <c:v>-0.16250000000000001</c:v>
                </c:pt>
                <c:pt idx="24">
                  <c:v>-0.16744521022561296</c:v>
                </c:pt>
                <c:pt idx="25">
                  <c:v>-0.17240611349261886</c:v>
                </c:pt>
                <c:pt idx="26">
                  <c:v>-0.17739840284241062</c:v>
                </c:pt>
                <c:pt idx="27">
                  <c:v>-0.18243777131638123</c:v>
                </c:pt>
                <c:pt idx="28">
                  <c:v>-0.18753991195592362</c:v>
                </c:pt>
                <c:pt idx="29">
                  <c:v>-0.19272051780243071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840960"/>
        <c:axId val="1464842496"/>
      </c:scatterChart>
      <c:valAx>
        <c:axId val="146484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4842496"/>
        <c:crosses val="autoZero"/>
        <c:crossBetween val="midCat"/>
      </c:valAx>
      <c:valAx>
        <c:axId val="146484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48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'EURBASIS(USDON)'!$AR$30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'EURBASIS(USDON)'!$AQ$31:$AQ$60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'EURBASIS(USDON)'!$AR$31:$AR$60</c:f>
              <c:numCache>
                <c:formatCode>General</c:formatCode>
                <c:ptCount val="30"/>
                <c:pt idx="0">
                  <c:v>-0.21152205497353879</c:v>
                </c:pt>
                <c:pt idx="1">
                  <c:v>-0.22682422769188162</c:v>
                </c:pt>
                <c:pt idx="2">
                  <c:v>-0.24249999999999999</c:v>
                </c:pt>
                <c:pt idx="3">
                  <c:v>-0.25817577230811839</c:v>
                </c:pt>
                <c:pt idx="4">
                  <c:v>-0.28803291856525293</c:v>
                </c:pt>
                <c:pt idx="5">
                  <c:v>-0.31340686974508097</c:v>
                </c:pt>
                <c:pt idx="6">
                  <c:v>-0.33875</c:v>
                </c:pt>
                <c:pt idx="7">
                  <c:v>-0.34089757492113565</c:v>
                </c:pt>
                <c:pt idx="8">
                  <c:v>-0.34246451104100945</c:v>
                </c:pt>
                <c:pt idx="9">
                  <c:v>-0.34342419164037857</c:v>
                </c:pt>
                <c:pt idx="10">
                  <c:v>-0.34375</c:v>
                </c:pt>
                <c:pt idx="11">
                  <c:v>-0.34279870277651342</c:v>
                </c:pt>
                <c:pt idx="12">
                  <c:v>-0.34004494765589438</c:v>
                </c:pt>
                <c:pt idx="13">
                  <c:v>-0.33563893946290396</c:v>
                </c:pt>
                <c:pt idx="14">
                  <c:v>-0.32973088302230313</c:v>
                </c:pt>
                <c:pt idx="15">
                  <c:v>-0.32247098315885298</c:v>
                </c:pt>
                <c:pt idx="16">
                  <c:v>-0.31400944469731451</c:v>
                </c:pt>
                <c:pt idx="17">
                  <c:v>-0.30449647246244882</c:v>
                </c:pt>
                <c:pt idx="18">
                  <c:v>-0.29408227127901687</c:v>
                </c:pt>
                <c:pt idx="19">
                  <c:v>-0.28291704597177969</c:v>
                </c:pt>
                <c:pt idx="20">
                  <c:v>-0.27115100136549841</c:v>
                </c:pt>
                <c:pt idx="21">
                  <c:v>-0.258934342284934</c:v>
                </c:pt>
                <c:pt idx="22">
                  <c:v>-0.24641727355484752</c:v>
                </c:pt>
                <c:pt idx="23">
                  <c:v>-0.23375000000000001</c:v>
                </c:pt>
                <c:pt idx="24">
                  <c:v>-0.22108272644515251</c:v>
                </c:pt>
                <c:pt idx="25">
                  <c:v>-0.20856565771506602</c:v>
                </c:pt>
                <c:pt idx="26">
                  <c:v>-0.19634899863450161</c:v>
                </c:pt>
                <c:pt idx="27">
                  <c:v>-0.18458295402822034</c:v>
                </c:pt>
                <c:pt idx="28">
                  <c:v>-0.17341772872098321</c:v>
                </c:pt>
                <c:pt idx="29">
                  <c:v>-0.16300352753755126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249408"/>
        <c:axId val="1471263488"/>
      </c:scatterChart>
      <c:valAx>
        <c:axId val="147124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1263488"/>
        <c:crosses val="autoZero"/>
        <c:crossBetween val="midCat"/>
      </c:valAx>
      <c:valAx>
        <c:axId val="14712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124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'GBPBASIS(USDON)'!$AR$30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'GBPBASIS(USDON)'!$AQ$31:$AQ$60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'GBPBASIS(USDON)'!$AR$31:$AR$60</c:f>
              <c:numCache>
                <c:formatCode>General</c:formatCode>
                <c:ptCount val="30"/>
                <c:pt idx="0">
                  <c:v>-4.1077503429355275E-2</c:v>
                </c:pt>
                <c:pt idx="1">
                  <c:v>-4.3038097019578496E-2</c:v>
                </c:pt>
                <c:pt idx="2">
                  <c:v>-4.4999999999999998E-2</c:v>
                </c:pt>
                <c:pt idx="3">
                  <c:v>-4.6961902980421501E-2</c:v>
                </c:pt>
                <c:pt idx="4">
                  <c:v>-5.088047138047138E-2</c:v>
                </c:pt>
                <c:pt idx="5">
                  <c:v>-5.4783327098141918E-2</c:v>
                </c:pt>
                <c:pt idx="6">
                  <c:v>-6.25E-2</c:v>
                </c:pt>
                <c:pt idx="7">
                  <c:v>-7.0307581411126183E-2</c:v>
                </c:pt>
                <c:pt idx="8">
                  <c:v>-7.8183853459972863E-2</c:v>
                </c:pt>
                <c:pt idx="9">
                  <c:v>-8.5718198778833105E-2</c:v>
                </c:pt>
                <c:pt idx="10">
                  <c:v>-9.2499999999999999E-2</c:v>
                </c:pt>
                <c:pt idx="11">
                  <c:v>-9.8669267454262591E-2</c:v>
                </c:pt>
                <c:pt idx="12">
                  <c:v>-0.10465021841180987</c:v>
                </c:pt>
                <c:pt idx="13">
                  <c:v>-0.11045854591403474</c:v>
                </c:pt>
                <c:pt idx="14">
                  <c:v>-0.11610994300233018</c:v>
                </c:pt>
                <c:pt idx="15">
                  <c:v>-0.12162010271808912</c:v>
                </c:pt>
                <c:pt idx="16">
                  <c:v>-0.1270047181027045</c:v>
                </c:pt>
                <c:pt idx="17">
                  <c:v>-0.1322794821975693</c:v>
                </c:pt>
                <c:pt idx="18">
                  <c:v>-0.13746008804407639</c:v>
                </c:pt>
                <c:pt idx="19">
                  <c:v>-0.14256222868361879</c:v>
                </c:pt>
                <c:pt idx="20">
                  <c:v>-0.14760159715758939</c:v>
                </c:pt>
                <c:pt idx="21">
                  <c:v>-0.15259388650738118</c:v>
                </c:pt>
                <c:pt idx="22">
                  <c:v>-0.15755478977438708</c:v>
                </c:pt>
                <c:pt idx="23">
                  <c:v>-0.16250000000000001</c:v>
                </c:pt>
                <c:pt idx="24">
                  <c:v>-0.16744521022561296</c:v>
                </c:pt>
                <c:pt idx="25">
                  <c:v>-0.17240611349261886</c:v>
                </c:pt>
                <c:pt idx="26">
                  <c:v>-0.17739840284241062</c:v>
                </c:pt>
                <c:pt idx="27">
                  <c:v>-0.18243777131638123</c:v>
                </c:pt>
                <c:pt idx="28">
                  <c:v>-0.18753991195592362</c:v>
                </c:pt>
                <c:pt idx="29">
                  <c:v>-0.19272051780243071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686848"/>
        <c:axId val="1292688384"/>
      </c:scatterChart>
      <c:valAx>
        <c:axId val="129268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2688384"/>
        <c:crosses val="autoZero"/>
        <c:crossBetween val="midCat"/>
      </c:valAx>
      <c:valAx>
        <c:axId val="12926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268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19050</xdr:colOff>
          <xdr:row>13</xdr:row>
          <xdr:rowOff>9525</xdr:rowOff>
        </xdr:to>
        <xdr:sp macro="" textlink="">
          <xdr:nvSpPr>
            <xdr:cNvPr id="59395" name="btnRunAll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19050</xdr:colOff>
          <xdr:row>15</xdr:row>
          <xdr:rowOff>9525</xdr:rowOff>
        </xdr:to>
        <xdr:sp macro="" textlink="">
          <xdr:nvSpPr>
            <xdr:cNvPr id="59396" name="btnFreezeAll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16</xdr:row>
          <xdr:rowOff>114300</xdr:rowOff>
        </xdr:from>
        <xdr:to>
          <xdr:col>2</xdr:col>
          <xdr:colOff>0</xdr:colOff>
          <xdr:row>18</xdr:row>
          <xdr:rowOff>76200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18</xdr:row>
          <xdr:rowOff>76200</xdr:rowOff>
        </xdr:from>
        <xdr:to>
          <xdr:col>2</xdr:col>
          <xdr:colOff>0</xdr:colOff>
          <xdr:row>20</xdr:row>
          <xdr:rowOff>47625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MI_Workbooks/Production/IMI_Workbooks/RT_Swap/CurveCCS/CCSbreve_OI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EUR (USD_STD)"/>
      <sheetName val="USD (EUR_OIS)"/>
      <sheetName val="USD (EUR_STD)"/>
      <sheetName val="GBP (EUR_OIS)"/>
      <sheetName val="GBP (EUR_STD)"/>
      <sheetName val="GBP (USD_STD)"/>
      <sheetName val="SEK (EUR_OIS)"/>
      <sheetName val="SEK (EUR_STD)"/>
      <sheetName val="CHF (USD_BASIS)"/>
      <sheetName val="JPY (USD_BASIS_OIS)"/>
      <sheetName val="JPY (USD_BASIS)"/>
      <sheetName val="JPY (USD_OIS)"/>
      <sheetName val="HKD (USD_BASIS_OIS)"/>
      <sheetName val="HKD (USD_BASIS)"/>
      <sheetName val="HKD (USD_OIS)"/>
      <sheetName val="CNH (USD_BASIS_OIS)"/>
      <sheetName val="CNH (USD_BASIS)"/>
      <sheetName val="CNH (USD_OIS)"/>
      <sheetName val="AUD (USD_BASIS_OIS)"/>
      <sheetName val="AUD (USD_BASIS)"/>
      <sheetName val="BRL (USD_STD)"/>
      <sheetName val="SEK"/>
      <sheetName val="NOK"/>
      <sheetName val="Triggers"/>
      <sheetName val="EUR_STD"/>
      <sheetName val="EUR_OIS"/>
      <sheetName val="USD_STD"/>
      <sheetName val="USD_OIS"/>
      <sheetName val="VersionInfo"/>
    </sheetNames>
    <sheetDataSet>
      <sheetData sheetId="0">
        <row r="2">
          <cell r="C2">
            <v>42110</v>
          </cell>
          <cell r="F2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3">
          <cell r="B3" t="str">
            <v>EUR_STD</v>
          </cell>
          <cell r="D3" t="str">
            <v>EUR_STD</v>
          </cell>
        </row>
        <row r="4">
          <cell r="B4" t="str">
            <v>EUR_OIS</v>
          </cell>
          <cell r="D4" t="str">
            <v>EUR_OIS</v>
          </cell>
        </row>
        <row r="5">
          <cell r="B5" t="str">
            <v>USD_STD</v>
          </cell>
          <cell r="D5" t="str">
            <v>USD_STD</v>
          </cell>
        </row>
        <row r="6">
          <cell r="B6" t="str">
            <v>USD_OIS</v>
          </cell>
          <cell r="D6" t="str">
            <v>USD_OIS</v>
          </cell>
        </row>
        <row r="7">
          <cell r="B7" t="str">
            <v>USD_BASIS_OIS</v>
          </cell>
          <cell r="D7" t="str">
            <v>USD_BASIS_OIS</v>
          </cell>
        </row>
        <row r="8">
          <cell r="B8" t="str">
            <v>USD_BASIS</v>
          </cell>
          <cell r="D8" t="str">
            <v>USD_BASIS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15"/>
  <sheetViews>
    <sheetView showGridLines="0" workbookViewId="0">
      <selection activeCell="D7" sqref="D7"/>
    </sheetView>
  </sheetViews>
  <sheetFormatPr defaultRowHeight="11.25" x14ac:dyDescent="0.2"/>
  <cols>
    <col min="1" max="2" width="3.83203125" customWidth="1"/>
    <col min="3" max="4" width="21.83203125" customWidth="1"/>
    <col min="5" max="5" width="3.83203125" customWidth="1"/>
  </cols>
  <sheetData>
    <row r="2" spans="2:5" x14ac:dyDescent="0.2">
      <c r="B2" s="433" t="s">
        <v>0</v>
      </c>
      <c r="C2" s="434"/>
      <c r="D2" s="434"/>
      <c r="E2" s="435"/>
    </row>
    <row r="3" spans="2:5" x14ac:dyDescent="0.2">
      <c r="B3" s="1"/>
      <c r="C3" s="2"/>
      <c r="D3" s="2"/>
      <c r="E3" s="3"/>
    </row>
    <row r="4" spans="2:5" x14ac:dyDescent="0.2">
      <c r="B4" s="4"/>
      <c r="C4" s="54" t="s">
        <v>1</v>
      </c>
      <c r="D4" s="5"/>
      <c r="E4" s="6"/>
    </row>
    <row r="5" spans="2:5" x14ac:dyDescent="0.2">
      <c r="B5" s="4"/>
      <c r="C5" s="55" t="s">
        <v>2</v>
      </c>
      <c r="D5" s="7">
        <f>IF(ISBLANK(D7),D6,D7)+0*TYPE(ManualTrigger)</f>
        <v>42123</v>
      </c>
      <c r="E5" s="6"/>
    </row>
    <row r="6" spans="2:5" x14ac:dyDescent="0.2">
      <c r="B6" s="4"/>
      <c r="C6" s="55" t="s">
        <v>147</v>
      </c>
      <c r="D6" s="7">
        <f>_xll.qlSettingsEvaluationDate(ManualTrigger)</f>
        <v>42123</v>
      </c>
      <c r="E6" s="6"/>
    </row>
    <row r="7" spans="2:5" x14ac:dyDescent="0.2">
      <c r="B7" s="4"/>
      <c r="C7" s="55" t="s">
        <v>146</v>
      </c>
      <c r="D7" s="57"/>
      <c r="E7" s="6"/>
    </row>
    <row r="8" spans="2:5" x14ac:dyDescent="0.2">
      <c r="B8" s="4"/>
      <c r="C8" s="55" t="s">
        <v>140</v>
      </c>
      <c r="D8" s="31">
        <f>_xll.RtNow("frq:"&amp;E8&amp;"s")</f>
        <v>0.7800462962986785</v>
      </c>
      <c r="E8" s="53">
        <v>45</v>
      </c>
    </row>
    <row r="9" spans="2:5" x14ac:dyDescent="0.2">
      <c r="B9" s="4"/>
      <c r="C9" s="56" t="s">
        <v>3</v>
      </c>
      <c r="D9" s="30">
        <f>_xll.ohTrigger(EvaluationDate,TYPE(ManualTrigger))</f>
        <v>5</v>
      </c>
      <c r="E9" s="6"/>
    </row>
    <row r="10" spans="2:5" x14ac:dyDescent="0.2">
      <c r="B10" s="8"/>
      <c r="C10" s="9"/>
      <c r="D10" s="9"/>
      <c r="E10" s="10"/>
    </row>
    <row r="15" spans="2:5" x14ac:dyDescent="0.2">
      <c r="C15" s="292" t="b">
        <v>0</v>
      </c>
    </row>
  </sheetData>
  <dataConsolidate/>
  <mergeCells count="1">
    <mergeCell ref="B2:E2"/>
  </mergeCells>
  <conditionalFormatting sqref="D6">
    <cfRule type="expression" dxfId="77" priority="2">
      <formula>NOT(ISBLANK($D$7))</formula>
    </cfRule>
  </conditionalFormatting>
  <conditionalFormatting sqref="D7">
    <cfRule type="expression" dxfId="76" priority="1">
      <formula>ISBLANK($D$7)</formula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59396" r:id="rId4" name="btnFreezeAll">
          <controlPr defaultSize="0" autoLine="0" r:id="rId5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59396" r:id="rId4" name="btnFreezeAll"/>
      </mc:Fallback>
    </mc:AlternateContent>
    <mc:AlternateContent xmlns:mc="http://schemas.openxmlformats.org/markup-compatibility/2006">
      <mc:Choice Requires="x14">
        <control shapeId="59395" r:id="rId6" name="btnRunAll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59395" r:id="rId6" name="btnRun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B2:AA93"/>
  <sheetViews>
    <sheetView showGridLines="0" workbookViewId="0">
      <selection activeCell="D7" sqref="D7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6.16406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36" t="s">
        <v>141</v>
      </c>
      <c r="E2" s="437"/>
      <c r="F2" s="436" t="s">
        <v>75</v>
      </c>
      <c r="G2" s="437"/>
      <c r="H2" s="436" t="s">
        <v>142</v>
      </c>
      <c r="I2" s="437"/>
      <c r="M2" s="436" t="s">
        <v>141</v>
      </c>
      <c r="N2" s="437"/>
      <c r="O2" s="436" t="s">
        <v>75</v>
      </c>
      <c r="P2" s="437"/>
      <c r="Q2" s="436" t="s">
        <v>142</v>
      </c>
      <c r="R2" s="437"/>
      <c r="V2" s="436" t="s">
        <v>141</v>
      </c>
      <c r="W2" s="437"/>
      <c r="X2" s="436" t="s">
        <v>75</v>
      </c>
      <c r="Y2" s="437"/>
      <c r="Z2" s="436" t="s">
        <v>142</v>
      </c>
      <c r="AA2" s="43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137</v>
      </c>
      <c r="D4" s="29">
        <f t="array" ref="D4:D93">CHOOSE(C7,_xll.qlPiecewiseYieldCurveDates(C5),_xll.qlInterpolatedYieldCurveDates(C5))</f>
        <v>42123</v>
      </c>
      <c r="E4" s="34">
        <f>_xll.qlYieldTSDiscount(C$4,D4,,Triggers!RTDataTrigger)</f>
        <v>1</v>
      </c>
      <c r="F4" s="43"/>
      <c r="G4" s="32"/>
      <c r="H4" s="47">
        <f>IF(ISBLANK(F4),D4,F4)</f>
        <v>42123</v>
      </c>
      <c r="I4" s="48">
        <f t="shared" ref="I4:I67" si="0">IF(ISBLANK(G4),E4,G4)</f>
        <v>1</v>
      </c>
      <c r="J4" s="65"/>
      <c r="K4" s="36" t="s">
        <v>10</v>
      </c>
      <c r="L4" s="40" t="s">
        <v>136</v>
      </c>
      <c r="M4" s="29">
        <f t="array" ref="M4:M93">CHOOSE(L7,_xll.qlPiecewiseYieldCurveDates(L5),_xll.qlInterpolatedYieldCurveDates(L5))</f>
        <v>42128</v>
      </c>
      <c r="N4" s="34">
        <f>_xll.qlYieldTSDiscount(L$4,M4,,Triggers!RTDataTrigger)</f>
        <v>1</v>
      </c>
      <c r="O4" s="43"/>
      <c r="P4" s="32"/>
      <c r="Q4" s="47">
        <f>IF(ISBLANK(O4),M4,O4)</f>
        <v>42128</v>
      </c>
      <c r="R4" s="48">
        <f t="shared" ref="R4:R67" si="1">IF(ISBLANK(P4),N4,P4)</f>
        <v>1</v>
      </c>
      <c r="T4" s="36" t="s">
        <v>10</v>
      </c>
      <c r="U4" s="40" t="s">
        <v>135</v>
      </c>
      <c r="V4" s="29">
        <f t="array" ref="V4:V93">CHOOSE(U7,_xll.qlPiecewiseYieldCurveDates(U5),_xll.qlInterpolatedYieldCurveDates(U5))</f>
        <v>42123</v>
      </c>
      <c r="W4" s="34">
        <f>_xll.qlYieldTSDiscount(U$4,V4,,Triggers!RTDataTrigger)</f>
        <v>1</v>
      </c>
      <c r="X4" s="43"/>
      <c r="Y4" s="32"/>
      <c r="Z4" s="47">
        <f>IF(ISBLANK(X4),V4,X4)</f>
        <v>42123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_EURYCON</v>
      </c>
      <c r="D5" s="11">
        <v>42124</v>
      </c>
      <c r="E5" s="35">
        <f>_xll.qlYieldTSDiscount(C$4,D5,,Triggers!RTDataTrigger)</f>
        <v>1.0000027777854938</v>
      </c>
      <c r="F5" s="44"/>
      <c r="G5" s="33"/>
      <c r="H5" s="49">
        <f t="shared" ref="H5:I68" si="3">IF(ISBLANK(F5),D5,F5)</f>
        <v>42124</v>
      </c>
      <c r="I5" s="50">
        <f t="shared" si="0"/>
        <v>1.0000027777854938</v>
      </c>
      <c r="J5" s="65"/>
      <c r="K5" s="37" t="s">
        <v>16</v>
      </c>
      <c r="L5" s="23" t="str">
        <f>_xll.qlHandleCurrentLink(L4,ObjectsTrigger)</f>
        <v>_EURYC3M</v>
      </c>
      <c r="M5" s="11">
        <v>42159</v>
      </c>
      <c r="N5" s="35">
        <f>_xll.qlYieldTSDiscount(L$4,M5,,Triggers!RTDataTrigger)</f>
        <v>0.99999776111614014</v>
      </c>
      <c r="O5" s="44"/>
      <c r="P5" s="33"/>
      <c r="Q5" s="49">
        <f t="shared" ref="Q5:R68" si="4">IF(ISBLANK(O5),M5,O5)</f>
        <v>42159</v>
      </c>
      <c r="R5" s="50">
        <f t="shared" si="1"/>
        <v>0.99999776111614014</v>
      </c>
      <c r="T5" s="37" t="s">
        <v>16</v>
      </c>
      <c r="U5" s="23" t="str">
        <f>_xll.qlHandleCurrentLink(U4,ObjectsTrigger)</f>
        <v>_EURYCSTD</v>
      </c>
      <c r="V5" s="11">
        <v>42124</v>
      </c>
      <c r="W5" s="35">
        <f>_xll.qlYieldTSDiscount(U$4,V5,,Triggers!RTDataTrigger)</f>
        <v>1.0000027777854938</v>
      </c>
      <c r="X5" s="44"/>
      <c r="Y5" s="33"/>
      <c r="Z5" s="49">
        <f t="shared" ref="Z5:AA68" si="5">IF(ISBLANK(X5),V5,X5)</f>
        <v>42124</v>
      </c>
      <c r="AA5" s="50">
        <f t="shared" si="2"/>
        <v>1.0000027777854938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42128</v>
      </c>
      <c r="E6" s="35">
        <f>_xll.qlYieldTSDiscount(C$4,D6,,Triggers!RTDataTrigger)</f>
        <v>0.99999944445401223</v>
      </c>
      <c r="F6" s="44"/>
      <c r="G6" s="33"/>
      <c r="H6" s="49">
        <f t="shared" si="3"/>
        <v>42128</v>
      </c>
      <c r="I6" s="50">
        <f t="shared" si="0"/>
        <v>0.99999944445401223</v>
      </c>
      <c r="J6" s="65"/>
      <c r="K6" s="37" t="s">
        <v>133</v>
      </c>
      <c r="L6" s="27" t="str">
        <f>_xll.ohObjectClassName(L5)</f>
        <v>qlPiecewiseYieldCurve</v>
      </c>
      <c r="M6" s="11">
        <v>42191</v>
      </c>
      <c r="N6" s="35">
        <f>_xll.qlYieldTSDiscount(L$4,M6,,Triggers!RTDataTrigger)</f>
        <v>1.0000068250465837</v>
      </c>
      <c r="O6" s="44"/>
      <c r="P6" s="33"/>
      <c r="Q6" s="49">
        <f t="shared" si="4"/>
        <v>42191</v>
      </c>
      <c r="R6" s="50">
        <f t="shared" si="1"/>
        <v>1.0000068250465837</v>
      </c>
      <c r="T6" s="37" t="s">
        <v>133</v>
      </c>
      <c r="U6" s="27" t="str">
        <f>_xll.ohObjectClassName(U5)</f>
        <v>qlPiecewiseYieldCurve</v>
      </c>
      <c r="V6" s="11">
        <v>42128</v>
      </c>
      <c r="W6" s="35">
        <f>_xll.qlYieldTSDiscount(U$4,V6,,Triggers!RTDataTrigger)</f>
        <v>0.99999944445401268</v>
      </c>
      <c r="X6" s="44"/>
      <c r="Y6" s="33"/>
      <c r="Z6" s="49">
        <f t="shared" si="5"/>
        <v>42128</v>
      </c>
      <c r="AA6" s="50">
        <f t="shared" si="2"/>
        <v>0.99999944445401268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42129</v>
      </c>
      <c r="E7" s="35">
        <f>_xll.qlYieldTSDiscount(C$4,D7,,Triggers!RTDataTrigger)</f>
        <v>1.0000022222385347</v>
      </c>
      <c r="F7" s="44"/>
      <c r="G7" s="33"/>
      <c r="H7" s="49">
        <f t="shared" si="3"/>
        <v>42129</v>
      </c>
      <c r="I7" s="50">
        <f t="shared" si="0"/>
        <v>1.0000022222385347</v>
      </c>
      <c r="J7" s="65"/>
      <c r="K7" s="38" t="s">
        <v>134</v>
      </c>
      <c r="L7" s="26">
        <f>MATCH(L6,{"qlPiecewiseYieldCurve","qlInterpolatedYieldCurve"})</f>
        <v>1</v>
      </c>
      <c r="M7" s="11">
        <v>42220</v>
      </c>
      <c r="N7" s="35">
        <f>_xll.qlYieldTSDiscount(L$4,M7,,Triggers!RTDataTrigger)</f>
        <v>1.0000127779410515</v>
      </c>
      <c r="O7" s="44"/>
      <c r="P7" s="33"/>
      <c r="Q7" s="49">
        <f t="shared" si="4"/>
        <v>42220</v>
      </c>
      <c r="R7" s="50">
        <f t="shared" si="1"/>
        <v>1.0000127779410515</v>
      </c>
      <c r="T7" s="38" t="s">
        <v>134</v>
      </c>
      <c r="U7" s="26">
        <f>MATCH(U6,{"qlPiecewiseYieldCurve","qlInterpolatedYieldCurve"})</f>
        <v>1</v>
      </c>
      <c r="V7" s="11">
        <v>42129</v>
      </c>
      <c r="W7" s="35">
        <f>_xll.qlYieldTSDiscount(U$4,V7,,Triggers!RTDataTrigger)</f>
        <v>1.0000022222379632</v>
      </c>
      <c r="X7" s="44"/>
      <c r="Y7" s="33"/>
      <c r="Z7" s="49">
        <f t="shared" si="5"/>
        <v>42129</v>
      </c>
      <c r="AA7" s="50">
        <f t="shared" si="2"/>
        <v>1.0000022222379632</v>
      </c>
    </row>
    <row r="8" spans="2:27" x14ac:dyDescent="0.2">
      <c r="B8" s="36" t="s">
        <v>4</v>
      </c>
      <c r="C8" s="40" t="s">
        <v>100</v>
      </c>
      <c r="D8" s="11">
        <v>42135</v>
      </c>
      <c r="E8" s="35">
        <f>_xll.qlYieldTSDiscount(C$4,D8,,Triggers!RTDataTrigger)</f>
        <v>1.0000163613974591</v>
      </c>
      <c r="F8" s="44"/>
      <c r="G8" s="33"/>
      <c r="H8" s="49">
        <f t="shared" si="3"/>
        <v>42135</v>
      </c>
      <c r="I8" s="50">
        <f t="shared" si="0"/>
        <v>1.0000163613974591</v>
      </c>
      <c r="J8" s="65"/>
      <c r="K8" s="36" t="s">
        <v>4</v>
      </c>
      <c r="L8" s="40" t="s">
        <v>100</v>
      </c>
      <c r="M8" s="11">
        <v>42264</v>
      </c>
      <c r="N8" s="35">
        <f>_xll.qlYieldTSDiscount(L$4,M8,,Triggers!RTDataTrigger)</f>
        <v>1.0000198734627468</v>
      </c>
      <c r="O8" s="44"/>
      <c r="P8" s="33"/>
      <c r="Q8" s="49">
        <f t="shared" si="4"/>
        <v>42264</v>
      </c>
      <c r="R8" s="50">
        <f t="shared" si="1"/>
        <v>1.0000198734627468</v>
      </c>
      <c r="T8" s="36" t="s">
        <v>4</v>
      </c>
      <c r="U8" s="40" t="s">
        <v>100</v>
      </c>
      <c r="V8" s="11">
        <v>42135</v>
      </c>
      <c r="W8" s="35">
        <f>_xll.qlYieldTSDiscount(U$4,V8,,Triggers!RTDataTrigger)</f>
        <v>1.0000150002429056</v>
      </c>
      <c r="X8" s="44"/>
      <c r="Y8" s="33"/>
      <c r="Z8" s="49">
        <f t="shared" si="5"/>
        <v>42135</v>
      </c>
      <c r="AA8" s="50">
        <f t="shared" si="2"/>
        <v>1.0000150002429056</v>
      </c>
    </row>
    <row r="9" spans="2:27" x14ac:dyDescent="0.2">
      <c r="B9" s="37" t="s">
        <v>5</v>
      </c>
      <c r="C9" s="41" t="str">
        <f>C4&amp;"_"</f>
        <v>EURON_</v>
      </c>
      <c r="D9" s="11">
        <v>42142</v>
      </c>
      <c r="E9" s="35">
        <f>_xll.qlYieldTSDiscount(C$4,D9,,Triggers!RTDataTrigger)</f>
        <v>1.0000344456596102</v>
      </c>
      <c r="F9" s="44"/>
      <c r="G9" s="33"/>
      <c r="H9" s="49">
        <f t="shared" si="3"/>
        <v>42142</v>
      </c>
      <c r="I9" s="50">
        <f t="shared" si="0"/>
        <v>1.0000344456596102</v>
      </c>
      <c r="J9" s="65"/>
      <c r="K9" s="37" t="s">
        <v>5</v>
      </c>
      <c r="L9" s="41" t="str">
        <f>L4&amp;"_"</f>
        <v>EUR3M_</v>
      </c>
      <c r="M9" s="11">
        <v>42354</v>
      </c>
      <c r="N9" s="35">
        <f>_xll.qlYieldTSDiscount(L$4,M9,,Triggers!RTDataTrigger)</f>
        <v>1.0000260630666948</v>
      </c>
      <c r="O9" s="44"/>
      <c r="P9" s="33"/>
      <c r="Q9" s="49">
        <f t="shared" si="4"/>
        <v>42354</v>
      </c>
      <c r="R9" s="50">
        <f t="shared" si="1"/>
        <v>1.0000260630666948</v>
      </c>
      <c r="T9" s="37" t="s">
        <v>5</v>
      </c>
      <c r="U9" s="41" t="str">
        <f>U4&amp;"_"</f>
        <v>EURSTD_</v>
      </c>
      <c r="V9" s="11">
        <v>42142</v>
      </c>
      <c r="W9" s="35">
        <f>_xll.qlYieldTSDiscount(U$4,V9,,Triggers!RTDataTrigger)</f>
        <v>1.0000266674021809</v>
      </c>
      <c r="X9" s="44"/>
      <c r="Y9" s="33"/>
      <c r="Z9" s="49">
        <f t="shared" si="5"/>
        <v>42142</v>
      </c>
      <c r="AA9" s="50">
        <f t="shared" si="2"/>
        <v>1.0000266674021809</v>
      </c>
    </row>
    <row r="10" spans="2:27" x14ac:dyDescent="0.2">
      <c r="B10" s="37" t="s">
        <v>6</v>
      </c>
      <c r="C10" s="41" t="s">
        <v>11</v>
      </c>
      <c r="D10" s="11">
        <v>42149</v>
      </c>
      <c r="E10" s="35">
        <f>_xll.qlYieldTSDiscount(C$4,D10,,Triggers!RTDataTrigger)</f>
        <v>1.000053113971634</v>
      </c>
      <c r="F10" s="44"/>
      <c r="G10" s="33"/>
      <c r="H10" s="49">
        <f t="shared" si="3"/>
        <v>42149</v>
      </c>
      <c r="I10" s="50">
        <f t="shared" si="0"/>
        <v>1.000053113971634</v>
      </c>
      <c r="J10" s="65"/>
      <c r="K10" s="37" t="s">
        <v>6</v>
      </c>
      <c r="L10" s="41" t="s">
        <v>11</v>
      </c>
      <c r="M10" s="11">
        <v>42445</v>
      </c>
      <c r="N10" s="35">
        <f>_xll.qlYieldTSDiscount(L$4,M10,,Triggers!RTDataTrigger)</f>
        <v>1.00003238271578</v>
      </c>
      <c r="O10" s="44"/>
      <c r="P10" s="33"/>
      <c r="Q10" s="49">
        <f t="shared" si="4"/>
        <v>42445</v>
      </c>
      <c r="R10" s="50">
        <f t="shared" si="1"/>
        <v>1.00003238271578</v>
      </c>
      <c r="T10" s="37" t="s">
        <v>6</v>
      </c>
      <c r="U10" s="41" t="s">
        <v>58</v>
      </c>
      <c r="V10" s="11">
        <v>42149</v>
      </c>
      <c r="W10" s="35">
        <f>_xll.qlYieldTSDiscount(U$4,V10,,Triggers!RTDataTrigger)</f>
        <v>1.0000344456596166</v>
      </c>
      <c r="X10" s="44"/>
      <c r="Y10" s="33"/>
      <c r="Z10" s="49">
        <f t="shared" si="5"/>
        <v>42149</v>
      </c>
      <c r="AA10" s="50">
        <f t="shared" si="2"/>
        <v>1.0000344456596166</v>
      </c>
    </row>
    <row r="11" spans="2:27" x14ac:dyDescent="0.2">
      <c r="B11" s="37" t="s">
        <v>7</v>
      </c>
      <c r="C11" s="41" t="s">
        <v>12</v>
      </c>
      <c r="D11" s="11">
        <v>42159</v>
      </c>
      <c r="E11" s="35">
        <f>_xll.qlYieldTSDiscount(C$4,D11,,Triggers!RTDataTrigger)</f>
        <v>1.0000752279323954</v>
      </c>
      <c r="F11" s="44"/>
      <c r="G11" s="33"/>
      <c r="H11" s="49">
        <f t="shared" si="3"/>
        <v>42159</v>
      </c>
      <c r="I11" s="50">
        <f t="shared" si="0"/>
        <v>1.0000752279323954</v>
      </c>
      <c r="J11" s="65"/>
      <c r="K11" s="37" t="s">
        <v>7</v>
      </c>
      <c r="L11" s="41" t="s">
        <v>12</v>
      </c>
      <c r="M11" s="11">
        <v>42537</v>
      </c>
      <c r="N11" s="35">
        <f>_xll.qlYieldTSDiscount(L$4,M11,,Triggers!RTDataTrigger)</f>
        <v>1.0000259936608205</v>
      </c>
      <c r="O11" s="44"/>
      <c r="P11" s="33"/>
      <c r="Q11" s="49">
        <f t="shared" si="4"/>
        <v>42537</v>
      </c>
      <c r="R11" s="50">
        <f t="shared" si="1"/>
        <v>1.0000259936608205</v>
      </c>
      <c r="T11" s="37" t="s">
        <v>7</v>
      </c>
      <c r="U11" s="41" t="s">
        <v>46</v>
      </c>
      <c r="V11" s="11">
        <v>42159</v>
      </c>
      <c r="W11" s="35">
        <f>_xll.qlYieldTSDiscount(U$4,V11,,Triggers!RTDataTrigger)</f>
        <v>1.0000252784403723</v>
      </c>
      <c r="X11" s="44"/>
      <c r="Y11" s="33"/>
      <c r="Z11" s="49">
        <f t="shared" si="5"/>
        <v>42159</v>
      </c>
      <c r="AA11" s="50">
        <f t="shared" si="2"/>
        <v>1.0000252784403723</v>
      </c>
    </row>
    <row r="12" spans="2:27" x14ac:dyDescent="0.2">
      <c r="B12" s="37" t="s">
        <v>8</v>
      </c>
      <c r="C12" s="41" t="s">
        <v>13</v>
      </c>
      <c r="D12" s="11">
        <v>42191</v>
      </c>
      <c r="E12" s="35">
        <f>_xll.qlYieldTSDiscount(C$4,D12,,Triggers!RTDataTrigger)</f>
        <v>1.0001727243785108</v>
      </c>
      <c r="F12" s="44"/>
      <c r="G12" s="33"/>
      <c r="H12" s="49">
        <f t="shared" si="3"/>
        <v>42191</v>
      </c>
      <c r="I12" s="50">
        <f t="shared" si="0"/>
        <v>1.0001727243785108</v>
      </c>
      <c r="J12" s="65"/>
      <c r="K12" s="37" t="s">
        <v>8</v>
      </c>
      <c r="L12" s="41" t="s">
        <v>13</v>
      </c>
      <c r="M12" s="11">
        <v>42628</v>
      </c>
      <c r="N12" s="35">
        <f>_xll.qlYieldTSDiscount(L$4,M12,,Triggers!RTDataTrigger)</f>
        <v>1.0000069724680358</v>
      </c>
      <c r="O12" s="44"/>
      <c r="P12" s="33"/>
      <c r="Q12" s="49">
        <f t="shared" si="4"/>
        <v>42628</v>
      </c>
      <c r="R12" s="50">
        <f t="shared" si="1"/>
        <v>1.0000069724680358</v>
      </c>
      <c r="T12" s="37" t="s">
        <v>8</v>
      </c>
      <c r="U12" s="41" t="s">
        <v>13</v>
      </c>
      <c r="V12" s="11">
        <v>42191</v>
      </c>
      <c r="W12" s="35">
        <f>_xll.qlYieldTSDiscount(U$4,V12,,Triggers!RTDataTrigger)</f>
        <v>1.0000169447505458</v>
      </c>
      <c r="X12" s="44"/>
      <c r="Y12" s="33"/>
      <c r="Z12" s="49">
        <f t="shared" si="5"/>
        <v>42191</v>
      </c>
      <c r="AA12" s="50">
        <f t="shared" si="2"/>
        <v>1.0000169447505458</v>
      </c>
    </row>
    <row r="13" spans="2:27" x14ac:dyDescent="0.2">
      <c r="B13" s="38" t="s">
        <v>9</v>
      </c>
      <c r="C13" s="42">
        <v>5</v>
      </c>
      <c r="D13" s="11">
        <v>42207</v>
      </c>
      <c r="E13" s="35">
        <f>_xll.qlYieldTSDiscount(C$4,D13,,Triggers!RTDataTrigger)</f>
        <v>1.0002449230734431</v>
      </c>
      <c r="F13" s="44"/>
      <c r="G13" s="33"/>
      <c r="H13" s="49">
        <f t="shared" si="3"/>
        <v>42207</v>
      </c>
      <c r="I13" s="50">
        <f t="shared" si="0"/>
        <v>1.0002449230734431</v>
      </c>
      <c r="J13" s="65"/>
      <c r="K13" s="38" t="s">
        <v>9</v>
      </c>
      <c r="L13" s="42">
        <v>5</v>
      </c>
      <c r="M13" s="11">
        <v>42725</v>
      </c>
      <c r="N13" s="35">
        <f>_xll.qlYieldTSDiscount(L$4,M13,,Triggers!RTDataTrigger)</f>
        <v>0.99996108869662559</v>
      </c>
      <c r="O13" s="44"/>
      <c r="P13" s="33"/>
      <c r="Q13" s="49">
        <f t="shared" si="4"/>
        <v>42725</v>
      </c>
      <c r="R13" s="50">
        <f t="shared" si="1"/>
        <v>0.99996108869662559</v>
      </c>
      <c r="T13" s="38" t="s">
        <v>9</v>
      </c>
      <c r="U13" s="42">
        <v>5</v>
      </c>
      <c r="V13" s="11">
        <v>42220</v>
      </c>
      <c r="W13" s="35">
        <f>_xll.qlYieldTSDiscount(U$4,V13,,Triggers!RTDataTrigger)</f>
        <v>0.99994833598350685</v>
      </c>
      <c r="X13" s="44"/>
      <c r="Y13" s="33"/>
      <c r="Z13" s="49">
        <f t="shared" si="5"/>
        <v>42220</v>
      </c>
      <c r="AA13" s="50">
        <f t="shared" si="2"/>
        <v>0.99994833598350685</v>
      </c>
    </row>
    <row r="14" spans="2:27" x14ac:dyDescent="0.2">
      <c r="B14" s="37" t="s">
        <v>17</v>
      </c>
      <c r="C14" s="28">
        <f>COUNT(H4:H93)</f>
        <v>47</v>
      </c>
      <c r="D14" s="11">
        <v>42220</v>
      </c>
      <c r="E14" s="35">
        <f>_xll.qlYieldTSDiscount(C$4,D14,,Triggers!RTDataTrigger)</f>
        <v>1.0002704065930426</v>
      </c>
      <c r="F14" s="44"/>
      <c r="G14" s="33"/>
      <c r="H14" s="49">
        <f t="shared" si="3"/>
        <v>42220</v>
      </c>
      <c r="I14" s="50">
        <f t="shared" si="0"/>
        <v>1.0002704065930426</v>
      </c>
      <c r="J14" s="65"/>
      <c r="K14" s="37" t="s">
        <v>17</v>
      </c>
      <c r="L14" s="28">
        <f>COUNT(Q4:Q93)</f>
        <v>28</v>
      </c>
      <c r="M14" s="11">
        <v>42815</v>
      </c>
      <c r="N14" s="35">
        <f>_xll.qlYieldTSDiscount(L$4,M14,,Triggers!RTDataTrigger)</f>
        <v>0.9998548541183756</v>
      </c>
      <c r="O14" s="44"/>
      <c r="P14" s="33"/>
      <c r="Q14" s="49">
        <f t="shared" si="4"/>
        <v>42815</v>
      </c>
      <c r="R14" s="50">
        <f t="shared" si="1"/>
        <v>0.9998548541183756</v>
      </c>
      <c r="T14" s="37" t="s">
        <v>17</v>
      </c>
      <c r="U14" s="28">
        <f>COUNT(Z4:Z93)</f>
        <v>53</v>
      </c>
      <c r="V14" s="11">
        <v>42251</v>
      </c>
      <c r="W14" s="35">
        <f>_xll.qlYieldTSDiscount(U$4,V14,,Triggers!RTDataTrigger)</f>
        <v>0.99989695501612341</v>
      </c>
      <c r="X14" s="44"/>
      <c r="Y14" s="33"/>
      <c r="Z14" s="49">
        <f t="shared" si="5"/>
        <v>42251</v>
      </c>
      <c r="AA14" s="50">
        <f t="shared" si="2"/>
        <v>0.99989695501612341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42123.780057870368</v>
      </c>
      <c r="D15" s="11">
        <v>42251</v>
      </c>
      <c r="E15" s="35">
        <f>_xll.qlYieldTSDiscount(C$4,D15,,Triggers!RTDataTrigger)</f>
        <v>1.0003822573978434</v>
      </c>
      <c r="F15" s="44"/>
      <c r="G15" s="33"/>
      <c r="H15" s="49">
        <f t="shared" si="3"/>
        <v>42251</v>
      </c>
      <c r="I15" s="50">
        <f t="shared" si="0"/>
        <v>1.0003822573978434</v>
      </c>
      <c r="J15" s="65"/>
      <c r="K15" s="38" t="s">
        <v>18</v>
      </c>
      <c r="L15" s="15">
        <f>GetNow(_xll.xlPushShmLiborCurveName(L8,L9,Q4:INDEX(Q4:Q93,L14),R4:INDEX(R4:R93,L14),L10,L11,L12,L13+0*TYPE(ManualTrigger)))</f>
        <v>42123.780057870368</v>
      </c>
      <c r="M15" s="11">
        <v>42901</v>
      </c>
      <c r="N15" s="35">
        <f>_xll.qlYieldTSDiscount(L$4,M15,,Triggers!RTDataTrigger)</f>
        <v>0.99970390223456185</v>
      </c>
      <c r="O15" s="44"/>
      <c r="P15" s="33"/>
      <c r="Q15" s="49">
        <f t="shared" si="4"/>
        <v>42901</v>
      </c>
      <c r="R15" s="50">
        <f t="shared" si="1"/>
        <v>0.99970390223456185</v>
      </c>
      <c r="T15" s="38" t="s">
        <v>18</v>
      </c>
      <c r="U15" s="15">
        <f>GetNow(_xll.xlPushShmLiborCurveName(U8,U9,Z4:INDEX(Z4:Z93,U14),AA4:INDEX(AA4:AA93,U14),U10,U11,U12,U13+0*TYPE(ManualTrigger)))</f>
        <v>42123.780057870368</v>
      </c>
      <c r="V15" s="11">
        <v>42282</v>
      </c>
      <c r="W15" s="35">
        <f>_xll.qlYieldTSDiscount(U$4,V15,,Triggers!RTDataTrigger)</f>
        <v>0.99974284379077472</v>
      </c>
      <c r="X15" s="44"/>
      <c r="Y15" s="33"/>
      <c r="Z15" s="49">
        <f t="shared" si="5"/>
        <v>42282</v>
      </c>
      <c r="AA15" s="50">
        <f t="shared" si="2"/>
        <v>0.99974284379077472</v>
      </c>
    </row>
    <row r="16" spans="2:27" x14ac:dyDescent="0.2">
      <c r="D16" s="11">
        <v>42256</v>
      </c>
      <c r="E16" s="35">
        <f>_xll.qlYieldTSDiscount(C$4,D16,,Triggers!RTDataTrigger)</f>
        <v>1.0004423714912261</v>
      </c>
      <c r="F16" s="44"/>
      <c r="G16" s="33"/>
      <c r="H16" s="49">
        <f t="shared" si="3"/>
        <v>42256</v>
      </c>
      <c r="I16" s="50">
        <f t="shared" si="0"/>
        <v>1.0004423714912261</v>
      </c>
      <c r="J16" s="65"/>
      <c r="M16" s="11">
        <v>43224</v>
      </c>
      <c r="N16" s="35">
        <f>_xll.qlYieldTSDiscount(L$4,M16,,Triggers!RTDataTrigger)</f>
        <v>0.99841239821606298</v>
      </c>
      <c r="O16" s="44"/>
      <c r="P16" s="33"/>
      <c r="Q16" s="49">
        <f t="shared" si="4"/>
        <v>43224</v>
      </c>
      <c r="R16" s="50">
        <f t="shared" si="1"/>
        <v>0.99841239821606298</v>
      </c>
      <c r="V16" s="11">
        <v>42312</v>
      </c>
      <c r="W16" s="35">
        <f>_xll.qlYieldTSDiscount(U$4,V16,,Triggers!RTDataTrigger)</f>
        <v>0.99953965621215501</v>
      </c>
      <c r="X16" s="44"/>
      <c r="Y16" s="33"/>
      <c r="Z16" s="49">
        <f t="shared" si="5"/>
        <v>42312</v>
      </c>
      <c r="AA16" s="50">
        <f t="shared" si="2"/>
        <v>0.99953965621215501</v>
      </c>
    </row>
    <row r="17" spans="2:27" x14ac:dyDescent="0.2">
      <c r="D17" s="11">
        <v>42282</v>
      </c>
      <c r="E17" s="35">
        <f>_xll.qlYieldTSDiscount(C$4,D17,,Triggers!RTDataTrigger)</f>
        <v>1.0004959127591657</v>
      </c>
      <c r="F17" s="44"/>
      <c r="G17" s="33"/>
      <c r="H17" s="49">
        <f t="shared" si="3"/>
        <v>42282</v>
      </c>
      <c r="I17" s="50">
        <f t="shared" si="0"/>
        <v>1.0004959127591657</v>
      </c>
      <c r="J17" s="65"/>
      <c r="M17" s="11">
        <v>43591</v>
      </c>
      <c r="N17" s="35">
        <f>_xll.qlYieldTSDiscount(L$4,M17,,Triggers!RTDataTrigger)</f>
        <v>0.99532701254912637</v>
      </c>
      <c r="O17" s="44"/>
      <c r="P17" s="33"/>
      <c r="Q17" s="49">
        <f t="shared" si="4"/>
        <v>43591</v>
      </c>
      <c r="R17" s="50">
        <f t="shared" si="1"/>
        <v>0.99532701254912637</v>
      </c>
      <c r="V17" s="11">
        <v>42342</v>
      </c>
      <c r="W17" s="35">
        <f>_xll.qlYieldTSDiscount(U$4,V17,,Triggers!RTDataTrigger)</f>
        <v>0.99934598321942969</v>
      </c>
      <c r="X17" s="44"/>
      <c r="Y17" s="33"/>
      <c r="Z17" s="49">
        <f t="shared" si="5"/>
        <v>42342</v>
      </c>
      <c r="AA17" s="50">
        <f t="shared" si="2"/>
        <v>0.99934598321942969</v>
      </c>
    </row>
    <row r="18" spans="2:27" x14ac:dyDescent="0.2">
      <c r="D18" s="11">
        <v>42305</v>
      </c>
      <c r="E18" s="35">
        <f>_xll.qlYieldTSDiscount(C$4,D18,,Triggers!RTDataTrigger)</f>
        <v>1.000642583394787</v>
      </c>
      <c r="F18" s="44"/>
      <c r="G18" s="33"/>
      <c r="H18" s="49">
        <f t="shared" si="3"/>
        <v>42305</v>
      </c>
      <c r="I18" s="50">
        <f t="shared" si="0"/>
        <v>1.000642583394787</v>
      </c>
      <c r="J18" s="65"/>
      <c r="M18" s="11">
        <v>43955</v>
      </c>
      <c r="N18" s="35">
        <f>_xll.qlYieldTSDiscount(L$4,M18,,Triggers!RTDataTrigger)</f>
        <v>0.99064467521873989</v>
      </c>
      <c r="O18" s="44"/>
      <c r="P18" s="33"/>
      <c r="Q18" s="49">
        <f t="shared" si="4"/>
        <v>43955</v>
      </c>
      <c r="R18" s="50">
        <f t="shared" si="1"/>
        <v>0.99064467521873989</v>
      </c>
      <c r="V18" s="11">
        <v>42354</v>
      </c>
      <c r="W18" s="35">
        <f>_xll.qlYieldTSDiscount(U$4,V18,,Triggers!RTDataTrigger)</f>
        <v>0.99919815200353967</v>
      </c>
      <c r="X18" s="44"/>
      <c r="Y18" s="33"/>
      <c r="Z18" s="49">
        <f t="shared" si="5"/>
        <v>42354</v>
      </c>
      <c r="AA18" s="50">
        <f t="shared" si="2"/>
        <v>0.99919815200353967</v>
      </c>
    </row>
    <row r="19" spans="2:27" x14ac:dyDescent="0.2">
      <c r="D19" s="11">
        <v>42312</v>
      </c>
      <c r="E19" s="35">
        <f>_xll.qlYieldTSDiscount(C$4,D19,,Triggers!RTDataTrigger)</f>
        <v>1.0006029191928951</v>
      </c>
      <c r="F19" s="44"/>
      <c r="G19" s="33"/>
      <c r="H19" s="49">
        <f t="shared" si="3"/>
        <v>42312</v>
      </c>
      <c r="I19" s="50">
        <f t="shared" si="0"/>
        <v>1.0006029191928951</v>
      </c>
      <c r="J19" s="65"/>
      <c r="M19" s="11">
        <v>44320</v>
      </c>
      <c r="N19" s="35">
        <f>_xll.qlYieldTSDiscount(L$4,M19,,Triggers!RTDataTrigger)</f>
        <v>0.98457024012973482</v>
      </c>
      <c r="O19" s="44"/>
      <c r="P19" s="33"/>
      <c r="Q19" s="49">
        <f t="shared" si="4"/>
        <v>44320</v>
      </c>
      <c r="R19" s="50">
        <f t="shared" si="1"/>
        <v>0.98457024012973482</v>
      </c>
      <c r="V19" s="11">
        <v>42445</v>
      </c>
      <c r="W19" s="35">
        <f>_xll.qlYieldTSDiscount(U$4,V19,,Triggers!RTDataTrigger)</f>
        <v>0.99920446642075711</v>
      </c>
      <c r="X19" s="44"/>
      <c r="Y19" s="33"/>
      <c r="Z19" s="49">
        <f t="shared" si="5"/>
        <v>42445</v>
      </c>
      <c r="AA19" s="50">
        <f t="shared" si="2"/>
        <v>0.99920446642075711</v>
      </c>
    </row>
    <row r="20" spans="2:27" x14ac:dyDescent="0.2">
      <c r="B20" t="b">
        <v>1</v>
      </c>
      <c r="D20" s="11">
        <v>42342</v>
      </c>
      <c r="E20" s="35">
        <f>_xll.qlYieldTSDiscount(C$4,D20,,Triggers!RTDataTrigger)</f>
        <v>1.0007132865984525</v>
      </c>
      <c r="F20" s="44"/>
      <c r="G20" s="33"/>
      <c r="H20" s="49">
        <f t="shared" si="3"/>
        <v>42342</v>
      </c>
      <c r="I20" s="50">
        <f t="shared" si="0"/>
        <v>1.0007132865984525</v>
      </c>
      <c r="J20" s="65"/>
      <c r="M20" s="11">
        <v>44685</v>
      </c>
      <c r="N20" s="35">
        <f>_xll.qlYieldTSDiscount(L$4,M20,,Triggers!RTDataTrigger)</f>
        <v>0.97685256769264805</v>
      </c>
      <c r="O20" s="44"/>
      <c r="P20" s="33"/>
      <c r="Q20" s="49">
        <f t="shared" si="4"/>
        <v>44685</v>
      </c>
      <c r="R20" s="50">
        <f t="shared" si="1"/>
        <v>0.97685256769264805</v>
      </c>
      <c r="T20" s="64"/>
      <c r="V20" s="11">
        <v>42537</v>
      </c>
      <c r="W20" s="35">
        <f>_xll.qlYieldTSDiscount(U$4,V20,,Triggers!RTDataTrigger)</f>
        <v>0.9991980826553557</v>
      </c>
      <c r="X20" s="44"/>
      <c r="Y20" s="33"/>
      <c r="Z20" s="49">
        <f t="shared" si="5"/>
        <v>42537</v>
      </c>
      <c r="AA20" s="50">
        <f t="shared" si="2"/>
        <v>0.9991980826553557</v>
      </c>
    </row>
    <row r="21" spans="2:27" x14ac:dyDescent="0.2">
      <c r="D21" s="11">
        <v>42347</v>
      </c>
      <c r="E21" s="35">
        <f>_xll.qlYieldTSDiscount(C$4,D21,,Triggers!RTDataTrigger)</f>
        <v>1.0008223978186648</v>
      </c>
      <c r="F21" s="44"/>
      <c r="G21" s="33"/>
      <c r="H21" s="49">
        <f t="shared" si="3"/>
        <v>42347</v>
      </c>
      <c r="I21" s="50">
        <f t="shared" si="0"/>
        <v>1.0008223978186648</v>
      </c>
      <c r="J21" s="65"/>
      <c r="M21" s="11">
        <v>45050</v>
      </c>
      <c r="N21" s="35">
        <f>_xll.qlYieldTSDiscount(L$4,M21,,Triggers!RTDataTrigger)</f>
        <v>0.96810625868870037</v>
      </c>
      <c r="O21" s="44"/>
      <c r="P21" s="33"/>
      <c r="Q21" s="49">
        <f t="shared" si="4"/>
        <v>45050</v>
      </c>
      <c r="R21" s="50">
        <f t="shared" si="1"/>
        <v>0.96810625868870037</v>
      </c>
      <c r="T21" s="64"/>
      <c r="V21" s="11">
        <v>42628</v>
      </c>
      <c r="W21" s="35">
        <f>_xll.qlYieldTSDiscount(U$4,V21,,Triggers!RTDataTrigger)</f>
        <v>0.99917847354014999</v>
      </c>
      <c r="X21" s="44"/>
      <c r="Y21" s="33"/>
      <c r="Z21" s="49">
        <f t="shared" si="5"/>
        <v>42628</v>
      </c>
      <c r="AA21" s="50">
        <f t="shared" si="2"/>
        <v>0.99917847354014999</v>
      </c>
    </row>
    <row r="22" spans="2:27" x14ac:dyDescent="0.2">
      <c r="D22" s="11">
        <v>42373</v>
      </c>
      <c r="E22" s="35">
        <f>_xll.qlYieldTSDiscount(C$4,D22,,Triggers!RTDataTrigger)</f>
        <v>1.0008167781561732</v>
      </c>
      <c r="F22" s="44"/>
      <c r="G22" s="33"/>
      <c r="H22" s="49">
        <f t="shared" si="3"/>
        <v>42373</v>
      </c>
      <c r="I22" s="50">
        <f t="shared" si="0"/>
        <v>1.0008167781561732</v>
      </c>
      <c r="J22" s="65"/>
      <c r="M22" s="11">
        <v>45418</v>
      </c>
      <c r="N22" s="35">
        <f>_xll.qlYieldTSDiscount(L$4,M22,,Triggers!RTDataTrigger)</f>
        <v>0.95829855584870094</v>
      </c>
      <c r="O22" s="44"/>
      <c r="P22" s="33"/>
      <c r="Q22" s="49">
        <f t="shared" si="4"/>
        <v>45418</v>
      </c>
      <c r="R22" s="50">
        <f t="shared" si="1"/>
        <v>0.95829855584870094</v>
      </c>
      <c r="T22" s="64"/>
      <c r="V22" s="11">
        <v>42725</v>
      </c>
      <c r="W22" s="35">
        <f>_xll.qlYieldTSDiscount(U$4,V22,,Triggers!RTDataTrigger)</f>
        <v>0.99913027005674315</v>
      </c>
      <c r="X22" s="44"/>
      <c r="Y22" s="33"/>
      <c r="Z22" s="49">
        <f t="shared" si="5"/>
        <v>42725</v>
      </c>
      <c r="AA22" s="50">
        <f t="shared" si="2"/>
        <v>0.99913027005674315</v>
      </c>
    </row>
    <row r="23" spans="2:27" x14ac:dyDescent="0.2">
      <c r="D23" s="11">
        <v>42395</v>
      </c>
      <c r="E23" s="35">
        <f>_xll.qlYieldTSDiscount(C$4,D23,,Triggers!RTDataTrigger)</f>
        <v>1.0010346171575022</v>
      </c>
      <c r="F23" s="44"/>
      <c r="G23" s="33"/>
      <c r="H23" s="49">
        <f t="shared" si="3"/>
        <v>42395</v>
      </c>
      <c r="I23" s="50">
        <f t="shared" si="0"/>
        <v>1.0010346171575022</v>
      </c>
      <c r="J23" s="65"/>
      <c r="M23" s="11">
        <v>45782</v>
      </c>
      <c r="N23" s="35">
        <f>_xll.qlYieldTSDiscount(L$4,M23,,Triggers!RTDataTrigger)</f>
        <v>0.94798924317499322</v>
      </c>
      <c r="O23" s="44"/>
      <c r="P23" s="33"/>
      <c r="Q23" s="49">
        <f t="shared" si="4"/>
        <v>45782</v>
      </c>
      <c r="R23" s="50">
        <f t="shared" si="1"/>
        <v>0.94798924317499322</v>
      </c>
      <c r="T23" s="64"/>
      <c r="V23" s="11">
        <v>42815</v>
      </c>
      <c r="W23" s="35">
        <f>_xll.qlYieldTSDiscount(U$4,V23,,Triggers!RTDataTrigger)</f>
        <v>0.99902412374380978</v>
      </c>
      <c r="X23" s="44"/>
      <c r="Y23" s="33"/>
      <c r="Z23" s="49">
        <f t="shared" si="5"/>
        <v>42815</v>
      </c>
      <c r="AA23" s="50">
        <f t="shared" si="2"/>
        <v>0.99902412374380978</v>
      </c>
    </row>
    <row r="24" spans="2:27" x14ac:dyDescent="0.2">
      <c r="D24" s="11">
        <v>42404</v>
      </c>
      <c r="E24" s="35">
        <f>_xll.qlYieldTSDiscount(C$4,D24,,Triggers!RTDataTrigger)</f>
        <v>1.0009433340179912</v>
      </c>
      <c r="F24" s="44"/>
      <c r="G24" s="33"/>
      <c r="H24" s="49">
        <f t="shared" si="3"/>
        <v>42404</v>
      </c>
      <c r="I24" s="50">
        <f t="shared" si="0"/>
        <v>1.0009433340179912</v>
      </c>
      <c r="J24" s="65"/>
      <c r="M24" s="11">
        <v>46511</v>
      </c>
      <c r="N24" s="35">
        <f>_xll.qlYieldTSDiscount(L$4,M24,,Triggers!RTDataTrigger)</f>
        <v>0.92581358180032747</v>
      </c>
      <c r="O24" s="44"/>
      <c r="P24" s="33"/>
      <c r="Q24" s="49">
        <f t="shared" si="4"/>
        <v>46511</v>
      </c>
      <c r="R24" s="50">
        <f t="shared" si="1"/>
        <v>0.92581358180032747</v>
      </c>
      <c r="T24" s="64"/>
      <c r="V24" s="11">
        <v>42901</v>
      </c>
      <c r="W24" s="35">
        <f>_xll.qlYieldTSDiscount(U$4,V24,,Triggers!RTDataTrigger)</f>
        <v>0.99887146511979841</v>
      </c>
      <c r="X24" s="44"/>
      <c r="Y24" s="33"/>
      <c r="Z24" s="49">
        <f t="shared" si="5"/>
        <v>42901</v>
      </c>
      <c r="AA24" s="50">
        <f t="shared" si="2"/>
        <v>0.99887146511979841</v>
      </c>
    </row>
    <row r="25" spans="2:27" x14ac:dyDescent="0.2">
      <c r="D25" s="11">
        <v>42433</v>
      </c>
      <c r="E25" s="35">
        <f>_xll.qlYieldTSDiscount(C$4,D25,,Triggers!RTDataTrigger)</f>
        <v>1.0010595943716627</v>
      </c>
      <c r="F25" s="44"/>
      <c r="G25" s="33"/>
      <c r="H25" s="49">
        <f t="shared" si="3"/>
        <v>42433</v>
      </c>
      <c r="I25" s="50">
        <f t="shared" si="0"/>
        <v>1.0010595943716627</v>
      </c>
      <c r="J25" s="65"/>
      <c r="M25" s="11">
        <v>47609</v>
      </c>
      <c r="N25" s="35">
        <f>_xll.qlYieldTSDiscount(L$4,M25,,Triggers!RTDataTrigger)</f>
        <v>0.89153531409962161</v>
      </c>
      <c r="O25" s="44"/>
      <c r="P25" s="33"/>
      <c r="Q25" s="49">
        <f t="shared" si="4"/>
        <v>47609</v>
      </c>
      <c r="R25" s="50">
        <f t="shared" si="1"/>
        <v>0.89153531409962161</v>
      </c>
      <c r="T25" s="64"/>
      <c r="V25" s="11">
        <v>43224</v>
      </c>
      <c r="W25" s="35">
        <f>_xll.qlYieldTSDiscount(U$4,V25,,Triggers!RTDataTrigger)</f>
        <v>0.99607858042649355</v>
      </c>
      <c r="X25" s="44"/>
      <c r="Y25" s="33"/>
      <c r="Z25" s="49">
        <f t="shared" si="5"/>
        <v>43224</v>
      </c>
      <c r="AA25" s="50">
        <f t="shared" si="2"/>
        <v>0.99607858042649355</v>
      </c>
    </row>
    <row r="26" spans="2:27" x14ac:dyDescent="0.2">
      <c r="D26" s="11">
        <v>42445</v>
      </c>
      <c r="E26" s="35">
        <f>_xll.qlYieldTSDiscount(C$4,D26,,Triggers!RTDataTrigger)</f>
        <v>1.0012738103448582</v>
      </c>
      <c r="F26" s="44"/>
      <c r="G26" s="33"/>
      <c r="H26" s="49">
        <f t="shared" si="3"/>
        <v>42445</v>
      </c>
      <c r="I26" s="50">
        <f t="shared" si="0"/>
        <v>1.0012738103448582</v>
      </c>
      <c r="J26" s="65"/>
      <c r="M26" s="11">
        <v>49433</v>
      </c>
      <c r="N26" s="35">
        <f>_xll.qlYieldTSDiscount(L$4,M26,,Triggers!RTDataTrigger)</f>
        <v>0.83854894167764682</v>
      </c>
      <c r="O26" s="44"/>
      <c r="P26" s="33"/>
      <c r="Q26" s="49">
        <f t="shared" si="4"/>
        <v>49433</v>
      </c>
      <c r="R26" s="50">
        <f t="shared" si="1"/>
        <v>0.83854894167764682</v>
      </c>
      <c r="T26" s="64"/>
      <c r="V26" s="11">
        <v>43591</v>
      </c>
      <c r="W26" s="35">
        <f>_xll.qlYieldTSDiscount(U$4,V26,,Triggers!RTDataTrigger)</f>
        <v>0.99214697515221684</v>
      </c>
      <c r="X26" s="44"/>
      <c r="Y26" s="33"/>
      <c r="Z26" s="49">
        <f t="shared" si="5"/>
        <v>43591</v>
      </c>
      <c r="AA26" s="50">
        <f t="shared" si="2"/>
        <v>0.99214697515221684</v>
      </c>
    </row>
    <row r="27" spans="2:27" x14ac:dyDescent="0.2">
      <c r="D27" s="11">
        <v>42464</v>
      </c>
      <c r="E27" s="35">
        <f>_xll.qlYieldTSDiscount(C$4,D27,,Triggers!RTDataTrigger)</f>
        <v>1.0011861838105556</v>
      </c>
      <c r="F27" s="44"/>
      <c r="G27" s="33"/>
      <c r="H27" s="49">
        <f t="shared" si="3"/>
        <v>42464</v>
      </c>
      <c r="I27" s="50">
        <f t="shared" si="0"/>
        <v>1.0011861838105556</v>
      </c>
      <c r="J27" s="65"/>
      <c r="M27" s="11">
        <v>51260</v>
      </c>
      <c r="N27" s="35">
        <f>_xll.qlYieldTSDiscount(L$4,M27,,Triggers!RTDataTrigger)</f>
        <v>0.79326679286542223</v>
      </c>
      <c r="O27" s="44"/>
      <c r="P27" s="33"/>
      <c r="Q27" s="49">
        <f t="shared" si="4"/>
        <v>51260</v>
      </c>
      <c r="R27" s="50">
        <f t="shared" si="1"/>
        <v>0.79326679286542223</v>
      </c>
      <c r="T27" s="64"/>
      <c r="V27" s="11">
        <v>43955</v>
      </c>
      <c r="W27" s="35">
        <f>_xll.qlYieldTSDiscount(U$4,V27,,Triggers!RTDataTrigger)</f>
        <v>0.98662307043145347</v>
      </c>
      <c r="X27" s="44"/>
      <c r="Y27" s="33"/>
      <c r="Z27" s="49">
        <f t="shared" si="5"/>
        <v>43955</v>
      </c>
      <c r="AA27" s="50">
        <f t="shared" si="2"/>
        <v>0.98662307043145347</v>
      </c>
    </row>
    <row r="28" spans="2:27" x14ac:dyDescent="0.2">
      <c r="D28" s="11">
        <v>42487</v>
      </c>
      <c r="E28" s="35">
        <f>_xll.qlYieldTSDiscount(C$4,D28,,Triggers!RTDataTrigger)</f>
        <v>1.0014736043289219</v>
      </c>
      <c r="F28" s="44"/>
      <c r="G28" s="33"/>
      <c r="H28" s="49">
        <f t="shared" si="3"/>
        <v>42487</v>
      </c>
      <c r="I28" s="50">
        <f t="shared" si="0"/>
        <v>1.0014736043289219</v>
      </c>
      <c r="J28" s="65"/>
      <c r="M28" s="11">
        <v>53086</v>
      </c>
      <c r="N28" s="35">
        <f>_xll.qlYieldTSDiscount(L$4,M28,,Triggers!RTDataTrigger)</f>
        <v>0.75013282525810387</v>
      </c>
      <c r="O28" s="44"/>
      <c r="P28" s="33"/>
      <c r="Q28" s="49">
        <f t="shared" si="4"/>
        <v>53086</v>
      </c>
      <c r="R28" s="50">
        <f t="shared" si="1"/>
        <v>0.75013282525810387</v>
      </c>
      <c r="T28" s="64"/>
      <c r="V28" s="11">
        <v>44320</v>
      </c>
      <c r="W28" s="35">
        <f>_xll.qlYieldTSDiscount(U$4,V28,,Triggers!RTDataTrigger)</f>
        <v>0.97973100878561825</v>
      </c>
      <c r="X28" s="44"/>
      <c r="Y28" s="33"/>
      <c r="Z28" s="49">
        <f t="shared" si="5"/>
        <v>44320</v>
      </c>
      <c r="AA28" s="50">
        <f t="shared" si="2"/>
        <v>0.97973100878561825</v>
      </c>
    </row>
    <row r="29" spans="2:27" x14ac:dyDescent="0.2">
      <c r="D29" s="11">
        <v>42494</v>
      </c>
      <c r="E29" s="35">
        <f>_xll.qlYieldTSDiscount(C$4,D29,,Triggers!RTDataTrigger)</f>
        <v>1.0012922796691117</v>
      </c>
      <c r="F29" s="44"/>
      <c r="G29" s="33"/>
      <c r="H29" s="49">
        <f t="shared" si="3"/>
        <v>42494</v>
      </c>
      <c r="I29" s="50">
        <f t="shared" si="0"/>
        <v>1.0012922796691117</v>
      </c>
      <c r="J29" s="65"/>
      <c r="M29" s="11">
        <v>56738</v>
      </c>
      <c r="N29" s="35">
        <f>_xll.qlYieldTSDiscount(L$4,M29,,Triggers!RTDataTrigger)</f>
        <v>0.67387663754805949</v>
      </c>
      <c r="O29" s="44"/>
      <c r="P29" s="33"/>
      <c r="Q29" s="49">
        <f t="shared" si="4"/>
        <v>56738</v>
      </c>
      <c r="R29" s="50">
        <f t="shared" si="1"/>
        <v>0.67387663754805949</v>
      </c>
      <c r="T29" s="64"/>
      <c r="V29" s="11">
        <v>44685</v>
      </c>
      <c r="W29" s="35">
        <f>_xll.qlYieldTSDiscount(U$4,V29,,Triggers!RTDataTrigger)</f>
        <v>0.97132412132212598</v>
      </c>
      <c r="X29" s="44"/>
      <c r="Y29" s="33"/>
      <c r="Z29" s="49">
        <f t="shared" si="5"/>
        <v>44685</v>
      </c>
      <c r="AA29" s="50">
        <f t="shared" si="2"/>
        <v>0.97132412132212598</v>
      </c>
    </row>
    <row r="30" spans="2:27" x14ac:dyDescent="0.2">
      <c r="D30" s="11">
        <v>42586</v>
      </c>
      <c r="E30" s="35">
        <f>_xll.qlYieldTSDiscount(C$4,D30,,Triggers!RTDataTrigger)</f>
        <v>1.0016428475375365</v>
      </c>
      <c r="F30" s="44"/>
      <c r="G30" s="33"/>
      <c r="H30" s="49">
        <f t="shared" si="3"/>
        <v>42586</v>
      </c>
      <c r="I30" s="50">
        <f t="shared" si="0"/>
        <v>1.0016428475375365</v>
      </c>
      <c r="J30" s="65"/>
      <c r="M30" s="11">
        <v>60391</v>
      </c>
      <c r="N30" s="35">
        <f>_xll.qlYieldTSDiscount(L$4,M30,,Triggers!RTDataTrigger)</f>
        <v>0.62116960898262796</v>
      </c>
      <c r="O30" s="44"/>
      <c r="P30" s="33"/>
      <c r="Q30" s="49">
        <f t="shared" si="4"/>
        <v>60391</v>
      </c>
      <c r="R30" s="50">
        <f t="shared" si="1"/>
        <v>0.62116960898262796</v>
      </c>
      <c r="T30" s="64"/>
      <c r="V30" s="11">
        <v>45050</v>
      </c>
      <c r="W30" s="35">
        <f>_xll.qlYieldTSDiscount(U$4,V30,,Triggers!RTDataTrigger)</f>
        <v>0.96184119762336984</v>
      </c>
      <c r="X30" s="44"/>
      <c r="Y30" s="33"/>
      <c r="Z30" s="49">
        <f t="shared" si="5"/>
        <v>45050</v>
      </c>
      <c r="AA30" s="50">
        <f t="shared" si="2"/>
        <v>0.96184119762336984</v>
      </c>
    </row>
    <row r="31" spans="2:27" x14ac:dyDescent="0.2">
      <c r="D31" s="11">
        <v>42678</v>
      </c>
      <c r="E31" s="35">
        <f>_xll.qlYieldTSDiscount(C$4,D31,,Triggers!RTDataTrigger)</f>
        <v>1.0019732736572295</v>
      </c>
      <c r="F31" s="44"/>
      <c r="G31" s="33"/>
      <c r="H31" s="49">
        <f t="shared" si="3"/>
        <v>42678</v>
      </c>
      <c r="I31" s="50">
        <f t="shared" si="0"/>
        <v>1.0019732736572295</v>
      </c>
      <c r="J31" s="65"/>
      <c r="M31" s="11">
        <v>64045</v>
      </c>
      <c r="N31" s="35">
        <f>_xll.qlYieldTSDiscount(L$4,M31,,Triggers!RTDataTrigger)</f>
        <v>0.5703918318805431</v>
      </c>
      <c r="O31" s="44"/>
      <c r="P31" s="33"/>
      <c r="Q31" s="49">
        <f t="shared" si="4"/>
        <v>64045</v>
      </c>
      <c r="R31" s="50">
        <f t="shared" si="1"/>
        <v>0.5703918318805431</v>
      </c>
      <c r="T31" s="64"/>
      <c r="V31" s="11">
        <v>45418</v>
      </c>
      <c r="W31" s="35">
        <f>_xll.qlYieldTSDiscount(U$4,V31,,Triggers!RTDataTrigger)</f>
        <v>0.95139389292220755</v>
      </c>
      <c r="X31" s="44"/>
      <c r="Y31" s="33"/>
      <c r="Z31" s="49">
        <f t="shared" si="5"/>
        <v>45418</v>
      </c>
      <c r="AA31" s="50">
        <f t="shared" si="2"/>
        <v>0.95139389292220755</v>
      </c>
    </row>
    <row r="32" spans="2:27" x14ac:dyDescent="0.2">
      <c r="D32" s="11">
        <v>42772</v>
      </c>
      <c r="E32" s="35">
        <f>_xll.qlYieldTSDiscount(C$4,D32,,Triggers!RTDataTrigger)</f>
        <v>1.0022752332631557</v>
      </c>
      <c r="F32" s="44"/>
      <c r="G32" s="33"/>
      <c r="H32" s="49">
        <f t="shared" si="3"/>
        <v>42772</v>
      </c>
      <c r="I32" s="50">
        <f t="shared" si="0"/>
        <v>1.0022752332631557</v>
      </c>
      <c r="J32" s="65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45782</v>
      </c>
      <c r="W32" s="35">
        <f>_xll.qlYieldTSDiscount(U$4,V32,,Triggers!RTDataTrigger)</f>
        <v>0.94058110190027222</v>
      </c>
      <c r="X32" s="44"/>
      <c r="Y32" s="33"/>
      <c r="Z32" s="49">
        <f t="shared" si="5"/>
        <v>45782</v>
      </c>
      <c r="AA32" s="50">
        <f t="shared" si="2"/>
        <v>0.94058110190027222</v>
      </c>
    </row>
    <row r="33" spans="4:27" x14ac:dyDescent="0.2">
      <c r="D33" s="11">
        <v>42859</v>
      </c>
      <c r="E33" s="35">
        <f>_xll.qlYieldTSDiscount(C$4,D33,,Triggers!RTDataTrigger)</f>
        <v>1.0025017636908746</v>
      </c>
      <c r="F33" s="44"/>
      <c r="G33" s="33"/>
      <c r="H33" s="49">
        <f t="shared" si="3"/>
        <v>42859</v>
      </c>
      <c r="I33" s="50">
        <f t="shared" si="0"/>
        <v>1.0025017636908746</v>
      </c>
      <c r="J33" s="65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46146</v>
      </c>
      <c r="W33" s="35">
        <f>_xll.qlYieldTSDiscount(U$4,V33,,Triggers!RTDataTrigger)</f>
        <v>0.92929039302751937</v>
      </c>
      <c r="X33" s="44"/>
      <c r="Y33" s="33"/>
      <c r="Z33" s="49">
        <f t="shared" si="5"/>
        <v>46146</v>
      </c>
      <c r="AA33" s="50">
        <f t="shared" si="2"/>
        <v>0.92929039302751937</v>
      </c>
    </row>
    <row r="34" spans="4:27" x14ac:dyDescent="0.2">
      <c r="D34" s="11">
        <v>43224</v>
      </c>
      <c r="E34" s="35">
        <f>_xll.qlYieldTSDiscount(C$4,D34,,Triggers!RTDataTrigger)</f>
        <v>1.002714876600618</v>
      </c>
      <c r="F34" s="44"/>
      <c r="G34" s="33"/>
      <c r="H34" s="49">
        <f t="shared" si="3"/>
        <v>43224</v>
      </c>
      <c r="I34" s="50">
        <f t="shared" si="0"/>
        <v>1.002714876600618</v>
      </c>
      <c r="J34" s="65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46511</v>
      </c>
      <c r="W34" s="35">
        <f>_xll.qlYieldTSDiscount(U$4,V34,,Triggers!RTDataTrigger)</f>
        <v>0.91766302669284106</v>
      </c>
      <c r="X34" s="44"/>
      <c r="Y34" s="33"/>
      <c r="Z34" s="49">
        <f t="shared" si="5"/>
        <v>46511</v>
      </c>
      <c r="AA34" s="50">
        <f t="shared" si="2"/>
        <v>0.91766302669284106</v>
      </c>
    </row>
    <row r="35" spans="4:27" x14ac:dyDescent="0.2">
      <c r="D35" s="11">
        <v>43591</v>
      </c>
      <c r="E35" s="35">
        <f>_xll.qlYieldTSDiscount(C$4,D35,,Triggers!RTDataTrigger)</f>
        <v>1.0013431586090142</v>
      </c>
      <c r="F35" s="44"/>
      <c r="G35" s="33"/>
      <c r="H35" s="49">
        <f t="shared" si="3"/>
        <v>43591</v>
      </c>
      <c r="I35" s="50">
        <f t="shared" si="0"/>
        <v>1.0013431586090142</v>
      </c>
      <c r="J35" s="65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46877</v>
      </c>
      <c r="W35" s="35">
        <f>_xll.qlYieldTSDiscount(U$4,V35,,Triggers!RTDataTrigger)</f>
        <v>0.9062434158855327</v>
      </c>
      <c r="X35" s="44"/>
      <c r="Y35" s="33"/>
      <c r="Z35" s="49">
        <f t="shared" si="5"/>
        <v>46877</v>
      </c>
      <c r="AA35" s="50">
        <f t="shared" si="2"/>
        <v>0.9062434158855327</v>
      </c>
    </row>
    <row r="36" spans="4:27" x14ac:dyDescent="0.2">
      <c r="D36" s="11">
        <v>43955</v>
      </c>
      <c r="E36" s="35">
        <f>_xll.qlYieldTSDiscount(C$4,D36,,Triggers!RTDataTrigger)</f>
        <v>0.99842421699650941</v>
      </c>
      <c r="F36" s="44"/>
      <c r="G36" s="33"/>
      <c r="H36" s="49">
        <f t="shared" si="3"/>
        <v>43955</v>
      </c>
      <c r="I36" s="50">
        <f t="shared" si="0"/>
        <v>0.99842421699650941</v>
      </c>
      <c r="J36" s="65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47242</v>
      </c>
      <c r="W36" s="35">
        <f>_xll.qlYieldTSDiscount(U$4,V36,,Triggers!RTDataTrigger)</f>
        <v>0.89459327003076883</v>
      </c>
      <c r="X36" s="44"/>
      <c r="Y36" s="33"/>
      <c r="Z36" s="49">
        <f t="shared" si="5"/>
        <v>47242</v>
      </c>
      <c r="AA36" s="50">
        <f t="shared" si="2"/>
        <v>0.89459327003076883</v>
      </c>
    </row>
    <row r="37" spans="4:27" x14ac:dyDescent="0.2">
      <c r="D37" s="11">
        <v>44320</v>
      </c>
      <c r="E37" s="35">
        <f>_xll.qlYieldTSDiscount(C$4,D37,,Triggers!RTDataTrigger)</f>
        <v>0.99397118077509028</v>
      </c>
      <c r="F37" s="44"/>
      <c r="G37" s="33"/>
      <c r="H37" s="49">
        <f t="shared" si="3"/>
        <v>44320</v>
      </c>
      <c r="I37" s="50">
        <f t="shared" si="0"/>
        <v>0.99397118077509028</v>
      </c>
      <c r="J37" s="65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47609</v>
      </c>
      <c r="W37" s="35">
        <f>_xll.qlYieldTSDiscount(U$4,V37,,Triggers!RTDataTrigger)</f>
        <v>0.88305129408040062</v>
      </c>
      <c r="X37" s="44"/>
      <c r="Y37" s="33"/>
      <c r="Z37" s="49">
        <f t="shared" si="5"/>
        <v>47609</v>
      </c>
      <c r="AA37" s="50">
        <f t="shared" si="2"/>
        <v>0.88305129408040062</v>
      </c>
    </row>
    <row r="38" spans="4:27" x14ac:dyDescent="0.2">
      <c r="D38" s="11">
        <v>44685</v>
      </c>
      <c r="E38" s="35">
        <f>_xll.qlYieldTSDiscount(C$4,D38,,Triggers!RTDataTrigger)</f>
        <v>0.98773269531936747</v>
      </c>
      <c r="F38" s="44"/>
      <c r="G38" s="33"/>
      <c r="H38" s="49">
        <f t="shared" si="3"/>
        <v>44685</v>
      </c>
      <c r="I38" s="50">
        <f t="shared" si="0"/>
        <v>0.98773269531936747</v>
      </c>
      <c r="J38" s="65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47973</v>
      </c>
      <c r="W38" s="35">
        <f>_xll.qlYieldTSDiscount(U$4,V38,,Triggers!RTDataTrigger)</f>
        <v>0.87185724771003226</v>
      </c>
      <c r="X38" s="44"/>
      <c r="Y38" s="33"/>
      <c r="Z38" s="49">
        <f t="shared" si="5"/>
        <v>47973</v>
      </c>
      <c r="AA38" s="50">
        <f t="shared" si="2"/>
        <v>0.87185724771003226</v>
      </c>
    </row>
    <row r="39" spans="4:27" x14ac:dyDescent="0.2">
      <c r="D39" s="11">
        <v>45050</v>
      </c>
      <c r="E39" s="35">
        <f>_xll.qlYieldTSDiscount(C$4,D39,,Triggers!RTDataTrigger)</f>
        <v>0.98043457171949333</v>
      </c>
      <c r="F39" s="44"/>
      <c r="G39" s="33"/>
      <c r="H39" s="49">
        <f t="shared" si="3"/>
        <v>45050</v>
      </c>
      <c r="I39" s="50">
        <f t="shared" si="0"/>
        <v>0.98043457171949333</v>
      </c>
      <c r="J39" s="65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48338</v>
      </c>
      <c r="W39" s="35">
        <f>_xll.qlYieldTSDiscount(U$4,V39,,Triggers!RTDataTrigger)</f>
        <v>0.86093017563480123</v>
      </c>
      <c r="X39" s="44"/>
      <c r="Y39" s="33"/>
      <c r="Z39" s="49">
        <f t="shared" si="5"/>
        <v>48338</v>
      </c>
      <c r="AA39" s="50">
        <f t="shared" si="2"/>
        <v>0.86093017563480123</v>
      </c>
    </row>
    <row r="40" spans="4:27" x14ac:dyDescent="0.2">
      <c r="D40" s="11">
        <v>45418</v>
      </c>
      <c r="E40" s="35">
        <f>_xll.qlYieldTSDiscount(C$4,D40,,Triggers!RTDataTrigger)</f>
        <v>0.9720382887872322</v>
      </c>
      <c r="F40" s="44"/>
      <c r="G40" s="33"/>
      <c r="H40" s="49">
        <f t="shared" si="3"/>
        <v>45418</v>
      </c>
      <c r="I40" s="50">
        <f t="shared" si="0"/>
        <v>0.9720382887872322</v>
      </c>
      <c r="J40" s="65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>
        <v>48703</v>
      </c>
      <c r="W40" s="35">
        <f>_xll.qlYieldTSDiscount(U$4,V40,,Triggers!RTDataTrigger)</f>
        <v>0.85018915984416921</v>
      </c>
      <c r="X40" s="44"/>
      <c r="Y40" s="33"/>
      <c r="Z40" s="49">
        <f t="shared" si="5"/>
        <v>48703</v>
      </c>
      <c r="AA40" s="50">
        <f t="shared" si="2"/>
        <v>0.85018915984416921</v>
      </c>
    </row>
    <row r="41" spans="4:27" x14ac:dyDescent="0.2">
      <c r="D41" s="11">
        <v>45782</v>
      </c>
      <c r="E41" s="35">
        <f>_xll.qlYieldTSDiscount(C$4,D41,,Triggers!RTDataTrigger)</f>
        <v>0.96300806440383591</v>
      </c>
      <c r="F41" s="44"/>
      <c r="G41" s="33"/>
      <c r="H41" s="49">
        <f t="shared" si="3"/>
        <v>45782</v>
      </c>
      <c r="I41" s="50">
        <f t="shared" si="0"/>
        <v>0.96300806440383591</v>
      </c>
      <c r="J41" s="65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>
        <v>49068</v>
      </c>
      <c r="W41" s="35">
        <f>_xll.qlYieldTSDiscount(U$4,V41,,Triggers!RTDataTrigger)</f>
        <v>0.83973473417811906</v>
      </c>
      <c r="X41" s="44"/>
      <c r="Y41" s="33"/>
      <c r="Z41" s="49">
        <f t="shared" si="5"/>
        <v>49068</v>
      </c>
      <c r="AA41" s="50">
        <f t="shared" si="2"/>
        <v>0.83973473417811906</v>
      </c>
    </row>
    <row r="42" spans="4:27" x14ac:dyDescent="0.2">
      <c r="D42" s="11">
        <v>46146</v>
      </c>
      <c r="E42" s="35">
        <f>_xll.qlYieldTSDiscount(C$4,D42,,Triggers!RTDataTrigger)</f>
        <v>0.95340176207082916</v>
      </c>
      <c r="F42" s="44"/>
      <c r="G42" s="33"/>
      <c r="H42" s="49">
        <f t="shared" si="3"/>
        <v>46146</v>
      </c>
      <c r="I42" s="50">
        <f t="shared" si="0"/>
        <v>0.95340176207082916</v>
      </c>
      <c r="J42" s="65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>
        <v>49433</v>
      </c>
      <c r="W42" s="35">
        <f>_xll.qlYieldTSDiscount(U$4,V42,,Triggers!RTDataTrigger)</f>
        <v>0.8298283950805917</v>
      </c>
      <c r="X42" s="44"/>
      <c r="Y42" s="33"/>
      <c r="Z42" s="49">
        <f t="shared" si="5"/>
        <v>49433</v>
      </c>
      <c r="AA42" s="50">
        <f t="shared" si="2"/>
        <v>0.8298283950805917</v>
      </c>
    </row>
    <row r="43" spans="4:27" x14ac:dyDescent="0.2">
      <c r="D43" s="11">
        <v>46511</v>
      </c>
      <c r="E43" s="35">
        <f>_xll.qlYieldTSDiscount(C$4,D43,,Triggers!RTDataTrigger)</f>
        <v>0.94325049710283504</v>
      </c>
      <c r="F43" s="44"/>
      <c r="G43" s="33"/>
      <c r="H43" s="49">
        <f t="shared" si="3"/>
        <v>46511</v>
      </c>
      <c r="I43" s="50">
        <f t="shared" si="0"/>
        <v>0.94325049710283504</v>
      </c>
      <c r="J43" s="65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>
        <v>49800</v>
      </c>
      <c r="W43" s="35">
        <f>_xll.qlYieldTSDiscount(U$4,V43,,Triggers!RTDataTrigger)</f>
        <v>0.82016260884866143</v>
      </c>
      <c r="X43" s="44"/>
      <c r="Y43" s="33"/>
      <c r="Z43" s="49">
        <f t="shared" si="5"/>
        <v>49800</v>
      </c>
      <c r="AA43" s="50">
        <f t="shared" si="2"/>
        <v>0.82016260884866143</v>
      </c>
    </row>
    <row r="44" spans="4:27" x14ac:dyDescent="0.2">
      <c r="D44" s="11">
        <v>47609</v>
      </c>
      <c r="E44" s="35">
        <f>_xll.qlYieldTSDiscount(C$4,D44,,Triggers!RTDataTrigger)</f>
        <v>0.91202366214228781</v>
      </c>
      <c r="F44" s="44"/>
      <c r="G44" s="33"/>
      <c r="H44" s="49">
        <f t="shared" si="3"/>
        <v>47609</v>
      </c>
      <c r="I44" s="50">
        <f t="shared" si="0"/>
        <v>0.91202366214228781</v>
      </c>
      <c r="J44" s="65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>
        <v>50164</v>
      </c>
      <c r="W44" s="35">
        <f>_xll.qlYieldTSDiscount(U$4,V44,,Triggers!RTDataTrigger)</f>
        <v>0.81104964801743573</v>
      </c>
      <c r="X44" s="44"/>
      <c r="Y44" s="33"/>
      <c r="Z44" s="49">
        <f t="shared" si="5"/>
        <v>50164</v>
      </c>
      <c r="AA44" s="50">
        <f t="shared" si="2"/>
        <v>0.81104964801743573</v>
      </c>
    </row>
    <row r="45" spans="4:27" x14ac:dyDescent="0.2">
      <c r="D45" s="11">
        <v>49433</v>
      </c>
      <c r="E45" s="35">
        <f>_xll.qlYieldTSDiscount(C$4,D45,,Triggers!RTDataTrigger)</f>
        <v>0.86195946860773331</v>
      </c>
      <c r="F45" s="44"/>
      <c r="G45" s="33"/>
      <c r="H45" s="49">
        <f t="shared" si="3"/>
        <v>49433</v>
      </c>
      <c r="I45" s="50">
        <f t="shared" si="0"/>
        <v>0.86195946860773331</v>
      </c>
      <c r="J45" s="65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>
        <v>50529</v>
      </c>
      <c r="W45" s="35">
        <f>_xll.qlYieldTSDiscount(U$4,V45,,Triggers!RTDataTrigger)</f>
        <v>0.80208056090152158</v>
      </c>
      <c r="X45" s="44"/>
      <c r="Y45" s="33"/>
      <c r="Z45" s="49">
        <f t="shared" si="5"/>
        <v>50529</v>
      </c>
      <c r="AA45" s="50">
        <f t="shared" si="2"/>
        <v>0.80208056090152158</v>
      </c>
    </row>
    <row r="46" spans="4:27" x14ac:dyDescent="0.2">
      <c r="D46" s="11">
        <v>51260</v>
      </c>
      <c r="E46" s="12">
        <f>_xll.qlYieldTSDiscount(C$4,D46,,Triggers!RTDataTrigger)</f>
        <v>0.8181734212336228</v>
      </c>
      <c r="F46" s="44"/>
      <c r="G46" s="33"/>
      <c r="H46" s="49">
        <f t="shared" si="3"/>
        <v>51260</v>
      </c>
      <c r="I46" s="50">
        <f t="shared" si="0"/>
        <v>0.8181734212336228</v>
      </c>
      <c r="J46" s="65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>
        <v>50894</v>
      </c>
      <c r="W46" s="12">
        <f>_xll.qlYieldTSDiscount(U$4,V46,,Triggers!RTDataTrigger)</f>
        <v>0.79330038705666817</v>
      </c>
      <c r="X46" s="44"/>
      <c r="Y46" s="33"/>
      <c r="Z46" s="49">
        <f t="shared" si="5"/>
        <v>50894</v>
      </c>
      <c r="AA46" s="50">
        <f t="shared" si="2"/>
        <v>0.79330038705666817</v>
      </c>
    </row>
    <row r="47" spans="4:27" x14ac:dyDescent="0.2">
      <c r="D47" s="11">
        <v>53086</v>
      </c>
      <c r="E47" s="12">
        <f>_xll.qlYieldTSDiscount(C$4,D47,,Triggers!RTDataTrigger)</f>
        <v>0.77604130523621384</v>
      </c>
      <c r="F47" s="44"/>
      <c r="G47" s="33"/>
      <c r="H47" s="49">
        <f t="shared" si="3"/>
        <v>53086</v>
      </c>
      <c r="I47" s="50">
        <f t="shared" si="0"/>
        <v>0.77604130523621384</v>
      </c>
      <c r="J47" s="65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>
        <v>51260</v>
      </c>
      <c r="W47" s="12">
        <f>_xll.qlYieldTSDiscount(U$4,V47,,Triggers!RTDataTrigger)</f>
        <v>0.78450888806574259</v>
      </c>
      <c r="X47" s="44"/>
      <c r="Y47" s="33"/>
      <c r="Z47" s="49">
        <f t="shared" si="5"/>
        <v>51260</v>
      </c>
      <c r="AA47" s="50">
        <f t="shared" si="2"/>
        <v>0.78450888806574259</v>
      </c>
    </row>
    <row r="48" spans="4:27" x14ac:dyDescent="0.2">
      <c r="D48" s="11">
        <v>56738</v>
      </c>
      <c r="E48" s="12">
        <f>_xll.qlYieldTSDiscount(C$4,D48,,Triggers!RTDataTrigger)</f>
        <v>0.70017396162161671</v>
      </c>
      <c r="F48" s="44"/>
      <c r="G48" s="33"/>
      <c r="H48" s="49">
        <f t="shared" si="3"/>
        <v>56738</v>
      </c>
      <c r="I48" s="50">
        <f t="shared" si="0"/>
        <v>0.70017396162161671</v>
      </c>
      <c r="J48" s="65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>
        <v>51627</v>
      </c>
      <c r="W48" s="12">
        <f>_xll.qlYieldTSDiscount(U$4,V48,,Triggers!RTDataTrigger)</f>
        <v>0.77589805861588879</v>
      </c>
      <c r="X48" s="44"/>
      <c r="Y48" s="33"/>
      <c r="Z48" s="49">
        <f t="shared" si="5"/>
        <v>51627</v>
      </c>
      <c r="AA48" s="50">
        <f t="shared" si="2"/>
        <v>0.77589805861588879</v>
      </c>
    </row>
    <row r="49" spans="4:27" x14ac:dyDescent="0.2">
      <c r="D49" s="11">
        <v>60391</v>
      </c>
      <c r="E49" s="12">
        <f>_xll.qlYieldTSDiscount(C$4,D49,,Triggers!RTDataTrigger)</f>
        <v>0.64766430617844273</v>
      </c>
      <c r="F49" s="44"/>
      <c r="G49" s="33"/>
      <c r="H49" s="49">
        <f t="shared" si="3"/>
        <v>60391</v>
      </c>
      <c r="I49" s="50">
        <f t="shared" si="0"/>
        <v>0.64766430617844273</v>
      </c>
      <c r="J49" s="65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>
        <v>51991</v>
      </c>
      <c r="W49" s="12">
        <f>_xll.qlYieldTSDiscount(U$4,V49,,Triggers!RTDataTrigger)</f>
        <v>0.76711479651950876</v>
      </c>
      <c r="X49" s="44"/>
      <c r="Y49" s="33"/>
      <c r="Z49" s="49">
        <f t="shared" si="5"/>
        <v>51991</v>
      </c>
      <c r="AA49" s="50">
        <f t="shared" si="2"/>
        <v>0.76711479651950876</v>
      </c>
    </row>
    <row r="50" spans="4:27" x14ac:dyDescent="0.2">
      <c r="D50" s="11">
        <v>64045</v>
      </c>
      <c r="E50" s="12">
        <f>_xll.qlYieldTSDiscount(C$4,D50,,Triggers!RTDataTrigger)</f>
        <v>0.59604398753358878</v>
      </c>
      <c r="F50" s="44"/>
      <c r="G50" s="33"/>
      <c r="H50" s="49">
        <f t="shared" si="3"/>
        <v>64045</v>
      </c>
      <c r="I50" s="50">
        <f t="shared" si="0"/>
        <v>0.59604398753358878</v>
      </c>
      <c r="J50" s="65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>
        <v>52355</v>
      </c>
      <c r="W50" s="12">
        <f>_xll.qlYieldTSDiscount(U$4,V50,,Triggers!RTDataTrigger)</f>
        <v>0.7585712065262824</v>
      </c>
      <c r="X50" s="44"/>
      <c r="Y50" s="33"/>
      <c r="Z50" s="49">
        <f t="shared" si="5"/>
        <v>52355</v>
      </c>
      <c r="AA50" s="50">
        <f t="shared" si="2"/>
        <v>0.7585712065262824</v>
      </c>
    </row>
    <row r="51" spans="4:27" x14ac:dyDescent="0.2"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J51" s="65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>
        <v>52721</v>
      </c>
      <c r="W51" s="12">
        <f>_xll.qlYieldTSDiscount(U$4,V51,,Triggers!RTDataTrigger)</f>
        <v>0.75001484996624634</v>
      </c>
      <c r="X51" s="44"/>
      <c r="Y51" s="33"/>
      <c r="Z51" s="49">
        <f t="shared" si="5"/>
        <v>52721</v>
      </c>
      <c r="AA51" s="50">
        <f t="shared" si="2"/>
        <v>0.75001484996624634</v>
      </c>
    </row>
    <row r="52" spans="4:27" x14ac:dyDescent="0.2"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J52" s="65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>
        <v>53086</v>
      </c>
      <c r="W52" s="12">
        <f>_xll.qlYieldTSDiscount(U$4,V52,,Triggers!RTDataTrigger)</f>
        <v>0.74146725831935512</v>
      </c>
      <c r="X52" s="44"/>
      <c r="Y52" s="33"/>
      <c r="Z52" s="49">
        <f t="shared" si="5"/>
        <v>53086</v>
      </c>
      <c r="AA52" s="50">
        <f t="shared" si="2"/>
        <v>0.74146725831935512</v>
      </c>
    </row>
    <row r="53" spans="4:27" x14ac:dyDescent="0.2"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J53" s="65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>
        <v>54912</v>
      </c>
      <c r="W53" s="12">
        <f>_xll.qlYieldTSDiscount(U$4,V53,,Triggers!RTDataTrigger)</f>
        <v>0.70123046867497218</v>
      </c>
      <c r="X53" s="44"/>
      <c r="Y53" s="33"/>
      <c r="Z53" s="49">
        <f t="shared" si="5"/>
        <v>54912</v>
      </c>
      <c r="AA53" s="50">
        <f t="shared" si="2"/>
        <v>0.70123046867497218</v>
      </c>
    </row>
    <row r="54" spans="4:27" x14ac:dyDescent="0.2"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J54" s="65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>
        <v>56738</v>
      </c>
      <c r="W54" s="12">
        <f>_xll.qlYieldTSDiscount(U$4,V54,,Triggers!RTDataTrigger)</f>
        <v>0.66535269507280903</v>
      </c>
      <c r="X54" s="44"/>
      <c r="Y54" s="33"/>
      <c r="Z54" s="49">
        <f t="shared" si="5"/>
        <v>56738</v>
      </c>
      <c r="AA54" s="50">
        <f t="shared" si="2"/>
        <v>0.66535269507280903</v>
      </c>
    </row>
    <row r="55" spans="4:27" x14ac:dyDescent="0.2"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J55" s="65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>
        <v>60391</v>
      </c>
      <c r="W55" s="12">
        <f>_xll.qlYieldTSDiscount(U$4,V55,,Triggers!RTDataTrigger)</f>
        <v>0.6130939723055131</v>
      </c>
      <c r="X55" s="44"/>
      <c r="Y55" s="33"/>
      <c r="Z55" s="49">
        <f t="shared" si="5"/>
        <v>60391</v>
      </c>
      <c r="AA55" s="50">
        <f t="shared" si="2"/>
        <v>0.6130939723055131</v>
      </c>
    </row>
    <row r="56" spans="4:27" x14ac:dyDescent="0.2"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J56" s="65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>
        <v>64045</v>
      </c>
      <c r="W56" s="12">
        <f>_xll.qlYieldTSDiscount(U$4,V56,,Triggers!RTDataTrigger)</f>
        <v>0.5629229459680376</v>
      </c>
      <c r="X56" s="44"/>
      <c r="Y56" s="33"/>
      <c r="Z56" s="49">
        <f t="shared" si="5"/>
        <v>64045</v>
      </c>
      <c r="AA56" s="50">
        <f t="shared" si="2"/>
        <v>0.5629229459680376</v>
      </c>
    </row>
    <row r="57" spans="4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J57" s="65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4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J58" s="65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4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J59" s="65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4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J60" s="65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4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J61" s="65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4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J62" s="65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4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J63" s="65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4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J64" s="65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J65" s="65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J66" s="65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J67" s="65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J68" s="65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J69" s="65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J70" s="65"/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T70" s="64"/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J71" s="65"/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T71" s="64"/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J72" s="65"/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T72" s="64"/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J73" s="65"/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T73" s="64"/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J74" s="65"/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T74" s="64"/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J75" s="65"/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T75" s="64"/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J76" s="65"/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T76" s="64"/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J77" s="65"/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T77" s="64"/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J78" s="65"/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T78" s="64"/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J79" s="65"/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T79" s="64"/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J80" s="65"/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T80" s="64"/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J81" s="65"/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J82" s="65"/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J83" s="65"/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J84" s="65"/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J85" s="65"/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J86" s="65"/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J87" s="65"/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J88" s="65"/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J89" s="65"/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J90" s="65"/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J91" s="65"/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J92" s="65"/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J93" s="65"/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4" name="Button 3">
              <controlPr defaultSize="0" print="0" autoFill="0" autoPict="0" macro="[0]!rtRun">
                <anchor moveWithCells="1" sizeWithCells="1">
                  <from>
                    <xdr:col>1</xdr:col>
                    <xdr:colOff>66675</xdr:colOff>
                    <xdr:row>16</xdr:row>
                    <xdr:rowOff>114300</xdr:rowOff>
                  </from>
                  <to>
                    <xdr:col>2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5" name="Button 4">
              <controlPr defaultSize="0" print="0" autoFill="0" autoPict="0" macro="[0]!rtFreeze">
                <anchor moveWithCells="1" sizeWithCells="1">
                  <from>
                    <xdr:col>1</xdr:col>
                    <xdr:colOff>66675</xdr:colOff>
                    <xdr:row>18</xdr:row>
                    <xdr:rowOff>76200</xdr:rowOff>
                  </from>
                  <to>
                    <xdr:col>2</xdr:col>
                    <xdr:colOff>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59999389629810485"/>
  </sheetPr>
  <dimension ref="B2:AA93"/>
  <sheetViews>
    <sheetView showGridLines="0" zoomScaleNormal="100" workbookViewId="0"/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36" t="s">
        <v>141</v>
      </c>
      <c r="E2" s="437"/>
      <c r="F2" s="436" t="s">
        <v>75</v>
      </c>
      <c r="G2" s="437"/>
      <c r="H2" s="436" t="s">
        <v>142</v>
      </c>
      <c r="I2" s="437"/>
      <c r="M2" s="436" t="s">
        <v>141</v>
      </c>
      <c r="N2" s="437"/>
      <c r="O2" s="436" t="s">
        <v>75</v>
      </c>
      <c r="P2" s="437"/>
      <c r="Q2" s="436" t="s">
        <v>142</v>
      </c>
      <c r="R2" s="437"/>
      <c r="V2" s="436" t="s">
        <v>141</v>
      </c>
      <c r="W2" s="437"/>
      <c r="X2" s="436" t="s">
        <v>75</v>
      </c>
      <c r="Y2" s="437"/>
      <c r="Z2" s="436" t="s">
        <v>142</v>
      </c>
      <c r="AA2" s="43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155</v>
      </c>
      <c r="D4" s="29">
        <f t="array" ref="D4:D93">CHOOSE(C7,_xll.qlPiecewiseYieldCurveDates(C5),_xll.qlInterpolatedYieldCurveDates(C5))</f>
        <v>42123</v>
      </c>
      <c r="E4" s="34">
        <f>_xll.qlYieldTSDiscount(C$4,D4,,Triggers!RTDataTrigger)</f>
        <v>1</v>
      </c>
      <c r="F4" s="43"/>
      <c r="G4" s="32"/>
      <c r="H4" s="47">
        <f>IF(ISBLANK(F4),D4,F4)</f>
        <v>42123</v>
      </c>
      <c r="I4" s="48">
        <f t="shared" ref="I4:I67" si="0">IF(ISBLANK(G4),E4,G4)</f>
        <v>1</v>
      </c>
      <c r="K4" s="36" t="s">
        <v>10</v>
      </c>
      <c r="L4" s="40" t="s">
        <v>156</v>
      </c>
      <c r="M4" s="29">
        <f t="array" ref="M4:M93">CHOOSE(L7,_xll.qlPiecewiseYieldCurveDates(L5),_xll.qlInterpolatedYieldCurveDates(L5))</f>
        <v>42125</v>
      </c>
      <c r="N4" s="34">
        <f>_xll.qlYieldTSDiscount(L$4,M4,,Triggers!RTDataTrigger)</f>
        <v>1</v>
      </c>
      <c r="O4" s="43"/>
      <c r="P4" s="32"/>
      <c r="Q4" s="47">
        <f>IF(ISBLANK(O4),M4,O4)</f>
        <v>42125</v>
      </c>
      <c r="R4" s="48">
        <f t="shared" ref="R4:R67" si="1">IF(ISBLANK(P4),N4,P4)</f>
        <v>1</v>
      </c>
      <c r="T4" s="36" t="s">
        <v>10</v>
      </c>
      <c r="U4" s="40" t="s">
        <v>157</v>
      </c>
      <c r="V4" s="29">
        <f t="array" ref="V4:V93">CHOOSE(U7,_xll.qlPiecewiseYieldCurveDates(U5),_xll.qlInterpolatedYieldCurveDates(U5))</f>
        <v>42123</v>
      </c>
      <c r="W4" s="34">
        <f>_xll.qlYieldTSDiscount(U$4,V4,,Triggers!RTDataTrigger)</f>
        <v>1</v>
      </c>
      <c r="X4" s="43"/>
      <c r="Y4" s="32"/>
      <c r="Z4" s="47">
        <f>IF(ISBLANK(X4),V4,X4)</f>
        <v>42123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_USDYCON</v>
      </c>
      <c r="D5" s="11">
        <v>42124</v>
      </c>
      <c r="E5" s="35">
        <f>_xll.qlYieldTSDiscount(C$4,D5,,Triggers!RTDataTrigger)</f>
        <v>0.99999222228271556</v>
      </c>
      <c r="F5" s="44"/>
      <c r="G5" s="33"/>
      <c r="H5" s="49">
        <f t="shared" ref="H5:I68" si="3">IF(ISBLANK(F5),D5,F5)</f>
        <v>42124</v>
      </c>
      <c r="I5" s="50">
        <f t="shared" si="0"/>
        <v>0.99999222228271556</v>
      </c>
      <c r="K5" s="37" t="s">
        <v>16</v>
      </c>
      <c r="L5" s="23" t="str">
        <f>_xll.qlHandleCurrentLink(L4,ObjectsTrigger)</f>
        <v>_USDYC3M</v>
      </c>
      <c r="M5" s="11">
        <v>42156</v>
      </c>
      <c r="N5" s="35">
        <f>_xll.qlYieldTSDiscount(L$4,M5,,Triggers!RTDataTrigger)</f>
        <v>0.9997718576164123</v>
      </c>
      <c r="O5" s="44"/>
      <c r="P5" s="33"/>
      <c r="Q5" s="49">
        <f t="shared" ref="Q5:R68" si="4">IF(ISBLANK(O5),M5,O5)</f>
        <v>42156</v>
      </c>
      <c r="R5" s="50">
        <f t="shared" si="1"/>
        <v>0.9997718576164123</v>
      </c>
      <c r="T5" s="37" t="s">
        <v>16</v>
      </c>
      <c r="U5" s="23" t="str">
        <f>_xll.qlHandleCurrentLink(U4,ObjectsTrigger)</f>
        <v>_USDYCSTD</v>
      </c>
      <c r="V5" s="11">
        <v>42124</v>
      </c>
      <c r="W5" s="35">
        <f>_xll.qlYieldTSDiscount(U$4,V5,,Triggers!RTDataTrigger)</f>
        <v>0.99999222228271556</v>
      </c>
      <c r="X5" s="44"/>
      <c r="Y5" s="33"/>
      <c r="Z5" s="49">
        <f t="shared" ref="Z5:AA68" si="5">IF(ISBLANK(X5),V5,X5)</f>
        <v>42124</v>
      </c>
      <c r="AA5" s="50">
        <f t="shared" si="2"/>
        <v>0.99999222228271556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42132</v>
      </c>
      <c r="E6" s="35">
        <f>_xll.qlYieldTSDiscount(C$4,D6,,Triggers!RTDataTrigger)</f>
        <v>0.99996131171435754</v>
      </c>
      <c r="F6" s="44"/>
      <c r="G6" s="33"/>
      <c r="H6" s="49">
        <f t="shared" si="3"/>
        <v>42132</v>
      </c>
      <c r="I6" s="50">
        <f t="shared" si="0"/>
        <v>0.99996131171435754</v>
      </c>
      <c r="K6" s="37" t="s">
        <v>133</v>
      </c>
      <c r="L6" s="27" t="str">
        <f>_xll.ohObjectClassName(L5)</f>
        <v>qlPiecewiseYieldCurve</v>
      </c>
      <c r="M6" s="11">
        <v>42186</v>
      </c>
      <c r="N6" s="35">
        <f>_xll.qlYieldTSDiscount(L$4,M6,,Triggers!RTDataTrigger)</f>
        <v>0.99954118560728644</v>
      </c>
      <c r="O6" s="44"/>
      <c r="P6" s="33"/>
      <c r="Q6" s="49">
        <f t="shared" si="4"/>
        <v>42186</v>
      </c>
      <c r="R6" s="50">
        <f t="shared" si="1"/>
        <v>0.99954118560728644</v>
      </c>
      <c r="T6" s="37" t="s">
        <v>133</v>
      </c>
      <c r="U6" s="27" t="str">
        <f>_xll.ohObjectClassName(U5)</f>
        <v>qlPiecewiseYieldCurve</v>
      </c>
      <c r="V6" s="11">
        <v>42125</v>
      </c>
      <c r="W6" s="35">
        <f>_xll.qlYieldTSDiscount(U$4,V6,,Triggers!RTDataTrigger)</f>
        <v>0.999983333541973</v>
      </c>
      <c r="X6" s="44"/>
      <c r="Y6" s="33"/>
      <c r="Z6" s="49">
        <f t="shared" si="5"/>
        <v>42125</v>
      </c>
      <c r="AA6" s="50">
        <f t="shared" si="2"/>
        <v>0.999983333541973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42139</v>
      </c>
      <c r="E7" s="35">
        <f>_xll.qlYieldTSDiscount(C$4,D7,,Triggers!RTDataTrigger)</f>
        <v>0.99993700828087395</v>
      </c>
      <c r="F7" s="44"/>
      <c r="G7" s="33"/>
      <c r="H7" s="49">
        <f t="shared" si="3"/>
        <v>42139</v>
      </c>
      <c r="I7" s="50">
        <f t="shared" si="0"/>
        <v>0.99993700828087395</v>
      </c>
      <c r="K7" s="38" t="s">
        <v>134</v>
      </c>
      <c r="L7" s="26">
        <f>MATCH(L6,{"qlPiecewiseYieldCurve","qlInterpolatedYieldCurve"})</f>
        <v>1</v>
      </c>
      <c r="M7" s="11">
        <v>42219</v>
      </c>
      <c r="N7" s="35">
        <f>_xll.qlYieldTSDiscount(L$4,M7,,Triggers!RTDataTrigger)</f>
        <v>0.99927437691120602</v>
      </c>
      <c r="O7" s="44"/>
      <c r="P7" s="33"/>
      <c r="Q7" s="49">
        <f t="shared" si="4"/>
        <v>42219</v>
      </c>
      <c r="R7" s="50">
        <f t="shared" si="1"/>
        <v>0.99927437691120602</v>
      </c>
      <c r="T7" s="38" t="s">
        <v>134</v>
      </c>
      <c r="U7" s="26">
        <f>MATCH(U6,{"qlPiecewiseYieldCurve","qlInterpolatedYieldCurve"})</f>
        <v>1</v>
      </c>
      <c r="V7" s="11">
        <v>42129</v>
      </c>
      <c r="W7" s="35">
        <f>_xll.qlYieldTSDiscount(U$4,V7,,Triggers!RTDataTrigger)</f>
        <v>0.99995222391722893</v>
      </c>
      <c r="X7" s="44"/>
      <c r="Y7" s="33"/>
      <c r="Z7" s="49">
        <f t="shared" si="5"/>
        <v>42129</v>
      </c>
      <c r="AA7" s="50">
        <f t="shared" si="2"/>
        <v>0.99995222391722893</v>
      </c>
    </row>
    <row r="8" spans="2:27" x14ac:dyDescent="0.2">
      <c r="B8" s="36" t="s">
        <v>4</v>
      </c>
      <c r="C8" s="40" t="s">
        <v>158</v>
      </c>
      <c r="D8" s="11">
        <v>42146</v>
      </c>
      <c r="E8" s="35">
        <f>_xll.qlYieldTSDiscount(C$4,D8,,Triggers!RTDataTrigger)</f>
        <v>0.99991270602771987</v>
      </c>
      <c r="F8" s="44"/>
      <c r="G8" s="33"/>
      <c r="H8" s="49">
        <f t="shared" si="3"/>
        <v>42146</v>
      </c>
      <c r="I8" s="50">
        <f t="shared" si="0"/>
        <v>0.99991270602771987</v>
      </c>
      <c r="K8" s="36" t="s">
        <v>4</v>
      </c>
      <c r="L8" s="40" t="s">
        <v>158</v>
      </c>
      <c r="M8" s="11">
        <v>42236</v>
      </c>
      <c r="N8" s="35">
        <f>_xll.qlYieldTSDiscount(L$4,M8,,Triggers!RTDataTrigger)</f>
        <v>0.99911794726934366</v>
      </c>
      <c r="O8" s="44"/>
      <c r="P8" s="33"/>
      <c r="Q8" s="49">
        <f t="shared" si="4"/>
        <v>42236</v>
      </c>
      <c r="R8" s="50">
        <f t="shared" si="1"/>
        <v>0.99911794726934366</v>
      </c>
      <c r="T8" s="36" t="s">
        <v>4</v>
      </c>
      <c r="U8" s="40" t="s">
        <v>158</v>
      </c>
      <c r="V8" s="11">
        <v>42132</v>
      </c>
      <c r="W8" s="35">
        <f>_xll.qlYieldTSDiscount(U$4,V8,,Triggers!RTDataTrigger)</f>
        <v>0.99995463484395297</v>
      </c>
      <c r="X8" s="44"/>
      <c r="Y8" s="33"/>
      <c r="Z8" s="49">
        <f t="shared" si="5"/>
        <v>42132</v>
      </c>
      <c r="AA8" s="50">
        <f t="shared" si="2"/>
        <v>0.99995463484395297</v>
      </c>
    </row>
    <row r="9" spans="2:27" x14ac:dyDescent="0.2">
      <c r="B9" s="37" t="s">
        <v>5</v>
      </c>
      <c r="C9" s="41" t="str">
        <f>C4&amp;"_"</f>
        <v>USDON_</v>
      </c>
      <c r="D9" s="11">
        <v>42156</v>
      </c>
      <c r="E9" s="35">
        <f>_xll.qlYieldTSDiscount(C$4,D9,,Triggers!RTDataTrigger)</f>
        <v>0.99987799057343463</v>
      </c>
      <c r="F9" s="44"/>
      <c r="G9" s="33"/>
      <c r="H9" s="49">
        <f t="shared" si="3"/>
        <v>42156</v>
      </c>
      <c r="I9" s="50">
        <f t="shared" si="0"/>
        <v>0.99987799057343463</v>
      </c>
      <c r="K9" s="37" t="s">
        <v>5</v>
      </c>
      <c r="L9" s="41" t="str">
        <f>L4&amp;"_"</f>
        <v>USD3M_</v>
      </c>
      <c r="M9" s="11">
        <v>42264</v>
      </c>
      <c r="N9" s="35">
        <f>_xll.qlYieldTSDiscount(L$4,M9,,Triggers!RTDataTrigger)</f>
        <v>0.99886547791357472</v>
      </c>
      <c r="O9" s="44"/>
      <c r="P9" s="33"/>
      <c r="Q9" s="49">
        <f t="shared" si="4"/>
        <v>42264</v>
      </c>
      <c r="R9" s="50">
        <f t="shared" si="1"/>
        <v>0.99886547791357472</v>
      </c>
      <c r="T9" s="37" t="s">
        <v>5</v>
      </c>
      <c r="U9" s="41" t="str">
        <f>U4&amp;"_"</f>
        <v>USDSTD_</v>
      </c>
      <c r="V9" s="11">
        <v>42139</v>
      </c>
      <c r="W9" s="35">
        <f>_xll.qlYieldTSDiscount(U$4,V9,,Triggers!RTDataTrigger)</f>
        <v>0.99992223493706811</v>
      </c>
      <c r="X9" s="44"/>
      <c r="Y9" s="33"/>
      <c r="Z9" s="49">
        <f t="shared" si="5"/>
        <v>42139</v>
      </c>
      <c r="AA9" s="50">
        <f t="shared" si="2"/>
        <v>0.99992223493706811</v>
      </c>
    </row>
    <row r="10" spans="2:27" x14ac:dyDescent="0.2">
      <c r="B10" s="37" t="s">
        <v>6</v>
      </c>
      <c r="C10" s="41" t="s">
        <v>11</v>
      </c>
      <c r="D10" s="11">
        <v>42186</v>
      </c>
      <c r="E10" s="35">
        <f>_xll.qlYieldTSDiscount(C$4,D10,,Triggers!RTDataTrigger)</f>
        <v>0.99976539023053845</v>
      </c>
      <c r="F10" s="44"/>
      <c r="G10" s="33"/>
      <c r="H10" s="49">
        <f t="shared" si="3"/>
        <v>42186</v>
      </c>
      <c r="I10" s="50">
        <f t="shared" si="0"/>
        <v>0.99976539023053845</v>
      </c>
      <c r="K10" s="37" t="s">
        <v>6</v>
      </c>
      <c r="L10" s="41" t="s">
        <v>11</v>
      </c>
      <c r="M10" s="11">
        <v>42354</v>
      </c>
      <c r="N10" s="35">
        <f>_xll.qlYieldTSDiscount(L$4,M10,,Triggers!RTDataTrigger)</f>
        <v>0.99778759151483343</v>
      </c>
      <c r="O10" s="44"/>
      <c r="P10" s="33"/>
      <c r="Q10" s="49">
        <f t="shared" si="4"/>
        <v>42354</v>
      </c>
      <c r="R10" s="50">
        <f t="shared" si="1"/>
        <v>0.99778759151483343</v>
      </c>
      <c r="T10" s="37" t="s">
        <v>6</v>
      </c>
      <c r="U10" s="41" t="s">
        <v>58</v>
      </c>
      <c r="V10" s="11">
        <v>42146</v>
      </c>
      <c r="W10" s="35">
        <f>_xll.qlYieldTSDiscount(U$4,V10,,Triggers!RTDataTrigger)</f>
        <v>0.9998861345415988</v>
      </c>
      <c r="X10" s="44"/>
      <c r="Y10" s="33"/>
      <c r="Z10" s="49">
        <f t="shared" si="5"/>
        <v>42146</v>
      </c>
      <c r="AA10" s="50">
        <f t="shared" si="2"/>
        <v>0.9998861345415988</v>
      </c>
    </row>
    <row r="11" spans="2:27" x14ac:dyDescent="0.2">
      <c r="B11" s="37" t="s">
        <v>7</v>
      </c>
      <c r="C11" s="41" t="s">
        <v>12</v>
      </c>
      <c r="D11" s="11">
        <v>42219</v>
      </c>
      <c r="E11" s="35">
        <f>_xll.qlYieldTSDiscount(C$4,D11,,Triggers!RTDataTrigger)</f>
        <v>0.99963063638301097</v>
      </c>
      <c r="F11" s="44"/>
      <c r="G11" s="33"/>
      <c r="H11" s="49">
        <f t="shared" si="3"/>
        <v>42219</v>
      </c>
      <c r="I11" s="50">
        <f t="shared" si="0"/>
        <v>0.99963063638301097</v>
      </c>
      <c r="K11" s="37" t="s">
        <v>7</v>
      </c>
      <c r="L11" s="41" t="s">
        <v>12</v>
      </c>
      <c r="M11" s="11">
        <v>42445</v>
      </c>
      <c r="N11" s="35">
        <f>_xll.qlYieldTSDiscount(L$4,M11,,Triggers!RTDataTrigger)</f>
        <v>0.99625272777198981</v>
      </c>
      <c r="O11" s="44"/>
      <c r="P11" s="33"/>
      <c r="Q11" s="49">
        <f t="shared" si="4"/>
        <v>42445</v>
      </c>
      <c r="R11" s="50">
        <f t="shared" si="1"/>
        <v>0.99625272777198981</v>
      </c>
      <c r="T11" s="37" t="s">
        <v>7</v>
      </c>
      <c r="U11" s="41" t="s">
        <v>46</v>
      </c>
      <c r="V11" s="11">
        <v>42156</v>
      </c>
      <c r="W11" s="35">
        <f>_xll.qlYieldTSDiscount(U$4,V11,,Triggers!RTDataTrigger)</f>
        <v>0.99982814493874805</v>
      </c>
      <c r="X11" s="44"/>
      <c r="Y11" s="33"/>
      <c r="Z11" s="49">
        <f t="shared" si="5"/>
        <v>42156</v>
      </c>
      <c r="AA11" s="50">
        <f t="shared" si="2"/>
        <v>0.99982814493874805</v>
      </c>
    </row>
    <row r="12" spans="2:27" x14ac:dyDescent="0.2">
      <c r="B12" s="37" t="s">
        <v>8</v>
      </c>
      <c r="C12" s="41" t="s">
        <v>13</v>
      </c>
      <c r="D12" s="11">
        <v>42248</v>
      </c>
      <c r="E12" s="35">
        <f>_xll.qlYieldTSDiscount(C$4,D12,,Triggers!RTDataTrigger)</f>
        <v>0.99949386534724682</v>
      </c>
      <c r="F12" s="44"/>
      <c r="G12" s="33"/>
      <c r="H12" s="49">
        <f t="shared" si="3"/>
        <v>42248</v>
      </c>
      <c r="I12" s="50">
        <f t="shared" si="0"/>
        <v>0.99949386534724682</v>
      </c>
      <c r="K12" s="37" t="s">
        <v>8</v>
      </c>
      <c r="L12" s="41" t="s">
        <v>13</v>
      </c>
      <c r="M12" s="11">
        <v>42537</v>
      </c>
      <c r="N12" s="35">
        <f>_xll.qlYieldTSDiscount(L$4,M12,,Triggers!RTDataTrigger)</f>
        <v>0.99425209486950705</v>
      </c>
      <c r="O12" s="44"/>
      <c r="P12" s="33"/>
      <c r="Q12" s="49">
        <f t="shared" si="4"/>
        <v>42537</v>
      </c>
      <c r="R12" s="50">
        <f t="shared" si="1"/>
        <v>0.99425209486950705</v>
      </c>
      <c r="T12" s="37" t="s">
        <v>8</v>
      </c>
      <c r="U12" s="41" t="s">
        <v>13</v>
      </c>
      <c r="V12" s="11">
        <v>42186</v>
      </c>
      <c r="W12" s="35">
        <f>_xll.qlYieldTSDiscount(U$4,V12,,Triggers!RTDataTrigger)</f>
        <v>0.99958911364368852</v>
      </c>
      <c r="X12" s="44"/>
      <c r="Y12" s="33"/>
      <c r="Z12" s="49">
        <f t="shared" si="5"/>
        <v>42186</v>
      </c>
      <c r="AA12" s="50">
        <f t="shared" si="2"/>
        <v>0.99958911364368852</v>
      </c>
    </row>
    <row r="13" spans="2:27" x14ac:dyDescent="0.2">
      <c r="B13" s="38" t="s">
        <v>9</v>
      </c>
      <c r="C13" s="42">
        <v>5</v>
      </c>
      <c r="D13" s="11">
        <v>42278</v>
      </c>
      <c r="E13" s="35">
        <f>_xll.qlYieldTSDiscount(C$4,D13,,Triggers!RTDataTrigger)</f>
        <v>0.99932306513681179</v>
      </c>
      <c r="F13" s="44"/>
      <c r="G13" s="33"/>
      <c r="H13" s="49">
        <f t="shared" si="3"/>
        <v>42278</v>
      </c>
      <c r="I13" s="50">
        <f t="shared" si="0"/>
        <v>0.99932306513681179</v>
      </c>
      <c r="K13" s="38" t="s">
        <v>9</v>
      </c>
      <c r="L13" s="42">
        <v>5</v>
      </c>
      <c r="M13" s="11">
        <v>42628</v>
      </c>
      <c r="N13" s="35">
        <f>_xll.qlYieldTSDiscount(L$4,M13,,Triggers!RTDataTrigger)</f>
        <v>0.9918056431693123</v>
      </c>
      <c r="O13" s="44"/>
      <c r="P13" s="33"/>
      <c r="Q13" s="49">
        <f t="shared" si="4"/>
        <v>42628</v>
      </c>
      <c r="R13" s="50">
        <f t="shared" si="1"/>
        <v>0.9918056431693123</v>
      </c>
      <c r="T13" s="38" t="s">
        <v>9</v>
      </c>
      <c r="U13" s="42">
        <v>5</v>
      </c>
      <c r="V13" s="11">
        <v>42219</v>
      </c>
      <c r="W13" s="35">
        <f>_xll.qlYieldTSDiscount(U$4,V13,,Triggers!RTDataTrigger)</f>
        <v>0.99925759218277932</v>
      </c>
      <c r="X13" s="44"/>
      <c r="Y13" s="33"/>
      <c r="Z13" s="49">
        <f t="shared" si="5"/>
        <v>42219</v>
      </c>
      <c r="AA13" s="50">
        <f t="shared" si="2"/>
        <v>0.99925759218277932</v>
      </c>
    </row>
    <row r="14" spans="2:27" x14ac:dyDescent="0.2">
      <c r="B14" s="37" t="s">
        <v>17</v>
      </c>
      <c r="C14" s="28">
        <f>COUNT(H4:H93)</f>
        <v>36</v>
      </c>
      <c r="D14" s="11">
        <v>42310</v>
      </c>
      <c r="E14" s="35">
        <f>_xll.qlYieldTSDiscount(C$4,D14,,Triggers!RTDataTrigger)</f>
        <v>0.99910252071207928</v>
      </c>
      <c r="F14" s="44"/>
      <c r="G14" s="33"/>
      <c r="H14" s="49">
        <f t="shared" si="3"/>
        <v>42310</v>
      </c>
      <c r="I14" s="50">
        <f t="shared" si="0"/>
        <v>0.99910252071207928</v>
      </c>
      <c r="K14" s="37" t="s">
        <v>17</v>
      </c>
      <c r="L14" s="28">
        <f>COUNT(Q4:Q93)</f>
        <v>28</v>
      </c>
      <c r="M14" s="11">
        <v>42725</v>
      </c>
      <c r="N14" s="35">
        <f>_xll.qlYieldTSDiscount(L$4,M14,,Triggers!RTDataTrigger)</f>
        <v>0.98871341565380477</v>
      </c>
      <c r="O14" s="44"/>
      <c r="P14" s="33"/>
      <c r="Q14" s="49">
        <f t="shared" si="4"/>
        <v>42725</v>
      </c>
      <c r="R14" s="50">
        <f t="shared" si="1"/>
        <v>0.98871341565380477</v>
      </c>
      <c r="T14" s="37" t="s">
        <v>17</v>
      </c>
      <c r="U14" s="28">
        <f>COUNT(Z4:Z93)</f>
        <v>37</v>
      </c>
      <c r="V14" s="11">
        <v>42248</v>
      </c>
      <c r="W14" s="35">
        <f>_xll.qlYieldTSDiscount(U$4,V14,,Triggers!RTDataTrigger)</f>
        <v>0.9988931924161164</v>
      </c>
      <c r="X14" s="44"/>
      <c r="Y14" s="33"/>
      <c r="Z14" s="49">
        <f t="shared" si="5"/>
        <v>42248</v>
      </c>
      <c r="AA14" s="50">
        <f t="shared" si="2"/>
        <v>0.9988931924161164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42123.780057870368</v>
      </c>
      <c r="D15" s="11">
        <v>42339</v>
      </c>
      <c r="E15" s="35">
        <f>_xll.qlYieldTSDiscount(C$4,D15,,Triggers!RTDataTrigger)</f>
        <v>0.99886339330650264</v>
      </c>
      <c r="F15" s="44"/>
      <c r="G15" s="33"/>
      <c r="H15" s="49">
        <f t="shared" si="3"/>
        <v>42339</v>
      </c>
      <c r="I15" s="50">
        <f t="shared" si="0"/>
        <v>0.99886339330650264</v>
      </c>
      <c r="K15" s="38" t="s">
        <v>18</v>
      </c>
      <c r="L15" s="15">
        <f>GetNow(_xll.xlPushShmLiborCurveName(L8,L9,Q4:INDEX(Q4:Q93,L14),R4:INDEX(R4:R93,L14),L10,L11,L12,L13+0*TYPE(ManualTrigger)))</f>
        <v>42123.780057870368</v>
      </c>
      <c r="M15" s="11">
        <v>42815</v>
      </c>
      <c r="N15" s="35">
        <f>_xll.qlYieldTSDiscount(L$4,M15,,Triggers!RTDataTrigger)</f>
        <v>0.98538031120217195</v>
      </c>
      <c r="O15" s="44"/>
      <c r="P15" s="33"/>
      <c r="Q15" s="49">
        <f t="shared" si="4"/>
        <v>42815</v>
      </c>
      <c r="R15" s="50">
        <f t="shared" si="1"/>
        <v>0.98538031120217195</v>
      </c>
      <c r="T15" s="38" t="s">
        <v>18</v>
      </c>
      <c r="U15" s="15">
        <f>GetNow(_xll.xlPushShmLiborCurveName(U8,U9,Z4:INDEX(Z4:Z93,U14),AA4:INDEX(AA4:AA93,U14),U10,U11,U12,U13+0*TYPE(ManualTrigger)))</f>
        <v>42123.780057870368</v>
      </c>
      <c r="V15" s="11">
        <v>42278</v>
      </c>
      <c r="W15" s="35">
        <f>_xll.qlYieldTSDiscount(U$4,V15,,Triggers!RTDataTrigger)</f>
        <v>0.99844674991698845</v>
      </c>
      <c r="X15" s="44"/>
      <c r="Y15" s="33"/>
      <c r="Z15" s="49">
        <f t="shared" si="5"/>
        <v>42278</v>
      </c>
      <c r="AA15" s="50">
        <f t="shared" si="2"/>
        <v>0.99844674991698845</v>
      </c>
    </row>
    <row r="16" spans="2:27" x14ac:dyDescent="0.2">
      <c r="D16" s="11">
        <v>42373</v>
      </c>
      <c r="E16" s="35">
        <f>_xll.qlYieldTSDiscount(C$4,D16,,Triggers!RTDataTrigger)</f>
        <v>0.9985410602618634</v>
      </c>
      <c r="F16" s="44"/>
      <c r="G16" s="33"/>
      <c r="H16" s="49">
        <f t="shared" si="3"/>
        <v>42373</v>
      </c>
      <c r="I16" s="50">
        <f t="shared" si="0"/>
        <v>0.9985410602618634</v>
      </c>
      <c r="M16" s="11">
        <v>42901</v>
      </c>
      <c r="N16" s="35">
        <f>_xll.qlYieldTSDiscount(L$4,M16,,Triggers!RTDataTrigger)</f>
        <v>0.98182886984791695</v>
      </c>
      <c r="O16" s="44"/>
      <c r="P16" s="33"/>
      <c r="Q16" s="49">
        <f t="shared" si="4"/>
        <v>42901</v>
      </c>
      <c r="R16" s="50">
        <f t="shared" si="1"/>
        <v>0.98182886984791695</v>
      </c>
      <c r="V16" s="11">
        <v>42310</v>
      </c>
      <c r="W16" s="35">
        <f>_xll.qlYieldTSDiscount(U$4,V16,,Triggers!RTDataTrigger)</f>
        <v>0.99789287962556161</v>
      </c>
      <c r="X16" s="44"/>
      <c r="Y16" s="33"/>
      <c r="Z16" s="49">
        <f t="shared" si="5"/>
        <v>42310</v>
      </c>
      <c r="AA16" s="50">
        <f t="shared" si="2"/>
        <v>0.99789287962556161</v>
      </c>
    </row>
    <row r="17" spans="2:27" x14ac:dyDescent="0.2">
      <c r="D17" s="11">
        <v>42401</v>
      </c>
      <c r="E17" s="35">
        <f>_xll.qlYieldTSDiscount(C$4,D17,,Triggers!RTDataTrigger)</f>
        <v>0.9982254121854981</v>
      </c>
      <c r="F17" s="44"/>
      <c r="G17" s="33"/>
      <c r="H17" s="49">
        <f t="shared" si="3"/>
        <v>42401</v>
      </c>
      <c r="I17" s="50">
        <f t="shared" si="0"/>
        <v>0.9982254121854981</v>
      </c>
      <c r="M17" s="11">
        <v>43221</v>
      </c>
      <c r="N17" s="35">
        <f>_xll.qlYieldTSDiscount(L$4,M17,,Triggers!RTDataTrigger)</f>
        <v>0.96646507261980807</v>
      </c>
      <c r="O17" s="44"/>
      <c r="P17" s="33"/>
      <c r="Q17" s="49">
        <f t="shared" si="4"/>
        <v>43221</v>
      </c>
      <c r="R17" s="50">
        <f t="shared" si="1"/>
        <v>0.96646507261980807</v>
      </c>
      <c r="V17" s="11">
        <v>42339</v>
      </c>
      <c r="W17" s="35">
        <f>_xll.qlYieldTSDiscount(U$4,V17,,Triggers!RTDataTrigger)</f>
        <v>0.99729142748898558</v>
      </c>
      <c r="X17" s="44"/>
      <c r="Y17" s="33"/>
      <c r="Z17" s="49">
        <f t="shared" si="5"/>
        <v>42339</v>
      </c>
      <c r="AA17" s="50">
        <f t="shared" si="2"/>
        <v>0.99729142748898558</v>
      </c>
    </row>
    <row r="18" spans="2:27" x14ac:dyDescent="0.2">
      <c r="D18" s="11">
        <v>42430</v>
      </c>
      <c r="E18" s="35">
        <f>_xll.qlYieldTSDiscount(C$4,D18,,Triggers!RTDataTrigger)</f>
        <v>0.99785519548662915</v>
      </c>
      <c r="F18" s="44"/>
      <c r="G18" s="33"/>
      <c r="H18" s="49">
        <f t="shared" si="3"/>
        <v>42430</v>
      </c>
      <c r="I18" s="50">
        <f t="shared" si="0"/>
        <v>0.99785519548662915</v>
      </c>
      <c r="K18" s="64"/>
      <c r="M18" s="11">
        <v>43586</v>
      </c>
      <c r="N18" s="35">
        <f>_xll.qlYieldTSDiscount(L$4,M18,,Triggers!RTDataTrigger)</f>
        <v>0.94557930680954838</v>
      </c>
      <c r="O18" s="44"/>
      <c r="P18" s="33"/>
      <c r="Q18" s="49">
        <f t="shared" si="4"/>
        <v>43586</v>
      </c>
      <c r="R18" s="50">
        <f t="shared" si="1"/>
        <v>0.94557930680954838</v>
      </c>
      <c r="T18" s="64"/>
      <c r="V18" s="11">
        <v>42353</v>
      </c>
      <c r="W18" s="35">
        <f>_xll.qlYieldTSDiscount(U$4,V18,,Triggers!RTDataTrigger)</f>
        <v>0.99696464456100409</v>
      </c>
      <c r="X18" s="44"/>
      <c r="Y18" s="33"/>
      <c r="Z18" s="49">
        <f t="shared" si="5"/>
        <v>42353</v>
      </c>
      <c r="AA18" s="50">
        <f t="shared" si="2"/>
        <v>0.99696464456100409</v>
      </c>
    </row>
    <row r="19" spans="2:27" x14ac:dyDescent="0.2">
      <c r="B19" s="64"/>
      <c r="D19" s="11">
        <v>42461</v>
      </c>
      <c r="E19" s="35">
        <f>_xll.qlYieldTSDiscount(C$4,D19,,Triggers!RTDataTrigger)</f>
        <v>0.99741627201228722</v>
      </c>
      <c r="F19" s="44"/>
      <c r="G19" s="33"/>
      <c r="H19" s="49">
        <f t="shared" si="3"/>
        <v>42461</v>
      </c>
      <c r="I19" s="50">
        <f t="shared" si="0"/>
        <v>0.99741627201228722</v>
      </c>
      <c r="K19" s="64"/>
      <c r="M19" s="11">
        <v>43952</v>
      </c>
      <c r="N19" s="35">
        <f>_xll.qlYieldTSDiscount(L$4,M19,,Triggers!RTDataTrigger)</f>
        <v>0.92284841115330063</v>
      </c>
      <c r="O19" s="44"/>
      <c r="P19" s="33"/>
      <c r="Q19" s="49">
        <f t="shared" si="4"/>
        <v>43952</v>
      </c>
      <c r="R19" s="50">
        <f t="shared" si="1"/>
        <v>0.92284841115330063</v>
      </c>
      <c r="T19" s="64"/>
      <c r="V19" s="11">
        <v>42373</v>
      </c>
      <c r="W19" s="35">
        <f>_xll.qlYieldTSDiscount(U$4,V19,,Triggers!RTDataTrigger)</f>
        <v>0.99649260673969398</v>
      </c>
      <c r="X19" s="44"/>
      <c r="Y19" s="33"/>
      <c r="Z19" s="49">
        <f t="shared" si="5"/>
        <v>42373</v>
      </c>
      <c r="AA19" s="50">
        <f t="shared" si="2"/>
        <v>0.99649260673969398</v>
      </c>
    </row>
    <row r="20" spans="2:27" x14ac:dyDescent="0.2">
      <c r="B20" s="64" t="b">
        <v>1</v>
      </c>
      <c r="D20" s="11">
        <v>42492</v>
      </c>
      <c r="E20" s="35">
        <f>_xll.qlYieldTSDiscount(C$4,D20,,Triggers!RTDataTrigger)</f>
        <v>0.99692651961133572</v>
      </c>
      <c r="F20" s="44"/>
      <c r="G20" s="33"/>
      <c r="H20" s="49">
        <f t="shared" si="3"/>
        <v>42492</v>
      </c>
      <c r="I20" s="50">
        <f t="shared" si="0"/>
        <v>0.99692651961133572</v>
      </c>
      <c r="K20" s="64"/>
      <c r="M20" s="11">
        <v>44320</v>
      </c>
      <c r="N20" s="35">
        <f>_xll.qlYieldTSDiscount(L$4,M20,,Triggers!RTDataTrigger)</f>
        <v>0.89901766386209536</v>
      </c>
      <c r="O20" s="44"/>
      <c r="P20" s="33"/>
      <c r="Q20" s="49">
        <f t="shared" si="4"/>
        <v>44320</v>
      </c>
      <c r="R20" s="50">
        <f t="shared" si="1"/>
        <v>0.89901766386209536</v>
      </c>
      <c r="T20" s="64"/>
      <c r="V20" s="11">
        <v>42445</v>
      </c>
      <c r="W20" s="35">
        <f>_xll.qlYieldTSDiscount(U$4,V20,,Triggers!RTDataTrigger)</f>
        <v>0.99541224364812919</v>
      </c>
      <c r="X20" s="44"/>
      <c r="Y20" s="33"/>
      <c r="Z20" s="49">
        <f t="shared" si="5"/>
        <v>42445</v>
      </c>
      <c r="AA20" s="50">
        <f t="shared" si="2"/>
        <v>0.99541224364812919</v>
      </c>
    </row>
    <row r="21" spans="2:27" x14ac:dyDescent="0.2">
      <c r="B21" s="64" t="b">
        <v>1</v>
      </c>
      <c r="D21" s="11">
        <v>42583</v>
      </c>
      <c r="E21" s="35">
        <f>_xll.qlYieldTSDiscount(C$4,D21,,Triggers!RTDataTrigger)</f>
        <v>0.99519305302368011</v>
      </c>
      <c r="F21" s="44"/>
      <c r="G21" s="33"/>
      <c r="H21" s="49">
        <f t="shared" si="3"/>
        <v>42583</v>
      </c>
      <c r="I21" s="50">
        <f t="shared" si="0"/>
        <v>0.99519305302368011</v>
      </c>
      <c r="K21" s="64"/>
      <c r="M21" s="11">
        <v>44684</v>
      </c>
      <c r="N21" s="35">
        <f>_xll.qlYieldTSDiscount(L$4,M21,,Triggers!RTDataTrigger)</f>
        <v>0.87528779780593047</v>
      </c>
      <c r="O21" s="44"/>
      <c r="P21" s="33"/>
      <c r="Q21" s="49">
        <f t="shared" si="4"/>
        <v>44684</v>
      </c>
      <c r="R21" s="50">
        <f t="shared" si="1"/>
        <v>0.87528779780593047</v>
      </c>
      <c r="T21" s="64"/>
      <c r="V21" s="11">
        <v>42537</v>
      </c>
      <c r="W21" s="35">
        <f>_xll.qlYieldTSDiscount(U$4,V21,,Triggers!RTDataTrigger)</f>
        <v>0.99341908071876628</v>
      </c>
      <c r="X21" s="44"/>
      <c r="Y21" s="33"/>
      <c r="Z21" s="49">
        <f t="shared" si="5"/>
        <v>42537</v>
      </c>
      <c r="AA21" s="50">
        <f t="shared" si="2"/>
        <v>0.99341908071876628</v>
      </c>
    </row>
    <row r="22" spans="2:27" x14ac:dyDescent="0.2">
      <c r="B22" s="64"/>
      <c r="D22" s="11">
        <v>42675</v>
      </c>
      <c r="E22" s="35">
        <f>_xll.qlYieldTSDiscount(C$4,D22,,Triggers!RTDataTrigger)</f>
        <v>0.99301899729524934</v>
      </c>
      <c r="F22" s="44"/>
      <c r="G22" s="33"/>
      <c r="H22" s="49">
        <f t="shared" si="3"/>
        <v>42675</v>
      </c>
      <c r="I22" s="50">
        <f t="shared" si="0"/>
        <v>0.99301899729524934</v>
      </c>
      <c r="K22" s="64"/>
      <c r="M22" s="11">
        <v>45048</v>
      </c>
      <c r="N22" s="35">
        <f>_xll.qlYieldTSDiscount(L$4,M22,,Triggers!RTDataTrigger)</f>
        <v>0.8515614936335173</v>
      </c>
      <c r="O22" s="44"/>
      <c r="P22" s="33"/>
      <c r="Q22" s="49">
        <f t="shared" si="4"/>
        <v>45048</v>
      </c>
      <c r="R22" s="50">
        <f t="shared" si="1"/>
        <v>0.8515614936335173</v>
      </c>
      <c r="T22" s="64"/>
      <c r="V22" s="11">
        <v>42628</v>
      </c>
      <c r="W22" s="35">
        <f>_xll.qlYieldTSDiscount(U$4,V22,,Triggers!RTDataTrigger)</f>
        <v>0.99098177738458559</v>
      </c>
      <c r="X22" s="44"/>
      <c r="Y22" s="33"/>
      <c r="Z22" s="49">
        <f t="shared" si="5"/>
        <v>42628</v>
      </c>
      <c r="AA22" s="50">
        <f t="shared" si="2"/>
        <v>0.99098177738458559</v>
      </c>
    </row>
    <row r="23" spans="2:27" x14ac:dyDescent="0.2">
      <c r="B23" s="64"/>
      <c r="D23" s="11">
        <v>42767</v>
      </c>
      <c r="E23" s="35">
        <f>_xll.qlYieldTSDiscount(C$4,D23,,Triggers!RTDataTrigger)</f>
        <v>0.99039443018897333</v>
      </c>
      <c r="F23" s="44"/>
      <c r="G23" s="33"/>
      <c r="H23" s="49">
        <f t="shared" si="3"/>
        <v>42767</v>
      </c>
      <c r="I23" s="50">
        <f t="shared" si="0"/>
        <v>0.99039443018897333</v>
      </c>
      <c r="K23" s="64"/>
      <c r="M23" s="11">
        <v>45413</v>
      </c>
      <c r="N23" s="35">
        <f>_xll.qlYieldTSDiscount(L$4,M23,,Triggers!RTDataTrigger)</f>
        <v>0.82812012863059636</v>
      </c>
      <c r="O23" s="44"/>
      <c r="P23" s="33"/>
      <c r="Q23" s="49">
        <f t="shared" si="4"/>
        <v>45413</v>
      </c>
      <c r="R23" s="50">
        <f t="shared" si="1"/>
        <v>0.82812012863059636</v>
      </c>
      <c r="T23" s="64"/>
      <c r="V23" s="11">
        <v>42725</v>
      </c>
      <c r="W23" s="35">
        <f>_xll.qlYieldTSDiscount(U$4,V23,,Triggers!RTDataTrigger)</f>
        <v>0.98790118076229028</v>
      </c>
      <c r="X23" s="44"/>
      <c r="Y23" s="33"/>
      <c r="Z23" s="49">
        <f t="shared" si="5"/>
        <v>42725</v>
      </c>
      <c r="AA23" s="50">
        <f t="shared" si="2"/>
        <v>0.98790118076229028</v>
      </c>
    </row>
    <row r="24" spans="2:27" x14ac:dyDescent="0.2">
      <c r="B24" s="64"/>
      <c r="D24" s="11">
        <v>42856</v>
      </c>
      <c r="E24" s="35">
        <f>_xll.qlYieldTSDiscount(C$4,D24,,Triggers!RTDataTrigger)</f>
        <v>0.9874739746779585</v>
      </c>
      <c r="F24" s="44"/>
      <c r="G24" s="33"/>
      <c r="H24" s="49">
        <f t="shared" si="3"/>
        <v>42856</v>
      </c>
      <c r="I24" s="50">
        <f t="shared" si="0"/>
        <v>0.9874739746779585</v>
      </c>
      <c r="K24" s="64"/>
      <c r="M24" s="11">
        <v>45778</v>
      </c>
      <c r="N24" s="35">
        <f>_xll.qlYieldTSDiscount(L$4,M24,,Triggers!RTDataTrigger)</f>
        <v>0.80498060855822717</v>
      </c>
      <c r="O24" s="44"/>
      <c r="P24" s="33"/>
      <c r="Q24" s="49">
        <f t="shared" si="4"/>
        <v>45778</v>
      </c>
      <c r="R24" s="50">
        <f t="shared" si="1"/>
        <v>0.80498060855822717</v>
      </c>
      <c r="T24" s="64"/>
      <c r="V24" s="11">
        <v>42815</v>
      </c>
      <c r="W24" s="35">
        <f>_xll.qlYieldTSDiscount(U$4,V24,,Triggers!RTDataTrigger)</f>
        <v>0.98458411687309388</v>
      </c>
      <c r="X24" s="44"/>
      <c r="Y24" s="33"/>
      <c r="Z24" s="49">
        <f t="shared" si="5"/>
        <v>42815</v>
      </c>
      <c r="AA24" s="50">
        <f t="shared" si="2"/>
        <v>0.98458411687309388</v>
      </c>
    </row>
    <row r="25" spans="2:27" x14ac:dyDescent="0.2">
      <c r="B25" s="64"/>
      <c r="D25" s="11">
        <v>43221</v>
      </c>
      <c r="E25" s="35">
        <f>_xll.qlYieldTSDiscount(C$4,D25,,Triggers!RTDataTrigger)</f>
        <v>0.97232025204396211</v>
      </c>
      <c r="F25" s="44"/>
      <c r="G25" s="33"/>
      <c r="H25" s="49">
        <f t="shared" si="3"/>
        <v>43221</v>
      </c>
      <c r="I25" s="50">
        <f t="shared" si="0"/>
        <v>0.97232025204396211</v>
      </c>
      <c r="K25" s="64"/>
      <c r="M25" s="11">
        <v>46511</v>
      </c>
      <c r="N25" s="35">
        <f>_xll.qlYieldTSDiscount(L$4,M25,,Triggers!RTDataTrigger)</f>
        <v>0.75992437806141022</v>
      </c>
      <c r="O25" s="44"/>
      <c r="P25" s="33"/>
      <c r="Q25" s="49">
        <f t="shared" si="4"/>
        <v>46511</v>
      </c>
      <c r="R25" s="50">
        <f t="shared" si="1"/>
        <v>0.75992437806141022</v>
      </c>
      <c r="T25" s="64"/>
      <c r="V25" s="11">
        <v>42901</v>
      </c>
      <c r="W25" s="35">
        <f>_xll.qlYieldTSDiscount(U$4,V25,,Triggers!RTDataTrigger)</f>
        <v>0.98104974873273998</v>
      </c>
      <c r="X25" s="44"/>
      <c r="Y25" s="33"/>
      <c r="Z25" s="49">
        <f t="shared" si="5"/>
        <v>42901</v>
      </c>
      <c r="AA25" s="50">
        <f t="shared" si="2"/>
        <v>0.98104974873273998</v>
      </c>
    </row>
    <row r="26" spans="2:27" x14ac:dyDescent="0.2">
      <c r="B26" s="64"/>
      <c r="D26" s="11">
        <v>43586</v>
      </c>
      <c r="E26" s="35">
        <f>_xll.qlYieldTSDiscount(C$4,D26,,Triggers!RTDataTrigger)</f>
        <v>0.95384160015881203</v>
      </c>
      <c r="F26" s="44"/>
      <c r="G26" s="33"/>
      <c r="H26" s="49">
        <f t="shared" si="3"/>
        <v>43586</v>
      </c>
      <c r="I26" s="50">
        <f t="shared" si="0"/>
        <v>0.95384160015881203</v>
      </c>
      <c r="K26" s="64"/>
      <c r="M26" s="11">
        <v>47604</v>
      </c>
      <c r="N26" s="35">
        <f>_xll.qlYieldTSDiscount(L$4,M26,,Triggers!RTDataTrigger)</f>
        <v>0.69708399818907374</v>
      </c>
      <c r="O26" s="44"/>
      <c r="P26" s="33"/>
      <c r="Q26" s="49">
        <f t="shared" si="4"/>
        <v>47604</v>
      </c>
      <c r="R26" s="50">
        <f t="shared" si="1"/>
        <v>0.69708399818907374</v>
      </c>
      <c r="T26" s="64"/>
      <c r="V26" s="11">
        <v>43221</v>
      </c>
      <c r="W26" s="35">
        <f>_xll.qlYieldTSDiscount(U$4,V26,,Triggers!RTDataTrigger)</f>
        <v>0.96646322010757912</v>
      </c>
      <c r="X26" s="44"/>
      <c r="Y26" s="33"/>
      <c r="Z26" s="49">
        <f t="shared" si="5"/>
        <v>43221</v>
      </c>
      <c r="AA26" s="50">
        <f t="shared" si="2"/>
        <v>0.96646322010757912</v>
      </c>
    </row>
    <row r="27" spans="2:27" x14ac:dyDescent="0.2">
      <c r="B27" s="64"/>
      <c r="D27" s="11">
        <v>43952</v>
      </c>
      <c r="E27" s="35">
        <f>_xll.qlYieldTSDiscount(C$4,D27,,Triggers!RTDataTrigger)</f>
        <v>0.9330263190119189</v>
      </c>
      <c r="F27" s="44"/>
      <c r="G27" s="33"/>
      <c r="H27" s="49">
        <f t="shared" si="3"/>
        <v>43952</v>
      </c>
      <c r="I27" s="50">
        <f t="shared" si="0"/>
        <v>0.9330263190119189</v>
      </c>
      <c r="K27" s="64"/>
      <c r="M27" s="11">
        <v>49430</v>
      </c>
      <c r="N27" s="35">
        <f>_xll.qlYieldTSDiscount(L$4,M27,,Triggers!RTDataTrigger)</f>
        <v>0.60439640362841929</v>
      </c>
      <c r="O27" s="44"/>
      <c r="P27" s="33"/>
      <c r="Q27" s="49">
        <f t="shared" si="4"/>
        <v>49430</v>
      </c>
      <c r="R27" s="50">
        <f t="shared" si="1"/>
        <v>0.60439640362841929</v>
      </c>
      <c r="T27" s="64"/>
      <c r="V27" s="11">
        <v>43586</v>
      </c>
      <c r="W27" s="35">
        <f>_xll.qlYieldTSDiscount(U$4,V27,,Triggers!RTDataTrigger)</f>
        <v>0.94556482104982265</v>
      </c>
      <c r="X27" s="44"/>
      <c r="Y27" s="33"/>
      <c r="Z27" s="49">
        <f t="shared" si="5"/>
        <v>43586</v>
      </c>
      <c r="AA27" s="50">
        <f t="shared" si="2"/>
        <v>0.94556482104982265</v>
      </c>
    </row>
    <row r="28" spans="2:27" x14ac:dyDescent="0.2">
      <c r="B28" s="64"/>
      <c r="D28" s="11">
        <v>44319</v>
      </c>
      <c r="E28" s="35">
        <f>_xll.qlYieldTSDiscount(C$4,D28,,Triggers!RTDataTrigger)</f>
        <v>0.91119758603958168</v>
      </c>
      <c r="F28" s="44"/>
      <c r="G28" s="33"/>
      <c r="H28" s="49">
        <f t="shared" si="3"/>
        <v>44319</v>
      </c>
      <c r="I28" s="50">
        <f t="shared" si="0"/>
        <v>0.91119758603958168</v>
      </c>
      <c r="K28" s="64"/>
      <c r="M28" s="11">
        <v>51257</v>
      </c>
      <c r="N28" s="35">
        <f>_xll.qlYieldTSDiscount(L$4,M28,,Triggers!RTDataTrigger)</f>
        <v>0.52633227331798316</v>
      </c>
      <c r="O28" s="44"/>
      <c r="P28" s="33"/>
      <c r="Q28" s="49">
        <f t="shared" si="4"/>
        <v>51257</v>
      </c>
      <c r="R28" s="50">
        <f t="shared" si="1"/>
        <v>0.52633227331798316</v>
      </c>
      <c r="T28" s="64"/>
      <c r="V28" s="11">
        <v>43952</v>
      </c>
      <c r="W28" s="35">
        <f>_xll.qlYieldTSDiscount(U$4,V28,,Triggers!RTDataTrigger)</f>
        <v>0.922809502000558</v>
      </c>
      <c r="X28" s="44"/>
      <c r="Y28" s="33"/>
      <c r="Z28" s="49">
        <f t="shared" si="5"/>
        <v>43952</v>
      </c>
      <c r="AA28" s="50">
        <f t="shared" si="2"/>
        <v>0.922809502000558</v>
      </c>
    </row>
    <row r="29" spans="2:27" x14ac:dyDescent="0.2">
      <c r="B29" s="64"/>
      <c r="D29" s="11">
        <v>44683</v>
      </c>
      <c r="E29" s="35">
        <f>_xll.qlYieldTSDiscount(C$4,D29,,Triggers!RTDataTrigger)</f>
        <v>0.88884637942174682</v>
      </c>
      <c r="F29" s="44"/>
      <c r="G29" s="33"/>
      <c r="H29" s="49">
        <f t="shared" si="3"/>
        <v>44683</v>
      </c>
      <c r="I29" s="50">
        <f t="shared" si="0"/>
        <v>0.88884637942174682</v>
      </c>
      <c r="K29" s="64"/>
      <c r="M29" s="11">
        <v>53084</v>
      </c>
      <c r="N29" s="35">
        <f>_xll.qlYieldTSDiscount(L$4,M29,,Triggers!RTDataTrigger)</f>
        <v>0.45941619516885507</v>
      </c>
      <c r="O29" s="44"/>
      <c r="P29" s="33"/>
      <c r="Q29" s="49">
        <f t="shared" si="4"/>
        <v>53084</v>
      </c>
      <c r="R29" s="50">
        <f t="shared" si="1"/>
        <v>0.45941619516885507</v>
      </c>
      <c r="T29" s="64"/>
      <c r="V29" s="11">
        <v>44320</v>
      </c>
      <c r="W29" s="35">
        <f>_xll.qlYieldTSDiscount(U$4,V29,,Triggers!RTDataTrigger)</f>
        <v>0.89894712416905898</v>
      </c>
      <c r="X29" s="44"/>
      <c r="Y29" s="33"/>
      <c r="Z29" s="49">
        <f t="shared" si="5"/>
        <v>44320</v>
      </c>
      <c r="AA29" s="50">
        <f t="shared" si="2"/>
        <v>0.89894712416905898</v>
      </c>
    </row>
    <row r="30" spans="2:27" x14ac:dyDescent="0.2">
      <c r="B30" s="64"/>
      <c r="D30" s="11">
        <v>45047</v>
      </c>
      <c r="E30" s="35">
        <f>_xll.qlYieldTSDiscount(C$4,D30,,Triggers!RTDataTrigger)</f>
        <v>0.86670790336401449</v>
      </c>
      <c r="F30" s="44"/>
      <c r="G30" s="33"/>
      <c r="H30" s="49">
        <f t="shared" si="3"/>
        <v>45047</v>
      </c>
      <c r="I30" s="50">
        <f t="shared" si="0"/>
        <v>0.86670790336401449</v>
      </c>
      <c r="K30" s="64"/>
      <c r="M30" s="11">
        <v>56738</v>
      </c>
      <c r="N30" s="35">
        <f>_xll.qlYieldTSDiscount(L$4,M30,,Triggers!RTDataTrigger)</f>
        <v>0.3537217739527368</v>
      </c>
      <c r="O30" s="44"/>
      <c r="P30" s="33"/>
      <c r="Q30" s="49">
        <f t="shared" si="4"/>
        <v>56738</v>
      </c>
      <c r="R30" s="50">
        <f t="shared" si="1"/>
        <v>0.3537217739527368</v>
      </c>
      <c r="T30" s="64"/>
      <c r="V30" s="11">
        <v>44684</v>
      </c>
      <c r="W30" s="35">
        <f>_xll.qlYieldTSDiscount(U$4,V30,,Triggers!RTDataTrigger)</f>
        <v>0.87518062037170741</v>
      </c>
      <c r="X30" s="44"/>
      <c r="Y30" s="33"/>
      <c r="Z30" s="49">
        <f t="shared" si="5"/>
        <v>44684</v>
      </c>
      <c r="AA30" s="50">
        <f t="shared" si="2"/>
        <v>0.87518062037170741</v>
      </c>
    </row>
    <row r="31" spans="2:27" x14ac:dyDescent="0.2">
      <c r="B31" s="64"/>
      <c r="D31" s="11">
        <v>45413</v>
      </c>
      <c r="E31" s="35">
        <f>_xll.qlYieldTSDiscount(C$4,D31,,Triggers!RTDataTrigger)</f>
        <v>0.84423503231590369</v>
      </c>
      <c r="F31" s="44"/>
      <c r="G31" s="33"/>
      <c r="H31" s="49">
        <f t="shared" si="3"/>
        <v>45413</v>
      </c>
      <c r="I31" s="50">
        <f t="shared" si="0"/>
        <v>0.84423503231590369</v>
      </c>
      <c r="K31" s="64"/>
      <c r="M31" s="11">
        <v>60388</v>
      </c>
      <c r="N31" s="35">
        <f>_xll.qlYieldTSDiscount(L$4,M31,,Triggers!RTDataTrigger)</f>
        <v>0.27798640709589428</v>
      </c>
      <c r="O31" s="44"/>
      <c r="P31" s="33"/>
      <c r="Q31" s="49">
        <f t="shared" si="4"/>
        <v>60388</v>
      </c>
      <c r="R31" s="50">
        <f t="shared" si="1"/>
        <v>0.27798640709589428</v>
      </c>
      <c r="T31" s="64"/>
      <c r="V31" s="11">
        <v>45048</v>
      </c>
      <c r="W31" s="35">
        <f>_xll.qlYieldTSDiscount(U$4,V31,,Triggers!RTDataTrigger)</f>
        <v>0.85141655293035334</v>
      </c>
      <c r="X31" s="44"/>
      <c r="Y31" s="33"/>
      <c r="Z31" s="49">
        <f t="shared" si="5"/>
        <v>45048</v>
      </c>
      <c r="AA31" s="50">
        <f t="shared" si="2"/>
        <v>0.85141655293035334</v>
      </c>
    </row>
    <row r="32" spans="2:27" x14ac:dyDescent="0.2">
      <c r="B32" s="64"/>
      <c r="D32" s="11">
        <v>45778</v>
      </c>
      <c r="E32" s="35">
        <f>_xll.qlYieldTSDiscount(C$4,D32,,Triggers!RTDataTrigger)</f>
        <v>0.82239908960114116</v>
      </c>
      <c r="F32" s="44"/>
      <c r="G32" s="33"/>
      <c r="H32" s="49">
        <f t="shared" si="3"/>
        <v>45778</v>
      </c>
      <c r="I32" s="50">
        <f t="shared" si="0"/>
        <v>0.82239908960114116</v>
      </c>
      <c r="K32" s="64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45413</v>
      </c>
      <c r="W32" s="35">
        <f>_xll.qlYieldTSDiscount(U$4,V32,,Triggers!RTDataTrigger)</f>
        <v>0.8279340064806241</v>
      </c>
      <c r="X32" s="44"/>
      <c r="Y32" s="33"/>
      <c r="Z32" s="49">
        <f t="shared" si="5"/>
        <v>45413</v>
      </c>
      <c r="AA32" s="50">
        <f t="shared" si="2"/>
        <v>0.8279340064806241</v>
      </c>
    </row>
    <row r="33" spans="2:27" x14ac:dyDescent="0.2">
      <c r="B33" s="64"/>
      <c r="D33" s="11">
        <v>46510</v>
      </c>
      <c r="E33" s="35">
        <f>_xll.qlYieldTSDiscount(C$4,D33,,Triggers!RTDataTrigger)</f>
        <v>0.77995480308395648</v>
      </c>
      <c r="F33" s="44"/>
      <c r="G33" s="33"/>
      <c r="H33" s="49">
        <f t="shared" si="3"/>
        <v>46510</v>
      </c>
      <c r="I33" s="50">
        <f t="shared" si="0"/>
        <v>0.77995480308395648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45778</v>
      </c>
      <c r="W33" s="35">
        <f>_xll.qlYieldTSDiscount(U$4,V33,,Triggers!RTDataTrigger)</f>
        <v>0.80475607178718633</v>
      </c>
      <c r="X33" s="44"/>
      <c r="Y33" s="33"/>
      <c r="Z33" s="49">
        <f t="shared" si="5"/>
        <v>45778</v>
      </c>
      <c r="AA33" s="50">
        <f t="shared" si="2"/>
        <v>0.80475607178718633</v>
      </c>
    </row>
    <row r="34" spans="2:27" x14ac:dyDescent="0.2">
      <c r="B34" s="64"/>
      <c r="D34" s="11">
        <v>47604</v>
      </c>
      <c r="E34" s="35">
        <f>_xll.qlYieldTSDiscount(C$4,D34,,Triggers!RTDataTrigger)</f>
        <v>0.71966693460383946</v>
      </c>
      <c r="F34" s="44"/>
      <c r="G34" s="33"/>
      <c r="H34" s="49">
        <f t="shared" si="3"/>
        <v>47604</v>
      </c>
      <c r="I34" s="50">
        <f t="shared" si="0"/>
        <v>0.71966693460383946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46511</v>
      </c>
      <c r="W34" s="35">
        <f>_xll.qlYieldTSDiscount(U$4,V34,,Triggers!RTDataTrigger)</f>
        <v>0.75960958505352782</v>
      </c>
      <c r="X34" s="44"/>
      <c r="Y34" s="33"/>
      <c r="Z34" s="49">
        <f t="shared" si="5"/>
        <v>46511</v>
      </c>
      <c r="AA34" s="50">
        <f t="shared" si="2"/>
        <v>0.75960958505352782</v>
      </c>
    </row>
    <row r="35" spans="2:27" x14ac:dyDescent="0.2">
      <c r="B35" s="64"/>
      <c r="D35" s="11">
        <v>49430</v>
      </c>
      <c r="E35" s="35">
        <f>_xll.qlYieldTSDiscount(C$4,D35,,Triggers!RTDataTrigger)</f>
        <v>0.6304850429825728</v>
      </c>
      <c r="F35" s="44"/>
      <c r="G35" s="33"/>
      <c r="H35" s="49">
        <f t="shared" si="3"/>
        <v>49430</v>
      </c>
      <c r="I35" s="50">
        <f t="shared" si="0"/>
        <v>0.6304850429825728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47604</v>
      </c>
      <c r="W35" s="35">
        <f>_xll.qlYieldTSDiscount(U$4,V35,,Triggers!RTDataTrigger)</f>
        <v>0.69662438925637671</v>
      </c>
      <c r="X35" s="44"/>
      <c r="Y35" s="33"/>
      <c r="Z35" s="49">
        <f t="shared" si="5"/>
        <v>47604</v>
      </c>
      <c r="AA35" s="50">
        <f t="shared" si="2"/>
        <v>0.69662438925637671</v>
      </c>
    </row>
    <row r="36" spans="2:27" x14ac:dyDescent="0.2">
      <c r="B36" s="64"/>
      <c r="D36" s="11">
        <v>51257</v>
      </c>
      <c r="E36" s="35">
        <f>_xll.qlYieldTSDiscount(C$4,D36,,Triggers!RTDataTrigger)</f>
        <v>0.55397727361956561</v>
      </c>
      <c r="F36" s="44"/>
      <c r="G36" s="33"/>
      <c r="H36" s="49">
        <f t="shared" si="3"/>
        <v>51257</v>
      </c>
      <c r="I36" s="50">
        <f t="shared" si="0"/>
        <v>0.55397727361956561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49430</v>
      </c>
      <c r="W36" s="35">
        <f>_xll.qlYieldTSDiscount(U$4,V36,,Triggers!RTDataTrigger)</f>
        <v>0.60370155416179094</v>
      </c>
      <c r="X36" s="44"/>
      <c r="Y36" s="33"/>
      <c r="Z36" s="49">
        <f t="shared" si="5"/>
        <v>49430</v>
      </c>
      <c r="AA36" s="50">
        <f t="shared" si="2"/>
        <v>0.60370155416179094</v>
      </c>
    </row>
    <row r="37" spans="2:27" x14ac:dyDescent="0.2">
      <c r="B37" s="64"/>
      <c r="D37" s="11">
        <v>53083</v>
      </c>
      <c r="E37" s="35">
        <f>_xll.qlYieldTSDiscount(C$4,D37,,Triggers!RTDataTrigger)</f>
        <v>0.48840551114570296</v>
      </c>
      <c r="F37" s="44"/>
      <c r="G37" s="33"/>
      <c r="H37" s="49">
        <f t="shared" si="3"/>
        <v>53083</v>
      </c>
      <c r="I37" s="50">
        <f t="shared" si="0"/>
        <v>0.48840551114570296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51257</v>
      </c>
      <c r="W37" s="35">
        <f>_xll.qlYieldTSDiscount(U$4,V37,,Triggers!RTDataTrigger)</f>
        <v>0.52553184354417359</v>
      </c>
      <c r="X37" s="44"/>
      <c r="Y37" s="33"/>
      <c r="Z37" s="49">
        <f t="shared" si="5"/>
        <v>51257</v>
      </c>
      <c r="AA37" s="50">
        <f t="shared" si="2"/>
        <v>0.52553184354417359</v>
      </c>
    </row>
    <row r="38" spans="2:27" x14ac:dyDescent="0.2">
      <c r="B38" s="64"/>
      <c r="D38" s="11">
        <v>56737</v>
      </c>
      <c r="E38" s="35">
        <f>_xll.qlYieldTSDiscount(C$4,D38,,Triggers!RTDataTrigger)</f>
        <v>0.38529134833661338</v>
      </c>
      <c r="F38" s="44"/>
      <c r="G38" s="33"/>
      <c r="H38" s="49">
        <f t="shared" si="3"/>
        <v>56737</v>
      </c>
      <c r="I38" s="50">
        <f t="shared" si="0"/>
        <v>0.38529134833661338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53084</v>
      </c>
      <c r="W38" s="35">
        <f>_xll.qlYieldTSDiscount(U$4,V38,,Triggers!RTDataTrigger)</f>
        <v>0.45859253828179625</v>
      </c>
      <c r="X38" s="44"/>
      <c r="Y38" s="33"/>
      <c r="Z38" s="49">
        <f t="shared" si="5"/>
        <v>53084</v>
      </c>
      <c r="AA38" s="50">
        <f t="shared" si="2"/>
        <v>0.45859253828179625</v>
      </c>
    </row>
    <row r="39" spans="2:27" x14ac:dyDescent="0.2">
      <c r="B39" s="64"/>
      <c r="D39" s="11">
        <v>60388</v>
      </c>
      <c r="E39" s="35">
        <f>_xll.qlYieldTSDiscount(C$4,D39,,Triggers!RTDataTrigger)</f>
        <v>0.31005720873777465</v>
      </c>
      <c r="F39" s="44"/>
      <c r="G39" s="33"/>
      <c r="H39" s="49">
        <f t="shared" si="3"/>
        <v>60388</v>
      </c>
      <c r="I39" s="50">
        <f t="shared" si="0"/>
        <v>0.31005720873777465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56738</v>
      </c>
      <c r="W39" s="35">
        <f>_xll.qlYieldTSDiscount(U$4,V39,,Triggers!RTDataTrigger)</f>
        <v>0.35290724077342456</v>
      </c>
      <c r="X39" s="44"/>
      <c r="Y39" s="33"/>
      <c r="Z39" s="49">
        <f t="shared" si="5"/>
        <v>56738</v>
      </c>
      <c r="AA39" s="50">
        <f t="shared" si="2"/>
        <v>0.35290724077342456</v>
      </c>
    </row>
    <row r="40" spans="2:27" x14ac:dyDescent="0.2">
      <c r="B40" s="64"/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>
        <v>60388</v>
      </c>
      <c r="W40" s="35">
        <f>_xll.qlYieldTSDiscount(U$4,V40,,Triggers!RTDataTrigger)</f>
        <v>0.27758642731616145</v>
      </c>
      <c r="X40" s="44"/>
      <c r="Y40" s="33"/>
      <c r="Z40" s="49">
        <f t="shared" si="5"/>
        <v>60388</v>
      </c>
      <c r="AA40" s="50">
        <f t="shared" si="2"/>
        <v>0.27758642731616145</v>
      </c>
    </row>
    <row r="41" spans="2:27" x14ac:dyDescent="0.2">
      <c r="B41" s="64"/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 t="e">
        <v>#N/A</v>
      </c>
      <c r="W41" s="35" t="e">
        <f>_xll.qlYieldTSDiscount(U$4,V41,,Triggers!RTDataTrigger)</f>
        <v>#NUM!</v>
      </c>
      <c r="X41" s="44"/>
      <c r="Y41" s="33"/>
      <c r="Z41" s="49" t="e">
        <f t="shared" si="5"/>
        <v>#N/A</v>
      </c>
      <c r="AA41" s="50" t="e">
        <f t="shared" si="2"/>
        <v>#NUM!</v>
      </c>
    </row>
    <row r="42" spans="2:27" x14ac:dyDescent="0.2">
      <c r="B42" s="64"/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 t="e">
        <v>#N/A</v>
      </c>
      <c r="W42" s="35" t="e">
        <f>_xll.qlYieldTSDiscount(U$4,V42,,Triggers!RTDataTrigger)</f>
        <v>#NUM!</v>
      </c>
      <c r="X42" s="44"/>
      <c r="Y42" s="33"/>
      <c r="Z42" s="49" t="e">
        <f t="shared" si="5"/>
        <v>#N/A</v>
      </c>
      <c r="AA42" s="50" t="e">
        <f t="shared" si="2"/>
        <v>#NUM!</v>
      </c>
    </row>
    <row r="43" spans="2:27" x14ac:dyDescent="0.2">
      <c r="B43" s="64"/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 t="e">
        <v>#N/A</v>
      </c>
      <c r="W43" s="35" t="e">
        <f>_xll.qlYieldTSDiscount(U$4,V43,,Triggers!RTDataTrigger)</f>
        <v>#NUM!</v>
      </c>
      <c r="X43" s="44"/>
      <c r="Y43" s="33"/>
      <c r="Z43" s="49" t="e">
        <f t="shared" si="5"/>
        <v>#N/A</v>
      </c>
      <c r="AA43" s="50" t="e">
        <f t="shared" si="2"/>
        <v>#NUM!</v>
      </c>
    </row>
    <row r="44" spans="2:27" x14ac:dyDescent="0.2">
      <c r="B44" s="64"/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 t="e">
        <v>#N/A</v>
      </c>
      <c r="W44" s="35" t="e">
        <f>_xll.qlYieldTSDiscount(U$4,V44,,Triggers!RTDataTrigger)</f>
        <v>#NUM!</v>
      </c>
      <c r="X44" s="44"/>
      <c r="Y44" s="33"/>
      <c r="Z44" s="49" t="e">
        <f t="shared" si="5"/>
        <v>#N/A</v>
      </c>
      <c r="AA44" s="50" t="e">
        <f t="shared" si="2"/>
        <v>#NUM!</v>
      </c>
    </row>
    <row r="45" spans="2:27" x14ac:dyDescent="0.2">
      <c r="B45" s="64"/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 t="e">
        <v>#N/A</v>
      </c>
      <c r="W45" s="35" t="e">
        <f>_xll.qlYieldTSDiscount(U$4,V45,,Triggers!RTDataTrigger)</f>
        <v>#NUM!</v>
      </c>
      <c r="X45" s="44"/>
      <c r="Y45" s="33"/>
      <c r="Z45" s="49" t="e">
        <f t="shared" si="5"/>
        <v>#N/A</v>
      </c>
      <c r="AA45" s="50" t="e">
        <f t="shared" si="2"/>
        <v>#NUM!</v>
      </c>
    </row>
    <row r="46" spans="2:27" x14ac:dyDescent="0.2">
      <c r="B46" s="64"/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 t="e">
        <v>#N/A</v>
      </c>
      <c r="W46" s="12" t="e">
        <f>_xll.qlYieldTSDiscount(U$4,V46,,Triggers!RTDataTrigger)</f>
        <v>#NUM!</v>
      </c>
      <c r="X46" s="44"/>
      <c r="Y46" s="33"/>
      <c r="Z46" s="49" t="e">
        <f t="shared" si="5"/>
        <v>#N/A</v>
      </c>
      <c r="AA46" s="50" t="e">
        <f t="shared" si="2"/>
        <v>#NUM!</v>
      </c>
    </row>
    <row r="47" spans="2:27" x14ac:dyDescent="0.2">
      <c r="B47" s="64"/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 t="e">
        <v>#N/A</v>
      </c>
      <c r="W47" s="12" t="e">
        <f>_xll.qlYieldTSDiscount(U$4,V47,,Triggers!RTDataTrigger)</f>
        <v>#NUM!</v>
      </c>
      <c r="X47" s="44"/>
      <c r="Y47" s="33"/>
      <c r="Z47" s="49" t="e">
        <f t="shared" si="5"/>
        <v>#N/A</v>
      </c>
      <c r="AA47" s="50" t="e">
        <f t="shared" si="2"/>
        <v>#NUM!</v>
      </c>
    </row>
    <row r="48" spans="2:27" x14ac:dyDescent="0.2">
      <c r="B48" s="64"/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 t="e">
        <v>#N/A</v>
      </c>
      <c r="W48" s="12" t="e">
        <f>_xll.qlYieldTSDiscount(U$4,V48,,Triggers!RTDataTrigger)</f>
        <v>#NUM!</v>
      </c>
      <c r="X48" s="44"/>
      <c r="Y48" s="33"/>
      <c r="Z48" s="49" t="e">
        <f t="shared" si="5"/>
        <v>#N/A</v>
      </c>
      <c r="AA48" s="50" t="e">
        <f t="shared" si="2"/>
        <v>#NUM!</v>
      </c>
    </row>
    <row r="49" spans="2:27" x14ac:dyDescent="0.2">
      <c r="B49" s="64"/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 t="e">
        <v>#N/A</v>
      </c>
      <c r="W49" s="12" t="e">
        <f>_xll.qlYieldTSDiscount(U$4,V49,,Triggers!RTDataTrigger)</f>
        <v>#NUM!</v>
      </c>
      <c r="X49" s="44"/>
      <c r="Y49" s="33"/>
      <c r="Z49" s="49" t="e">
        <f t="shared" si="5"/>
        <v>#N/A</v>
      </c>
      <c r="AA49" s="50" t="e">
        <f t="shared" si="2"/>
        <v>#NUM!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 t="e">
        <v>#N/A</v>
      </c>
      <c r="W50" s="12" t="e">
        <f>_xll.qlYieldTSDiscount(U$4,V50,,Triggers!RTDataTrigger)</f>
        <v>#NUM!</v>
      </c>
      <c r="X50" s="44"/>
      <c r="Y50" s="33"/>
      <c r="Z50" s="49" t="e">
        <f t="shared" si="5"/>
        <v>#N/A</v>
      </c>
      <c r="AA50" s="50" t="e">
        <f t="shared" si="2"/>
        <v>#NUM!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 t="e">
        <v>#N/A</v>
      </c>
      <c r="W51" s="12" t="e">
        <f>_xll.qlYieldTSDiscount(U$4,V51,,Triggers!RTDataTrigger)</f>
        <v>#NUM!</v>
      </c>
      <c r="X51" s="44"/>
      <c r="Y51" s="33"/>
      <c r="Z51" s="49" t="e">
        <f t="shared" si="5"/>
        <v>#N/A</v>
      </c>
      <c r="AA51" s="50" t="e">
        <f t="shared" si="2"/>
        <v>#NUM!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 t="e">
        <v>#N/A</v>
      </c>
      <c r="W52" s="12" t="e">
        <f>_xll.qlYieldTSDiscount(U$4,V52,,Triggers!RTDataTrigger)</f>
        <v>#NUM!</v>
      </c>
      <c r="X52" s="44"/>
      <c r="Y52" s="33"/>
      <c r="Z52" s="49" t="e">
        <f t="shared" si="5"/>
        <v>#N/A</v>
      </c>
      <c r="AA52" s="50" t="e">
        <f t="shared" si="2"/>
        <v>#NUM!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 t="e">
        <v>#N/A</v>
      </c>
      <c r="W53" s="12" t="e">
        <f>_xll.qlYieldTSDiscount(U$4,V53,,Triggers!RTDataTrigger)</f>
        <v>#NUM!</v>
      </c>
      <c r="X53" s="44"/>
      <c r="Y53" s="33"/>
      <c r="Z53" s="49" t="e">
        <f t="shared" si="5"/>
        <v>#N/A</v>
      </c>
      <c r="AA53" s="50" t="e">
        <f t="shared" si="2"/>
        <v>#NUM!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 t="e">
        <v>#N/A</v>
      </c>
      <c r="W54" s="12" t="e">
        <f>_xll.qlYieldTSDiscount(U$4,V54,,Triggers!RTDataTrigger)</f>
        <v>#NUM!</v>
      </c>
      <c r="X54" s="44"/>
      <c r="Y54" s="33"/>
      <c r="Z54" s="49" t="e">
        <f t="shared" si="5"/>
        <v>#N/A</v>
      </c>
      <c r="AA54" s="50" t="e">
        <f t="shared" si="2"/>
        <v>#NUM!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 t="e">
        <v>#N/A</v>
      </c>
      <c r="W55" s="12" t="e">
        <f>_xll.qlYieldTSDiscount(U$4,V55,,Triggers!RTDataTrigger)</f>
        <v>#NUM!</v>
      </c>
      <c r="X55" s="44"/>
      <c r="Y55" s="33"/>
      <c r="Z55" s="49" t="e">
        <f t="shared" si="5"/>
        <v>#N/A</v>
      </c>
      <c r="AA55" s="50" t="e">
        <f t="shared" si="2"/>
        <v>#NUM!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 t="e">
        <v>#N/A</v>
      </c>
      <c r="W56" s="12" t="e">
        <f>_xll.qlYieldTSDiscount(U$4,V56,,Triggers!RTDataTrigger)</f>
        <v>#NUM!</v>
      </c>
      <c r="X56" s="44"/>
      <c r="Y56" s="33"/>
      <c r="Z56" s="49" t="e">
        <f t="shared" si="5"/>
        <v>#N/A</v>
      </c>
      <c r="AA56" s="50" t="e">
        <f t="shared" si="2"/>
        <v>#NUM!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4" r:id="rId4" name="Button 4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5" name="Button 5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249977111117893"/>
  </sheetPr>
  <dimension ref="B2:AA93"/>
  <sheetViews>
    <sheetView showGridLines="0" zoomScaleNormal="100" workbookViewId="0">
      <selection activeCell="C9" sqref="C9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36" t="s">
        <v>141</v>
      </c>
      <c r="E2" s="437"/>
      <c r="F2" s="436" t="s">
        <v>75</v>
      </c>
      <c r="G2" s="437"/>
      <c r="H2" s="436" t="s">
        <v>142</v>
      </c>
      <c r="I2" s="437"/>
      <c r="M2" s="436" t="s">
        <v>141</v>
      </c>
      <c r="N2" s="437"/>
      <c r="O2" s="436" t="s">
        <v>75</v>
      </c>
      <c r="P2" s="437"/>
      <c r="Q2" s="436" t="s">
        <v>142</v>
      </c>
      <c r="R2" s="437"/>
      <c r="V2" s="436" t="s">
        <v>141</v>
      </c>
      <c r="W2" s="437"/>
      <c r="X2" s="436" t="s">
        <v>75</v>
      </c>
      <c r="Y2" s="437"/>
      <c r="Z2" s="436" t="s">
        <v>142</v>
      </c>
      <c r="AA2" s="43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258</v>
      </c>
      <c r="D4" s="29">
        <f t="array" ref="D4:D93">CHOOSE(C7,_xll.qlPiecewiseYieldCurveDates(C5),_xll.qlInterpolatedYieldCurveDates(C5))</f>
        <v>42123</v>
      </c>
      <c r="E4" s="34">
        <f>_xll.qlYieldTSDiscount(C$4,D4,,Triggers!RTDataTrigger)</f>
        <v>1</v>
      </c>
      <c r="F4" s="43"/>
      <c r="G4" s="32"/>
      <c r="H4" s="47">
        <f>IF(ISBLANK(F4),D4,F4)</f>
        <v>42123</v>
      </c>
      <c r="I4" s="48">
        <f t="shared" ref="I4:I67" si="0">IF(ISBLANK(G4),E4,G4)</f>
        <v>1</v>
      </c>
      <c r="K4" s="36" t="s">
        <v>10</v>
      </c>
      <c r="L4" s="40" t="s">
        <v>259</v>
      </c>
      <c r="M4" s="29">
        <f t="array" ref="M4:M93">CHOOSE(L7,_xll.qlPiecewiseYieldCurveDates(L5),_xll.qlInterpolatedYieldCurveDates(L5))</f>
        <v>42123</v>
      </c>
      <c r="N4" s="34">
        <f>_xll.qlYieldTSDiscount(L$4,M4,,Triggers!RTDataTrigger)</f>
        <v>1</v>
      </c>
      <c r="O4" s="43"/>
      <c r="P4" s="32"/>
      <c r="Q4" s="47">
        <f>IF(ISBLANK(O4),M4,O4)</f>
        <v>42123</v>
      </c>
      <c r="R4" s="48">
        <f t="shared" ref="R4:R67" si="1">IF(ISBLANK(P4),N4,P4)</f>
        <v>1</v>
      </c>
      <c r="T4" s="36" t="s">
        <v>10</v>
      </c>
      <c r="U4" s="40" t="s">
        <v>260</v>
      </c>
      <c r="V4" s="29">
        <f t="array" ref="V4:V93">CHOOSE(U7,_xll.qlPiecewiseYieldCurveDates(U5),_xll.qlInterpolatedYieldCurveDates(U5))</f>
        <v>42123</v>
      </c>
      <c r="W4" s="34">
        <f>_xll.qlYieldTSDiscount(U$4,V4,,Triggers!RTDataTrigger)</f>
        <v>1</v>
      </c>
      <c r="X4" s="43"/>
      <c r="Y4" s="32"/>
      <c r="Z4" s="47">
        <f>IF(ISBLANK(X4),V4,X4)</f>
        <v>42123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_GBPYCON</v>
      </c>
      <c r="D5" s="11">
        <v>42124</v>
      </c>
      <c r="E5" s="35">
        <f>_xll.qlYieldTSDiscount(C$4,D5,,Triggers!RTDataTrigger)</f>
        <v>0.99998683222818718</v>
      </c>
      <c r="F5" s="44"/>
      <c r="G5" s="33"/>
      <c r="H5" s="49">
        <f t="shared" ref="H5:I68" si="3">IF(ISBLANK(F5),D5,F5)</f>
        <v>42124</v>
      </c>
      <c r="I5" s="50">
        <f t="shared" si="0"/>
        <v>0.99998683222818718</v>
      </c>
      <c r="K5" s="37" t="s">
        <v>16</v>
      </c>
      <c r="L5" s="23" t="str">
        <f>_xll.qlHandleCurrentLink(L4,ObjectsTrigger)</f>
        <v>_GBPYC3M</v>
      </c>
      <c r="M5" s="11">
        <v>42153</v>
      </c>
      <c r="N5" s="35">
        <f>_xll.qlYieldTSDiscount(L$4,M5,,Triggers!RTDataTrigger)</f>
        <v>0.99954634288448707</v>
      </c>
      <c r="O5" s="44"/>
      <c r="P5" s="33"/>
      <c r="Q5" s="49">
        <f t="shared" ref="Q5:R68" si="4">IF(ISBLANK(O5),M5,O5)</f>
        <v>42153</v>
      </c>
      <c r="R5" s="50">
        <f t="shared" si="1"/>
        <v>0.99954634288448707</v>
      </c>
      <c r="T5" s="37" t="s">
        <v>16</v>
      </c>
      <c r="U5" s="23" t="str">
        <f>_xll.qlHandleCurrentLink(U4,ObjectsTrigger)</f>
        <v>_GBPYCSTD</v>
      </c>
      <c r="V5" s="11">
        <v>42124</v>
      </c>
      <c r="W5" s="35">
        <f>_xll.qlYieldTSDiscount(U$4,V5,,Triggers!RTDataTrigger)</f>
        <v>0.99998683222818707</v>
      </c>
      <c r="X5" s="44"/>
      <c r="Y5" s="33"/>
      <c r="Z5" s="49">
        <f t="shared" ref="Z5:AA68" si="5">IF(ISBLANK(X5),V5,X5)</f>
        <v>42124</v>
      </c>
      <c r="AA5" s="50">
        <f t="shared" si="2"/>
        <v>0.99998683222818707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42130</v>
      </c>
      <c r="E6" s="35">
        <f>_xll.qlYieldTSDiscount(C$4,D6,,Triggers!RTDataTrigger)</f>
        <v>0.99991226797198762</v>
      </c>
      <c r="F6" s="44"/>
      <c r="G6" s="33"/>
      <c r="H6" s="49">
        <f t="shared" si="3"/>
        <v>42130</v>
      </c>
      <c r="I6" s="50">
        <f t="shared" si="0"/>
        <v>0.99991226797198762</v>
      </c>
      <c r="K6" s="37" t="s">
        <v>133</v>
      </c>
      <c r="L6" s="27" t="str">
        <f>_xll.ohObjectClassName(L5)</f>
        <v>qlPiecewiseYieldCurve</v>
      </c>
      <c r="M6" s="11">
        <v>42184</v>
      </c>
      <c r="N6" s="35">
        <f>_xll.qlYieldTSDiscount(L$4,M6,,Triggers!RTDataTrigger)</f>
        <v>0.99906331655463521</v>
      </c>
      <c r="O6" s="44"/>
      <c r="P6" s="33"/>
      <c r="Q6" s="49">
        <f t="shared" si="4"/>
        <v>42184</v>
      </c>
      <c r="R6" s="50">
        <f t="shared" si="1"/>
        <v>0.99906331655463521</v>
      </c>
      <c r="T6" s="37" t="s">
        <v>133</v>
      </c>
      <c r="U6" s="27" t="str">
        <f>_xll.ohObjectClassName(U5)</f>
        <v>qlPiecewiseYieldCurve</v>
      </c>
      <c r="V6" s="11">
        <v>42125</v>
      </c>
      <c r="W6" s="35">
        <f>_xll.qlYieldTSDiscount(U$4,V6,,Triggers!RTDataTrigger)</f>
        <v>0.9999734506656599</v>
      </c>
      <c r="X6" s="44"/>
      <c r="Y6" s="33"/>
      <c r="Z6" s="49">
        <f t="shared" si="5"/>
        <v>42125</v>
      </c>
      <c r="AA6" s="50">
        <f t="shared" si="2"/>
        <v>0.9999734506656599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42137</v>
      </c>
      <c r="E7" s="35">
        <f>_xll.qlYieldTSDiscount(C$4,D7,,Triggers!RTDataTrigger)</f>
        <v>0.99982455133558079</v>
      </c>
      <c r="F7" s="44"/>
      <c r="G7" s="33"/>
      <c r="H7" s="49">
        <f t="shared" si="3"/>
        <v>42137</v>
      </c>
      <c r="I7" s="50">
        <f t="shared" si="0"/>
        <v>0.99982455133558079</v>
      </c>
      <c r="K7" s="38" t="s">
        <v>134</v>
      </c>
      <c r="L7" s="26">
        <f>MATCH(L6,{"qlPiecewiseYieldCurve","qlInterpolatedYieldCurve"})</f>
        <v>1</v>
      </c>
      <c r="M7" s="11">
        <v>42214</v>
      </c>
      <c r="N7" s="35">
        <f>_xll.qlYieldTSDiscount(L$4,M7,,Triggers!RTDataTrigger)</f>
        <v>0.9985856443311355</v>
      </c>
      <c r="O7" s="44"/>
      <c r="P7" s="33"/>
      <c r="Q7" s="49">
        <f t="shared" si="4"/>
        <v>42214</v>
      </c>
      <c r="R7" s="50">
        <f t="shared" si="1"/>
        <v>0.9985856443311355</v>
      </c>
      <c r="T7" s="38" t="s">
        <v>134</v>
      </c>
      <c r="U7" s="26">
        <f>MATCH(U6,{"qlPiecewiseYieldCurve","qlInterpolatedYieldCurve"})</f>
        <v>1</v>
      </c>
      <c r="V7" s="11">
        <v>42130</v>
      </c>
      <c r="W7" s="35">
        <f>_xll.qlYieldTSDiscount(U$4,V7,,Triggers!RTDataTrigger)</f>
        <v>0.99990633534923101</v>
      </c>
      <c r="X7" s="44"/>
      <c r="Y7" s="33"/>
      <c r="Z7" s="49">
        <f t="shared" si="5"/>
        <v>42130</v>
      </c>
      <c r="AA7" s="50">
        <f t="shared" si="2"/>
        <v>0.99990633534923101</v>
      </c>
    </row>
    <row r="8" spans="2:27" x14ac:dyDescent="0.2">
      <c r="B8" s="36" t="s">
        <v>4</v>
      </c>
      <c r="C8" s="40" t="s">
        <v>153</v>
      </c>
      <c r="D8" s="11">
        <v>42153</v>
      </c>
      <c r="E8" s="35">
        <f>_xll.qlYieldTSDiscount(C$4,D8,,Triggers!RTDataTrigger)</f>
        <v>0.99962514057228558</v>
      </c>
      <c r="F8" s="44"/>
      <c r="G8" s="33"/>
      <c r="H8" s="49">
        <f t="shared" si="3"/>
        <v>42153</v>
      </c>
      <c r="I8" s="50">
        <f t="shared" si="0"/>
        <v>0.99962514057228558</v>
      </c>
      <c r="K8" s="36" t="s">
        <v>4</v>
      </c>
      <c r="L8" s="40" t="s">
        <v>153</v>
      </c>
      <c r="M8" s="11">
        <v>42264</v>
      </c>
      <c r="N8" s="35">
        <f>_xll.qlYieldTSDiscount(L$4,M8,,Triggers!RTDataTrigger)</f>
        <v>0.99775541953732816</v>
      </c>
      <c r="O8" s="44"/>
      <c r="P8" s="33"/>
      <c r="Q8" s="49">
        <f t="shared" si="4"/>
        <v>42264</v>
      </c>
      <c r="R8" s="50">
        <f t="shared" si="1"/>
        <v>0.99775541953732816</v>
      </c>
      <c r="T8" s="36" t="s">
        <v>4</v>
      </c>
      <c r="U8" s="40" t="s">
        <v>153</v>
      </c>
      <c r="V8" s="11">
        <v>42137</v>
      </c>
      <c r="W8" s="35">
        <f>_xll.qlYieldTSDiscount(U$4,V8,,Triggers!RTDataTrigger)</f>
        <v>0.99981055005320663</v>
      </c>
      <c r="X8" s="44"/>
      <c r="Y8" s="33"/>
      <c r="Z8" s="49">
        <f t="shared" si="5"/>
        <v>42137</v>
      </c>
      <c r="AA8" s="50">
        <f t="shared" si="2"/>
        <v>0.99981055005320663</v>
      </c>
    </row>
    <row r="9" spans="2:27" x14ac:dyDescent="0.2">
      <c r="B9" s="37" t="s">
        <v>5</v>
      </c>
      <c r="C9" s="375" t="str">
        <f>C4&amp;"_"</f>
        <v>GBPON_</v>
      </c>
      <c r="D9" s="11">
        <v>42184</v>
      </c>
      <c r="E9" s="35">
        <f>_xll.qlYieldTSDiscount(C$4,D9,,Triggers!RTDataTrigger)</f>
        <v>0.99924225269857914</v>
      </c>
      <c r="F9" s="44"/>
      <c r="G9" s="33"/>
      <c r="H9" s="49">
        <f t="shared" si="3"/>
        <v>42184</v>
      </c>
      <c r="I9" s="50">
        <f t="shared" si="0"/>
        <v>0.99924225269857914</v>
      </c>
      <c r="K9" s="37" t="s">
        <v>5</v>
      </c>
      <c r="L9" s="375" t="str">
        <f>L4&amp;"_"</f>
        <v>GBP3M_</v>
      </c>
      <c r="M9" s="11">
        <v>42354</v>
      </c>
      <c r="N9" s="35">
        <f>_xll.qlYieldTSDiscount(L$4,M9,,Triggers!RTDataTrigger)</f>
        <v>0.99617042406278788</v>
      </c>
      <c r="O9" s="44"/>
      <c r="P9" s="33"/>
      <c r="Q9" s="49">
        <f t="shared" si="4"/>
        <v>42354</v>
      </c>
      <c r="R9" s="50">
        <f t="shared" si="1"/>
        <v>0.99617042406278788</v>
      </c>
      <c r="T9" s="37" t="s">
        <v>5</v>
      </c>
      <c r="U9" s="375" t="str">
        <f>U4&amp;"_"</f>
        <v>GBPSTD_</v>
      </c>
      <c r="V9" s="11">
        <v>42153</v>
      </c>
      <c r="W9" s="35">
        <f>_xll.qlYieldTSDiscount(U$4,V9,,Triggers!RTDataTrigger)</f>
        <v>0.99958300135766875</v>
      </c>
      <c r="X9" s="44"/>
      <c r="Y9" s="33"/>
      <c r="Z9" s="49">
        <f t="shared" si="5"/>
        <v>42153</v>
      </c>
      <c r="AA9" s="50">
        <f t="shared" si="2"/>
        <v>0.99958300135766875</v>
      </c>
    </row>
    <row r="10" spans="2:27" x14ac:dyDescent="0.2">
      <c r="B10" s="37" t="s">
        <v>6</v>
      </c>
      <c r="C10" s="375" t="s">
        <v>11</v>
      </c>
      <c r="D10" s="11">
        <v>42214</v>
      </c>
      <c r="E10" s="35">
        <f>_xll.qlYieldTSDiscount(C$4,D10,,Triggers!RTDataTrigger)</f>
        <v>0.99887623003312342</v>
      </c>
      <c r="F10" s="44"/>
      <c r="G10" s="33"/>
      <c r="H10" s="49">
        <f t="shared" si="3"/>
        <v>42214</v>
      </c>
      <c r="I10" s="50">
        <f t="shared" si="0"/>
        <v>0.99887623003312342</v>
      </c>
      <c r="K10" s="37" t="s">
        <v>6</v>
      </c>
      <c r="L10" s="375" t="s">
        <v>11</v>
      </c>
      <c r="M10" s="11">
        <v>42445</v>
      </c>
      <c r="N10" s="35">
        <f>_xll.qlYieldTSDiscount(L$4,M10,,Triggers!RTDataTrigger)</f>
        <v>0.99434831482852737</v>
      </c>
      <c r="O10" s="44"/>
      <c r="P10" s="33"/>
      <c r="Q10" s="49">
        <f t="shared" si="4"/>
        <v>42445</v>
      </c>
      <c r="R10" s="50">
        <f t="shared" si="1"/>
        <v>0.99434831482852737</v>
      </c>
      <c r="T10" s="37" t="s">
        <v>6</v>
      </c>
      <c r="U10" s="375" t="s">
        <v>58</v>
      </c>
      <c r="V10" s="11">
        <v>42184</v>
      </c>
      <c r="W10" s="35">
        <f>_xll.qlYieldTSDiscount(U$4,V10,,Triggers!RTDataTrigger)</f>
        <v>0.99910105048117703</v>
      </c>
      <c r="X10" s="44"/>
      <c r="Y10" s="33"/>
      <c r="Z10" s="49">
        <f t="shared" si="5"/>
        <v>42184</v>
      </c>
      <c r="AA10" s="50">
        <f t="shared" si="2"/>
        <v>0.99910105048117703</v>
      </c>
    </row>
    <row r="11" spans="2:27" x14ac:dyDescent="0.2">
      <c r="B11" s="37" t="s">
        <v>7</v>
      </c>
      <c r="C11" s="375" t="s">
        <v>12</v>
      </c>
      <c r="D11" s="11">
        <v>42244</v>
      </c>
      <c r="E11" s="35">
        <f>_xll.qlYieldTSDiscount(C$4,D11,,Triggers!RTDataTrigger)</f>
        <v>0.99850217834192845</v>
      </c>
      <c r="F11" s="44"/>
      <c r="G11" s="33"/>
      <c r="H11" s="49">
        <f t="shared" si="3"/>
        <v>42244</v>
      </c>
      <c r="I11" s="50">
        <f t="shared" si="0"/>
        <v>0.99850217834192845</v>
      </c>
      <c r="K11" s="37" t="s">
        <v>7</v>
      </c>
      <c r="L11" s="375" t="s">
        <v>12</v>
      </c>
      <c r="M11" s="11">
        <v>42537</v>
      </c>
      <c r="N11" s="35">
        <f>_xll.qlYieldTSDiscount(L$4,M11,,Triggers!RTDataTrigger)</f>
        <v>0.99218507952316759</v>
      </c>
      <c r="O11" s="44"/>
      <c r="P11" s="33"/>
      <c r="Q11" s="49">
        <f t="shared" si="4"/>
        <v>42537</v>
      </c>
      <c r="R11" s="50">
        <f t="shared" si="1"/>
        <v>0.99218507952316759</v>
      </c>
      <c r="T11" s="37" t="s">
        <v>7</v>
      </c>
      <c r="U11" s="375" t="s">
        <v>46</v>
      </c>
      <c r="V11" s="11">
        <v>42214</v>
      </c>
      <c r="W11" s="35">
        <f>_xll.qlYieldTSDiscount(U$4,V11,,Triggers!RTDataTrigger)</f>
        <v>0.99858556974804757</v>
      </c>
      <c r="X11" s="44"/>
      <c r="Y11" s="33"/>
      <c r="Z11" s="49">
        <f t="shared" si="5"/>
        <v>42214</v>
      </c>
      <c r="AA11" s="50">
        <f t="shared" si="2"/>
        <v>0.99858556974804757</v>
      </c>
    </row>
    <row r="12" spans="2:27" x14ac:dyDescent="0.2">
      <c r="B12" s="37" t="s">
        <v>8</v>
      </c>
      <c r="C12" s="375" t="s">
        <v>13</v>
      </c>
      <c r="D12" s="11">
        <v>42276</v>
      </c>
      <c r="E12" s="35">
        <f>_xll.qlYieldTSDiscount(C$4,D12,,Triggers!RTDataTrigger)</f>
        <v>0.99810681014429559</v>
      </c>
      <c r="F12" s="44"/>
      <c r="G12" s="33"/>
      <c r="H12" s="49">
        <f t="shared" si="3"/>
        <v>42276</v>
      </c>
      <c r="I12" s="50">
        <f t="shared" si="0"/>
        <v>0.99810681014429559</v>
      </c>
      <c r="K12" s="37" t="s">
        <v>8</v>
      </c>
      <c r="L12" s="375" t="s">
        <v>13</v>
      </c>
      <c r="M12" s="11">
        <v>42628</v>
      </c>
      <c r="N12" s="35">
        <f>_xll.qlYieldTSDiscount(L$4,M12,,Triggers!RTDataTrigger)</f>
        <v>0.98972815330154551</v>
      </c>
      <c r="O12" s="44"/>
      <c r="P12" s="33"/>
      <c r="Q12" s="49">
        <f t="shared" si="4"/>
        <v>42628</v>
      </c>
      <c r="R12" s="50">
        <f t="shared" si="1"/>
        <v>0.98972815330154551</v>
      </c>
      <c r="T12" s="37" t="s">
        <v>8</v>
      </c>
      <c r="U12" s="375" t="s">
        <v>13</v>
      </c>
      <c r="V12" s="11">
        <v>42244</v>
      </c>
      <c r="W12" s="35">
        <f>_xll.qlYieldTSDiscount(U$4,V12,,Triggers!RTDataTrigger)</f>
        <v>0.99798203145361963</v>
      </c>
      <c r="X12" s="44"/>
      <c r="Y12" s="33"/>
      <c r="Z12" s="49">
        <f t="shared" si="5"/>
        <v>42244</v>
      </c>
      <c r="AA12" s="50">
        <f t="shared" si="2"/>
        <v>0.99798203145361963</v>
      </c>
    </row>
    <row r="13" spans="2:27" x14ac:dyDescent="0.2">
      <c r="B13" s="38" t="s">
        <v>9</v>
      </c>
      <c r="C13" s="42">
        <v>5</v>
      </c>
      <c r="D13" s="11">
        <v>42306</v>
      </c>
      <c r="E13" s="35">
        <f>_xll.qlYieldTSDiscount(C$4,D13,,Triggers!RTDataTrigger)</f>
        <v>0.9977239593021614</v>
      </c>
      <c r="F13" s="44"/>
      <c r="G13" s="33"/>
      <c r="H13" s="49">
        <f t="shared" si="3"/>
        <v>42306</v>
      </c>
      <c r="I13" s="50">
        <f t="shared" si="0"/>
        <v>0.9977239593021614</v>
      </c>
      <c r="K13" s="38" t="s">
        <v>9</v>
      </c>
      <c r="L13" s="42">
        <v>5</v>
      </c>
      <c r="M13" s="11">
        <v>42725</v>
      </c>
      <c r="N13" s="35">
        <f>_xll.qlYieldTSDiscount(L$4,M13,,Triggers!RTDataTrigger)</f>
        <v>0.98676258533190975</v>
      </c>
      <c r="O13" s="44"/>
      <c r="P13" s="33"/>
      <c r="Q13" s="49">
        <f t="shared" si="4"/>
        <v>42725</v>
      </c>
      <c r="R13" s="50">
        <f t="shared" si="1"/>
        <v>0.98676258533190975</v>
      </c>
      <c r="T13" s="38" t="s">
        <v>9</v>
      </c>
      <c r="U13" s="42">
        <v>5</v>
      </c>
      <c r="V13" s="11">
        <v>42276</v>
      </c>
      <c r="W13" s="35">
        <f>_xll.qlYieldTSDiscount(U$4,V13,,Triggers!RTDataTrigger)</f>
        <v>0.99726929629591732</v>
      </c>
      <c r="X13" s="44"/>
      <c r="Y13" s="33"/>
      <c r="Z13" s="49">
        <f t="shared" si="5"/>
        <v>42276</v>
      </c>
      <c r="AA13" s="50">
        <f t="shared" si="2"/>
        <v>0.99726929629591732</v>
      </c>
    </row>
    <row r="14" spans="2:27" x14ac:dyDescent="0.2">
      <c r="B14" s="37" t="s">
        <v>17</v>
      </c>
      <c r="C14" s="28">
        <f>COUNT(H4:H93)</f>
        <v>35</v>
      </c>
      <c r="D14" s="11">
        <v>42338</v>
      </c>
      <c r="E14" s="35">
        <f>_xll.qlYieldTSDiscount(C$4,D14,,Triggers!RTDataTrigger)</f>
        <v>0.99728308665948018</v>
      </c>
      <c r="F14" s="44"/>
      <c r="G14" s="33"/>
      <c r="H14" s="49">
        <f t="shared" si="3"/>
        <v>42338</v>
      </c>
      <c r="I14" s="50">
        <f t="shared" si="0"/>
        <v>0.99728308665948018</v>
      </c>
      <c r="K14" s="37" t="s">
        <v>17</v>
      </c>
      <c r="L14" s="28">
        <f>COUNT(Q4:Q93)</f>
        <v>28</v>
      </c>
      <c r="M14" s="11">
        <v>42815</v>
      </c>
      <c r="N14" s="35">
        <f>_xll.qlYieldTSDiscount(L$4,M14,,Triggers!RTDataTrigger)</f>
        <v>0.98371844838000511</v>
      </c>
      <c r="O14" s="44"/>
      <c r="P14" s="33"/>
      <c r="Q14" s="49">
        <f t="shared" si="4"/>
        <v>42815</v>
      </c>
      <c r="R14" s="50">
        <f t="shared" si="1"/>
        <v>0.98371844838000511</v>
      </c>
      <c r="T14" s="37" t="s">
        <v>17</v>
      </c>
      <c r="U14" s="28">
        <f>COUNT(Z4:Z93)</f>
        <v>35</v>
      </c>
      <c r="V14" s="11">
        <v>42306</v>
      </c>
      <c r="W14" s="35">
        <f>_xll.qlYieldTSDiscount(U$4,V14,,Triggers!RTDataTrigger)</f>
        <v>0.99650577189493539</v>
      </c>
      <c r="X14" s="44"/>
      <c r="Y14" s="33"/>
      <c r="Z14" s="49">
        <f t="shared" si="5"/>
        <v>42306</v>
      </c>
      <c r="AA14" s="50">
        <f t="shared" si="2"/>
        <v>0.99650577189493539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42123.780057870368</v>
      </c>
      <c r="D15" s="11">
        <v>42367</v>
      </c>
      <c r="E15" s="35">
        <f>_xll.qlYieldTSDiscount(C$4,D15,,Triggers!RTDataTrigger)</f>
        <v>0.99687622689179267</v>
      </c>
      <c r="F15" s="44"/>
      <c r="G15" s="33"/>
      <c r="H15" s="49">
        <f t="shared" si="3"/>
        <v>42367</v>
      </c>
      <c r="I15" s="50">
        <f t="shared" si="0"/>
        <v>0.99687622689179267</v>
      </c>
      <c r="K15" s="38" t="s">
        <v>18</v>
      </c>
      <c r="L15" s="15">
        <f>GetNow(_xll.xlPushShmLiborCurveName(L8,L9,Q4:INDEX(Q4:Q93,L14),R4:INDEX(R4:R93,L14),L10,L11,L12,L13+0*TYPE(ManualTrigger)))</f>
        <v>42123.780057870368</v>
      </c>
      <c r="M15" s="11">
        <v>42901</v>
      </c>
      <c r="N15" s="35">
        <f>_xll.qlYieldTSDiscount(L$4,M15,,Triggers!RTDataTrigger)</f>
        <v>0.98055701548221952</v>
      </c>
      <c r="O15" s="44"/>
      <c r="P15" s="33"/>
      <c r="Q15" s="49">
        <f t="shared" si="4"/>
        <v>42901</v>
      </c>
      <c r="R15" s="50">
        <f t="shared" si="1"/>
        <v>0.98055701548221952</v>
      </c>
      <c r="T15" s="38" t="s">
        <v>18</v>
      </c>
      <c r="U15" s="15">
        <f>GetNow(_xll.xlPushShmLiborCurveName(U8,U9,Z4:INDEX(Z4:Z93,U14),AA4:INDEX(AA4:AA93,U14),U10,U11,U12,U13+0*TYPE(ManualTrigger)))</f>
        <v>42123.780057870368</v>
      </c>
      <c r="V15" s="11">
        <v>42338</v>
      </c>
      <c r="W15" s="35">
        <f>_xll.qlYieldTSDiscount(U$4,V15,,Triggers!RTDataTrigger)</f>
        <v>0.99562833561708874</v>
      </c>
      <c r="X15" s="44"/>
      <c r="Y15" s="33"/>
      <c r="Z15" s="49">
        <f t="shared" si="5"/>
        <v>42338</v>
      </c>
      <c r="AA15" s="50">
        <f t="shared" si="2"/>
        <v>0.99562833561708874</v>
      </c>
    </row>
    <row r="16" spans="2:27" x14ac:dyDescent="0.2">
      <c r="D16" s="11">
        <v>42398</v>
      </c>
      <c r="E16" s="35">
        <f>_xll.qlYieldTSDiscount(C$4,D16,,Triggers!RTDataTrigger)</f>
        <v>0.99641529360990744</v>
      </c>
      <c r="F16" s="44"/>
      <c r="G16" s="33"/>
      <c r="H16" s="49">
        <f t="shared" si="3"/>
        <v>42398</v>
      </c>
      <c r="I16" s="50">
        <f t="shared" si="0"/>
        <v>0.99641529360990744</v>
      </c>
      <c r="M16" s="11">
        <v>43220</v>
      </c>
      <c r="N16" s="35">
        <f>_xll.qlYieldTSDiscount(L$4,M16,,Triggers!RTDataTrigger)</f>
        <v>0.96778459049265586</v>
      </c>
      <c r="O16" s="44"/>
      <c r="P16" s="33"/>
      <c r="Q16" s="49">
        <f t="shared" si="4"/>
        <v>43220</v>
      </c>
      <c r="R16" s="50">
        <f t="shared" si="1"/>
        <v>0.96778459049265586</v>
      </c>
      <c r="V16" s="11">
        <v>42354</v>
      </c>
      <c r="W16" s="35">
        <f>_xll.qlYieldTSDiscount(U$4,V16,,Triggers!RTDataTrigger)</f>
        <v>0.99568744922164909</v>
      </c>
      <c r="X16" s="44"/>
      <c r="Y16" s="33"/>
      <c r="Z16" s="49">
        <f t="shared" si="5"/>
        <v>42354</v>
      </c>
      <c r="AA16" s="50">
        <f t="shared" si="2"/>
        <v>0.99568744922164909</v>
      </c>
    </row>
    <row r="17" spans="2:27" x14ac:dyDescent="0.2">
      <c r="D17" s="11">
        <v>42429</v>
      </c>
      <c r="E17" s="35">
        <f>_xll.qlYieldTSDiscount(C$4,D17,,Triggers!RTDataTrigger)</f>
        <v>0.99590886096978237</v>
      </c>
      <c r="F17" s="44"/>
      <c r="G17" s="33"/>
      <c r="H17" s="49">
        <f t="shared" si="3"/>
        <v>42429</v>
      </c>
      <c r="I17" s="50">
        <f t="shared" si="0"/>
        <v>0.99590886096978237</v>
      </c>
      <c r="M17" s="11">
        <v>43584</v>
      </c>
      <c r="N17" s="35">
        <f>_xll.qlYieldTSDiscount(L$4,M17,,Triggers!RTDataTrigger)</f>
        <v>0.95074711403524437</v>
      </c>
      <c r="O17" s="44"/>
      <c r="P17" s="33"/>
      <c r="Q17" s="49">
        <f t="shared" si="4"/>
        <v>43584</v>
      </c>
      <c r="R17" s="50">
        <f t="shared" si="1"/>
        <v>0.95074711403524437</v>
      </c>
      <c r="V17" s="11">
        <v>42445</v>
      </c>
      <c r="W17" s="35">
        <f>_xll.qlYieldTSDiscount(U$4,V17,,Triggers!RTDataTrigger)</f>
        <v>0.99387611680614074</v>
      </c>
      <c r="X17" s="44"/>
      <c r="Y17" s="33"/>
      <c r="Z17" s="49">
        <f t="shared" si="5"/>
        <v>42445</v>
      </c>
      <c r="AA17" s="50">
        <f t="shared" si="2"/>
        <v>0.99387611680614074</v>
      </c>
    </row>
    <row r="18" spans="2:27" x14ac:dyDescent="0.2">
      <c r="D18" s="11">
        <v>42458</v>
      </c>
      <c r="E18" s="35">
        <f>_xll.qlYieldTSDiscount(C$4,D18,,Triggers!RTDataTrigger)</f>
        <v>0.99540918646831866</v>
      </c>
      <c r="F18" s="44"/>
      <c r="G18" s="33"/>
      <c r="H18" s="49">
        <f t="shared" si="3"/>
        <v>42458</v>
      </c>
      <c r="I18" s="50">
        <f t="shared" si="0"/>
        <v>0.99540918646831866</v>
      </c>
      <c r="K18" s="64"/>
      <c r="M18" s="11">
        <v>43950</v>
      </c>
      <c r="N18" s="35">
        <f>_xll.qlYieldTSDiscount(L$4,M18,,Triggers!RTDataTrigger)</f>
        <v>0.93204862639974539</v>
      </c>
      <c r="O18" s="44"/>
      <c r="P18" s="33"/>
      <c r="Q18" s="49">
        <f t="shared" si="4"/>
        <v>43950</v>
      </c>
      <c r="R18" s="50">
        <f t="shared" si="1"/>
        <v>0.93204862639974539</v>
      </c>
      <c r="T18" s="64"/>
      <c r="V18" s="11">
        <v>42537</v>
      </c>
      <c r="W18" s="35">
        <f>_xll.qlYieldTSDiscount(U$4,V18,,Triggers!RTDataTrigger)</f>
        <v>0.9917301215058647</v>
      </c>
      <c r="X18" s="44"/>
      <c r="Y18" s="33"/>
      <c r="Z18" s="49">
        <f t="shared" si="5"/>
        <v>42537</v>
      </c>
      <c r="AA18" s="50">
        <f t="shared" si="2"/>
        <v>0.9917301215058647</v>
      </c>
    </row>
    <row r="19" spans="2:27" x14ac:dyDescent="0.2">
      <c r="B19" s="64"/>
      <c r="D19" s="11">
        <v>42489</v>
      </c>
      <c r="E19" s="35">
        <f>_xll.qlYieldTSDiscount(C$4,D19,,Triggers!RTDataTrigger)</f>
        <v>0.9948748273704785</v>
      </c>
      <c r="F19" s="44"/>
      <c r="G19" s="33"/>
      <c r="H19" s="49">
        <f t="shared" si="3"/>
        <v>42489</v>
      </c>
      <c r="I19" s="50">
        <f t="shared" si="0"/>
        <v>0.9948748273704785</v>
      </c>
      <c r="K19" s="64"/>
      <c r="M19" s="11">
        <v>44315</v>
      </c>
      <c r="N19" s="35">
        <f>_xll.qlYieldTSDiscount(L$4,M19,,Triggers!RTDataTrigger)</f>
        <v>0.91288170872614816</v>
      </c>
      <c r="O19" s="44"/>
      <c r="P19" s="33"/>
      <c r="Q19" s="49">
        <f t="shared" si="4"/>
        <v>44315</v>
      </c>
      <c r="R19" s="50">
        <f t="shared" si="1"/>
        <v>0.91288170872614816</v>
      </c>
      <c r="T19" s="64"/>
      <c r="V19" s="11">
        <v>42628</v>
      </c>
      <c r="W19" s="35">
        <f>_xll.qlYieldTSDiscount(U$4,V19,,Triggers!RTDataTrigger)</f>
        <v>0.98929722085931793</v>
      </c>
      <c r="X19" s="44"/>
      <c r="Y19" s="33"/>
      <c r="Z19" s="49">
        <f t="shared" si="5"/>
        <v>42628</v>
      </c>
      <c r="AA19" s="50">
        <f t="shared" si="2"/>
        <v>0.98929722085931793</v>
      </c>
    </row>
    <row r="20" spans="2:27" x14ac:dyDescent="0.2">
      <c r="B20" s="64" t="b">
        <v>1</v>
      </c>
      <c r="D20" s="11">
        <v>42580</v>
      </c>
      <c r="E20" s="35">
        <f>_xll.qlYieldTSDiscount(C$4,D20,,Triggers!RTDataTrigger)</f>
        <v>0.99307363766821921</v>
      </c>
      <c r="F20" s="44"/>
      <c r="G20" s="33"/>
      <c r="H20" s="49">
        <f t="shared" si="3"/>
        <v>42580</v>
      </c>
      <c r="I20" s="50">
        <f t="shared" si="0"/>
        <v>0.99307363766821921</v>
      </c>
      <c r="K20" s="64"/>
      <c r="M20" s="11">
        <v>44680</v>
      </c>
      <c r="N20" s="35">
        <f>_xll.qlYieldTSDiscount(L$4,M20,,Triggers!RTDataTrigger)</f>
        <v>0.89328899462193045</v>
      </c>
      <c r="O20" s="44"/>
      <c r="P20" s="33"/>
      <c r="Q20" s="49">
        <f t="shared" si="4"/>
        <v>44680</v>
      </c>
      <c r="R20" s="50">
        <f t="shared" si="1"/>
        <v>0.89328899462193045</v>
      </c>
      <c r="T20" s="64"/>
      <c r="V20" s="11">
        <v>42725</v>
      </c>
      <c r="W20" s="35">
        <f>_xll.qlYieldTSDiscount(U$4,V20,,Triggers!RTDataTrigger)</f>
        <v>0.9863652623586997</v>
      </c>
      <c r="X20" s="44"/>
      <c r="Y20" s="33"/>
      <c r="Z20" s="49">
        <f t="shared" si="5"/>
        <v>42725</v>
      </c>
      <c r="AA20" s="50">
        <f t="shared" si="2"/>
        <v>0.9863652623586997</v>
      </c>
    </row>
    <row r="21" spans="2:27" x14ac:dyDescent="0.2">
      <c r="B21" s="64" t="b">
        <v>1</v>
      </c>
      <c r="D21" s="11">
        <v>42674</v>
      </c>
      <c r="E21" s="35">
        <f>_xll.qlYieldTSDiscount(C$4,D21,,Triggers!RTDataTrigger)</f>
        <v>0.99090721300365481</v>
      </c>
      <c r="F21" s="44"/>
      <c r="G21" s="33"/>
      <c r="H21" s="49">
        <f t="shared" si="3"/>
        <v>42674</v>
      </c>
      <c r="I21" s="50">
        <f t="shared" si="0"/>
        <v>0.99090721300365481</v>
      </c>
      <c r="K21" s="64"/>
      <c r="M21" s="11">
        <v>45044</v>
      </c>
      <c r="N21" s="35">
        <f>_xll.qlYieldTSDiscount(L$4,M21,,Triggers!RTDataTrigger)</f>
        <v>0.87355770668346155</v>
      </c>
      <c r="O21" s="44"/>
      <c r="P21" s="33"/>
      <c r="Q21" s="49">
        <f t="shared" si="4"/>
        <v>45044</v>
      </c>
      <c r="R21" s="50">
        <f t="shared" si="1"/>
        <v>0.87355770668346155</v>
      </c>
      <c r="T21" s="64"/>
      <c r="V21" s="11">
        <v>42815</v>
      </c>
      <c r="W21" s="35">
        <f>_xll.qlYieldTSDiscount(U$4,V21,,Triggers!RTDataTrigger)</f>
        <v>0.98336416962089335</v>
      </c>
      <c r="X21" s="44"/>
      <c r="Y21" s="33"/>
      <c r="Z21" s="49">
        <f t="shared" si="5"/>
        <v>42815</v>
      </c>
      <c r="AA21" s="50">
        <f t="shared" si="2"/>
        <v>0.98336416962089335</v>
      </c>
    </row>
    <row r="22" spans="2:27" x14ac:dyDescent="0.2">
      <c r="B22" s="64"/>
      <c r="D22" s="11">
        <v>42853</v>
      </c>
      <c r="E22" s="35">
        <f>_xll.qlYieldTSDiscount(C$4,D22,,Triggers!RTDataTrigger)</f>
        <v>0.98596065542202671</v>
      </c>
      <c r="F22" s="44"/>
      <c r="G22" s="33"/>
      <c r="H22" s="49">
        <f t="shared" si="3"/>
        <v>42853</v>
      </c>
      <c r="I22" s="50">
        <f t="shared" si="0"/>
        <v>0.98596065542202671</v>
      </c>
      <c r="K22" s="64"/>
      <c r="M22" s="11">
        <v>45411</v>
      </c>
      <c r="N22" s="35">
        <f>_xll.qlYieldTSDiscount(L$4,M22,,Triggers!RTDataTrigger)</f>
        <v>0.85362684233748964</v>
      </c>
      <c r="O22" s="44"/>
      <c r="P22" s="33"/>
      <c r="Q22" s="49">
        <f t="shared" si="4"/>
        <v>45411</v>
      </c>
      <c r="R22" s="50">
        <f t="shared" si="1"/>
        <v>0.85362684233748964</v>
      </c>
      <c r="T22" s="64"/>
      <c r="V22" s="11">
        <v>42901</v>
      </c>
      <c r="W22" s="35">
        <f>_xll.qlYieldTSDiscount(U$4,V22,,Triggers!RTDataTrigger)</f>
        <v>0.98025436222921136</v>
      </c>
      <c r="X22" s="44"/>
      <c r="Y22" s="33"/>
      <c r="Z22" s="49">
        <f t="shared" si="5"/>
        <v>42901</v>
      </c>
      <c r="AA22" s="50">
        <f t="shared" si="2"/>
        <v>0.98025436222921136</v>
      </c>
    </row>
    <row r="23" spans="2:27" x14ac:dyDescent="0.2">
      <c r="B23" s="64"/>
      <c r="D23" s="11">
        <v>43220</v>
      </c>
      <c r="E23" s="35">
        <f>_xll.qlYieldTSDiscount(C$4,D23,,Triggers!RTDataTrigger)</f>
        <v>0.97332732125200094</v>
      </c>
      <c r="F23" s="44"/>
      <c r="G23" s="33"/>
      <c r="H23" s="49">
        <f t="shared" si="3"/>
        <v>43220</v>
      </c>
      <c r="I23" s="50">
        <f t="shared" si="0"/>
        <v>0.97332732125200094</v>
      </c>
      <c r="K23" s="64"/>
      <c r="M23" s="11">
        <v>45776</v>
      </c>
      <c r="N23" s="35">
        <f>_xll.qlYieldTSDiscount(L$4,M23,,Triggers!RTDataTrigger)</f>
        <v>0.83382509382473813</v>
      </c>
      <c r="O23" s="44"/>
      <c r="P23" s="33"/>
      <c r="Q23" s="49">
        <f t="shared" si="4"/>
        <v>45776</v>
      </c>
      <c r="R23" s="50">
        <f t="shared" si="1"/>
        <v>0.83382509382473813</v>
      </c>
      <c r="T23" s="64"/>
      <c r="V23" s="11">
        <v>43220</v>
      </c>
      <c r="W23" s="35">
        <f>_xll.qlYieldTSDiscount(U$4,V23,,Triggers!RTDataTrigger)</f>
        <v>0.96466462341110693</v>
      </c>
      <c r="X23" s="44"/>
      <c r="Y23" s="33"/>
      <c r="Z23" s="49">
        <f t="shared" si="5"/>
        <v>43220</v>
      </c>
      <c r="AA23" s="50">
        <f t="shared" si="2"/>
        <v>0.96466462341110693</v>
      </c>
    </row>
    <row r="24" spans="2:27" x14ac:dyDescent="0.2">
      <c r="B24" s="64"/>
      <c r="D24" s="11">
        <v>43584</v>
      </c>
      <c r="E24" s="35">
        <f>_xll.qlYieldTSDiscount(C$4,D24,,Triggers!RTDataTrigger)</f>
        <v>0.95844842174936495</v>
      </c>
      <c r="F24" s="44"/>
      <c r="G24" s="33"/>
      <c r="H24" s="49">
        <f t="shared" si="3"/>
        <v>43584</v>
      </c>
      <c r="I24" s="50">
        <f t="shared" si="0"/>
        <v>0.95844842174936495</v>
      </c>
      <c r="K24" s="64"/>
      <c r="M24" s="11">
        <v>46506</v>
      </c>
      <c r="N24" s="35">
        <f>_xll.qlYieldTSDiscount(L$4,M24,,Triggers!RTDataTrigger)</f>
        <v>0.79500005190571099</v>
      </c>
      <c r="O24" s="44"/>
      <c r="P24" s="33"/>
      <c r="Q24" s="49">
        <f t="shared" si="4"/>
        <v>46506</v>
      </c>
      <c r="R24" s="50">
        <f t="shared" si="1"/>
        <v>0.79500005190571099</v>
      </c>
      <c r="T24" s="64"/>
      <c r="V24" s="11">
        <v>43584</v>
      </c>
      <c r="W24" s="35">
        <f>_xll.qlYieldTSDiscount(U$4,V24,,Triggers!RTDataTrigger)</f>
        <v>0.94660474081700852</v>
      </c>
      <c r="X24" s="44"/>
      <c r="Y24" s="33"/>
      <c r="Z24" s="49">
        <f t="shared" si="5"/>
        <v>43584</v>
      </c>
      <c r="AA24" s="50">
        <f t="shared" si="2"/>
        <v>0.94660474081700852</v>
      </c>
    </row>
    <row r="25" spans="2:27" x14ac:dyDescent="0.2">
      <c r="B25" s="64"/>
      <c r="D25" s="11">
        <v>43950</v>
      </c>
      <c r="E25" s="35">
        <f>_xll.qlYieldTSDiscount(C$4,D25,,Triggers!RTDataTrigger)</f>
        <v>0.94174473085821198</v>
      </c>
      <c r="F25" s="44"/>
      <c r="G25" s="33"/>
      <c r="H25" s="49">
        <f t="shared" si="3"/>
        <v>43950</v>
      </c>
      <c r="I25" s="50">
        <f t="shared" si="0"/>
        <v>0.94174473085821198</v>
      </c>
      <c r="K25" s="64"/>
      <c r="M25" s="11">
        <v>47602</v>
      </c>
      <c r="N25" s="35">
        <f>_xll.qlYieldTSDiscount(L$4,M25,,Triggers!RTDataTrigger)</f>
        <v>0.73802424355106866</v>
      </c>
      <c r="O25" s="44"/>
      <c r="P25" s="33"/>
      <c r="Q25" s="49">
        <f t="shared" si="4"/>
        <v>47602</v>
      </c>
      <c r="R25" s="50">
        <f t="shared" si="1"/>
        <v>0.73802424355106866</v>
      </c>
      <c r="T25" s="64"/>
      <c r="V25" s="11">
        <v>43950</v>
      </c>
      <c r="W25" s="35">
        <f>_xll.qlYieldTSDiscount(U$4,V25,,Triggers!RTDataTrigger)</f>
        <v>0.92695037365672128</v>
      </c>
      <c r="X25" s="44"/>
      <c r="Y25" s="33"/>
      <c r="Z25" s="49">
        <f t="shared" si="5"/>
        <v>43950</v>
      </c>
      <c r="AA25" s="50">
        <f t="shared" si="2"/>
        <v>0.92695037365672128</v>
      </c>
    </row>
    <row r="26" spans="2:27" x14ac:dyDescent="0.2">
      <c r="B26" s="64"/>
      <c r="D26" s="11">
        <v>44315</v>
      </c>
      <c r="E26" s="35">
        <f>_xll.qlYieldTSDiscount(C$4,D26,,Triggers!RTDataTrigger)</f>
        <v>0.92458776654024022</v>
      </c>
      <c r="F26" s="44"/>
      <c r="G26" s="33"/>
      <c r="H26" s="49">
        <f t="shared" si="3"/>
        <v>44315</v>
      </c>
      <c r="I26" s="50">
        <f t="shared" si="0"/>
        <v>0.92458776654024022</v>
      </c>
      <c r="K26" s="64"/>
      <c r="M26" s="11">
        <v>49429</v>
      </c>
      <c r="N26" s="35">
        <f>_xll.qlYieldTSDiscount(L$4,M26,,Triggers!RTDataTrigger)</f>
        <v>0.65207121024348746</v>
      </c>
      <c r="O26" s="44"/>
      <c r="P26" s="33"/>
      <c r="Q26" s="49">
        <f t="shared" si="4"/>
        <v>49429</v>
      </c>
      <c r="R26" s="50">
        <f t="shared" si="1"/>
        <v>0.65207121024348746</v>
      </c>
      <c r="T26" s="64"/>
      <c r="V26" s="11">
        <v>44315</v>
      </c>
      <c r="W26" s="35">
        <f>_xll.qlYieldTSDiscount(U$4,V26,,Triggers!RTDataTrigger)</f>
        <v>0.90679797084597591</v>
      </c>
      <c r="X26" s="44"/>
      <c r="Y26" s="33"/>
      <c r="Z26" s="49">
        <f t="shared" si="5"/>
        <v>44315</v>
      </c>
      <c r="AA26" s="50">
        <f t="shared" si="2"/>
        <v>0.90679797084597591</v>
      </c>
    </row>
    <row r="27" spans="2:27" x14ac:dyDescent="0.2">
      <c r="B27" s="64"/>
      <c r="D27" s="11">
        <v>44680</v>
      </c>
      <c r="E27" s="35">
        <f>_xll.qlYieldTSDiscount(C$4,D27,,Triggers!RTDataTrigger)</f>
        <v>0.90682667812913387</v>
      </c>
      <c r="F27" s="44"/>
      <c r="G27" s="33"/>
      <c r="H27" s="49">
        <f t="shared" si="3"/>
        <v>44680</v>
      </c>
      <c r="I27" s="50">
        <f t="shared" si="0"/>
        <v>0.90682667812913387</v>
      </c>
      <c r="K27" s="64"/>
      <c r="M27" s="11">
        <v>51256</v>
      </c>
      <c r="N27" s="35">
        <f>_xll.qlYieldTSDiscount(L$4,M27,,Triggers!RTDataTrigger)</f>
        <v>0.58002235030018301</v>
      </c>
      <c r="O27" s="44"/>
      <c r="P27" s="33"/>
      <c r="Q27" s="49">
        <f t="shared" si="4"/>
        <v>51256</v>
      </c>
      <c r="R27" s="50">
        <f t="shared" si="1"/>
        <v>0.58002235030018301</v>
      </c>
      <c r="T27" s="64"/>
      <c r="V27" s="11">
        <v>44680</v>
      </c>
      <c r="W27" s="35">
        <f>_xll.qlYieldTSDiscount(U$4,V27,,Triggers!RTDataTrigger)</f>
        <v>0.88623766206146037</v>
      </c>
      <c r="X27" s="44"/>
      <c r="Y27" s="33"/>
      <c r="Z27" s="49">
        <f t="shared" si="5"/>
        <v>44680</v>
      </c>
      <c r="AA27" s="50">
        <f t="shared" si="2"/>
        <v>0.88623766206146037</v>
      </c>
    </row>
    <row r="28" spans="2:27" x14ac:dyDescent="0.2">
      <c r="B28" s="64"/>
      <c r="D28" s="11">
        <v>45044</v>
      </c>
      <c r="E28" s="35">
        <f>_xll.qlYieldTSDiscount(C$4,D28,,Triggers!RTDataTrigger)</f>
        <v>0.88889430019159621</v>
      </c>
      <c r="F28" s="44"/>
      <c r="G28" s="33"/>
      <c r="H28" s="49">
        <f t="shared" si="3"/>
        <v>45044</v>
      </c>
      <c r="I28" s="50">
        <f t="shared" si="0"/>
        <v>0.88889430019159621</v>
      </c>
      <c r="K28" s="64"/>
      <c r="M28" s="11">
        <v>53080</v>
      </c>
      <c r="N28" s="35">
        <f>_xll.qlYieldTSDiscount(L$4,M28,,Triggers!RTDataTrigger)</f>
        <v>0.51661311517128616</v>
      </c>
      <c r="O28" s="44"/>
      <c r="P28" s="33"/>
      <c r="Q28" s="49">
        <f t="shared" si="4"/>
        <v>53080</v>
      </c>
      <c r="R28" s="50">
        <f t="shared" si="1"/>
        <v>0.51661311517128616</v>
      </c>
      <c r="T28" s="64"/>
      <c r="V28" s="11">
        <v>45044</v>
      </c>
      <c r="W28" s="35">
        <f>_xll.qlYieldTSDiscount(U$4,V28,,Triggers!RTDataTrigger)</f>
        <v>0.86565350303888389</v>
      </c>
      <c r="X28" s="44"/>
      <c r="Y28" s="33"/>
      <c r="Z28" s="49">
        <f t="shared" si="5"/>
        <v>45044</v>
      </c>
      <c r="AA28" s="50">
        <f t="shared" si="2"/>
        <v>0.86565350303888389</v>
      </c>
    </row>
    <row r="29" spans="2:27" x14ac:dyDescent="0.2">
      <c r="B29" s="64"/>
      <c r="D29" s="11">
        <v>45411</v>
      </c>
      <c r="E29" s="35">
        <f>_xll.qlYieldTSDiscount(C$4,D29,,Triggers!RTDataTrigger)</f>
        <v>0.87046126526959988</v>
      </c>
      <c r="F29" s="44"/>
      <c r="G29" s="33"/>
      <c r="H29" s="49">
        <f t="shared" si="3"/>
        <v>45411</v>
      </c>
      <c r="I29" s="50">
        <f t="shared" si="0"/>
        <v>0.87046126526959988</v>
      </c>
      <c r="K29" s="64"/>
      <c r="M29" s="11">
        <v>56733</v>
      </c>
      <c r="N29" s="35">
        <f>_xll.qlYieldTSDiscount(L$4,M29,,Triggers!RTDataTrigger)</f>
        <v>0.41719534395345131</v>
      </c>
      <c r="O29" s="44"/>
      <c r="P29" s="33"/>
      <c r="Q29" s="49">
        <f t="shared" si="4"/>
        <v>56733</v>
      </c>
      <c r="R29" s="50">
        <f t="shared" si="1"/>
        <v>0.41719534395345131</v>
      </c>
      <c r="T29" s="64"/>
      <c r="V29" s="11">
        <v>45411</v>
      </c>
      <c r="W29" s="35">
        <f>_xll.qlYieldTSDiscount(U$4,V29,,Triggers!RTDataTrigger)</f>
        <v>0.84500667026600396</v>
      </c>
      <c r="X29" s="44"/>
      <c r="Y29" s="33"/>
      <c r="Z29" s="49">
        <f t="shared" si="5"/>
        <v>45411</v>
      </c>
      <c r="AA29" s="50">
        <f t="shared" si="2"/>
        <v>0.84500667026600396</v>
      </c>
    </row>
    <row r="30" spans="2:27" x14ac:dyDescent="0.2">
      <c r="B30" s="64"/>
      <c r="D30" s="11">
        <v>45776</v>
      </c>
      <c r="E30" s="35">
        <f>_xll.qlYieldTSDiscount(C$4,D30,,Triggers!RTDataTrigger)</f>
        <v>0.85205327416664034</v>
      </c>
      <c r="F30" s="44"/>
      <c r="G30" s="33"/>
      <c r="H30" s="49">
        <f t="shared" si="3"/>
        <v>45776</v>
      </c>
      <c r="I30" s="50">
        <f t="shared" si="0"/>
        <v>0.85205327416664034</v>
      </c>
      <c r="K30" s="64"/>
      <c r="M30" s="11">
        <v>60386</v>
      </c>
      <c r="N30" s="35">
        <f>_xll.qlYieldTSDiscount(L$4,M30,,Triggers!RTDataTrigger)</f>
        <v>0.34036579311527021</v>
      </c>
      <c r="O30" s="44"/>
      <c r="P30" s="33"/>
      <c r="Q30" s="49">
        <f t="shared" si="4"/>
        <v>60386</v>
      </c>
      <c r="R30" s="50">
        <f t="shared" si="1"/>
        <v>0.34036579311527021</v>
      </c>
      <c r="T30" s="64"/>
      <c r="V30" s="11">
        <v>45776</v>
      </c>
      <c r="W30" s="35">
        <f>_xll.qlYieldTSDiscount(U$4,V30,,Triggers!RTDataTrigger)</f>
        <v>0.82466597321893842</v>
      </c>
      <c r="X30" s="44"/>
      <c r="Y30" s="33"/>
      <c r="Z30" s="49">
        <f t="shared" si="5"/>
        <v>45776</v>
      </c>
      <c r="AA30" s="50">
        <f t="shared" si="2"/>
        <v>0.82466597321893842</v>
      </c>
    </row>
    <row r="31" spans="2:27" x14ac:dyDescent="0.2">
      <c r="B31" s="64"/>
      <c r="D31" s="11">
        <v>46506</v>
      </c>
      <c r="E31" s="35">
        <f>_xll.qlYieldTSDiscount(C$4,D31,,Triggers!RTDataTrigger)</f>
        <v>0.81542515486723122</v>
      </c>
      <c r="F31" s="44"/>
      <c r="G31" s="33"/>
      <c r="H31" s="49">
        <f t="shared" si="3"/>
        <v>46506</v>
      </c>
      <c r="I31" s="50">
        <f t="shared" si="0"/>
        <v>0.81542515486723122</v>
      </c>
      <c r="K31" s="64"/>
      <c r="M31" s="11">
        <v>64038</v>
      </c>
      <c r="N31" s="35">
        <f>_xll.qlYieldTSDiscount(L$4,M31,,Triggers!RTDataTrigger)</f>
        <v>0.2716545221643189</v>
      </c>
      <c r="O31" s="44"/>
      <c r="P31" s="33"/>
      <c r="Q31" s="49">
        <f t="shared" si="4"/>
        <v>64038</v>
      </c>
      <c r="R31" s="50">
        <f t="shared" si="1"/>
        <v>0.2716545221643189</v>
      </c>
      <c r="T31" s="64"/>
      <c r="V31" s="11">
        <v>46506</v>
      </c>
      <c r="W31" s="35">
        <f>_xll.qlYieldTSDiscount(U$4,V31,,Triggers!RTDataTrigger)</f>
        <v>0.78498141276167288</v>
      </c>
      <c r="X31" s="44"/>
      <c r="Y31" s="33"/>
      <c r="Z31" s="49">
        <f t="shared" si="5"/>
        <v>46506</v>
      </c>
      <c r="AA31" s="50">
        <f t="shared" si="2"/>
        <v>0.78498141276167288</v>
      </c>
    </row>
    <row r="32" spans="2:27" x14ac:dyDescent="0.2">
      <c r="B32" s="64"/>
      <c r="D32" s="11">
        <v>47602</v>
      </c>
      <c r="E32" s="35">
        <f>_xll.qlYieldTSDiscount(C$4,D32,,Triggers!RTDataTrigger)</f>
        <v>0.76024794554144104</v>
      </c>
      <c r="F32" s="44"/>
      <c r="G32" s="33"/>
      <c r="H32" s="49">
        <f t="shared" si="3"/>
        <v>47602</v>
      </c>
      <c r="I32" s="50">
        <f t="shared" si="0"/>
        <v>0.76024794554144104</v>
      </c>
      <c r="K32" s="64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47602</v>
      </c>
      <c r="W32" s="35">
        <f>_xll.qlYieldTSDiscount(U$4,V32,,Triggers!RTDataTrigger)</f>
        <v>0.7280077584308251</v>
      </c>
      <c r="X32" s="44"/>
      <c r="Y32" s="33"/>
      <c r="Z32" s="49">
        <f t="shared" si="5"/>
        <v>47602</v>
      </c>
      <c r="AA32" s="50">
        <f t="shared" si="2"/>
        <v>0.7280077584308251</v>
      </c>
    </row>
    <row r="33" spans="2:27" x14ac:dyDescent="0.2">
      <c r="B33" s="64"/>
      <c r="D33" s="11">
        <v>49429</v>
      </c>
      <c r="E33" s="35">
        <f>_xll.qlYieldTSDiscount(C$4,D33,,Triggers!RTDataTrigger)</f>
        <v>0.67525834994808098</v>
      </c>
      <c r="F33" s="44"/>
      <c r="G33" s="33"/>
      <c r="H33" s="49">
        <f t="shared" si="3"/>
        <v>49429</v>
      </c>
      <c r="I33" s="50">
        <f t="shared" si="0"/>
        <v>0.67525834994808098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49429</v>
      </c>
      <c r="W33" s="35">
        <f>_xll.qlYieldTSDiscount(U$4,V33,,Triggers!RTDataTrigger)</f>
        <v>0.6423674137627764</v>
      </c>
      <c r="X33" s="44"/>
      <c r="Y33" s="33"/>
      <c r="Z33" s="49">
        <f t="shared" si="5"/>
        <v>49429</v>
      </c>
      <c r="AA33" s="50">
        <f t="shared" si="2"/>
        <v>0.6423674137627764</v>
      </c>
    </row>
    <row r="34" spans="2:27" x14ac:dyDescent="0.2">
      <c r="B34" s="64"/>
      <c r="D34" s="11">
        <v>51256</v>
      </c>
      <c r="E34" s="35">
        <f>_xll.qlYieldTSDiscount(C$4,D34,,Triggers!RTDataTrigger)</f>
        <v>0.60355378411067584</v>
      </c>
      <c r="F34" s="44"/>
      <c r="G34" s="33"/>
      <c r="H34" s="49">
        <f t="shared" si="3"/>
        <v>51256</v>
      </c>
      <c r="I34" s="50">
        <f t="shared" si="0"/>
        <v>0.60355378411067584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51256</v>
      </c>
      <c r="W34" s="35">
        <f>_xll.qlYieldTSDiscount(U$4,V34,,Triggers!RTDataTrigger)</f>
        <v>0.57098569907255248</v>
      </c>
      <c r="X34" s="44"/>
      <c r="Y34" s="33"/>
      <c r="Z34" s="49">
        <f t="shared" si="5"/>
        <v>51256</v>
      </c>
      <c r="AA34" s="50">
        <f t="shared" si="2"/>
        <v>0.57098569907255248</v>
      </c>
    </row>
    <row r="35" spans="2:27" x14ac:dyDescent="0.2">
      <c r="B35" s="64"/>
      <c r="D35" s="11">
        <v>53080</v>
      </c>
      <c r="E35" s="35">
        <f>_xll.qlYieldTSDiscount(C$4,D35,,Triggers!RTDataTrigger)</f>
        <v>0.54017652161906937</v>
      </c>
      <c r="F35" s="44"/>
      <c r="G35" s="33"/>
      <c r="H35" s="49">
        <f t="shared" si="3"/>
        <v>53080</v>
      </c>
      <c r="I35" s="50">
        <f t="shared" si="0"/>
        <v>0.54017652161906937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53080</v>
      </c>
      <c r="W35" s="35">
        <f>_xll.qlYieldTSDiscount(U$4,V35,,Triggers!RTDataTrigger)</f>
        <v>0.50842864230176554</v>
      </c>
      <c r="X35" s="44"/>
      <c r="Y35" s="33"/>
      <c r="Z35" s="49">
        <f t="shared" si="5"/>
        <v>53080</v>
      </c>
      <c r="AA35" s="50">
        <f t="shared" si="2"/>
        <v>0.50842864230176554</v>
      </c>
    </row>
    <row r="36" spans="2:27" x14ac:dyDescent="0.2">
      <c r="B36" s="64"/>
      <c r="D36" s="11">
        <v>56733</v>
      </c>
      <c r="E36" s="35">
        <f>_xll.qlYieldTSDiscount(C$4,D36,,Triggers!RTDataTrigger)</f>
        <v>0.44011024109511698</v>
      </c>
      <c r="F36" s="44"/>
      <c r="G36" s="33"/>
      <c r="H36" s="49">
        <f t="shared" si="3"/>
        <v>56733</v>
      </c>
      <c r="I36" s="50">
        <f t="shared" si="0"/>
        <v>0.44011024109511698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56733</v>
      </c>
      <c r="W36" s="35">
        <f>_xll.qlYieldTSDiscount(U$4,V36,,Triggers!RTDataTrigger)</f>
        <v>0.41032638145618827</v>
      </c>
      <c r="X36" s="44"/>
      <c r="Y36" s="33"/>
      <c r="Z36" s="49">
        <f t="shared" si="5"/>
        <v>56733</v>
      </c>
      <c r="AA36" s="50">
        <f t="shared" si="2"/>
        <v>0.41032638145618827</v>
      </c>
    </row>
    <row r="37" spans="2:27" x14ac:dyDescent="0.2">
      <c r="B37" s="64"/>
      <c r="D37" s="11">
        <v>60386</v>
      </c>
      <c r="E37" s="35">
        <f>_xll.qlYieldTSDiscount(C$4,D37,,Triggers!RTDataTrigger)</f>
        <v>0.36215863990172148</v>
      </c>
      <c r="F37" s="44"/>
      <c r="G37" s="33"/>
      <c r="H37" s="49">
        <f t="shared" si="3"/>
        <v>60386</v>
      </c>
      <c r="I37" s="50">
        <f t="shared" si="0"/>
        <v>0.36215863990172148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60386</v>
      </c>
      <c r="W37" s="35">
        <f>_xll.qlYieldTSDiscount(U$4,V37,,Triggers!RTDataTrigger)</f>
        <v>0.33482595097067935</v>
      </c>
      <c r="X37" s="44"/>
      <c r="Y37" s="33"/>
      <c r="Z37" s="49">
        <f t="shared" si="5"/>
        <v>60386</v>
      </c>
      <c r="AA37" s="50">
        <f t="shared" si="2"/>
        <v>0.33482595097067935</v>
      </c>
    </row>
    <row r="38" spans="2:27" x14ac:dyDescent="0.2">
      <c r="B38" s="64"/>
      <c r="D38" s="11">
        <v>64038</v>
      </c>
      <c r="E38" s="35">
        <f>_xll.qlYieldTSDiscount(C$4,D38,,Triggers!RTDataTrigger)</f>
        <v>0.29139971024486566</v>
      </c>
      <c r="F38" s="44"/>
      <c r="G38" s="33"/>
      <c r="H38" s="49">
        <f t="shared" si="3"/>
        <v>64038</v>
      </c>
      <c r="I38" s="50">
        <f t="shared" si="0"/>
        <v>0.29139971024486566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64038</v>
      </c>
      <c r="W38" s="35">
        <f>_xll.qlYieldTSDiscount(U$4,V38,,Triggers!RTDataTrigger)</f>
        <v>0.26722374713275454</v>
      </c>
      <c r="X38" s="44"/>
      <c r="Y38" s="33"/>
      <c r="Z38" s="49">
        <f t="shared" si="5"/>
        <v>64038</v>
      </c>
      <c r="AA38" s="50">
        <f t="shared" si="2"/>
        <v>0.26722374713275454</v>
      </c>
    </row>
    <row r="39" spans="2:27" x14ac:dyDescent="0.2">
      <c r="B39" s="64"/>
      <c r="D39" s="11" t="e">
        <v>#N/A</v>
      </c>
      <c r="E39" s="35" t="e">
        <f>_xll.qlYieldTSDiscount(C$4,D39,,Triggers!RTDataTrigger)</f>
        <v>#NUM!</v>
      </c>
      <c r="F39" s="44"/>
      <c r="G39" s="33"/>
      <c r="H39" s="49" t="e">
        <f t="shared" si="3"/>
        <v>#N/A</v>
      </c>
      <c r="I39" s="50" t="e">
        <f t="shared" si="0"/>
        <v>#NUM!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 t="e">
        <v>#N/A</v>
      </c>
      <c r="W39" s="35" t="e">
        <f>_xll.qlYieldTSDiscount(U$4,V39,,Triggers!RTDataTrigger)</f>
        <v>#NUM!</v>
      </c>
      <c r="X39" s="44"/>
      <c r="Y39" s="33"/>
      <c r="Z39" s="49" t="e">
        <f t="shared" si="5"/>
        <v>#N/A</v>
      </c>
      <c r="AA39" s="50" t="e">
        <f t="shared" si="2"/>
        <v>#NUM!</v>
      </c>
    </row>
    <row r="40" spans="2:27" x14ac:dyDescent="0.2">
      <c r="B40" s="64"/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 t="e">
        <v>#N/A</v>
      </c>
      <c r="W40" s="35" t="e">
        <f>_xll.qlYieldTSDiscount(U$4,V40,,Triggers!RTDataTrigger)</f>
        <v>#NUM!</v>
      </c>
      <c r="X40" s="44"/>
      <c r="Y40" s="33"/>
      <c r="Z40" s="49" t="e">
        <f t="shared" si="5"/>
        <v>#N/A</v>
      </c>
      <c r="AA40" s="50" t="e">
        <f t="shared" si="2"/>
        <v>#NUM!</v>
      </c>
    </row>
    <row r="41" spans="2:27" x14ac:dyDescent="0.2">
      <c r="B41" s="64"/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 t="e">
        <v>#N/A</v>
      </c>
      <c r="W41" s="35" t="e">
        <f>_xll.qlYieldTSDiscount(U$4,V41,,Triggers!RTDataTrigger)</f>
        <v>#NUM!</v>
      </c>
      <c r="X41" s="44"/>
      <c r="Y41" s="33"/>
      <c r="Z41" s="49" t="e">
        <f t="shared" si="5"/>
        <v>#N/A</v>
      </c>
      <c r="AA41" s="50" t="e">
        <f t="shared" si="2"/>
        <v>#NUM!</v>
      </c>
    </row>
    <row r="42" spans="2:27" x14ac:dyDescent="0.2">
      <c r="B42" s="64"/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 t="e">
        <v>#N/A</v>
      </c>
      <c r="W42" s="35" t="e">
        <f>_xll.qlYieldTSDiscount(U$4,V42,,Triggers!RTDataTrigger)</f>
        <v>#NUM!</v>
      </c>
      <c r="X42" s="44"/>
      <c r="Y42" s="33"/>
      <c r="Z42" s="49" t="e">
        <f t="shared" si="5"/>
        <v>#N/A</v>
      </c>
      <c r="AA42" s="50" t="e">
        <f t="shared" si="2"/>
        <v>#NUM!</v>
      </c>
    </row>
    <row r="43" spans="2:27" x14ac:dyDescent="0.2">
      <c r="B43" s="64"/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 t="e">
        <v>#N/A</v>
      </c>
      <c r="W43" s="35" t="e">
        <f>_xll.qlYieldTSDiscount(U$4,V43,,Triggers!RTDataTrigger)</f>
        <v>#NUM!</v>
      </c>
      <c r="X43" s="44"/>
      <c r="Y43" s="33"/>
      <c r="Z43" s="49" t="e">
        <f t="shared" si="5"/>
        <v>#N/A</v>
      </c>
      <c r="AA43" s="50" t="e">
        <f t="shared" si="2"/>
        <v>#NUM!</v>
      </c>
    </row>
    <row r="44" spans="2:27" x14ac:dyDescent="0.2">
      <c r="B44" s="64"/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 t="e">
        <v>#N/A</v>
      </c>
      <c r="W44" s="35" t="e">
        <f>_xll.qlYieldTSDiscount(U$4,V44,,Triggers!RTDataTrigger)</f>
        <v>#NUM!</v>
      </c>
      <c r="X44" s="44"/>
      <c r="Y44" s="33"/>
      <c r="Z44" s="49" t="e">
        <f t="shared" si="5"/>
        <v>#N/A</v>
      </c>
      <c r="AA44" s="50" t="e">
        <f t="shared" si="2"/>
        <v>#NUM!</v>
      </c>
    </row>
    <row r="45" spans="2:27" x14ac:dyDescent="0.2">
      <c r="B45" s="64"/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 t="e">
        <v>#N/A</v>
      </c>
      <c r="W45" s="35" t="e">
        <f>_xll.qlYieldTSDiscount(U$4,V45,,Triggers!RTDataTrigger)</f>
        <v>#NUM!</v>
      </c>
      <c r="X45" s="44"/>
      <c r="Y45" s="33"/>
      <c r="Z45" s="49" t="e">
        <f t="shared" si="5"/>
        <v>#N/A</v>
      </c>
      <c r="AA45" s="50" t="e">
        <f t="shared" si="2"/>
        <v>#NUM!</v>
      </c>
    </row>
    <row r="46" spans="2:27" x14ac:dyDescent="0.2">
      <c r="B46" s="64"/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 t="e">
        <v>#N/A</v>
      </c>
      <c r="W46" s="12" t="e">
        <f>_xll.qlYieldTSDiscount(U$4,V46,,Triggers!RTDataTrigger)</f>
        <v>#NUM!</v>
      </c>
      <c r="X46" s="44"/>
      <c r="Y46" s="33"/>
      <c r="Z46" s="49" t="e">
        <f t="shared" si="5"/>
        <v>#N/A</v>
      </c>
      <c r="AA46" s="50" t="e">
        <f t="shared" si="2"/>
        <v>#NUM!</v>
      </c>
    </row>
    <row r="47" spans="2:27" x14ac:dyDescent="0.2">
      <c r="B47" s="64"/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 t="e">
        <v>#N/A</v>
      </c>
      <c r="W47" s="12" t="e">
        <f>_xll.qlYieldTSDiscount(U$4,V47,,Triggers!RTDataTrigger)</f>
        <v>#NUM!</v>
      </c>
      <c r="X47" s="44"/>
      <c r="Y47" s="33"/>
      <c r="Z47" s="49" t="e">
        <f t="shared" si="5"/>
        <v>#N/A</v>
      </c>
      <c r="AA47" s="50" t="e">
        <f t="shared" si="2"/>
        <v>#NUM!</v>
      </c>
    </row>
    <row r="48" spans="2:27" x14ac:dyDescent="0.2">
      <c r="B48" s="64"/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 t="e">
        <v>#N/A</v>
      </c>
      <c r="W48" s="12" t="e">
        <f>_xll.qlYieldTSDiscount(U$4,V48,,Triggers!RTDataTrigger)</f>
        <v>#NUM!</v>
      </c>
      <c r="X48" s="44"/>
      <c r="Y48" s="33"/>
      <c r="Z48" s="49" t="e">
        <f t="shared" si="5"/>
        <v>#N/A</v>
      </c>
      <c r="AA48" s="50" t="e">
        <f t="shared" si="2"/>
        <v>#NUM!</v>
      </c>
    </row>
    <row r="49" spans="2:27" x14ac:dyDescent="0.2">
      <c r="B49" s="64"/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 t="e">
        <v>#N/A</v>
      </c>
      <c r="W49" s="12" t="e">
        <f>_xll.qlYieldTSDiscount(U$4,V49,,Triggers!RTDataTrigger)</f>
        <v>#NUM!</v>
      </c>
      <c r="X49" s="44"/>
      <c r="Y49" s="33"/>
      <c r="Z49" s="49" t="e">
        <f t="shared" si="5"/>
        <v>#N/A</v>
      </c>
      <c r="AA49" s="50" t="e">
        <f t="shared" si="2"/>
        <v>#NUM!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 t="e">
        <v>#N/A</v>
      </c>
      <c r="W50" s="12" t="e">
        <f>_xll.qlYieldTSDiscount(U$4,V50,,Triggers!RTDataTrigger)</f>
        <v>#NUM!</v>
      </c>
      <c r="X50" s="44"/>
      <c r="Y50" s="33"/>
      <c r="Z50" s="49" t="e">
        <f t="shared" si="5"/>
        <v>#N/A</v>
      </c>
      <c r="AA50" s="50" t="e">
        <f t="shared" si="2"/>
        <v>#NUM!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 t="e">
        <v>#N/A</v>
      </c>
      <c r="W51" s="12" t="e">
        <f>_xll.qlYieldTSDiscount(U$4,V51,,Triggers!RTDataTrigger)</f>
        <v>#NUM!</v>
      </c>
      <c r="X51" s="44"/>
      <c r="Y51" s="33"/>
      <c r="Z51" s="49" t="e">
        <f t="shared" si="5"/>
        <v>#N/A</v>
      </c>
      <c r="AA51" s="50" t="e">
        <f t="shared" si="2"/>
        <v>#NUM!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 t="e">
        <v>#N/A</v>
      </c>
      <c r="W52" s="12" t="e">
        <f>_xll.qlYieldTSDiscount(U$4,V52,,Triggers!RTDataTrigger)</f>
        <v>#NUM!</v>
      </c>
      <c r="X52" s="44"/>
      <c r="Y52" s="33"/>
      <c r="Z52" s="49" t="e">
        <f t="shared" si="5"/>
        <v>#N/A</v>
      </c>
      <c r="AA52" s="50" t="e">
        <f t="shared" si="2"/>
        <v>#NUM!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 t="e">
        <v>#N/A</v>
      </c>
      <c r="W53" s="12" t="e">
        <f>_xll.qlYieldTSDiscount(U$4,V53,,Triggers!RTDataTrigger)</f>
        <v>#NUM!</v>
      </c>
      <c r="X53" s="44"/>
      <c r="Y53" s="33"/>
      <c r="Z53" s="49" t="e">
        <f t="shared" si="5"/>
        <v>#N/A</v>
      </c>
      <c r="AA53" s="50" t="e">
        <f t="shared" si="2"/>
        <v>#NUM!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 t="e">
        <v>#N/A</v>
      </c>
      <c r="W54" s="12" t="e">
        <f>_xll.qlYieldTSDiscount(U$4,V54,,Triggers!RTDataTrigger)</f>
        <v>#NUM!</v>
      </c>
      <c r="X54" s="44"/>
      <c r="Y54" s="33"/>
      <c r="Z54" s="49" t="e">
        <f t="shared" si="5"/>
        <v>#N/A</v>
      </c>
      <c r="AA54" s="50" t="e">
        <f t="shared" si="2"/>
        <v>#NUM!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 t="e">
        <v>#N/A</v>
      </c>
      <c r="W55" s="12" t="e">
        <f>_xll.qlYieldTSDiscount(U$4,V55,,Triggers!RTDataTrigger)</f>
        <v>#NUM!</v>
      </c>
      <c r="X55" s="44"/>
      <c r="Y55" s="33"/>
      <c r="Z55" s="49" t="e">
        <f t="shared" si="5"/>
        <v>#N/A</v>
      </c>
      <c r="AA55" s="50" t="e">
        <f t="shared" si="2"/>
        <v>#NUM!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 t="e">
        <v>#N/A</v>
      </c>
      <c r="W56" s="12" t="e">
        <f>_xll.qlYieldTSDiscount(U$4,V56,,Triggers!RTDataTrigger)</f>
        <v>#NUM!</v>
      </c>
      <c r="X56" s="44"/>
      <c r="Y56" s="33"/>
      <c r="Z56" s="49" t="e">
        <f t="shared" si="5"/>
        <v>#N/A</v>
      </c>
      <c r="AA56" s="50" t="e">
        <f t="shared" si="2"/>
        <v>#NUM!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59999389629810485"/>
    <outlinePr summaryRight="0"/>
  </sheetPr>
  <dimension ref="A1:AR97"/>
  <sheetViews>
    <sheetView showGridLines="0" workbookViewId="0">
      <selection activeCell="K10" sqref="K10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0.5256921147349658</v>
      </c>
      <c r="J3" s="206"/>
      <c r="K3" s="207"/>
      <c r="L3" s="206">
        <f t="shared" ref="L3:L20" si="0">IF(ISNUMBER(J3),J3,I3)+K3</f>
        <v>0.5256921147349658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0.5256921147349658</v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173</v>
      </c>
    </row>
    <row r="4" spans="1:35" ht="11.25" customHeight="1" x14ac:dyDescent="0.2">
      <c r="A4" s="66"/>
      <c r="B4" s="189" t="s">
        <v>91</v>
      </c>
      <c r="C4" s="188" t="s">
        <v>159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0.42140937242951537</v>
      </c>
      <c r="J4" s="212"/>
      <c r="K4" s="213"/>
      <c r="L4" s="212">
        <f t="shared" si="0"/>
        <v>0.42140937242951537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0.42140937242951537</v>
      </c>
      <c r="U4" s="72">
        <v>42124</v>
      </c>
      <c r="V4" s="71">
        <v>0.99998539765448891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42124</v>
      </c>
    </row>
    <row r="5" spans="1:35" ht="11.25" customHeight="1" x14ac:dyDescent="0.2">
      <c r="A5" s="68"/>
      <c r="B5" s="186" t="s">
        <v>98</v>
      </c>
      <c r="C5" s="157" t="s">
        <v>100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0.37957319700000003</v>
      </c>
      <c r="U5" s="72">
        <v>42125</v>
      </c>
      <c r="V5" s="71">
        <v>0.99997369214654297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42125</v>
      </c>
    </row>
    <row r="6" spans="1:35" ht="11.25" customHeight="1" x14ac:dyDescent="0.2">
      <c r="A6" s="68"/>
      <c r="B6" s="183" t="s">
        <v>99</v>
      </c>
      <c r="C6" s="119" t="s">
        <v>158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0.37957319700000003</v>
      </c>
      <c r="J6" s="152"/>
      <c r="K6" s="153"/>
      <c r="L6" s="152">
        <f t="shared" si="0"/>
        <v>0.37957319700000003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0.36931616700000003</v>
      </c>
      <c r="U6" s="72">
        <v>42132</v>
      </c>
      <c r="V6" s="71">
        <v>0.99989989363556664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42132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0.36931616700000003</v>
      </c>
      <c r="J7" s="95"/>
      <c r="K7" s="96"/>
      <c r="L7" s="95">
        <f t="shared" si="0"/>
        <v>0.36931616700000003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0.37911567599999996</v>
      </c>
      <c r="U7" s="72">
        <v>42139</v>
      </c>
      <c r="V7" s="71">
        <v>0.99983009359516939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0.99999222228271556</v>
      </c>
    </row>
    <row r="8" spans="1:35" ht="11.25" customHeight="1" x14ac:dyDescent="0.2">
      <c r="A8" s="68"/>
      <c r="B8" s="140" t="s">
        <v>107</v>
      </c>
      <c r="C8" s="119" t="s">
        <v>143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0.37911567599999996</v>
      </c>
      <c r="J8" s="88"/>
      <c r="K8" s="89"/>
      <c r="L8" s="88">
        <f t="shared" si="0"/>
        <v>0.37911567599999996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0.36162747099999998</v>
      </c>
      <c r="U8" s="72">
        <v>42146</v>
      </c>
      <c r="V8" s="71">
        <v>0.99975259604912725</v>
      </c>
      <c r="W8"/>
      <c r="X8"/>
      <c r="Y8" s="180" t="s">
        <v>85</v>
      </c>
      <c r="Z8" s="129">
        <f>_xll.RtGet($AD$8,$AD$9&amp;$Y8&amp;$AD$10,Z$7)</f>
        <v>0.37957319700000003</v>
      </c>
      <c r="AA8" s="127">
        <f>_xll.RtGet($AD$8,$AD$9&amp;$Y8&amp;$AD$10,AA$7)</f>
        <v>0.37957319700000003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0.99998734128979794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0.36162747099999998</v>
      </c>
      <c r="J9" s="95"/>
      <c r="K9" s="96"/>
      <c r="L9" s="95">
        <f t="shared" si="0"/>
        <v>0.36162747099999998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0.39042294900000002</v>
      </c>
      <c r="U9" s="72">
        <v>42156</v>
      </c>
      <c r="V9" s="71">
        <v>0.99966239584360017</v>
      </c>
      <c r="W9"/>
      <c r="X9"/>
      <c r="Y9" s="80">
        <v>2</v>
      </c>
      <c r="Z9" s="80">
        <f>_xll.RtGet($AD$8,$AD$9&amp;$Y9&amp;$AD$10,Z$7)</f>
        <v>0.36931616700000003</v>
      </c>
      <c r="AA9" s="78">
        <f>_xll.RtGet($AD$8,$AD$9&amp;$Y9&amp;$AD$10,AA$7)</f>
        <v>0.36931616700000003</v>
      </c>
      <c r="AC9" s="121" t="s">
        <v>66</v>
      </c>
      <c r="AD9" s="120" t="s">
        <v>209</v>
      </c>
      <c r="AF9" s="25" t="s">
        <v>163</v>
      </c>
      <c r="AG9" s="168"/>
      <c r="AH9" s="168"/>
      <c r="AI9" s="167">
        <v>0.99996131171435754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0.39042294900000002</v>
      </c>
      <c r="J10" s="95"/>
      <c r="K10" s="96"/>
      <c r="L10" s="95">
        <f t="shared" si="0"/>
        <v>0.39042294900000002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0.36363705399999996</v>
      </c>
      <c r="U10" s="72">
        <v>42186</v>
      </c>
      <c r="V10" s="71">
        <v>0.99931259690114427</v>
      </c>
      <c r="W10"/>
      <c r="X10"/>
      <c r="Y10" s="75">
        <v>3</v>
      </c>
      <c r="Z10" s="75">
        <f>_xll.RtGet($AD$8,$AD$9&amp;$Y10&amp;$AD$10,Z$7)</f>
        <v>0.37911567599999996</v>
      </c>
      <c r="AA10" s="76">
        <f>_xll.RtGet($AD$8,$AD$9&amp;$Y10&amp;$AD$10,AA$7)</f>
        <v>0.37911567599999996</v>
      </c>
      <c r="AC10" s="118" t="s">
        <v>63</v>
      </c>
      <c r="AD10" s="117" t="s">
        <v>212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0.36363705399999996</v>
      </c>
      <c r="J11" s="95"/>
      <c r="K11" s="96"/>
      <c r="L11" s="95">
        <f t="shared" si="0"/>
        <v>0.36363705399999996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0.38814738300000001</v>
      </c>
      <c r="U11" s="72">
        <v>42219</v>
      </c>
      <c r="V11" s="71">
        <v>0.99902512103883923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0.38814738300000001</v>
      </c>
      <c r="J12" s="95"/>
      <c r="K12" s="96"/>
      <c r="L12" s="95">
        <f t="shared" si="0"/>
        <v>0.38814738300000001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0.404595445</v>
      </c>
      <c r="U12" s="72">
        <v>42248</v>
      </c>
      <c r="V12" s="71">
        <v>0.99864931316196115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0.404595445</v>
      </c>
      <c r="J13" s="95"/>
      <c r="K13" s="96"/>
      <c r="L13" s="95">
        <f t="shared" si="0"/>
        <v>0.404595445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0.41767822199999999</v>
      </c>
      <c r="U13" s="72">
        <v>42278</v>
      </c>
      <c r="V13" s="71">
        <v>0.99825715837487028</v>
      </c>
      <c r="W13"/>
      <c r="X13"/>
      <c r="Y13" s="80">
        <v>1</v>
      </c>
      <c r="Z13" s="80">
        <f>_xll.RtGet($AD$13,$AD$14&amp;$Y13&amp;$AD$15,Z$12)</f>
        <v>0.36162747099999998</v>
      </c>
      <c r="AA13" s="78">
        <f>_xll.RtGet($AD$13,$AD$14&amp;$Y13&amp;$AD$15,AA$12)</f>
        <v>0.36162747099999998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2.4910171772384877E-3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0.41767822199999999</v>
      </c>
      <c r="J14" s="95"/>
      <c r="K14" s="96"/>
      <c r="L14" s="95">
        <f t="shared" si="0"/>
        <v>0.41767822199999999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0.45838667199999994</v>
      </c>
      <c r="U14" s="72">
        <v>42310</v>
      </c>
      <c r="V14" s="71">
        <v>0.99783194369271444</v>
      </c>
      <c r="W14"/>
      <c r="X14"/>
      <c r="Y14" s="80">
        <v>2</v>
      </c>
      <c r="Z14" s="80">
        <f>_xll.RtGet($AD$13,$AD$14&amp;$Y14&amp;$AD$15,Z$12)</f>
        <v>0.39042294900000002</v>
      </c>
      <c r="AA14" s="78">
        <f>_xll.RtGet($AD$13,$AD$14&amp;$Y14&amp;$AD$15,AA$12)</f>
        <v>0.39042294900000002</v>
      </c>
      <c r="AC14" s="121" t="s">
        <v>66</v>
      </c>
      <c r="AD14" s="120" t="s">
        <v>209</v>
      </c>
      <c r="AF14" s="24" t="s">
        <v>165</v>
      </c>
      <c r="AG14" s="68"/>
      <c r="AH14" s="68"/>
      <c r="AI14" s="170">
        <f>AI7*EXP(-$AI$13*_xll.xlYrfDayCount($C$3,AI4,$AI$11))</f>
        <v>0.99998539765448902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1</v>
      </c>
      <c r="F15" s="311">
        <f t="shared" si="8"/>
        <v>7</v>
      </c>
      <c r="G15" s="80">
        <v>7</v>
      </c>
      <c r="H15" s="78" t="s">
        <v>81</v>
      </c>
      <c r="I15" s="97">
        <f t="shared" si="9"/>
        <v>0.45838667199999994</v>
      </c>
      <c r="J15" s="95"/>
      <c r="K15" s="96"/>
      <c r="L15" s="95">
        <f t="shared" si="0"/>
        <v>0.45838667199999994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0.475743957</v>
      </c>
      <c r="U15" s="72">
        <v>42339</v>
      </c>
      <c r="V15" s="71">
        <v>0.99725631418432492</v>
      </c>
      <c r="W15"/>
      <c r="X15"/>
      <c r="Y15" s="80">
        <v>3</v>
      </c>
      <c r="Z15" s="80">
        <f>_xll.RtGet($AD$13,$AD$14&amp;$Y15&amp;$AD$15,Z$12)</f>
        <v>0.36363705399999996</v>
      </c>
      <c r="AA15" s="78">
        <f>_xll.RtGet($AD$13,$AD$14&amp;$Y15&amp;$AD$15,AA$12)</f>
        <v>0.36363705399999996</v>
      </c>
      <c r="AB15" s="67"/>
      <c r="AC15" s="118" t="s">
        <v>63</v>
      </c>
      <c r="AD15" s="117" t="s">
        <v>211</v>
      </c>
      <c r="AF15" s="24" t="s">
        <v>166</v>
      </c>
      <c r="AG15" s="68"/>
      <c r="AH15" s="68"/>
      <c r="AI15" s="170">
        <f>AI8*EXP(-$AI$13*_xll.xlYrfDayCount($C$3,AI5,$AI$11))</f>
        <v>0.99997369214654319</v>
      </c>
    </row>
    <row r="16" spans="1:35" ht="11.25" customHeight="1" x14ac:dyDescent="0.2">
      <c r="A16" s="68"/>
      <c r="D16" s="66"/>
      <c r="E16" s="98" t="b">
        <v>1</v>
      </c>
      <c r="F16" s="311">
        <f t="shared" si="8"/>
        <v>8</v>
      </c>
      <c r="G16" s="80">
        <v>8</v>
      </c>
      <c r="H16" s="78" t="s">
        <v>81</v>
      </c>
      <c r="I16" s="97">
        <f t="shared" si="9"/>
        <v>0.475743957</v>
      </c>
      <c r="J16" s="95"/>
      <c r="K16" s="96"/>
      <c r="L16" s="95">
        <f t="shared" si="0"/>
        <v>0.475743957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0.50649353499999994</v>
      </c>
      <c r="U16" s="72">
        <v>42373</v>
      </c>
      <c r="V16" s="71">
        <v>0.99670713674357847</v>
      </c>
      <c r="W16"/>
      <c r="X16"/>
      <c r="Y16" s="80">
        <v>4</v>
      </c>
      <c r="Z16" s="80">
        <f>_xll.RtGet($AD$13,$AD$14&amp;$Y16&amp;$AD$15,Z$12)</f>
        <v>0.38814738300000001</v>
      </c>
      <c r="AA16" s="78">
        <f>_xll.RtGet($AD$13,$AD$14&amp;$Y16&amp;$AD$15,AA$12)</f>
        <v>0.38814738300000001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0.99989989363556642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0.50649353499999994</v>
      </c>
      <c r="J17" s="95"/>
      <c r="K17" s="96"/>
      <c r="L17" s="95">
        <f t="shared" si="0"/>
        <v>0.50649353499999994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42401</v>
      </c>
      <c r="V17" s="71">
        <v>0.9961056970791472</v>
      </c>
      <c r="W17"/>
      <c r="X17"/>
      <c r="Y17" s="80">
        <v>5</v>
      </c>
      <c r="Z17" s="80">
        <f>_xll.RtGet($AD$13,$AD$14&amp;$Y17&amp;$AD$15,Z$12)</f>
        <v>0.404595445</v>
      </c>
      <c r="AA17" s="78">
        <f>_xll.RtGet($AD$13,$AD$14&amp;$Y17&amp;$AD$15,AA$12)</f>
        <v>0.404595445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5.256921147349658E-3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42405</v>
      </c>
      <c r="V18" s="71">
        <v>0.99599634437524809</v>
      </c>
      <c r="W18"/>
      <c r="X18"/>
      <c r="Y18" s="80">
        <v>6</v>
      </c>
      <c r="Z18" s="80">
        <f>_xll.RtGet($AD$13,$AD$14&amp;$Y18&amp;$AD$15,Z$12)</f>
        <v>0.41767822199999999</v>
      </c>
      <c r="AA18" s="78">
        <f>_xll.RtGet($AD$13,$AD$14&amp;$Y18&amp;$AD$15,AA$12)</f>
        <v>0.41767822199999999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4.2140937242951537E-3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42495</v>
      </c>
      <c r="V19" s="71">
        <v>0.99375484926414381</v>
      </c>
      <c r="W19"/>
      <c r="X19"/>
      <c r="Y19" s="80">
        <v>7</v>
      </c>
      <c r="Z19" s="80">
        <f>_xll.RtGet($AD$13,$AD$14&amp;$Y19&amp;$AD$15,Z$12)</f>
        <v>0.45838667199999994</v>
      </c>
      <c r="AA19" s="78">
        <f>_xll.RtGet($AD$13,$AD$14&amp;$Y19&amp;$AD$15,AA$12)</f>
        <v>0.45838667199999994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42860</v>
      </c>
      <c r="V20" s="71">
        <v>0.97981370088122255</v>
      </c>
      <c r="W20"/>
      <c r="X20"/>
      <c r="Y20" s="80">
        <v>8</v>
      </c>
      <c r="Z20" s="80">
        <f>_xll.RtGet($AD$13,$AD$14&amp;$Y20&amp;$AD$15,Z$12)</f>
        <v>0.475743957</v>
      </c>
      <c r="AA20" s="78">
        <f>_xll.RtGet($AD$13,$AD$14&amp;$Y20&amp;$AD$15,AA$12)</f>
        <v>0.475743957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43228</v>
      </c>
      <c r="V21" s="71">
        <v>0.96024765663021716</v>
      </c>
      <c r="W21"/>
      <c r="X21"/>
      <c r="Y21" s="80">
        <v>9</v>
      </c>
      <c r="Z21" s="80">
        <f>_xll.RtGet($AD$13,$AD$14&amp;$Y21&amp;$AD$15,Z$12)</f>
        <v>0.50649353499999994</v>
      </c>
      <c r="AA21" s="78">
        <f>_xll.RtGet($AD$13,$AD$14&amp;$Y21&amp;$AD$15,AA$12)</f>
        <v>0.50649353499999994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43592</v>
      </c>
      <c r="V22" s="71">
        <v>0.93764713543677514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EUR2USD</v>
      </c>
      <c r="G23" s="67"/>
      <c r="H23" s="67"/>
      <c r="I23" s="162">
        <f>AVERAGE(Z27:AA27)</f>
        <v>1.1161500000000002</v>
      </c>
      <c r="J23" s="160"/>
      <c r="K23" s="161"/>
      <c r="L23" s="160">
        <f>IF(ISNUMBER(J23),J23,I23)+K23</f>
        <v>1.1161500000000002</v>
      </c>
      <c r="M23" s="67"/>
      <c r="N23" s="67"/>
      <c r="O23" s="67"/>
      <c r="P23" s="67"/>
      <c r="Q23" s="67"/>
      <c r="R23" s="67"/>
      <c r="S23" s="67"/>
      <c r="U23" s="72">
        <v>43956</v>
      </c>
      <c r="V23" s="71">
        <v>0.91371375487837758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44686</v>
      </c>
      <c r="V24" s="71">
        <v>0.86352486062569522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45783</v>
      </c>
      <c r="V25" s="71">
        <v>0.79079916462099664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-0.1925</v>
      </c>
      <c r="J26" s="152"/>
      <c r="K26" s="153"/>
      <c r="L26" s="152">
        <f t="shared" ref="L26:L67" si="13">IF(ISNUMBER(J26),J26,I26)+K26</f>
        <v>-0.1925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-0.1925</v>
      </c>
      <c r="U26" s="72">
        <v>47610</v>
      </c>
      <c r="V26" s="71">
        <v>0.68338328800173442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-0.21250000000000002</v>
      </c>
      <c r="J27" s="95"/>
      <c r="K27" s="96"/>
      <c r="L27" s="95">
        <f t="shared" si="13"/>
        <v>-0.21250000000000002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-0.21250000000000002</v>
      </c>
      <c r="U27" s="72">
        <v>49437</v>
      </c>
      <c r="V27" s="71">
        <v>0.59278482154814127</v>
      </c>
      <c r="W27"/>
      <c r="X27"/>
      <c r="Y27" s="146" t="s">
        <v>100</v>
      </c>
      <c r="Z27" s="145">
        <f>_xll.RtGet($AD$26,$AD$27&amp;$Y27&amp;$AD$28,Z$26)</f>
        <v>1.1161000000000001</v>
      </c>
      <c r="AA27" s="144">
        <f>_xll.RtGet($AD$26,$AD$27&amp;$Y27&amp;$AD$28,AA$26)</f>
        <v>1.1162000000000001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-0.24249999999999999</v>
      </c>
      <c r="J28" s="95"/>
      <c r="K28" s="96"/>
      <c r="L28" s="95">
        <f t="shared" si="13"/>
        <v>-0.24249999999999999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-0.24249999999999999</v>
      </c>
      <c r="U28" s="72">
        <v>53087</v>
      </c>
      <c r="V28" s="71">
        <v>0.45189178365136518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-0.26500000000000001</v>
      </c>
      <c r="J29" s="95"/>
      <c r="K29" s="96"/>
      <c r="L29" s="95">
        <f t="shared" si="13"/>
        <v>-0.26500000000000001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-0.26500000000000001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-0.32</v>
      </c>
      <c r="J30" s="95"/>
      <c r="K30" s="96"/>
      <c r="L30" s="95">
        <f t="shared" si="13"/>
        <v>-0.32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-0.33875</v>
      </c>
      <c r="J31" s="95"/>
      <c r="K31" s="96"/>
      <c r="L31" s="95">
        <f t="shared" si="13"/>
        <v>-0.33875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-0.33875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-0.24249999999999999</v>
      </c>
      <c r="AA31" s="127">
        <f>$Z$29*_xll.RtGet($AD$32,$AD$33&amp;$Y31&amp;$AD$34,AA$30)</f>
        <v>-0.14250000000000002</v>
      </c>
      <c r="AF31" s="225">
        <f t="shared" ref="AF31:AF72" si="20">AVERAGE(Z31:AA31)</f>
        <v>-0.1925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-0.1925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-0.24249999999999999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-0.21152205497353879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-0.34499999999999997</v>
      </c>
      <c r="J32" s="95"/>
      <c r="K32" s="96"/>
      <c r="L32" s="95">
        <f t="shared" si="13"/>
        <v>-0.34499999999999997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-0.34499999999999997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-0.26250000000000001</v>
      </c>
      <c r="AA32" s="78">
        <f>$Z$29*_xll.RtGet($AD$32,$AD$33&amp;$Y32&amp;$AD$34,AA$30)</f>
        <v>-0.16250000000000001</v>
      </c>
      <c r="AC32" s="124" t="s">
        <v>68</v>
      </c>
      <c r="AD32" s="123" t="s">
        <v>67</v>
      </c>
      <c r="AF32" s="233">
        <f t="shared" si="20"/>
        <v>-0.21250000000000002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-0.21250000000000002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-0.33875</v>
      </c>
      <c r="AQ32" s="235">
        <v>6</v>
      </c>
      <c r="AR32" s="237">
        <v>-0.22682422769188162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-0.29249999999999998</v>
      </c>
      <c r="AA33" s="78">
        <f>$Z$29*_xll.RtGet($AD$32,$AD$33&amp;$Y33&amp;$AD$34,AA$30)</f>
        <v>-0.1925</v>
      </c>
      <c r="AC33" s="121" t="s">
        <v>66</v>
      </c>
      <c r="AD33" s="120" t="s">
        <v>236</v>
      </c>
      <c r="AF33" s="233">
        <f t="shared" si="20"/>
        <v>-0.24249999999999999</v>
      </c>
      <c r="AG33" s="227">
        <f t="shared" si="25"/>
        <v>9</v>
      </c>
      <c r="AH33" s="227">
        <f t="shared" si="21"/>
        <v>9</v>
      </c>
      <c r="AI33" s="234">
        <f t="shared" si="22"/>
        <v>-0.24249999999999999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-0.34375</v>
      </c>
      <c r="AQ33" s="235">
        <v>9</v>
      </c>
      <c r="AR33" s="237">
        <v>-0.24249999999999999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-0.34375</v>
      </c>
      <c r="J34" s="95"/>
      <c r="K34" s="96"/>
      <c r="L34" s="95">
        <f t="shared" si="13"/>
        <v>-0.34375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-0.34375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-0.28999999999999998</v>
      </c>
      <c r="AA34" s="78">
        <f>$Z$29*_xll.RtGet($AD$32,$AD$33&amp;$Y34&amp;$AD$34,AA$30)</f>
        <v>-0.24</v>
      </c>
      <c r="AC34" s="118" t="s">
        <v>63</v>
      </c>
      <c r="AD34" s="215" t="s">
        <v>178</v>
      </c>
      <c r="AF34" s="233">
        <f t="shared" si="20"/>
        <v>-0.26500000000000001</v>
      </c>
      <c r="AG34" s="227">
        <f t="shared" si="25"/>
        <v>12</v>
      </c>
      <c r="AH34" s="227">
        <f t="shared" si="21"/>
        <v>12</v>
      </c>
      <c r="AI34" s="234">
        <f t="shared" si="22"/>
        <v>-0.26500000000000001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-0.23374999999999999</v>
      </c>
      <c r="AQ34" s="235">
        <v>12</v>
      </c>
      <c r="AR34" s="237">
        <v>-0.25817577230811839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-0.32625000000000004</v>
      </c>
      <c r="J35" s="95"/>
      <c r="K35" s="96"/>
      <c r="L35" s="95">
        <f t="shared" si="13"/>
        <v>-0.32625000000000004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-0.32625000000000004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-0.34500000000000003</v>
      </c>
      <c r="AA35" s="78">
        <f>$Z$29*_xll.RtGet($AD$32,$AD$33&amp;$Y35&amp;$AD$34,AA$30)</f>
        <v>-0.29499999999999998</v>
      </c>
      <c r="AF35" s="233">
        <f t="shared" si="20"/>
        <v>-0.32</v>
      </c>
      <c r="AG35" s="227">
        <f t="shared" si="25"/>
        <v>24</v>
      </c>
      <c r="AH35" s="227">
        <f t="shared" si="21"/>
        <v>24</v>
      </c>
      <c r="AI35" s="234">
        <f t="shared" si="22"/>
        <v>-0.32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-0.28803291856525293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-0.27875000000000005</v>
      </c>
      <c r="J36" s="95"/>
      <c r="K36" s="96"/>
      <c r="L36" s="95">
        <f t="shared" si="13"/>
        <v>-0.27875000000000005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-0.27875000000000005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-0.36375000000000002</v>
      </c>
      <c r="AA36" s="78">
        <f>$Z$29*_xll.RtGet($AD$32,$AD$33&amp;$Y36&amp;$AD$34,AA$30)</f>
        <v>-0.31375000000000003</v>
      </c>
      <c r="AF36" s="233">
        <f t="shared" si="20"/>
        <v>-0.33875</v>
      </c>
      <c r="AG36" s="227">
        <f t="shared" si="25"/>
        <v>36</v>
      </c>
      <c r="AH36" s="227">
        <f t="shared" si="21"/>
        <v>36</v>
      </c>
      <c r="AI36" s="234">
        <f t="shared" si="22"/>
        <v>-0.33875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-0.31340686974508097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-0.23374999999999999</v>
      </c>
      <c r="J37" s="95"/>
      <c r="K37" s="96"/>
      <c r="L37" s="95">
        <f t="shared" si="13"/>
        <v>-0.23374999999999999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-0.23374999999999999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-0.37</v>
      </c>
      <c r="AA37" s="78">
        <f>$Z$29*_xll.RtGet($AD$32,$AD$33&amp;$Y37&amp;$AD$34,AA$30)</f>
        <v>-0.32</v>
      </c>
      <c r="AF37" s="233">
        <f t="shared" si="20"/>
        <v>-0.34499999999999997</v>
      </c>
      <c r="AG37" s="227">
        <f t="shared" si="25"/>
        <v>48</v>
      </c>
      <c r="AH37" s="227">
        <f t="shared" si="21"/>
        <v>48</v>
      </c>
      <c r="AI37" s="234">
        <f t="shared" si="22"/>
        <v>-0.34499999999999997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-0.33875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-0.17499999999999999</v>
      </c>
      <c r="J38" s="95"/>
      <c r="K38" s="96"/>
      <c r="L38" s="95">
        <f t="shared" si="13"/>
        <v>-0.17499999999999999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-0.17499999999999999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5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-0.34089757492113565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-0.36875000000000002</v>
      </c>
      <c r="AA39" s="78">
        <f>$Z$29*_xll.RtGet($AD$32,$AD$33&amp;$Y39&amp;$AD$34,AA$30)</f>
        <v>-0.31875000000000003</v>
      </c>
      <c r="AF39" s="233">
        <f t="shared" si="20"/>
        <v>-0.34375</v>
      </c>
      <c r="AG39" s="227">
        <f t="shared" si="25"/>
        <v>84</v>
      </c>
      <c r="AH39" s="227">
        <f t="shared" si="21"/>
        <v>84</v>
      </c>
      <c r="AI39" s="234">
        <f t="shared" si="22"/>
        <v>-0.34375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-0.34246451104100945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-0.35125000000000001</v>
      </c>
      <c r="AA40" s="78">
        <f>$Z$29*_xll.RtGet($AD$32,$AD$33&amp;$Y40&amp;$AD$34,AA$30)</f>
        <v>-0.30125000000000002</v>
      </c>
      <c r="AF40" s="233">
        <f t="shared" si="20"/>
        <v>-0.32625000000000004</v>
      </c>
      <c r="AG40" s="227">
        <f t="shared" si="25"/>
        <v>120</v>
      </c>
      <c r="AH40" s="227">
        <f t="shared" si="21"/>
        <v>120</v>
      </c>
      <c r="AI40" s="234">
        <f t="shared" si="22"/>
        <v>-0.32625000000000004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-0.34342419164037857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-0.30375000000000002</v>
      </c>
      <c r="AA41" s="78">
        <f>$Z$29*_xll.RtGet($AD$32,$AD$33&amp;$Y41&amp;$AD$34,AA$30)</f>
        <v>-0.25375000000000003</v>
      </c>
      <c r="AF41" s="233">
        <f t="shared" si="20"/>
        <v>-0.27875000000000005</v>
      </c>
      <c r="AG41" s="227">
        <f t="shared" si="25"/>
        <v>180</v>
      </c>
      <c r="AH41" s="227">
        <f t="shared" si="21"/>
        <v>180</v>
      </c>
      <c r="AI41" s="234">
        <f t="shared" si="22"/>
        <v>-0.27875000000000005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-0.34375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-0.25874999999999998</v>
      </c>
      <c r="AA42" s="78">
        <f>$Z$29*_xll.RtGet($AD$32,$AD$33&amp;$Y42&amp;$AD$34,AA$30)</f>
        <v>-0.20874999999999999</v>
      </c>
      <c r="AF42" s="233">
        <f t="shared" si="20"/>
        <v>-0.23374999999999999</v>
      </c>
      <c r="AG42" s="227">
        <f t="shared" si="25"/>
        <v>240</v>
      </c>
      <c r="AH42" s="227">
        <f t="shared" si="21"/>
        <v>240</v>
      </c>
      <c r="AI42" s="234">
        <f t="shared" si="22"/>
        <v>-0.23374999999999999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-0.34279870277651342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</v>
      </c>
      <c r="AA43" s="78">
        <f>$Z$29*_xll.RtGet($AD$32,$AD$33&amp;$Y43&amp;$AD$34,AA$30)</f>
        <v>-0.15</v>
      </c>
      <c r="AF43" s="233">
        <f t="shared" si="20"/>
        <v>-0.17499999999999999</v>
      </c>
      <c r="AG43" s="227">
        <f t="shared" si="25"/>
        <v>360</v>
      </c>
      <c r="AH43" s="227">
        <f t="shared" si="21"/>
        <v>360</v>
      </c>
      <c r="AI43" s="234">
        <f t="shared" si="22"/>
        <v>-0.17499999999999999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-0.34004494765589438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-0.33563893946290396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-0.32973088302230313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-0.32247098315885298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-0.31400944469731451</v>
      </c>
    </row>
    <row r="48" spans="1:44" ht="11.25" customHeight="1" x14ac:dyDescent="0.2">
      <c r="B48" s="104" t="str">
        <f>"DomDiscCurveName"&amp;IF(ISBLANK(C8),"","#"&amp;C8)</f>
        <v>DomDiscCurveName#EURON_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-0.30449647246244882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-0.29408227127901687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-0.28291704597177969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-0.27115100136549841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-0.258934342284934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-0.24641727355484752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-0.23375000000000001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-0.22108272644515251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-0.20856565771506602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-0.19634899863450161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-0.18458295402822034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-0.17341772872098321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-0.16300352753755126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-0.15349055530268557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-0.14502901684114711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-0.13776911697769698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-0.13186106053709618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75" priority="10" stopIfTrue="1" operator="equal">
      <formula>FALSE</formula>
    </cfRule>
  </conditionalFormatting>
  <conditionalFormatting sqref="I3:L20 I23:L23">
    <cfRule type="expression" dxfId="74" priority="5" stopIfTrue="1">
      <formula>NOT($E3)</formula>
    </cfRule>
  </conditionalFormatting>
  <conditionalFormatting sqref="I26:L67">
    <cfRule type="expression" dxfId="73" priority="2" stopIfTrue="1">
      <formula>NOT($E26)</formula>
    </cfRule>
  </conditionalFormatting>
  <conditionalFormatting sqref="L3:L20">
    <cfRule type="expression" dxfId="72" priority="6" stopIfTrue="1">
      <formula>ISNUMBER(J3)</formula>
    </cfRule>
    <cfRule type="expression" dxfId="71" priority="9" stopIfTrue="1">
      <formula>ISNUMBER(K3)</formula>
    </cfRule>
  </conditionalFormatting>
  <conditionalFormatting sqref="L23">
    <cfRule type="expression" dxfId="70" priority="4" stopIfTrue="1">
      <formula>ISNUMBER(J23)</formula>
    </cfRule>
    <cfRule type="expression" dxfId="69" priority="8" stopIfTrue="1">
      <formula>ISNUMBER(K23)</formula>
    </cfRule>
  </conditionalFormatting>
  <conditionalFormatting sqref="L26:L67">
    <cfRule type="expression" dxfId="68" priority="3" stopIfTrue="1">
      <formula>ISNUMBER(J26)</formula>
    </cfRule>
    <cfRule type="expression" dxfId="67" priority="7" stopIfTrue="1">
      <formula>ISNUMBER(K26)</formula>
    </cfRule>
  </conditionalFormatting>
  <conditionalFormatting sqref="E3:E20">
    <cfRule type="cellIs" dxfId="6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3" r:id="rId4" name="Button 5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5" name="Button 7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  <outlinePr summaryRight="0"/>
  </sheetPr>
  <dimension ref="A1:AR97"/>
  <sheetViews>
    <sheetView showGridLines="0" workbookViewId="0">
      <selection activeCell="J23" sqref="J23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0.53281993786669091</v>
      </c>
      <c r="J3" s="206"/>
      <c r="K3" s="207"/>
      <c r="L3" s="206">
        <f t="shared" ref="L3:L20" si="0">IF(ISNUMBER(J3),J3,I3)+K3</f>
        <v>0.53281993786669091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0.53281993786669091</v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176</v>
      </c>
    </row>
    <row r="4" spans="1:35" ht="11.25" customHeight="1" x14ac:dyDescent="0.2">
      <c r="A4" s="66"/>
      <c r="B4" s="189" t="s">
        <v>91</v>
      </c>
      <c r="C4" s="188" t="s">
        <v>175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0.57282021876225997</v>
      </c>
      <c r="J4" s="212"/>
      <c r="K4" s="213"/>
      <c r="L4" s="212">
        <f t="shared" si="0"/>
        <v>0.57282021876225997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0.57282021876225997</v>
      </c>
      <c r="U4" s="72">
        <v>42124</v>
      </c>
      <c r="V4" s="71">
        <v>0.99998519966522348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42124</v>
      </c>
    </row>
    <row r="5" spans="1:35" ht="11.25" customHeight="1" x14ac:dyDescent="0.2">
      <c r="A5" s="68"/>
      <c r="B5" s="186" t="s">
        <v>98</v>
      </c>
      <c r="C5" s="157" t="s">
        <v>100</v>
      </c>
      <c r="D5" s="66" t="s">
        <v>238</v>
      </c>
      <c r="E5" s="91" t="b">
        <v>0</v>
      </c>
      <c r="F5" s="209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0.40043055399999999</v>
      </c>
      <c r="U5" s="72">
        <v>42125</v>
      </c>
      <c r="V5" s="71">
        <v>0.99996928848115174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42125</v>
      </c>
    </row>
    <row r="6" spans="1:35" ht="11.25" customHeight="1" x14ac:dyDescent="0.2">
      <c r="A6" s="68"/>
      <c r="B6" s="183" t="s">
        <v>99</v>
      </c>
      <c r="C6" s="119" t="s">
        <v>158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0.40043055399999999</v>
      </c>
      <c r="J6" s="152"/>
      <c r="K6" s="153"/>
      <c r="L6" s="152">
        <f t="shared" si="0"/>
        <v>0.40043055399999999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0.38498028000000001</v>
      </c>
      <c r="U6" s="72">
        <v>42132</v>
      </c>
      <c r="V6" s="71">
        <v>0.99989143543754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42132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0.38498028000000001</v>
      </c>
      <c r="J7" s="95"/>
      <c r="K7" s="96"/>
      <c r="L7" s="95">
        <f t="shared" si="0"/>
        <v>0.38498028000000001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0.40556781500000005</v>
      </c>
      <c r="U7" s="72">
        <v>42139</v>
      </c>
      <c r="V7" s="71">
        <v>0.99981960093618383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0.99999222228271556</v>
      </c>
    </row>
    <row r="8" spans="1:35" ht="11.25" customHeight="1" x14ac:dyDescent="0.2">
      <c r="A8" s="68"/>
      <c r="B8" s="140" t="s">
        <v>107</v>
      </c>
      <c r="C8" s="119" t="s">
        <v>174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0.40556781500000005</v>
      </c>
      <c r="J8" s="88"/>
      <c r="K8" s="89"/>
      <c r="L8" s="88">
        <f t="shared" si="0"/>
        <v>0.40556781500000005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0.40902687300000001</v>
      </c>
      <c r="U8" s="72">
        <v>42146</v>
      </c>
      <c r="V8" s="71">
        <v>0.99973277047722309</v>
      </c>
      <c r="W8"/>
      <c r="X8"/>
      <c r="Y8" s="180" t="s">
        <v>85</v>
      </c>
      <c r="Z8" s="129">
        <f>_xll.RtGet($AD$8,$AD$9&amp;$Y8&amp;$AD$10,Z$7)</f>
        <v>0.40043055399999999</v>
      </c>
      <c r="AA8" s="127">
        <f>_xll.RtGet($AD$8,$AD$9&amp;$Y8&amp;$AD$10,AA$7)</f>
        <v>0.40043055399999999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0.999983333541973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0.40902687300000001</v>
      </c>
      <c r="J9" s="95"/>
      <c r="K9" s="96"/>
      <c r="L9" s="95">
        <f t="shared" si="0"/>
        <v>0.40902687300000001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0.46880502099999999</v>
      </c>
      <c r="U9" s="72">
        <v>42156</v>
      </c>
      <c r="V9" s="71">
        <v>0.99961720572294421</v>
      </c>
      <c r="W9"/>
      <c r="X9"/>
      <c r="Y9" s="80">
        <v>2</v>
      </c>
      <c r="Z9" s="80">
        <f>_xll.RtGet($AD$8,$AD$9&amp;$Y9&amp;$AD$10,Z$7)</f>
        <v>0.38498028000000001</v>
      </c>
      <c r="AA9" s="78">
        <f>_xll.RtGet($AD$8,$AD$9&amp;$Y9&amp;$AD$10,AA$7)</f>
        <v>0.38498028000000001</v>
      </c>
      <c r="AC9" s="121" t="s">
        <v>66</v>
      </c>
      <c r="AD9" s="120" t="s">
        <v>210</v>
      </c>
      <c r="AF9" s="25" t="s">
        <v>163</v>
      </c>
      <c r="AG9" s="168"/>
      <c r="AH9" s="168"/>
      <c r="AI9" s="167">
        <v>0.99995463484395297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0.46880502099999999</v>
      </c>
      <c r="J10" s="95"/>
      <c r="K10" s="96"/>
      <c r="L10" s="95">
        <f t="shared" si="0"/>
        <v>0.46880502099999999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0.48609652800000003</v>
      </c>
      <c r="U10" s="72">
        <v>42186</v>
      </c>
      <c r="V10" s="71">
        <v>0.99917557930796153</v>
      </c>
      <c r="W10"/>
      <c r="X10"/>
      <c r="Y10" s="75">
        <v>3</v>
      </c>
      <c r="Z10" s="75">
        <f>_xll.RtGet($AD$8,$AD$9&amp;$Y10&amp;$AD$10,Z$7)</f>
        <v>0.40556781500000005</v>
      </c>
      <c r="AA10" s="76">
        <f>_xll.RtGet($AD$8,$AD$9&amp;$Y10&amp;$AD$10,AA$7)</f>
        <v>0.40556781500000005</v>
      </c>
      <c r="AC10" s="118" t="s">
        <v>63</v>
      </c>
      <c r="AD10" s="117" t="s">
        <v>103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0.48609652800000003</v>
      </c>
      <c r="J11" s="95"/>
      <c r="K11" s="96"/>
      <c r="L11" s="95">
        <f t="shared" si="0"/>
        <v>0.48609652800000003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0.52051940900000004</v>
      </c>
      <c r="U11" s="72">
        <v>42219</v>
      </c>
      <c r="V11" s="71">
        <v>0.99870168432564344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0.52051940900000004</v>
      </c>
      <c r="J12" s="95"/>
      <c r="K12" s="96"/>
      <c r="L12" s="95">
        <f t="shared" si="0"/>
        <v>0.52051940900000004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0.57396876900000005</v>
      </c>
      <c r="U12" s="72">
        <v>42248</v>
      </c>
      <c r="V12" s="71">
        <v>0.99819405892728297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0.57396876900000005</v>
      </c>
      <c r="J13" s="95"/>
      <c r="K13" s="96"/>
      <c r="L13" s="95">
        <f t="shared" si="0"/>
        <v>0.57396876900000005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0.62583894600000001</v>
      </c>
      <c r="U13" s="72">
        <v>42278</v>
      </c>
      <c r="V13" s="71">
        <v>0.99753593197977708</v>
      </c>
      <c r="W13"/>
      <c r="X13"/>
      <c r="Y13" s="80">
        <v>1</v>
      </c>
      <c r="Z13" s="80">
        <f>_xll.RtGet($AD$13,$AD$14&amp;$Y13&amp;$AD$15,Z$12)</f>
        <v>0.40902687300000001</v>
      </c>
      <c r="AA13" s="78">
        <f>_xll.RtGet($AD$13,$AD$14&amp;$Y13&amp;$AD$15,AA$12)</f>
        <v>0.40902687300000001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2.5632843215315495E-3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0.62583894600000001</v>
      </c>
      <c r="J14" s="95"/>
      <c r="K14" s="96"/>
      <c r="L14" s="95">
        <f t="shared" si="0"/>
        <v>0.62583894600000001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0.68023657000000004</v>
      </c>
      <c r="U14" s="72">
        <v>42310</v>
      </c>
      <c r="V14" s="71">
        <v>0.9967635803788526</v>
      </c>
      <c r="W14"/>
      <c r="X14"/>
      <c r="Y14" s="80">
        <v>2</v>
      </c>
      <c r="Z14" s="80">
        <f>_xll.RtGet($AD$13,$AD$14&amp;$Y14&amp;$AD$15,Z$12)</f>
        <v>0.46880502099999999</v>
      </c>
      <c r="AA14" s="78">
        <f>_xll.RtGet($AD$13,$AD$14&amp;$Y14&amp;$AD$15,AA$12)</f>
        <v>0.46880502099999999</v>
      </c>
      <c r="AC14" s="121" t="s">
        <v>66</v>
      </c>
      <c r="AD14" s="120" t="s">
        <v>210</v>
      </c>
      <c r="AF14" s="24" t="s">
        <v>165</v>
      </c>
      <c r="AG14" s="68"/>
      <c r="AH14" s="68"/>
      <c r="AI14" s="170">
        <f>AI7*EXP(-$AI$13*_xll.xlYrfDayCount($C$3,AI4,$AI$11))</f>
        <v>0.99998519966522359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1</v>
      </c>
      <c r="F15" s="311">
        <f t="shared" si="8"/>
        <v>7</v>
      </c>
      <c r="G15" s="80">
        <v>7</v>
      </c>
      <c r="H15" s="78" t="s">
        <v>81</v>
      </c>
      <c r="I15" s="97">
        <f t="shared" si="9"/>
        <v>0.68023657000000004</v>
      </c>
      <c r="J15" s="95"/>
      <c r="K15" s="96"/>
      <c r="L15" s="95">
        <f t="shared" si="0"/>
        <v>0.68023657000000004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0.72590587400000006</v>
      </c>
      <c r="U15" s="72">
        <v>42339</v>
      </c>
      <c r="V15" s="71">
        <v>0.99594206874816615</v>
      </c>
      <c r="W15"/>
      <c r="X15"/>
      <c r="Y15" s="80">
        <v>3</v>
      </c>
      <c r="Z15" s="80">
        <f>_xll.RtGet($AD$13,$AD$14&amp;$Y15&amp;$AD$15,Z$12)</f>
        <v>0.48609652800000003</v>
      </c>
      <c r="AA15" s="78">
        <f>_xll.RtGet($AD$13,$AD$14&amp;$Y15&amp;$AD$15,AA$12)</f>
        <v>0.48609652800000003</v>
      </c>
      <c r="AB15" s="67"/>
      <c r="AC15" s="118" t="s">
        <v>63</v>
      </c>
      <c r="AD15" s="117" t="s">
        <v>104</v>
      </c>
      <c r="AF15" s="24" t="s">
        <v>166</v>
      </c>
      <c r="AG15" s="68"/>
      <c r="AH15" s="68"/>
      <c r="AI15" s="170">
        <f>AI8*EXP(-$AI$13*_xll.xlYrfDayCount($C$3,AI5,$AI$11))</f>
        <v>0.99996928848115174</v>
      </c>
    </row>
    <row r="16" spans="1:35" ht="11.25" customHeight="1" x14ac:dyDescent="0.2">
      <c r="A16" s="68"/>
      <c r="D16" s="66"/>
      <c r="E16" s="98" t="b">
        <v>1</v>
      </c>
      <c r="F16" s="311">
        <f t="shared" si="8"/>
        <v>8</v>
      </c>
      <c r="G16" s="80">
        <v>8</v>
      </c>
      <c r="H16" s="78" t="s">
        <v>81</v>
      </c>
      <c r="I16" s="97">
        <f t="shared" si="9"/>
        <v>0.72590587400000006</v>
      </c>
      <c r="J16" s="95"/>
      <c r="K16" s="96"/>
      <c r="L16" s="95">
        <f t="shared" si="0"/>
        <v>0.72590587400000006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0.74960700499999999</v>
      </c>
      <c r="U16" s="72">
        <v>42373</v>
      </c>
      <c r="V16" s="71">
        <v>0.99499363880624847</v>
      </c>
      <c r="W16"/>
      <c r="X16"/>
      <c r="Y16" s="80">
        <v>4</v>
      </c>
      <c r="Z16" s="80">
        <f>_xll.RtGet($AD$13,$AD$14&amp;$Y16&amp;$AD$15,Z$12)</f>
        <v>0.52051940900000004</v>
      </c>
      <c r="AA16" s="78">
        <f>_xll.RtGet($AD$13,$AD$14&amp;$Y16&amp;$AD$15,AA$12)</f>
        <v>0.52051940900000004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0.99989143543754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0.74960700499999999</v>
      </c>
      <c r="J17" s="95"/>
      <c r="K17" s="96"/>
      <c r="L17" s="95">
        <f t="shared" si="0"/>
        <v>0.74960700499999999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42401</v>
      </c>
      <c r="V17" s="71">
        <v>0.9942553160669213</v>
      </c>
      <c r="W17"/>
      <c r="X17"/>
      <c r="Y17" s="80">
        <v>5</v>
      </c>
      <c r="Z17" s="80">
        <f>_xll.RtGet($AD$13,$AD$14&amp;$Y17&amp;$AD$15,Z$12)</f>
        <v>0.57396876900000005</v>
      </c>
      <c r="AA17" s="78">
        <f>_xll.RtGet($AD$13,$AD$14&amp;$Y17&amp;$AD$15,AA$12)</f>
        <v>0.57396876900000005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5.3281993786669091E-3</v>
      </c>
    </row>
    <row r="18" spans="1:44" ht="11.25" customHeight="1" x14ac:dyDescent="0.2">
      <c r="A18" s="68"/>
      <c r="C18" s="253" t="s">
        <v>127</v>
      </c>
      <c r="D18" s="66" t="s">
        <v>238</v>
      </c>
      <c r="E18" s="98" t="b">
        <v>0</v>
      </c>
      <c r="F18" s="311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42405</v>
      </c>
      <c r="V18" s="71">
        <v>0.99423270479885728</v>
      </c>
      <c r="W18"/>
      <c r="X18"/>
      <c r="Y18" s="80">
        <v>6</v>
      </c>
      <c r="Z18" s="80">
        <f>_xll.RtGet($AD$13,$AD$14&amp;$Y18&amp;$AD$15,Z$12)</f>
        <v>0.62583894600000001</v>
      </c>
      <c r="AA18" s="78">
        <f>_xll.RtGet($AD$13,$AD$14&amp;$Y18&amp;$AD$15,AA$12)</f>
        <v>0.62583894600000001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5.7282021876225997E-3</v>
      </c>
    </row>
    <row r="19" spans="1:44" ht="11.25" customHeight="1" x14ac:dyDescent="0.2">
      <c r="A19" s="68"/>
      <c r="C19" s="254" t="b">
        <v>0</v>
      </c>
      <c r="D19" s="66" t="s">
        <v>238</v>
      </c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42495</v>
      </c>
      <c r="V19" s="71">
        <v>0.99165887732893232</v>
      </c>
      <c r="W19"/>
      <c r="X19"/>
      <c r="Y19" s="80">
        <v>7</v>
      </c>
      <c r="Z19" s="80">
        <f>_xll.RtGet($AD$13,$AD$14&amp;$Y19&amp;$AD$15,Z$12)</f>
        <v>0.68023657000000004</v>
      </c>
      <c r="AA19" s="78">
        <f>_xll.RtGet($AD$13,$AD$14&amp;$Y19&amp;$AD$15,AA$12)</f>
        <v>0.68023657000000004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 t="s">
        <v>238</v>
      </c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42860</v>
      </c>
      <c r="V20" s="71">
        <v>0.97632776111276931</v>
      </c>
      <c r="W20"/>
      <c r="X20"/>
      <c r="Y20" s="80">
        <v>8</v>
      </c>
      <c r="Z20" s="80">
        <f>_xll.RtGet($AD$13,$AD$14&amp;$Y20&amp;$AD$15,Z$12)</f>
        <v>0.72590587400000006</v>
      </c>
      <c r="AA20" s="78">
        <f>_xll.RtGet($AD$13,$AD$14&amp;$Y20&amp;$AD$15,AA$12)</f>
        <v>0.72590587400000006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43228</v>
      </c>
      <c r="V21" s="71">
        <v>0.95384832384897922</v>
      </c>
      <c r="W21"/>
      <c r="X21"/>
      <c r="Y21" s="80">
        <v>9</v>
      </c>
      <c r="Z21" s="80">
        <f>_xll.RtGet($AD$13,$AD$14&amp;$Y21&amp;$AD$15,Z$12)</f>
        <v>0.74960700499999999</v>
      </c>
      <c r="AA21" s="78">
        <f>_xll.RtGet($AD$13,$AD$14&amp;$Y21&amp;$AD$15,AA$12)</f>
        <v>0.74960700499999999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43592</v>
      </c>
      <c r="V22" s="71">
        <v>0.92901754346915644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EUR2USD</v>
      </c>
      <c r="G23" s="67"/>
      <c r="H23" s="67"/>
      <c r="I23" s="162">
        <f>AVERAGE(Z27:AA27)</f>
        <v>1.1161500000000002</v>
      </c>
      <c r="J23" s="160"/>
      <c r="K23" s="161"/>
      <c r="L23" s="160">
        <f>IF(ISNUMBER(J23),J23,I23)+K23</f>
        <v>1.1161500000000002</v>
      </c>
      <c r="M23" s="67"/>
      <c r="N23" s="67"/>
      <c r="O23" s="67"/>
      <c r="P23" s="67"/>
      <c r="Q23" s="67"/>
      <c r="R23" s="67"/>
      <c r="S23" s="67"/>
      <c r="U23" s="72">
        <v>43956</v>
      </c>
      <c r="V23" s="71">
        <v>0.9028968736933114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44686</v>
      </c>
      <c r="V24" s="71">
        <v>0.84916455488057452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45783</v>
      </c>
      <c r="V25" s="71">
        <v>0.77238344508731283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-0.1925</v>
      </c>
      <c r="J26" s="152"/>
      <c r="K26" s="153"/>
      <c r="L26" s="152">
        <f t="shared" ref="L26:L67" si="13">IF(ISNUMBER(J26),J26,I26)+K26</f>
        <v>-0.1925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-0.1925</v>
      </c>
      <c r="U26" s="72">
        <v>47610</v>
      </c>
      <c r="V26" s="71">
        <v>0.66173724569126169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-0.21250000000000002</v>
      </c>
      <c r="J27" s="95"/>
      <c r="K27" s="96"/>
      <c r="L27" s="95">
        <f t="shared" si="13"/>
        <v>-0.21250000000000002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-0.21250000000000002</v>
      </c>
      <c r="U27" s="72">
        <v>49437</v>
      </c>
      <c r="V27" s="71">
        <v>0.57081979574798636</v>
      </c>
      <c r="W27"/>
      <c r="X27"/>
      <c r="Y27" s="146" t="s">
        <v>100</v>
      </c>
      <c r="Z27" s="145">
        <f>_xll.RtGet($AD$26,$AD$27&amp;$Y27&amp;$AD$28,Z$26)</f>
        <v>1.1161000000000001</v>
      </c>
      <c r="AA27" s="144">
        <f>_xll.RtGet($AD$26,$AD$27&amp;$Y27&amp;$AD$28,AA$26)</f>
        <v>1.1162000000000001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-0.24249999999999999</v>
      </c>
      <c r="J28" s="95"/>
      <c r="K28" s="96"/>
      <c r="L28" s="95">
        <f t="shared" si="13"/>
        <v>-0.24249999999999999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-0.24249999999999999</v>
      </c>
      <c r="U28" s="72">
        <v>53087</v>
      </c>
      <c r="V28" s="71">
        <v>0.43199400850026815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-0.26500000000000001</v>
      </c>
      <c r="J29" s="95"/>
      <c r="K29" s="96"/>
      <c r="L29" s="95">
        <f t="shared" si="13"/>
        <v>-0.26500000000000001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-0.26500000000000001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MAX(AQ31:AQ60)</f>
        <v>312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-0.32</v>
      </c>
      <c r="J30" s="95"/>
      <c r="K30" s="96"/>
      <c r="L30" s="95">
        <f t="shared" si="13"/>
        <v>-0.32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-0.33875</v>
      </c>
      <c r="J31" s="95"/>
      <c r="K31" s="96"/>
      <c r="L31" s="95">
        <f t="shared" si="13"/>
        <v>-0.33875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-0.33875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-0.24249999999999999</v>
      </c>
      <c r="AA31" s="127">
        <f>$Z$29*_xll.RtGet($AD$32,$AD$33&amp;$Y31&amp;$AD$34,AA$30)</f>
        <v>-0.14250000000000002</v>
      </c>
      <c r="AF31" s="225">
        <f t="shared" ref="AF31:AF72" si="20">AVERAGE(Z31:AA31)</f>
        <v>-0.1925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-0.1925</v>
      </c>
      <c r="AJ31" s="229">
        <v>3</v>
      </c>
      <c r="AK31" s="224">
        <f t="shared" ref="AK31:AK72" si="23">IF(LEN(AH31)&gt;0,AJ31,"")</f>
        <v>3</v>
      </c>
      <c r="AL31" s="223">
        <f>IF(AL30&gt;0,1,"")</f>
        <v>1</v>
      </c>
      <c r="AM31" s="230" t="b">
        <f t="shared" ref="AM31:AM72" si="24">LEN(AL31)&gt;0</f>
        <v>1</v>
      </c>
      <c r="AN31" s="231">
        <f t="shared" ref="AN31:AN72" si="25">IF(AM31,SMALL($AK$31:$AK$72,AL31),"")</f>
        <v>3</v>
      </c>
      <c r="AO31" s="230">
        <f t="array" ref="AO31:AP31">IF(AM31,INDEX($AH$31:$AI$72,AN31,0),"")</f>
        <v>9</v>
      </c>
      <c r="AP31" s="231">
        <v>-0.24249999999999999</v>
      </c>
      <c r="AQ31" s="230">
        <f t="array" ref="AQ31:AQ72">AJ31:AJ72</f>
        <v>3</v>
      </c>
      <c r="AR31" s="232">
        <f t="array" ref="AR31:AR72">_xll.xlInterp1D(AO31:INDEX(AO31:AO72,AL30),AP31:INDEX(AP31:AP72,AL30),AQ31:AQ72,"kruger")</f>
        <v>-0.21152205497353879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-0.34499999999999997</v>
      </c>
      <c r="J32" s="95"/>
      <c r="K32" s="96"/>
      <c r="L32" s="95">
        <f t="shared" si="13"/>
        <v>-0.34499999999999997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-0.34499999999999997</v>
      </c>
      <c r="U32" s="72" t="e">
        <v>#N/A</v>
      </c>
      <c r="V32" s="71" t="e">
        <v>#N/A</v>
      </c>
      <c r="Y32" s="81" t="s">
        <v>187</v>
      </c>
      <c r="Z32" s="80">
        <f>$Z$29*_xll.RtGet($AD$32,$AD$33&amp;$Y32&amp;$AD$34,Z$30)</f>
        <v>-0.26250000000000001</v>
      </c>
      <c r="AA32" s="78">
        <f>$Z$29*_xll.RtGet($AD$32,$AD$33&amp;$Y32&amp;$AD$34,AA$30)</f>
        <v>-0.16250000000000001</v>
      </c>
      <c r="AC32" s="124" t="s">
        <v>68</v>
      </c>
      <c r="AD32" s="123" t="s">
        <v>67</v>
      </c>
      <c r="AF32" s="233">
        <f t="shared" si="20"/>
        <v>-0.21250000000000002</v>
      </c>
      <c r="AG32" s="227">
        <f t="shared" ref="AG32:AG72" si="26">IF(ISNUMBER(AF32),LEFT(Y32,LEN(Y32)-1)*IF(RIGHT(Y32,1)="Y",12,1),"")</f>
        <v>6</v>
      </c>
      <c r="AH32" s="227">
        <f t="shared" si="21"/>
        <v>6</v>
      </c>
      <c r="AI32" s="234">
        <f t="shared" si="22"/>
        <v>-0.21250000000000002</v>
      </c>
      <c r="AJ32" s="235">
        <f>+AJ31+3</f>
        <v>6</v>
      </c>
      <c r="AK32" s="224">
        <f t="shared" si="23"/>
        <v>6</v>
      </c>
      <c r="AL32" s="224">
        <f t="shared" ref="AL32:AL72" si="27">IF(AL31&lt;$AL$30,AL31+1,"")</f>
        <v>2</v>
      </c>
      <c r="AM32" s="224" t="b">
        <f t="shared" si="24"/>
        <v>1</v>
      </c>
      <c r="AN32" s="236">
        <f t="shared" si="25"/>
        <v>6</v>
      </c>
      <c r="AO32" s="235">
        <f t="array" ref="AO32:AP32">IF(AM32,INDEX($AH$31:$AI$72,AN32,0),"")</f>
        <v>36</v>
      </c>
      <c r="AP32" s="236">
        <v>-0.33875</v>
      </c>
      <c r="AQ32" s="235">
        <v>6</v>
      </c>
      <c r="AR32" s="237">
        <v>-0.22682422769188162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Y33" s="81" t="s">
        <v>188</v>
      </c>
      <c r="Z33" s="80">
        <f>$Z$29*_xll.RtGet($AD$32,$AD$33&amp;$Y33&amp;$AD$34,Z$30)</f>
        <v>-0.29249999999999998</v>
      </c>
      <c r="AA33" s="78">
        <f>$Z$29*_xll.RtGet($AD$32,$AD$33&amp;$Y33&amp;$AD$34,AA$30)</f>
        <v>-0.1925</v>
      </c>
      <c r="AC33" s="121" t="s">
        <v>66</v>
      </c>
      <c r="AD33" s="120" t="s">
        <v>236</v>
      </c>
      <c r="AF33" s="233">
        <f t="shared" si="20"/>
        <v>-0.24249999999999999</v>
      </c>
      <c r="AG33" s="227">
        <f t="shared" si="26"/>
        <v>9</v>
      </c>
      <c r="AH33" s="227">
        <f t="shared" si="21"/>
        <v>9</v>
      </c>
      <c r="AI33" s="234">
        <f t="shared" si="22"/>
        <v>-0.24249999999999999</v>
      </c>
      <c r="AJ33" s="235">
        <f t="shared" ref="AJ33:AJ34" si="28">+AJ32+3</f>
        <v>9</v>
      </c>
      <c r="AK33" s="224">
        <f t="shared" si="23"/>
        <v>9</v>
      </c>
      <c r="AL33" s="224">
        <f t="shared" si="27"/>
        <v>3</v>
      </c>
      <c r="AM33" s="224" t="b">
        <f t="shared" si="24"/>
        <v>1</v>
      </c>
      <c r="AN33" s="236">
        <f t="shared" si="25"/>
        <v>9</v>
      </c>
      <c r="AO33" s="235">
        <f t="array" ref="AO33:AP33">IF(AM33,INDEX($AH$31:$AI$72,AN33,0),"")</f>
        <v>84</v>
      </c>
      <c r="AP33" s="236">
        <v>-0.34375</v>
      </c>
      <c r="AQ33" s="235">
        <v>9</v>
      </c>
      <c r="AR33" s="237">
        <v>-0.24249999999999999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-0.34375</v>
      </c>
      <c r="J34" s="95"/>
      <c r="K34" s="96"/>
      <c r="L34" s="95">
        <f t="shared" si="13"/>
        <v>-0.34375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-0.34375</v>
      </c>
      <c r="U34" s="72" t="e">
        <v>#N/A</v>
      </c>
      <c r="V34" s="71" t="e">
        <v>#N/A</v>
      </c>
      <c r="Y34" s="81" t="s">
        <v>177</v>
      </c>
      <c r="Z34" s="80">
        <f>$Z$29*_xll.RtGet($AD$32,$AD$33&amp;$Y34&amp;$AD$34,Z$30)</f>
        <v>-0.28999999999999998</v>
      </c>
      <c r="AA34" s="78">
        <f>$Z$29*_xll.RtGet($AD$32,$AD$33&amp;$Y34&amp;$AD$34,AA$30)</f>
        <v>-0.24</v>
      </c>
      <c r="AC34" s="118" t="s">
        <v>63</v>
      </c>
      <c r="AD34" s="117" t="s">
        <v>178</v>
      </c>
      <c r="AF34" s="233">
        <f t="shared" si="20"/>
        <v>-0.26500000000000001</v>
      </c>
      <c r="AG34" s="227">
        <f t="shared" si="26"/>
        <v>12</v>
      </c>
      <c r="AH34" s="227">
        <f t="shared" si="21"/>
        <v>12</v>
      </c>
      <c r="AI34" s="234">
        <f t="shared" si="22"/>
        <v>-0.26500000000000001</v>
      </c>
      <c r="AJ34" s="238">
        <f t="shared" si="28"/>
        <v>12</v>
      </c>
      <c r="AK34" s="224">
        <f t="shared" si="23"/>
        <v>12</v>
      </c>
      <c r="AL34" s="224">
        <f t="shared" si="27"/>
        <v>4</v>
      </c>
      <c r="AM34" s="224" t="b">
        <f t="shared" si="24"/>
        <v>1</v>
      </c>
      <c r="AN34" s="236">
        <f t="shared" si="25"/>
        <v>12</v>
      </c>
      <c r="AO34" s="235">
        <f t="array" ref="AO34:AP34">IF(AM34,INDEX($AH$31:$AI$72,AN34,0),"")</f>
        <v>240</v>
      </c>
      <c r="AP34" s="236">
        <v>-0.23374999999999999</v>
      </c>
      <c r="AQ34" s="235">
        <v>12</v>
      </c>
      <c r="AR34" s="237">
        <v>-0.25817577230811839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-0.32625000000000004</v>
      </c>
      <c r="J35" s="95"/>
      <c r="K35" s="96"/>
      <c r="L35" s="95">
        <f t="shared" si="13"/>
        <v>-0.32625000000000004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-0.32625000000000004</v>
      </c>
      <c r="U35" s="72" t="e">
        <v>#N/A</v>
      </c>
      <c r="V35" s="71" t="e">
        <v>#N/A</v>
      </c>
      <c r="Y35" s="81" t="s">
        <v>179</v>
      </c>
      <c r="Z35" s="80">
        <f>$Z$29*_xll.RtGet($AD$32,$AD$33&amp;$Y35&amp;$AD$34,Z$30)</f>
        <v>-0.34500000000000003</v>
      </c>
      <c r="AA35" s="78">
        <f>$Z$29*_xll.RtGet($AD$32,$AD$33&amp;$Y35&amp;$AD$34,AA$30)</f>
        <v>-0.29499999999999998</v>
      </c>
      <c r="AF35" s="233">
        <f t="shared" si="20"/>
        <v>-0.32</v>
      </c>
      <c r="AG35" s="227">
        <f t="shared" si="26"/>
        <v>24</v>
      </c>
      <c r="AH35" s="227">
        <f t="shared" si="21"/>
        <v>24</v>
      </c>
      <c r="AI35" s="234">
        <f t="shared" si="22"/>
        <v>-0.32</v>
      </c>
      <c r="AJ35" s="235">
        <f>+AJ34+6</f>
        <v>18</v>
      </c>
      <c r="AK35" s="224">
        <f t="shared" si="23"/>
        <v>18</v>
      </c>
      <c r="AL35" s="224">
        <f t="shared" si="27"/>
        <v>5</v>
      </c>
      <c r="AM35" s="224" t="b">
        <f t="shared" si="24"/>
        <v>1</v>
      </c>
      <c r="AN35" s="236">
        <f t="shared" si="25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-0.28803291856525293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-0.27875000000000005</v>
      </c>
      <c r="J36" s="95"/>
      <c r="K36" s="96"/>
      <c r="L36" s="95">
        <f t="shared" si="13"/>
        <v>-0.27875000000000005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-0.27875000000000005</v>
      </c>
      <c r="U36" s="72" t="e">
        <v>#N/A</v>
      </c>
      <c r="V36" s="71" t="e">
        <v>#N/A</v>
      </c>
      <c r="Y36" s="81" t="s">
        <v>180</v>
      </c>
      <c r="Z36" s="80">
        <f>$Z$29*_xll.RtGet($AD$32,$AD$33&amp;$Y36&amp;$AD$34,Z$30)</f>
        <v>-0.36375000000000002</v>
      </c>
      <c r="AA36" s="78">
        <f>$Z$29*_xll.RtGet($AD$32,$AD$33&amp;$Y36&amp;$AD$34,AA$30)</f>
        <v>-0.31375000000000003</v>
      </c>
      <c r="AF36" s="233">
        <f t="shared" si="20"/>
        <v>-0.33875</v>
      </c>
      <c r="AG36" s="227">
        <f t="shared" si="26"/>
        <v>36</v>
      </c>
      <c r="AH36" s="227">
        <f t="shared" si="21"/>
        <v>36</v>
      </c>
      <c r="AI36" s="234">
        <f t="shared" si="22"/>
        <v>-0.33875</v>
      </c>
      <c r="AJ36" s="238">
        <f>+AJ35+6</f>
        <v>24</v>
      </c>
      <c r="AK36" s="224">
        <f t="shared" si="23"/>
        <v>24</v>
      </c>
      <c r="AL36" s="224">
        <f t="shared" si="27"/>
        <v>6</v>
      </c>
      <c r="AM36" s="224" t="b">
        <f t="shared" si="24"/>
        <v>1</v>
      </c>
      <c r="AN36" s="236">
        <f t="shared" si="25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-0.31340686974508097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-0.23374999999999999</v>
      </c>
      <c r="J37" s="95"/>
      <c r="K37" s="96"/>
      <c r="L37" s="95">
        <f t="shared" si="13"/>
        <v>-0.23374999999999999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-0.23374999999999999</v>
      </c>
      <c r="U37" s="72" t="e">
        <v>#N/A</v>
      </c>
      <c r="V37" s="71" t="e">
        <v>#N/A</v>
      </c>
      <c r="Y37" s="81" t="s">
        <v>181</v>
      </c>
      <c r="Z37" s="80">
        <f>$Z$29*_xll.RtGet($AD$32,$AD$33&amp;$Y37&amp;$AD$34,Z$30)</f>
        <v>-0.37</v>
      </c>
      <c r="AA37" s="78">
        <f>$Z$29*_xll.RtGet($AD$32,$AD$33&amp;$Y37&amp;$AD$34,AA$30)</f>
        <v>-0.32</v>
      </c>
      <c r="AF37" s="233">
        <f t="shared" si="20"/>
        <v>-0.34499999999999997</v>
      </c>
      <c r="AG37" s="227">
        <f t="shared" si="26"/>
        <v>48</v>
      </c>
      <c r="AH37" s="227">
        <f t="shared" si="21"/>
        <v>48</v>
      </c>
      <c r="AI37" s="234">
        <f t="shared" si="22"/>
        <v>-0.34499999999999997</v>
      </c>
      <c r="AJ37" s="235">
        <f>+AJ36+12</f>
        <v>36</v>
      </c>
      <c r="AK37" s="224">
        <f t="shared" si="23"/>
        <v>36</v>
      </c>
      <c r="AL37" s="224">
        <f t="shared" si="27"/>
        <v>7</v>
      </c>
      <c r="AM37" s="224" t="b">
        <f t="shared" si="24"/>
        <v>1</v>
      </c>
      <c r="AN37" s="236">
        <f t="shared" si="25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-0.33875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-0.17499999999999999</v>
      </c>
      <c r="J38" s="95"/>
      <c r="K38" s="96"/>
      <c r="L38" s="95">
        <f t="shared" si="13"/>
        <v>-0.17499999999999999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-0.17499999999999999</v>
      </c>
      <c r="U38" s="72" t="e">
        <v>#N/A</v>
      </c>
      <c r="V38" s="71" t="e">
        <v>#N/A</v>
      </c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6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3"/>
        <v>48</v>
      </c>
      <c r="AL38" s="224">
        <f t="shared" si="27"/>
        <v>8</v>
      </c>
      <c r="AM38" s="224" t="b">
        <f t="shared" si="24"/>
        <v>1</v>
      </c>
      <c r="AN38" s="236">
        <f t="shared" si="25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-0.34089757492113565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-0.36875000000000002</v>
      </c>
      <c r="AA39" s="78">
        <f>$Z$29*_xll.RtGet($AD$32,$AD$33&amp;$Y39&amp;$AD$34,AA$30)</f>
        <v>-0.31875000000000003</v>
      </c>
      <c r="AF39" s="233">
        <f t="shared" si="20"/>
        <v>-0.34375</v>
      </c>
      <c r="AG39" s="227">
        <f t="shared" si="26"/>
        <v>84</v>
      </c>
      <c r="AH39" s="227">
        <f t="shared" si="21"/>
        <v>84</v>
      </c>
      <c r="AI39" s="234">
        <f t="shared" si="22"/>
        <v>-0.34375</v>
      </c>
      <c r="AJ39" s="235">
        <f t="shared" si="29"/>
        <v>60</v>
      </c>
      <c r="AK39" s="224">
        <f t="shared" si="23"/>
        <v>60</v>
      </c>
      <c r="AL39" s="224">
        <f t="shared" si="27"/>
        <v>9</v>
      </c>
      <c r="AM39" s="224" t="b">
        <f t="shared" si="24"/>
        <v>1</v>
      </c>
      <c r="AN39" s="236">
        <f t="shared" si="25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-0.34246451104100945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-0.35125000000000001</v>
      </c>
      <c r="AA40" s="78">
        <f>$Z$29*_xll.RtGet($AD$32,$AD$33&amp;$Y40&amp;$AD$34,AA$30)</f>
        <v>-0.30125000000000002</v>
      </c>
      <c r="AF40" s="233">
        <f t="shared" si="20"/>
        <v>-0.32625000000000004</v>
      </c>
      <c r="AG40" s="227">
        <f t="shared" si="26"/>
        <v>120</v>
      </c>
      <c r="AH40" s="227">
        <f t="shared" si="21"/>
        <v>120</v>
      </c>
      <c r="AI40" s="234">
        <f t="shared" si="22"/>
        <v>-0.32625000000000004</v>
      </c>
      <c r="AJ40" s="235">
        <f t="shared" si="29"/>
        <v>72</v>
      </c>
      <c r="AK40" s="224">
        <f t="shared" si="23"/>
        <v>72</v>
      </c>
      <c r="AL40" s="224">
        <f t="shared" si="27"/>
        <v>10</v>
      </c>
      <c r="AM40" s="224" t="b">
        <f t="shared" si="24"/>
        <v>1</v>
      </c>
      <c r="AN40" s="236">
        <f t="shared" si="25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-0.34342419164037857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-0.30375000000000002</v>
      </c>
      <c r="AA41" s="78">
        <f>$Z$29*_xll.RtGet($AD$32,$AD$33&amp;$Y41&amp;$AD$34,AA$30)</f>
        <v>-0.25375000000000003</v>
      </c>
      <c r="AF41" s="233">
        <f t="shared" si="20"/>
        <v>-0.27875000000000005</v>
      </c>
      <c r="AG41" s="227">
        <f t="shared" si="26"/>
        <v>180</v>
      </c>
      <c r="AH41" s="227">
        <f t="shared" si="21"/>
        <v>180</v>
      </c>
      <c r="AI41" s="234">
        <f t="shared" si="22"/>
        <v>-0.27875000000000005</v>
      </c>
      <c r="AJ41" s="235">
        <f t="shared" si="29"/>
        <v>84</v>
      </c>
      <c r="AK41" s="224">
        <f t="shared" si="23"/>
        <v>84</v>
      </c>
      <c r="AL41" s="224">
        <f t="shared" si="27"/>
        <v>11</v>
      </c>
      <c r="AM41" s="224" t="b">
        <f t="shared" si="24"/>
        <v>1</v>
      </c>
      <c r="AN41" s="236">
        <f t="shared" si="25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-0.34375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-0.25874999999999998</v>
      </c>
      <c r="AA42" s="78">
        <f>$Z$29*_xll.RtGet($AD$32,$AD$33&amp;$Y42&amp;$AD$34,AA$30)</f>
        <v>-0.20874999999999999</v>
      </c>
      <c r="AF42" s="233">
        <f t="shared" si="20"/>
        <v>-0.23374999999999999</v>
      </c>
      <c r="AG42" s="227">
        <f t="shared" si="26"/>
        <v>240</v>
      </c>
      <c r="AH42" s="227">
        <f t="shared" si="21"/>
        <v>240</v>
      </c>
      <c r="AI42" s="234">
        <f t="shared" si="22"/>
        <v>-0.23374999999999999</v>
      </c>
      <c r="AJ42" s="235">
        <f t="shared" si="29"/>
        <v>96</v>
      </c>
      <c r="AK42" s="224">
        <f t="shared" si="23"/>
        <v>96</v>
      </c>
      <c r="AL42" s="224">
        <f t="shared" si="27"/>
        <v>12</v>
      </c>
      <c r="AM42" s="224" t="b">
        <f t="shared" si="24"/>
        <v>1</v>
      </c>
      <c r="AN42" s="236">
        <f t="shared" si="25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-0.34279870277651342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</v>
      </c>
      <c r="AA43" s="78">
        <f>$Z$29*_xll.RtGet($AD$32,$AD$33&amp;$Y43&amp;$AD$34,AA$30)</f>
        <v>-0.15</v>
      </c>
      <c r="AF43" s="233">
        <f t="shared" si="20"/>
        <v>-0.17499999999999999</v>
      </c>
      <c r="AG43" s="227">
        <f t="shared" si="26"/>
        <v>360</v>
      </c>
      <c r="AH43" s="227">
        <f t="shared" si="21"/>
        <v>360</v>
      </c>
      <c r="AI43" s="234">
        <f t="shared" si="22"/>
        <v>-0.17499999999999999</v>
      </c>
      <c r="AJ43" s="235">
        <f t="shared" si="29"/>
        <v>108</v>
      </c>
      <c r="AK43" s="224">
        <f t="shared" si="23"/>
        <v>108</v>
      </c>
      <c r="AL43" s="224">
        <f t="shared" si="27"/>
        <v>13</v>
      </c>
      <c r="AM43" s="224" t="b">
        <f t="shared" si="24"/>
        <v>1</v>
      </c>
      <c r="AN43" s="236">
        <f t="shared" si="25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-0.34004494765589438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6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3"/>
        <v/>
      </c>
      <c r="AL44" s="224" t="str">
        <f t="shared" si="27"/>
        <v/>
      </c>
      <c r="AM44" s="224" t="b">
        <f t="shared" si="24"/>
        <v>0</v>
      </c>
      <c r="AN44" s="236" t="str">
        <f t="shared" si="25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-0.33563893946290396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6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3"/>
        <v/>
      </c>
      <c r="AL45" s="224" t="str">
        <f t="shared" si="27"/>
        <v/>
      </c>
      <c r="AM45" s="224" t="b">
        <f t="shared" si="24"/>
        <v>0</v>
      </c>
      <c r="AN45" s="236" t="str">
        <f t="shared" si="25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-0.32973088302230313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6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3"/>
        <v/>
      </c>
      <c r="AL46" s="224" t="str">
        <f t="shared" si="27"/>
        <v/>
      </c>
      <c r="AM46" s="224" t="b">
        <f t="shared" si="24"/>
        <v>0</v>
      </c>
      <c r="AN46" s="236" t="str">
        <f t="shared" si="25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-0.32247098315885298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6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3"/>
        <v/>
      </c>
      <c r="AL47" s="224" t="str">
        <f t="shared" si="27"/>
        <v/>
      </c>
      <c r="AM47" s="224" t="b">
        <f t="shared" si="24"/>
        <v>0</v>
      </c>
      <c r="AN47" s="236" t="str">
        <f t="shared" si="25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-0.31400944469731451</v>
      </c>
    </row>
    <row r="48" spans="1:44" ht="11.25" customHeight="1" x14ac:dyDescent="0.2">
      <c r="B48" s="104" t="str">
        <f>"DomDiscCurveName"&amp;IF(ISBLANK(C8),"","#"&amp;C8)</f>
        <v>DomDiscCurveName#EURSTD_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6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3"/>
        <v/>
      </c>
      <c r="AL48" s="224" t="str">
        <f t="shared" si="27"/>
        <v/>
      </c>
      <c r="AM48" s="224" t="b">
        <f t="shared" si="24"/>
        <v>0</v>
      </c>
      <c r="AN48" s="236" t="str">
        <f t="shared" si="25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-0.30449647246244882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6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3"/>
        <v/>
      </c>
      <c r="AL49" s="224" t="str">
        <f t="shared" si="27"/>
        <v/>
      </c>
      <c r="AM49" s="224" t="b">
        <f t="shared" si="24"/>
        <v>0</v>
      </c>
      <c r="AN49" s="236" t="str">
        <f t="shared" si="25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-0.29408227127901687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6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3"/>
        <v/>
      </c>
      <c r="AL50" s="224" t="str">
        <f t="shared" si="27"/>
        <v/>
      </c>
      <c r="AM50" s="224" t="b">
        <f t="shared" si="24"/>
        <v>0</v>
      </c>
      <c r="AN50" s="236" t="str">
        <f t="shared" si="25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-0.28291704597177969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6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3"/>
        <v/>
      </c>
      <c r="AL51" s="224" t="str">
        <f t="shared" si="27"/>
        <v/>
      </c>
      <c r="AM51" s="224" t="b">
        <f t="shared" si="24"/>
        <v>0</v>
      </c>
      <c r="AN51" s="236" t="str">
        <f t="shared" si="25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-0.27115100136549841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6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3"/>
        <v/>
      </c>
      <c r="AL52" s="224" t="str">
        <f t="shared" si="27"/>
        <v/>
      </c>
      <c r="AM52" s="224" t="b">
        <f t="shared" si="24"/>
        <v>0</v>
      </c>
      <c r="AN52" s="236" t="str">
        <f t="shared" si="25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-0.258934342284934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6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3"/>
        <v/>
      </c>
      <c r="AL53" s="224" t="str">
        <f t="shared" si="27"/>
        <v/>
      </c>
      <c r="AM53" s="224" t="b">
        <f t="shared" si="24"/>
        <v>0</v>
      </c>
      <c r="AN53" s="236" t="str">
        <f t="shared" si="25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-0.24641727355484752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6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3"/>
        <v/>
      </c>
      <c r="AL54" s="224" t="str">
        <f t="shared" si="27"/>
        <v/>
      </c>
      <c r="AM54" s="224" t="b">
        <f t="shared" si="24"/>
        <v>0</v>
      </c>
      <c r="AN54" s="236" t="str">
        <f t="shared" si="25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-0.23375000000000001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6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3"/>
        <v/>
      </c>
      <c r="AL55" s="224" t="str">
        <f t="shared" si="27"/>
        <v/>
      </c>
      <c r="AM55" s="224" t="b">
        <f t="shared" si="24"/>
        <v>0</v>
      </c>
      <c r="AN55" s="236" t="str">
        <f t="shared" si="25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-0.22108272644515251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6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3"/>
        <v/>
      </c>
      <c r="AL56" s="224" t="str">
        <f t="shared" si="27"/>
        <v/>
      </c>
      <c r="AM56" s="224" t="b">
        <f t="shared" si="24"/>
        <v>0</v>
      </c>
      <c r="AN56" s="236" t="str">
        <f t="shared" si="25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-0.20856565771506602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6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3"/>
        <v/>
      </c>
      <c r="AL57" s="224" t="str">
        <f t="shared" si="27"/>
        <v/>
      </c>
      <c r="AM57" s="224" t="b">
        <f t="shared" si="24"/>
        <v>0</v>
      </c>
      <c r="AN57" s="236" t="str">
        <f t="shared" si="25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-0.19634899863450161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6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3"/>
        <v/>
      </c>
      <c r="AL58" s="224" t="str">
        <f t="shared" si="27"/>
        <v/>
      </c>
      <c r="AM58" s="224" t="b">
        <f t="shared" si="24"/>
        <v>0</v>
      </c>
      <c r="AN58" s="236" t="str">
        <f t="shared" si="25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-0.18458295402822034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6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3"/>
        <v/>
      </c>
      <c r="AL59" s="224" t="str">
        <f t="shared" si="27"/>
        <v/>
      </c>
      <c r="AM59" s="224" t="b">
        <f t="shared" si="24"/>
        <v>0</v>
      </c>
      <c r="AN59" s="236" t="str">
        <f t="shared" si="25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-0.17341772872098321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6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3"/>
        <v/>
      </c>
      <c r="AL60" s="224" t="str">
        <f t="shared" si="27"/>
        <v/>
      </c>
      <c r="AM60" s="224" t="b">
        <f t="shared" si="24"/>
        <v>0</v>
      </c>
      <c r="AN60" s="236" t="str">
        <f t="shared" si="25"/>
        <v/>
      </c>
      <c r="AO60" s="235" t="str">
        <f t="array" ref="AO60:AP60">IF(AM60,INDEX($AH$31:$AI$72,AN60,0),"")</f>
        <v/>
      </c>
      <c r="AP60" s="236" t="str">
        <v/>
      </c>
      <c r="AQ60" s="238">
        <v>312</v>
      </c>
      <c r="AR60" s="241">
        <v>-0.16300352753755126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6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3"/>
        <v/>
      </c>
      <c r="AL61" s="224" t="str">
        <f t="shared" si="27"/>
        <v/>
      </c>
      <c r="AM61" s="224" t="b">
        <f t="shared" si="24"/>
        <v>0</v>
      </c>
      <c r="AN61" s="236" t="str">
        <f t="shared" si="25"/>
        <v/>
      </c>
      <c r="AO61" s="239"/>
      <c r="AP61" s="240"/>
      <c r="AQ61" s="250">
        <v>324</v>
      </c>
      <c r="AR61" s="251">
        <v>-0.15349055530268557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6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3"/>
        <v/>
      </c>
      <c r="AL62" s="224" t="str">
        <f t="shared" si="27"/>
        <v/>
      </c>
      <c r="AM62" s="224" t="b">
        <f t="shared" si="24"/>
        <v>0</v>
      </c>
      <c r="AN62" s="236" t="str">
        <f t="shared" si="25"/>
        <v/>
      </c>
      <c r="AO62" s="239"/>
      <c r="AP62" s="240"/>
      <c r="AQ62" s="252">
        <v>336</v>
      </c>
      <c r="AR62" s="243">
        <v>-0.14502901684114711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6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3"/>
        <v/>
      </c>
      <c r="AL63" s="224" t="str">
        <f t="shared" si="27"/>
        <v/>
      </c>
      <c r="AM63" s="224" t="b">
        <f t="shared" si="24"/>
        <v>0</v>
      </c>
      <c r="AN63" s="236" t="str">
        <f t="shared" si="25"/>
        <v/>
      </c>
      <c r="AO63" s="235" t="str">
        <f t="array" ref="AO63:AP63">IF(AM63,INDEX($AH$31:$AI$72,AN63,0),"")</f>
        <v/>
      </c>
      <c r="AP63" s="236" t="str">
        <v/>
      </c>
      <c r="AQ63" s="242">
        <v>348</v>
      </c>
      <c r="AR63" s="243">
        <v>-0.13776911697769698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6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3"/>
        <v/>
      </c>
      <c r="AL64" s="224" t="str">
        <f t="shared" si="27"/>
        <v/>
      </c>
      <c r="AM64" s="224" t="b">
        <f t="shared" si="24"/>
        <v>0</v>
      </c>
      <c r="AN64" s="236" t="str">
        <f t="shared" si="25"/>
        <v/>
      </c>
      <c r="AO64" s="235" t="str">
        <f t="array" ref="AO64:AP64">IF(AM64,INDEX($AH$31:$AI$72,AN64,0),"")</f>
        <v/>
      </c>
      <c r="AP64" s="236" t="str">
        <v/>
      </c>
      <c r="AQ64" s="242">
        <v>360</v>
      </c>
      <c r="AR64" s="243">
        <v>-0.13186106053709618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6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3"/>
        <v/>
      </c>
      <c r="AL65" s="224" t="str">
        <f t="shared" si="27"/>
        <v/>
      </c>
      <c r="AM65" s="224" t="b">
        <f t="shared" si="24"/>
        <v>0</v>
      </c>
      <c r="AN65" s="236" t="str">
        <f t="shared" si="25"/>
        <v/>
      </c>
      <c r="AO65" s="235" t="str">
        <f t="array" ref="AO65:AP65">IF(AM65,INDEX($AH$31:$AI$72,AN65,0),"")</f>
        <v/>
      </c>
      <c r="AP65" s="236" t="str">
        <v/>
      </c>
      <c r="AQ65" s="242">
        <v>420</v>
      </c>
      <c r="AR65" s="243">
        <v>-0.12785559854346862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6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3"/>
        <v/>
      </c>
      <c r="AL66" s="224" t="str">
        <f t="shared" si="27"/>
        <v/>
      </c>
      <c r="AM66" s="224" t="b">
        <f t="shared" si="24"/>
        <v>0</v>
      </c>
      <c r="AN66" s="236" t="str">
        <f t="shared" si="25"/>
        <v/>
      </c>
      <c r="AO66" s="235" t="str">
        <f t="array" ref="AO66:AP66">IF(AM66,INDEX($AH$31:$AI$72,AN66,0),"")</f>
        <v/>
      </c>
      <c r="AP66" s="236" t="str">
        <v/>
      </c>
      <c r="AQ66" s="242">
        <v>480</v>
      </c>
      <c r="AR66" s="243">
        <v>-0.18017694583523022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6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3"/>
        <v/>
      </c>
      <c r="AL67" s="224" t="str">
        <f t="shared" si="27"/>
        <v/>
      </c>
      <c r="AM67" s="224" t="b">
        <f t="shared" si="24"/>
        <v>0</v>
      </c>
      <c r="AN67" s="236" t="str">
        <f t="shared" si="25"/>
        <v/>
      </c>
      <c r="AO67" s="235" t="str">
        <f t="array" ref="AO67:AP67">IF(AM67,INDEX($AH$31:$AI$72,AN67,0),"")</f>
        <v/>
      </c>
      <c r="AP67" s="236" t="str">
        <v/>
      </c>
      <c r="AQ67" s="242">
        <v>540</v>
      </c>
      <c r="AR67" s="243">
        <v>-0.30760070550751079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6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3"/>
        <v/>
      </c>
      <c r="AL68" s="224" t="str">
        <f t="shared" si="27"/>
        <v/>
      </c>
      <c r="AM68" s="224" t="b">
        <f t="shared" si="24"/>
        <v>0</v>
      </c>
      <c r="AN68" s="236" t="str">
        <f t="shared" si="25"/>
        <v/>
      </c>
      <c r="AO68" s="235" t="str">
        <f t="array" ref="AO68:AP68">IF(AM68,INDEX($AH$31:$AI$72,AN68,0),"")</f>
        <v/>
      </c>
      <c r="AP68" s="236" t="str">
        <v/>
      </c>
      <c r="AQ68" s="242">
        <v>600</v>
      </c>
      <c r="AR68" s="243">
        <v>-0.52890248065543999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6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3"/>
        <v/>
      </c>
      <c r="AL69" s="224" t="str">
        <f t="shared" si="27"/>
        <v/>
      </c>
      <c r="AM69" s="224" t="b">
        <f t="shared" si="24"/>
        <v>0</v>
      </c>
      <c r="AN69" s="236" t="str">
        <f t="shared" si="25"/>
        <v/>
      </c>
      <c r="AO69" s="235" t="str">
        <f t="array" ref="AO69:AP69">IF(AM69,INDEX($AH$31:$AI$72,AN69,0),"")</f>
        <v/>
      </c>
      <c r="AP69" s="236" t="str">
        <v/>
      </c>
      <c r="AQ69" s="242">
        <v>660</v>
      </c>
      <c r="AR69" s="243">
        <v>-0.86285787437414785</v>
      </c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6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3"/>
        <v/>
      </c>
      <c r="AL70" s="224" t="str">
        <f t="shared" si="27"/>
        <v/>
      </c>
      <c r="AM70" s="224" t="b">
        <f t="shared" si="24"/>
        <v>0</v>
      </c>
      <c r="AN70" s="236" t="str">
        <f t="shared" si="25"/>
        <v/>
      </c>
      <c r="AO70" s="235" t="str">
        <f t="array" ref="AO70:AP70">IF(AM70,INDEX($AH$31:$AI$72,AN70,0),"")</f>
        <v/>
      </c>
      <c r="AP70" s="236" t="str">
        <v/>
      </c>
      <c r="AQ70" s="242">
        <v>720</v>
      </c>
      <c r="AR70" s="243">
        <v>-1.3282424897587635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6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3"/>
        <v/>
      </c>
      <c r="AL71" s="224" t="str">
        <f t="shared" si="27"/>
        <v/>
      </c>
      <c r="AM71" s="224" t="b">
        <f t="shared" si="24"/>
        <v>0</v>
      </c>
      <c r="AN71" s="236" t="str">
        <f t="shared" si="25"/>
        <v/>
      </c>
      <c r="AO71" s="235" t="str">
        <f t="array" ref="AO71:AP71">IF(AM71,INDEX($AH$31:$AI$72,AN71,0),"")</f>
        <v/>
      </c>
      <c r="AP71" s="236" t="str">
        <v/>
      </c>
      <c r="AQ71" s="242">
        <v>780</v>
      </c>
      <c r="AR71" s="243">
        <v>-1.9438319299044171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6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3"/>
        <v/>
      </c>
      <c r="AL72" s="246" t="str">
        <f t="shared" si="27"/>
        <v/>
      </c>
      <c r="AM72" s="246" t="b">
        <f t="shared" si="24"/>
        <v>0</v>
      </c>
      <c r="AN72" s="247" t="str">
        <f t="shared" si="25"/>
        <v/>
      </c>
      <c r="AO72" s="238" t="str">
        <f t="array" ref="AO72:AP72">IF(AM72,INDEX($AH$31:$AI$72,AN72,0),"")</f>
        <v/>
      </c>
      <c r="AP72" s="247" t="str">
        <v/>
      </c>
      <c r="AQ72" s="248">
        <v>840</v>
      </c>
      <c r="AR72" s="249">
        <v>-2.7284017979062383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65" priority="10" stopIfTrue="1" operator="equal">
      <formula>FALSE</formula>
    </cfRule>
  </conditionalFormatting>
  <conditionalFormatting sqref="I3:L20 I23:L23">
    <cfRule type="expression" dxfId="64" priority="5" stopIfTrue="1">
      <formula>NOT($E3)</formula>
    </cfRule>
  </conditionalFormatting>
  <conditionalFormatting sqref="I26:L67">
    <cfRule type="expression" dxfId="63" priority="2" stopIfTrue="1">
      <formula>NOT($E26)</formula>
    </cfRule>
  </conditionalFormatting>
  <conditionalFormatting sqref="L3:L20">
    <cfRule type="expression" dxfId="62" priority="6" stopIfTrue="1">
      <formula>ISNUMBER(J3)</formula>
    </cfRule>
    <cfRule type="expression" dxfId="61" priority="9" stopIfTrue="1">
      <formula>ISNUMBER(K3)</formula>
    </cfRule>
  </conditionalFormatting>
  <conditionalFormatting sqref="L23">
    <cfRule type="expression" dxfId="60" priority="4" stopIfTrue="1">
      <formula>ISNUMBER(J23)</formula>
    </cfRule>
    <cfRule type="expression" dxfId="59" priority="8" stopIfTrue="1">
      <formula>ISNUMBER(K23)</formula>
    </cfRule>
  </conditionalFormatting>
  <conditionalFormatting sqref="L26:L67">
    <cfRule type="expression" dxfId="58" priority="3" stopIfTrue="1">
      <formula>ISNUMBER(J26)</formula>
    </cfRule>
    <cfRule type="expression" dxfId="57" priority="7" stopIfTrue="1">
      <formula>ISNUMBER(K26)</formula>
    </cfRule>
  </conditionalFormatting>
  <conditionalFormatting sqref="E3:E20">
    <cfRule type="cellIs" dxfId="5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C19 E23 E3:E20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12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0.66548397436605455</v>
      </c>
      <c r="J3" s="206"/>
      <c r="K3" s="207"/>
      <c r="L3" s="206">
        <f t="shared" ref="L3:L20" si="0">IF(ISNUMBER(J3),J3,I3)+K3</f>
        <v>0.66548397436605455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0.66548397436605455</v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264</v>
      </c>
    </row>
    <row r="4" spans="1:35" ht="11.25" customHeight="1" x14ac:dyDescent="0.2">
      <c r="A4" s="66"/>
      <c r="B4" s="189" t="s">
        <v>91</v>
      </c>
      <c r="C4" s="188" t="s">
        <v>261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0.64732052266558426</v>
      </c>
      <c r="J4" s="212"/>
      <c r="K4" s="213"/>
      <c r="L4" s="212">
        <f t="shared" si="0"/>
        <v>0.64732052266558426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0.64732052266558426</v>
      </c>
      <c r="U4" s="72">
        <v>42124</v>
      </c>
      <c r="V4" s="71">
        <v>0.9999817678947619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42124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0.63813089899999997</v>
      </c>
      <c r="U5" s="72">
        <v>42125</v>
      </c>
      <c r="V5" s="71">
        <v>0.99996403372377685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42125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0.63813089899999997</v>
      </c>
      <c r="J6" s="152"/>
      <c r="K6" s="153"/>
      <c r="L6" s="152">
        <f t="shared" si="0"/>
        <v>0.63813089899999997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0.62030810799999991</v>
      </c>
      <c r="U6" s="72">
        <v>42132</v>
      </c>
      <c r="V6" s="71">
        <v>0.99984167183187744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42132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0.62030810799999991</v>
      </c>
      <c r="J7" s="95"/>
      <c r="K7" s="96"/>
      <c r="L7" s="95">
        <f t="shared" si="0"/>
        <v>0.62030810799999991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0.61270339800000007</v>
      </c>
      <c r="U7" s="72">
        <v>42139</v>
      </c>
      <c r="V7" s="71">
        <v>0.99972617247698392</v>
      </c>
      <c r="W7"/>
      <c r="X7"/>
      <c r="Y7" s="133" t="s">
        <v>82</v>
      </c>
      <c r="Z7" s="135" t="s">
        <v>71</v>
      </c>
      <c r="AA7" s="134" t="s">
        <v>70</v>
      </c>
      <c r="AF7" s="124" t="s">
        <v>265</v>
      </c>
      <c r="AG7" s="177"/>
      <c r="AH7" s="177"/>
      <c r="AI7" s="176">
        <f t="array" ref="AI7:AI9">_xll.xlShmInterpDisc($AI$3,AI4:AI6+0*TYPE(ObjectsTrigger))</f>
        <v>0.99998683222818718</v>
      </c>
    </row>
    <row r="8" spans="1:35" ht="11.25" customHeight="1" x14ac:dyDescent="0.2">
      <c r="A8" s="68"/>
      <c r="B8" s="140" t="s">
        <v>107</v>
      </c>
      <c r="C8" s="119" t="str">
        <f>+'USDBASIS(EURON)'!$C$4</f>
        <v>USDBASIS.EURON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0.61270339800000007</v>
      </c>
      <c r="J8" s="88"/>
      <c r="K8" s="89"/>
      <c r="L8" s="88">
        <f t="shared" si="0"/>
        <v>0.61270339800000007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0.626527681</v>
      </c>
      <c r="U8" s="72">
        <v>42146</v>
      </c>
      <c r="V8" s="71">
        <v>0.99961165633668447</v>
      </c>
      <c r="W8"/>
      <c r="X8"/>
      <c r="Y8" s="180" t="s">
        <v>85</v>
      </c>
      <c r="Z8" s="129">
        <f>_xll.RtGet($AD$8,$AD$9&amp;$Y8&amp;$AD$10,Z$7)</f>
        <v>0.63813089899999997</v>
      </c>
      <c r="AA8" s="127">
        <f>_xll.RtGet($AD$8,$AD$9&amp;$Y8&amp;$AD$10,AA$7)</f>
        <v>0.63813089899999997</v>
      </c>
      <c r="AC8" s="124" t="s">
        <v>68</v>
      </c>
      <c r="AD8" s="123" t="s">
        <v>102</v>
      </c>
      <c r="AF8" s="24" t="s">
        <v>266</v>
      </c>
      <c r="AG8" s="68"/>
      <c r="AH8" s="68"/>
      <c r="AI8" s="170">
        <v>0.99997416223664792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0.626527681</v>
      </c>
      <c r="J9" s="95"/>
      <c r="K9" s="96"/>
      <c r="L9" s="95">
        <f t="shared" si="0"/>
        <v>0.626527681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0.63379476400000001</v>
      </c>
      <c r="U9" s="72">
        <v>42156</v>
      </c>
      <c r="V9" s="71">
        <v>0.99943221645211644</v>
      </c>
      <c r="W9"/>
      <c r="X9"/>
      <c r="Y9" s="80">
        <v>2</v>
      </c>
      <c r="Z9" s="80">
        <f>_xll.RtGet($AD$8,$AD$9&amp;$Y9&amp;$AD$10,Z$7)</f>
        <v>0.62030810799999991</v>
      </c>
      <c r="AA9" s="78">
        <f>_xll.RtGet($AD$8,$AD$9&amp;$Y9&amp;$AD$10,AA$7)</f>
        <v>0.62030810799999991</v>
      </c>
      <c r="AC9" s="121" t="s">
        <v>66</v>
      </c>
      <c r="AD9" s="120" t="s">
        <v>276</v>
      </c>
      <c r="AF9" s="25" t="s">
        <v>267</v>
      </c>
      <c r="AG9" s="168"/>
      <c r="AH9" s="168"/>
      <c r="AI9" s="167">
        <v>0.99988724537035734</v>
      </c>
    </row>
    <row r="10" spans="1:35" ht="11.25" customHeight="1" x14ac:dyDescent="0.2">
      <c r="A10" s="68"/>
      <c r="B10" s="179" t="s">
        <v>109</v>
      </c>
      <c r="C10" s="119" t="s">
        <v>262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0.63379476400000001</v>
      </c>
      <c r="J10" s="95"/>
      <c r="K10" s="96"/>
      <c r="L10" s="95">
        <f t="shared" si="0"/>
        <v>0.63379476400000001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0.60571856300000004</v>
      </c>
      <c r="U10" s="72">
        <v>42186</v>
      </c>
      <c r="V10" s="71">
        <v>0.99890597388994762</v>
      </c>
      <c r="W10"/>
      <c r="X10"/>
      <c r="Y10" s="75">
        <v>3</v>
      </c>
      <c r="Z10" s="75">
        <f>_xll.RtGet($AD$8,$AD$9&amp;$Y10&amp;$AD$10,Z$7)</f>
        <v>0.61270339800000007</v>
      </c>
      <c r="AA10" s="76">
        <f>_xll.RtGet($AD$8,$AD$9&amp;$Y10&amp;$AD$10,AA$7)</f>
        <v>0.61270339800000007</v>
      </c>
      <c r="AC10" s="118" t="s">
        <v>63</v>
      </c>
      <c r="AD10" s="117" t="s">
        <v>103</v>
      </c>
      <c r="AF10" s="178" t="s">
        <v>268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0.60571856300000004</v>
      </c>
      <c r="J11" s="95"/>
      <c r="K11" s="96"/>
      <c r="L11" s="95">
        <f t="shared" si="0"/>
        <v>0.60571856300000004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0.655054358</v>
      </c>
      <c r="U11" s="72">
        <v>42219</v>
      </c>
      <c r="V11" s="71">
        <v>0.99840658660390891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0.655054358</v>
      </c>
      <c r="J12" s="95"/>
      <c r="K12" s="96"/>
      <c r="L12" s="95">
        <f t="shared" si="0"/>
        <v>0.655054358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0.64618729399999997</v>
      </c>
      <c r="U12" s="72">
        <v>42248</v>
      </c>
      <c r="V12" s="71">
        <v>0.99776153156328584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0.64618729399999997</v>
      </c>
      <c r="J13" s="95"/>
      <c r="K13" s="96"/>
      <c r="L13" s="95">
        <f t="shared" si="0"/>
        <v>0.64618729399999997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0.64523040399999998</v>
      </c>
      <c r="U13" s="72">
        <v>42278</v>
      </c>
      <c r="V13" s="71">
        <v>0.99726277247856332</v>
      </c>
      <c r="W13"/>
      <c r="X13"/>
      <c r="Y13" s="80">
        <v>1</v>
      </c>
      <c r="Z13" s="80">
        <f>_xll.RtGet($AD$13,$AD$14&amp;$Y13&amp;$AD$15,Z$12)</f>
        <v>0.626527681</v>
      </c>
      <c r="AA13" s="78">
        <f>_xll.RtGet($AD$13,$AD$14&amp;$Y13&amp;$AD$15,AA$12)</f>
        <v>0.626527681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1.8485107217324167E-3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0.64523040399999998</v>
      </c>
      <c r="J14" s="95"/>
      <c r="K14" s="96"/>
      <c r="L14" s="95">
        <f t="shared" si="0"/>
        <v>0.64523040399999998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15</v>
      </c>
      <c r="Q14" s="80">
        <f t="shared" si="3"/>
        <v>9</v>
      </c>
      <c r="R14" s="79" t="str">
        <f t="shared" si="4"/>
        <v>m</v>
      </c>
      <c r="S14" s="93">
        <f t="shared" si="5"/>
        <v>0.700860767</v>
      </c>
      <c r="U14" s="72">
        <v>42310</v>
      </c>
      <c r="V14" s="71">
        <v>0.9967044653785716</v>
      </c>
      <c r="W14"/>
      <c r="X14"/>
      <c r="Y14" s="80">
        <v>2</v>
      </c>
      <c r="Z14" s="80">
        <f>_xll.RtGet($AD$13,$AD$14&amp;$Y14&amp;$AD$15,Z$12)</f>
        <v>0.63379476400000001</v>
      </c>
      <c r="AA14" s="78">
        <f>_xll.RtGet($AD$13,$AD$14&amp;$Y14&amp;$AD$15,AA$12)</f>
        <v>0.63379476400000001</v>
      </c>
      <c r="AC14" s="121" t="s">
        <v>66</v>
      </c>
      <c r="AD14" s="120" t="s">
        <v>276</v>
      </c>
      <c r="AF14" s="24" t="s">
        <v>269</v>
      </c>
      <c r="AG14" s="68"/>
      <c r="AH14" s="68"/>
      <c r="AI14" s="170">
        <f>AI7*EXP(-$AI$13*_xll.xlYrfDayCount($C$3,AI4,$AI$11))</f>
        <v>0.9999817678947619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42401</v>
      </c>
      <c r="V15" s="71">
        <v>0.99469250215672378</v>
      </c>
      <c r="W15"/>
      <c r="X15"/>
      <c r="Y15" s="80">
        <v>3</v>
      </c>
      <c r="Z15" s="80">
        <f>_xll.RtGet($AD$13,$AD$14&amp;$Y15&amp;$AD$15,Z$12)</f>
        <v>0.60571856300000004</v>
      </c>
      <c r="AA15" s="78">
        <f>_xll.RtGet($AD$13,$AD$14&amp;$Y15&amp;$AD$15,AA$12)</f>
        <v>0.60571856300000004</v>
      </c>
      <c r="AB15" s="67"/>
      <c r="AC15" s="118" t="s">
        <v>63</v>
      </c>
      <c r="AD15" s="117" t="s">
        <v>104</v>
      </c>
      <c r="AF15" s="24" t="s">
        <v>270</v>
      </c>
      <c r="AG15" s="68"/>
      <c r="AH15" s="68"/>
      <c r="AI15" s="170">
        <f>AI8*EXP(-$AI$13*_xll.xlYrfDayCount($C$3,AI5,$AI$11))</f>
        <v>0.99996403372377674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42405</v>
      </c>
      <c r="V16" s="71">
        <v>0.99455913847900679</v>
      </c>
      <c r="W16"/>
      <c r="X16"/>
      <c r="Y16" s="80">
        <v>4</v>
      </c>
      <c r="Z16" s="80">
        <f>_xll.RtGet($AD$13,$AD$14&amp;$Y16&amp;$AD$15,Z$12)</f>
        <v>0.655054358</v>
      </c>
      <c r="AA16" s="78">
        <f>_xll.RtGet($AD$13,$AD$14&amp;$Y16&amp;$AD$15,AA$12)</f>
        <v>0.655054358</v>
      </c>
      <c r="AB16" s="67"/>
      <c r="AC16" s="67"/>
      <c r="AD16" s="67"/>
      <c r="AF16" s="25" t="s">
        <v>271</v>
      </c>
      <c r="AG16" s="168"/>
      <c r="AH16" s="168"/>
      <c r="AI16" s="167">
        <f>AI9*EXP(-$AI$13*_xll.xlYrfDayCount($C$3,AI6,$AI$11))</f>
        <v>0.99984167183187755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0.700860767</v>
      </c>
      <c r="J17" s="95"/>
      <c r="K17" s="96"/>
      <c r="L17" s="95">
        <f t="shared" si="0"/>
        <v>0.700860767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42495</v>
      </c>
      <c r="V17" s="71">
        <v>0.99224285893510367</v>
      </c>
      <c r="W17"/>
      <c r="X17"/>
      <c r="Y17" s="80">
        <v>5</v>
      </c>
      <c r="Z17" s="80">
        <f>_xll.RtGet($AD$13,$AD$14&amp;$Y17&amp;$AD$15,Z$12)</f>
        <v>0.64618729399999997</v>
      </c>
      <c r="AA17" s="78">
        <f>_xll.RtGet($AD$13,$AD$14&amp;$Y17&amp;$AD$15,AA$12)</f>
        <v>0.64618729399999997</v>
      </c>
      <c r="AB17" s="67"/>
      <c r="AC17" s="67"/>
      <c r="AD17" s="67"/>
      <c r="AF17" s="24" t="s">
        <v>272</v>
      </c>
      <c r="AG17" s="68"/>
      <c r="AH17" s="68"/>
      <c r="AI17" s="170">
        <f>(1/AI14-1)/_xll.xlYrfDayCount($C$3,AI4,$AI$10)</f>
        <v>6.6548397436605455E-3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42860</v>
      </c>
      <c r="V18" s="71">
        <v>0.97953731108595621</v>
      </c>
      <c r="W18"/>
      <c r="X18"/>
      <c r="Y18" s="80">
        <v>6</v>
      </c>
      <c r="Z18" s="80">
        <f>_xll.RtGet($AD$13,$AD$14&amp;$Y18&amp;$AD$15,Z$12)</f>
        <v>0.64523040399999998</v>
      </c>
      <c r="AA18" s="78">
        <f>_xll.RtGet($AD$13,$AD$14&amp;$Y18&amp;$AD$15,AA$12)</f>
        <v>0.64523040399999998</v>
      </c>
      <c r="AB18" s="67"/>
      <c r="AC18" s="67"/>
      <c r="AD18" s="67"/>
      <c r="AF18" s="24" t="s">
        <v>273</v>
      </c>
      <c r="AG18" s="68"/>
      <c r="AH18" s="68"/>
      <c r="AI18" s="170">
        <f>(AI14/AI15-1)/_xll.xlYrfDayCount(AI4,AI5,$AI$10)</f>
        <v>6.4732052266558426E-3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43228</v>
      </c>
      <c r="V19" s="71">
        <v>0.9634147474236977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274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43592</v>
      </c>
      <c r="V20" s="71">
        <v>0.94532073269906702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275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43956</v>
      </c>
      <c r="V21" s="71">
        <v>0.92615462144158811</v>
      </c>
      <c r="W21"/>
      <c r="X21"/>
      <c r="Y21" s="80">
        <v>9</v>
      </c>
      <c r="Z21" s="80">
        <f>_xll.RtGet($AD$13,$AD$14&amp;$Y21&amp;$AD$15,Z$12)</f>
        <v>0.700860767</v>
      </c>
      <c r="AA21" s="78">
        <f>_xll.RtGet($AD$13,$AD$14&amp;$Y21&amp;$AD$15,AA$12)</f>
        <v>0.700860767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44686</v>
      </c>
      <c r="V22" s="71">
        <v>0.88690911673352824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0.646412421922405</v>
      </c>
      <c r="J23" s="160"/>
      <c r="K23" s="161"/>
      <c r="L23" s="160">
        <f>IF(ISNUMBER(J23),J23,I23)+K23</f>
        <v>0.646412421922405</v>
      </c>
      <c r="M23" s="67"/>
      <c r="N23" s="67"/>
      <c r="O23" s="67"/>
      <c r="P23" s="67"/>
      <c r="Q23" s="67"/>
      <c r="R23" s="67"/>
      <c r="S23" s="67"/>
      <c r="U23" s="72">
        <v>45783</v>
      </c>
      <c r="V23" s="71">
        <v>0.83032961260542493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47610</v>
      </c>
      <c r="V24" s="71">
        <v>0.74289248508432293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49437</v>
      </c>
      <c r="V25" s="71">
        <v>0.66106265670396414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-4.2499999999999996E-2</v>
      </c>
      <c r="J26" s="152"/>
      <c r="K26" s="153"/>
      <c r="L26" s="152">
        <f t="shared" ref="L26:L67" si="13">IF(ISNUMBER(J26),J26,I26)+K26</f>
        <v>-4.2499999999999996E-2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-4.2499999999999996E-2</v>
      </c>
      <c r="U26" s="72">
        <v>53087</v>
      </c>
      <c r="V26" s="71">
        <v>0.51998786625011306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-4.2499999999999996E-2</v>
      </c>
      <c r="J27" s="95"/>
      <c r="K27" s="96"/>
      <c r="L27" s="95">
        <f t="shared" si="13"/>
        <v>-4.2499999999999996E-2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-4.2499999999999996E-2</v>
      </c>
      <c r="U27" s="72" t="e">
        <v>#N/A</v>
      </c>
      <c r="V27" s="71" t="e">
        <v>#N/A</v>
      </c>
      <c r="W27"/>
      <c r="X27"/>
      <c r="Y27" s="386" t="s">
        <v>153</v>
      </c>
      <c r="Z27" s="386">
        <f>1/_xll.RtGet($AD$26,$AD$27&amp;$Y27&amp;$AD$28,Z$26)</f>
        <v>0.64649599172485128</v>
      </c>
      <c r="AA27" s="387">
        <f>1/_xll.RtGet($AD$26,$AD$27&amp;$Y27&amp;$AD$28,AA$26)</f>
        <v>0.64632885211995872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-4.4999999999999998E-2</v>
      </c>
      <c r="J28" s="95"/>
      <c r="K28" s="96"/>
      <c r="L28" s="95">
        <f t="shared" si="13"/>
        <v>-4.4999999999999998E-2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-4.4999999999999998E-2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-6.25E-2</v>
      </c>
      <c r="J31" s="95"/>
      <c r="K31" s="96"/>
      <c r="L31" s="95">
        <f t="shared" si="13"/>
        <v>-6.25E-2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-6.25E-2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-9.2499999999999999E-2</v>
      </c>
      <c r="AA31" s="127">
        <f>$Z$29*_xll.RtGet($AD$32,$AD$33&amp;$Y31&amp;$AD$34,AA$30)</f>
        <v>7.4999999999999997E-3</v>
      </c>
      <c r="AF31" s="225">
        <f t="shared" ref="AF31:AF72" si="20">AVERAGE(Z31:AA31)</f>
        <v>-4.2499999999999996E-2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-4.2499999999999996E-2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-4.4999999999999998E-2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-4.1077503429355275E-2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-6.7500000000000004E-2</v>
      </c>
      <c r="J32" s="95"/>
      <c r="K32" s="96"/>
      <c r="L32" s="95">
        <f t="shared" si="13"/>
        <v>-6.7500000000000004E-2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-6.7500000000000004E-2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-9.2499999999999999E-2</v>
      </c>
      <c r="AA32" s="78">
        <f>$Z$29*_xll.RtGet($AD$32,$AD$33&amp;$Y32&amp;$AD$34,AA$30)</f>
        <v>7.4999999999999997E-3</v>
      </c>
      <c r="AC32" s="124" t="s">
        <v>68</v>
      </c>
      <c r="AD32" s="123" t="s">
        <v>67</v>
      </c>
      <c r="AF32" s="233">
        <f t="shared" si="20"/>
        <v>-4.2499999999999996E-2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-4.2499999999999996E-2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-6.25E-2</v>
      </c>
      <c r="AQ32" s="235">
        <v>6</v>
      </c>
      <c r="AR32" s="237">
        <v>-4.3038097019578496E-2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-7.2500000000000009E-2</v>
      </c>
      <c r="J33" s="95"/>
      <c r="K33" s="96"/>
      <c r="L33" s="95">
        <f t="shared" si="13"/>
        <v>-7.2500000000000009E-2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-7.2500000000000009E-2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-9.5000000000000001E-2</v>
      </c>
      <c r="AA33" s="78">
        <f>$Z$29*_xll.RtGet($AD$32,$AD$33&amp;$Y33&amp;$AD$34,AA$30)</f>
        <v>5.0000000000000001E-3</v>
      </c>
      <c r="AC33" s="121" t="s">
        <v>66</v>
      </c>
      <c r="AD33" s="120" t="s">
        <v>263</v>
      </c>
      <c r="AF33" s="233">
        <f t="shared" si="20"/>
        <v>-4.4999999999999998E-2</v>
      </c>
      <c r="AG33" s="227">
        <f t="shared" si="25"/>
        <v>9</v>
      </c>
      <c r="AH33" s="227">
        <f t="shared" si="21"/>
        <v>9</v>
      </c>
      <c r="AI33" s="234">
        <f t="shared" si="22"/>
        <v>-4.4999999999999998E-2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-9.2499999999999999E-2</v>
      </c>
      <c r="AQ33" s="235">
        <v>9</v>
      </c>
      <c r="AR33" s="237">
        <v>-4.4999999999999998E-2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-9.2499999999999999E-2</v>
      </c>
      <c r="J34" s="95"/>
      <c r="K34" s="96"/>
      <c r="L34" s="95">
        <f t="shared" si="13"/>
        <v>-9.2499999999999999E-2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-9.2499999999999999E-2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-0.16250000000000001</v>
      </c>
      <c r="AQ34" s="235">
        <v>12</v>
      </c>
      <c r="AR34" s="237">
        <v>-4.6961902980421501E-2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-0.13250000000000001</v>
      </c>
      <c r="J35" s="95"/>
      <c r="K35" s="96"/>
      <c r="L35" s="95">
        <f t="shared" si="13"/>
        <v>-0.13250000000000001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-0.13250000000000001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-5.088047138047138E-2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-0.16999999999999998</v>
      </c>
      <c r="J36" s="95"/>
      <c r="K36" s="96"/>
      <c r="L36" s="95">
        <f t="shared" si="13"/>
        <v>-0.16999999999999998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-0.16999999999999998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-8.7500000000000008E-2</v>
      </c>
      <c r="AA36" s="78">
        <f>$Z$29*_xll.RtGet($AD$32,$AD$33&amp;$Y36&amp;$AD$34,AA$30)</f>
        <v>-3.7499999999999999E-2</v>
      </c>
      <c r="AF36" s="233">
        <f t="shared" si="20"/>
        <v>-6.25E-2</v>
      </c>
      <c r="AG36" s="227">
        <f t="shared" si="25"/>
        <v>36</v>
      </c>
      <c r="AH36" s="227">
        <f t="shared" si="21"/>
        <v>36</v>
      </c>
      <c r="AI36" s="234">
        <f t="shared" si="22"/>
        <v>-6.25E-2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-5.4783327098141918E-2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-0.16250000000000001</v>
      </c>
      <c r="J37" s="95"/>
      <c r="K37" s="96"/>
      <c r="L37" s="95">
        <f t="shared" si="13"/>
        <v>-0.16250000000000001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-0.16250000000000001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-9.2499999999999999E-2</v>
      </c>
      <c r="AA37" s="78">
        <f>$Z$29*_xll.RtGet($AD$32,$AD$33&amp;$Y37&amp;$AD$34,AA$30)</f>
        <v>-4.2500000000000003E-2</v>
      </c>
      <c r="AF37" s="233">
        <f t="shared" si="20"/>
        <v>-6.7500000000000004E-2</v>
      </c>
      <c r="AG37" s="227">
        <f t="shared" si="25"/>
        <v>48</v>
      </c>
      <c r="AH37" s="227">
        <f t="shared" si="21"/>
        <v>48</v>
      </c>
      <c r="AI37" s="234">
        <f t="shared" si="22"/>
        <v>-6.7500000000000004E-2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-6.25E-2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-9.5000000000000001E-2</v>
      </c>
      <c r="J38" s="95"/>
      <c r="K38" s="96"/>
      <c r="L38" s="95">
        <f t="shared" si="13"/>
        <v>-9.5000000000000001E-2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-9.5000000000000001E-2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-9.7500000000000003E-2</v>
      </c>
      <c r="AA38" s="78">
        <f>$Z$29*_xll.RtGet($AD$32,$AD$33&amp;$Y38&amp;$AD$34,AA$30)</f>
        <v>-4.7500000000000001E-2</v>
      </c>
      <c r="AF38" s="233">
        <f t="shared" si="20"/>
        <v>-7.2500000000000009E-2</v>
      </c>
      <c r="AG38" s="227">
        <f t="shared" si="25"/>
        <v>60</v>
      </c>
      <c r="AH38" s="227">
        <f t="shared" si="21"/>
        <v>60</v>
      </c>
      <c r="AI38" s="234">
        <f t="shared" si="22"/>
        <v>-7.2500000000000009E-2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-7.0307581411126183E-2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-0.11750000000000001</v>
      </c>
      <c r="AA39" s="78">
        <f>$Z$29*_xll.RtGet($AD$32,$AD$33&amp;$Y39&amp;$AD$34,AA$30)</f>
        <v>-6.7500000000000004E-2</v>
      </c>
      <c r="AF39" s="233">
        <f t="shared" si="20"/>
        <v>-9.2499999999999999E-2</v>
      </c>
      <c r="AG39" s="227">
        <f t="shared" si="25"/>
        <v>84</v>
      </c>
      <c r="AH39" s="227">
        <f t="shared" si="21"/>
        <v>84</v>
      </c>
      <c r="AI39" s="234">
        <f t="shared" si="22"/>
        <v>-9.2499999999999999E-2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-7.8183853459972863E-2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-0.1575</v>
      </c>
      <c r="AA40" s="78">
        <f>$Z$29*_xll.RtGet($AD$32,$AD$33&amp;$Y40&amp;$AD$34,AA$30)</f>
        <v>-0.1075</v>
      </c>
      <c r="AF40" s="233">
        <f t="shared" si="20"/>
        <v>-0.13250000000000001</v>
      </c>
      <c r="AG40" s="227">
        <f t="shared" si="25"/>
        <v>120</v>
      </c>
      <c r="AH40" s="227">
        <f t="shared" si="21"/>
        <v>120</v>
      </c>
      <c r="AI40" s="234">
        <f t="shared" si="22"/>
        <v>-0.13250000000000001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-8.5718198778833105E-2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-0.19500000000000001</v>
      </c>
      <c r="AA41" s="78">
        <f>$Z$29*_xll.RtGet($AD$32,$AD$33&amp;$Y41&amp;$AD$34,AA$30)</f>
        <v>-0.14499999999999999</v>
      </c>
      <c r="AF41" s="233">
        <f t="shared" si="20"/>
        <v>-0.16999999999999998</v>
      </c>
      <c r="AG41" s="227">
        <f t="shared" si="25"/>
        <v>180</v>
      </c>
      <c r="AH41" s="227">
        <f t="shared" si="21"/>
        <v>180</v>
      </c>
      <c r="AI41" s="234">
        <f t="shared" si="22"/>
        <v>-0.16999999999999998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-9.2499999999999999E-2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-0.1875</v>
      </c>
      <c r="AA42" s="78">
        <f>$Z$29*_xll.RtGet($AD$32,$AD$33&amp;$Y42&amp;$AD$34,AA$30)</f>
        <v>-0.13750000000000001</v>
      </c>
      <c r="AF42" s="233">
        <f t="shared" si="20"/>
        <v>-0.16250000000000001</v>
      </c>
      <c r="AG42" s="227">
        <f t="shared" si="25"/>
        <v>240</v>
      </c>
      <c r="AH42" s="227">
        <f t="shared" si="21"/>
        <v>240</v>
      </c>
      <c r="AI42" s="234">
        <f t="shared" si="22"/>
        <v>-0.16250000000000001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-9.8669267454262591E-2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</v>
      </c>
      <c r="AA43" s="78">
        <f>$Z$29*_xll.RtGet($AD$32,$AD$33&amp;$Y43&amp;$AD$34,AA$30)</f>
        <v>-7.0000000000000007E-2</v>
      </c>
      <c r="AF43" s="233">
        <f t="shared" si="20"/>
        <v>-9.5000000000000001E-2</v>
      </c>
      <c r="AG43" s="227">
        <f t="shared" si="25"/>
        <v>360</v>
      </c>
      <c r="AH43" s="227">
        <f t="shared" si="21"/>
        <v>360</v>
      </c>
      <c r="AI43" s="234">
        <f t="shared" si="22"/>
        <v>-9.5000000000000001E-2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-0.10465021841180987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-0.11045854591403474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-0.11610994300233018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-0.12162010271808912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-0.1270047181027045</v>
      </c>
    </row>
    <row r="48" spans="1:44" ht="11.25" customHeight="1" x14ac:dyDescent="0.2">
      <c r="B48" s="104" t="str">
        <f>"DomDiscCurveName"&amp;IF(ISBLANK(C8),"","#"&amp;C8)</f>
        <v>DomDiscCurveName#USDBASIS.EURON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-0.1322794821975693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-0.13746008804407639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-0.14256222868361879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-0.14760159715758939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-0.15259388650738118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-0.15755478977438708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-0.16250000000000001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-0.16744521022561296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-0.17240611349261886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-0.17739840284241062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-0.18243777131638123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-0.18753991195592362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-0.19272051780243071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-0.19799528189729551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-0.20337989728191092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-0.20889005699766983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-0.21454145408596526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55" priority="10" stopIfTrue="1" operator="equal">
      <formula>FALSE</formula>
    </cfRule>
  </conditionalFormatting>
  <conditionalFormatting sqref="I3:L20 I23:L23">
    <cfRule type="expression" dxfId="54" priority="5" stopIfTrue="1">
      <formula>NOT($E3)</formula>
    </cfRule>
  </conditionalFormatting>
  <conditionalFormatting sqref="I26:L67">
    <cfRule type="expression" dxfId="53" priority="2" stopIfTrue="1">
      <formula>NOT($E26)</formula>
    </cfRule>
  </conditionalFormatting>
  <conditionalFormatting sqref="L3:L20">
    <cfRule type="expression" dxfId="52" priority="6" stopIfTrue="1">
      <formula>ISNUMBER(J3)</formula>
    </cfRule>
    <cfRule type="expression" dxfId="51" priority="9" stopIfTrue="1">
      <formula>ISNUMBER(K3)</formula>
    </cfRule>
  </conditionalFormatting>
  <conditionalFormatting sqref="L23">
    <cfRule type="expression" dxfId="50" priority="4" stopIfTrue="1">
      <formula>ISNUMBER(J23)</formula>
    </cfRule>
    <cfRule type="expression" dxfId="49" priority="8" stopIfTrue="1">
      <formula>ISNUMBER(K23)</formula>
    </cfRule>
  </conditionalFormatting>
  <conditionalFormatting sqref="L26:L67">
    <cfRule type="expression" dxfId="48" priority="3" stopIfTrue="1">
      <formula>ISNUMBER(J26)</formula>
    </cfRule>
    <cfRule type="expression" dxfId="47" priority="7" stopIfTrue="1">
      <formula>ISNUMBER(K26)</formula>
    </cfRule>
  </conditionalFormatting>
  <conditionalFormatting sqref="E3:E20">
    <cfRule type="cellIs" dxfId="4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12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0.64830288054229523</v>
      </c>
      <c r="J3" s="206"/>
      <c r="K3" s="207"/>
      <c r="L3" s="206">
        <f t="shared" ref="L3:L20" si="0">IF(ISNUMBER(J3),J3,I3)+K3</f>
        <v>0.64830288054229523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0.64830288054229523</v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280</v>
      </c>
    </row>
    <row r="4" spans="1:35" ht="11.25" customHeight="1" x14ac:dyDescent="0.2">
      <c r="A4" s="66"/>
      <c r="B4" s="189" t="s">
        <v>91</v>
      </c>
      <c r="C4" s="188" t="s">
        <v>278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0.65611291642175829</v>
      </c>
      <c r="J4" s="212"/>
      <c r="K4" s="213"/>
      <c r="L4" s="212">
        <f t="shared" si="0"/>
        <v>0.65611291642175829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0.65611291642175829</v>
      </c>
      <c r="U4" s="72">
        <v>42124</v>
      </c>
      <c r="V4" s="71">
        <v>0.99998223859271862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42124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0.65927896799999997</v>
      </c>
      <c r="U5" s="72">
        <v>42125</v>
      </c>
      <c r="V5" s="71">
        <v>0.999964263538766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42125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0.65927896799999997</v>
      </c>
      <c r="J6" s="152"/>
      <c r="K6" s="153"/>
      <c r="L6" s="152">
        <f t="shared" si="0"/>
        <v>0.65927896799999997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0.63619127500000006</v>
      </c>
      <c r="U6" s="72">
        <v>42132</v>
      </c>
      <c r="V6" s="71">
        <v>0.99983784697856137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42132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0.63619127500000006</v>
      </c>
      <c r="J7" s="95"/>
      <c r="K7" s="96"/>
      <c r="L7" s="95">
        <f t="shared" si="0"/>
        <v>0.63619127500000006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0.63952644999999997</v>
      </c>
      <c r="U7" s="72">
        <v>42139</v>
      </c>
      <c r="V7" s="71">
        <v>0.9997203132163025</v>
      </c>
      <c r="W7"/>
      <c r="X7"/>
      <c r="Y7" s="133" t="s">
        <v>82</v>
      </c>
      <c r="Z7" s="135" t="s">
        <v>71</v>
      </c>
      <c r="AA7" s="134" t="s">
        <v>70</v>
      </c>
      <c r="AF7" s="124" t="s">
        <v>281</v>
      </c>
      <c r="AG7" s="177"/>
      <c r="AH7" s="177"/>
      <c r="AI7" s="176">
        <f t="array" ref="AI7:AI9">_xll.xlShmInterpDisc($AI$3,AI4:AI6+0*TYPE(ObjectsTrigger))</f>
        <v>0.99998683222818707</v>
      </c>
    </row>
    <row r="8" spans="1:35" ht="11.25" customHeight="1" x14ac:dyDescent="0.2">
      <c r="A8" s="68"/>
      <c r="B8" s="140" t="s">
        <v>107</v>
      </c>
      <c r="C8" s="119" t="str">
        <f>+'USDBASIS(EURSTD)'!$C$4</f>
        <v>USDBASIS.EURSTD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0.63952644999999997</v>
      </c>
      <c r="J8" s="88"/>
      <c r="K8" s="89"/>
      <c r="L8" s="88">
        <f t="shared" si="0"/>
        <v>0.63952644999999997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0.67459601300000005</v>
      </c>
      <c r="U8" s="72">
        <v>42146</v>
      </c>
      <c r="V8" s="71">
        <v>0.99959646529338197</v>
      </c>
      <c r="W8"/>
      <c r="X8"/>
      <c r="Y8" s="180" t="s">
        <v>85</v>
      </c>
      <c r="Z8" s="129">
        <f>_xll.RtGet($AD$8,$AD$9&amp;$Y8&amp;$AD$10,Z$7)</f>
        <v>0.65927896799999997</v>
      </c>
      <c r="AA8" s="127">
        <f>_xll.RtGet($AD$8,$AD$9&amp;$Y8&amp;$AD$10,AA$7)</f>
        <v>0.65927896799999997</v>
      </c>
      <c r="AC8" s="124" t="s">
        <v>68</v>
      </c>
      <c r="AD8" s="123" t="s">
        <v>102</v>
      </c>
      <c r="AF8" s="24" t="s">
        <v>282</v>
      </c>
      <c r="AG8" s="68"/>
      <c r="AH8" s="68"/>
      <c r="AI8" s="170">
        <v>0.9999734506656599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0.67459601300000005</v>
      </c>
      <c r="J9" s="95"/>
      <c r="K9" s="96"/>
      <c r="L9" s="95">
        <f t="shared" si="0"/>
        <v>0.67459601300000005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0.71329705900000007</v>
      </c>
      <c r="U9" s="72">
        <v>42156</v>
      </c>
      <c r="V9" s="71">
        <v>0.99939166752056385</v>
      </c>
      <c r="W9"/>
      <c r="X9"/>
      <c r="Y9" s="80">
        <v>2</v>
      </c>
      <c r="Z9" s="80">
        <f>_xll.RtGet($AD$8,$AD$9&amp;$Y9&amp;$AD$10,Z$7)</f>
        <v>0.63619127500000006</v>
      </c>
      <c r="AA9" s="78">
        <f>_xll.RtGet($AD$8,$AD$9&amp;$Y9&amp;$AD$10,AA$7)</f>
        <v>0.63619127500000006</v>
      </c>
      <c r="AC9" s="121" t="s">
        <v>66</v>
      </c>
      <c r="AD9" s="120" t="s">
        <v>279</v>
      </c>
      <c r="AF9" s="25" t="s">
        <v>283</v>
      </c>
      <c r="AG9" s="168"/>
      <c r="AH9" s="168"/>
      <c r="AI9" s="167">
        <v>0.99987918448769519</v>
      </c>
    </row>
    <row r="10" spans="1:35" ht="11.25" customHeight="1" x14ac:dyDescent="0.2">
      <c r="A10" s="68"/>
      <c r="B10" s="179" t="s">
        <v>109</v>
      </c>
      <c r="C10" s="119" t="s">
        <v>262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0.71329705900000007</v>
      </c>
      <c r="J10" s="95"/>
      <c r="K10" s="96"/>
      <c r="L10" s="95">
        <f t="shared" si="0"/>
        <v>0.71329705900000007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0.72995458299999993</v>
      </c>
      <c r="U10" s="72">
        <v>42186</v>
      </c>
      <c r="V10" s="71">
        <v>0.99877363996890878</v>
      </c>
      <c r="W10"/>
      <c r="X10"/>
      <c r="Y10" s="75">
        <v>3</v>
      </c>
      <c r="Z10" s="75">
        <f>_xll.RtGet($AD$8,$AD$9&amp;$Y10&amp;$AD$10,Z$7)</f>
        <v>0.63952644999999997</v>
      </c>
      <c r="AA10" s="76">
        <f>_xll.RtGet($AD$8,$AD$9&amp;$Y10&amp;$AD$10,AA$7)</f>
        <v>0.63952644999999997</v>
      </c>
      <c r="AC10" s="118" t="s">
        <v>63</v>
      </c>
      <c r="AD10" s="117" t="s">
        <v>103</v>
      </c>
      <c r="AF10" s="178" t="s">
        <v>268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0.72995458299999993</v>
      </c>
      <c r="J11" s="95"/>
      <c r="K11" s="96"/>
      <c r="L11" s="95">
        <f t="shared" si="0"/>
        <v>0.72995458299999993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0.78938300400000005</v>
      </c>
      <c r="U11" s="72">
        <v>42219</v>
      </c>
      <c r="V11" s="71">
        <v>0.99808797488666912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0.78938300400000005</v>
      </c>
      <c r="J12" s="95"/>
      <c r="K12" s="96"/>
      <c r="L12" s="95">
        <f t="shared" si="0"/>
        <v>0.78938300400000005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0.81808259499999991</v>
      </c>
      <c r="U12" s="72">
        <v>42248</v>
      </c>
      <c r="V12" s="71">
        <v>0.9973113031861861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0.81808259499999991</v>
      </c>
      <c r="J13" s="95"/>
      <c r="K13" s="96"/>
      <c r="L13" s="95">
        <f t="shared" si="0"/>
        <v>0.81808259499999991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0.85651895200000006</v>
      </c>
      <c r="U13" s="72">
        <v>42278</v>
      </c>
      <c r="V13" s="71">
        <v>0.996546882117332</v>
      </c>
      <c r="W13"/>
      <c r="X13"/>
      <c r="Y13" s="80">
        <v>1</v>
      </c>
      <c r="Z13" s="80">
        <f>_xll.RtGet($AD$13,$AD$14&amp;$Y13&amp;$AD$15,Z$12)</f>
        <v>0.67459601300000005</v>
      </c>
      <c r="AA13" s="78">
        <f>_xll.RtGet($AD$13,$AD$14&amp;$Y13&amp;$AD$15,AA$12)</f>
        <v>0.67459601300000005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1.67670287550569E-3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0.85651895200000006</v>
      </c>
      <c r="J14" s="95"/>
      <c r="K14" s="96"/>
      <c r="L14" s="95">
        <f t="shared" si="0"/>
        <v>0.85651895200000006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15</v>
      </c>
      <c r="Q14" s="80">
        <f t="shared" si="3"/>
        <v>9</v>
      </c>
      <c r="R14" s="79" t="str">
        <f t="shared" si="4"/>
        <v>m</v>
      </c>
      <c r="S14" s="93">
        <f t="shared" si="5"/>
        <v>0.94769862599999999</v>
      </c>
      <c r="U14" s="72">
        <v>42310</v>
      </c>
      <c r="V14" s="71">
        <v>0.99564192264594098</v>
      </c>
      <c r="W14"/>
      <c r="X14"/>
      <c r="Y14" s="80">
        <v>2</v>
      </c>
      <c r="Z14" s="80">
        <f>_xll.RtGet($AD$13,$AD$14&amp;$Y14&amp;$AD$15,Z$12)</f>
        <v>0.71329705900000007</v>
      </c>
      <c r="AA14" s="78">
        <f>_xll.RtGet($AD$13,$AD$14&amp;$Y14&amp;$AD$15,AA$12)</f>
        <v>0.71329705900000007</v>
      </c>
      <c r="AC14" s="121" t="s">
        <v>66</v>
      </c>
      <c r="AD14" s="120" t="s">
        <v>279</v>
      </c>
      <c r="AF14" s="24" t="s">
        <v>269</v>
      </c>
      <c r="AG14" s="68"/>
      <c r="AH14" s="68"/>
      <c r="AI14" s="170">
        <f>AI7*EXP(-$AI$13*_xll.xlYrfDayCount($C$3,AI4,$AI$11))</f>
        <v>0.99998223859271862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42401</v>
      </c>
      <c r="V15" s="71">
        <v>0.99284934678671577</v>
      </c>
      <c r="W15"/>
      <c r="X15"/>
      <c r="Y15" s="80">
        <v>3</v>
      </c>
      <c r="Z15" s="80">
        <f>_xll.RtGet($AD$13,$AD$14&amp;$Y15&amp;$AD$15,Z$12)</f>
        <v>0.72995458299999993</v>
      </c>
      <c r="AA15" s="78">
        <f>_xll.RtGet($AD$13,$AD$14&amp;$Y15&amp;$AD$15,AA$12)</f>
        <v>0.72995458299999993</v>
      </c>
      <c r="AB15" s="67"/>
      <c r="AC15" s="118" t="s">
        <v>63</v>
      </c>
      <c r="AD15" s="117" t="s">
        <v>104</v>
      </c>
      <c r="AF15" s="24" t="s">
        <v>270</v>
      </c>
      <c r="AG15" s="68"/>
      <c r="AH15" s="68"/>
      <c r="AI15" s="170">
        <f>AI8*EXP(-$AI$13*_xll.xlYrfDayCount($C$3,AI5,$AI$11))</f>
        <v>0.99996426353876611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42405</v>
      </c>
      <c r="V16" s="71">
        <v>0.99280377918244633</v>
      </c>
      <c r="W16"/>
      <c r="X16"/>
      <c r="Y16" s="80">
        <v>4</v>
      </c>
      <c r="Z16" s="80">
        <f>_xll.RtGet($AD$13,$AD$14&amp;$Y16&amp;$AD$15,Z$12)</f>
        <v>0.78938300400000005</v>
      </c>
      <c r="AA16" s="78">
        <f>_xll.RtGet($AD$13,$AD$14&amp;$Y16&amp;$AD$15,AA$12)</f>
        <v>0.78938300400000005</v>
      </c>
      <c r="AB16" s="67"/>
      <c r="AC16" s="67"/>
      <c r="AD16" s="67"/>
      <c r="AF16" s="25" t="s">
        <v>271</v>
      </c>
      <c r="AG16" s="168"/>
      <c r="AH16" s="168"/>
      <c r="AI16" s="167">
        <f>AI9*EXP(-$AI$13*_xll.xlYrfDayCount($C$3,AI6,$AI$11))</f>
        <v>0.99983784697856171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0.94769862599999999</v>
      </c>
      <c r="J17" s="95"/>
      <c r="K17" s="96"/>
      <c r="L17" s="95">
        <f t="shared" si="0"/>
        <v>0.94769862599999999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42495</v>
      </c>
      <c r="V17" s="71">
        <v>0.99015581564711352</v>
      </c>
      <c r="W17"/>
      <c r="X17"/>
      <c r="Y17" s="80">
        <v>5</v>
      </c>
      <c r="Z17" s="80">
        <f>_xll.RtGet($AD$13,$AD$14&amp;$Y17&amp;$AD$15,Z$12)</f>
        <v>0.81808259499999991</v>
      </c>
      <c r="AA17" s="78">
        <f>_xll.RtGet($AD$13,$AD$14&amp;$Y17&amp;$AD$15,AA$12)</f>
        <v>0.81808259499999991</v>
      </c>
      <c r="AB17" s="67"/>
      <c r="AC17" s="67"/>
      <c r="AD17" s="67"/>
      <c r="AF17" s="24" t="s">
        <v>272</v>
      </c>
      <c r="AG17" s="68"/>
      <c r="AH17" s="68"/>
      <c r="AI17" s="170">
        <f>(1/AI14-1)/_xll.xlYrfDayCount($C$3,AI4,$AI$10)</f>
        <v>6.4830288054229523E-3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42860</v>
      </c>
      <c r="V18" s="71">
        <v>0.97605810078526833</v>
      </c>
      <c r="W18"/>
      <c r="X18"/>
      <c r="Y18" s="80">
        <v>6</v>
      </c>
      <c r="Z18" s="80">
        <f>_xll.RtGet($AD$13,$AD$14&amp;$Y18&amp;$AD$15,Z$12)</f>
        <v>0.85651895200000006</v>
      </c>
      <c r="AA18" s="78">
        <f>_xll.RtGet($AD$13,$AD$14&amp;$Y18&amp;$AD$15,AA$12)</f>
        <v>0.85651895200000006</v>
      </c>
      <c r="AB18" s="67"/>
      <c r="AC18" s="67"/>
      <c r="AD18" s="67"/>
      <c r="AF18" s="24" t="s">
        <v>273</v>
      </c>
      <c r="AG18" s="68"/>
      <c r="AH18" s="68"/>
      <c r="AI18" s="170">
        <f>(AI14/AI15-1)/_xll.xlYrfDayCount(AI4,AI5,$AI$10)</f>
        <v>6.5611291642175829E-3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43228</v>
      </c>
      <c r="V19" s="71">
        <v>0.95700030013860082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284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43592</v>
      </c>
      <c r="V20" s="71">
        <v>0.93662713883946158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285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43956</v>
      </c>
      <c r="V21" s="71">
        <v>0.91519822772012904</v>
      </c>
      <c r="W21"/>
      <c r="X21"/>
      <c r="Y21" s="80">
        <v>9</v>
      </c>
      <c r="Z21" s="80">
        <f>_xll.RtGet($AD$13,$AD$14&amp;$Y21&amp;$AD$15,Z$12)</f>
        <v>0.94769862599999999</v>
      </c>
      <c r="AA21" s="78">
        <f>_xll.RtGet($AD$13,$AD$14&amp;$Y21&amp;$AD$15,AA$12)</f>
        <v>0.94769862599999999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44686</v>
      </c>
      <c r="V22" s="71">
        <v>0.8721763946122052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0.646412421922405</v>
      </c>
      <c r="J23" s="160"/>
      <c r="K23" s="161"/>
      <c r="L23" s="160">
        <f>IF(ISNUMBER(J23),J23,I23)+K23</f>
        <v>0.646412421922405</v>
      </c>
      <c r="M23" s="67"/>
      <c r="N23" s="67"/>
      <c r="O23" s="67"/>
      <c r="P23" s="67"/>
      <c r="Q23" s="67"/>
      <c r="R23" s="67"/>
      <c r="S23" s="67"/>
      <c r="U23" s="72">
        <v>45783</v>
      </c>
      <c r="V23" s="71">
        <v>0.81104057858276801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47610</v>
      </c>
      <c r="V24" s="71">
        <v>0.7194561111687634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49437</v>
      </c>
      <c r="V25" s="71">
        <v>0.63663101063342387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-4.2499999999999996E-2</v>
      </c>
      <c r="J26" s="152"/>
      <c r="K26" s="153"/>
      <c r="L26" s="152">
        <f t="shared" ref="L26:L67" si="13">IF(ISNUMBER(J26),J26,I26)+K26</f>
        <v>-4.2499999999999996E-2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-4.2499999999999996E-2</v>
      </c>
      <c r="U26" s="72">
        <v>53087</v>
      </c>
      <c r="V26" s="71">
        <v>0.49693269849653793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-4.2499999999999996E-2</v>
      </c>
      <c r="J27" s="95"/>
      <c r="K27" s="96"/>
      <c r="L27" s="95">
        <f t="shared" si="13"/>
        <v>-4.2499999999999996E-2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-4.2499999999999996E-2</v>
      </c>
      <c r="U27" s="72" t="e">
        <v>#N/A</v>
      </c>
      <c r="V27" s="71" t="e">
        <v>#N/A</v>
      </c>
      <c r="W27"/>
      <c r="X27"/>
      <c r="Y27" s="386" t="s">
        <v>153</v>
      </c>
      <c r="Z27" s="386">
        <f>1/_xll.RtGet($AD$26,$AD$27&amp;$Y27&amp;$AD$28,Z$26)</f>
        <v>0.64649599172485128</v>
      </c>
      <c r="AA27" s="387">
        <f>1/_xll.RtGet($AD$26,$AD$27&amp;$Y27&amp;$AD$28,AA$26)</f>
        <v>0.64632885211995872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-4.4999999999999998E-2</v>
      </c>
      <c r="J28" s="95"/>
      <c r="K28" s="96"/>
      <c r="L28" s="95">
        <f t="shared" si="13"/>
        <v>-4.4999999999999998E-2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-4.4999999999999998E-2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-6.25E-2</v>
      </c>
      <c r="J31" s="95"/>
      <c r="K31" s="96"/>
      <c r="L31" s="95">
        <f t="shared" si="13"/>
        <v>-6.25E-2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-6.25E-2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-9.2499999999999999E-2</v>
      </c>
      <c r="AA31" s="127">
        <f>$Z$29*_xll.RtGet($AD$32,$AD$33&amp;$Y31&amp;$AD$34,AA$30)</f>
        <v>7.4999999999999997E-3</v>
      </c>
      <c r="AF31" s="225">
        <f t="shared" ref="AF31:AF72" si="20">AVERAGE(Z31:AA31)</f>
        <v>-4.2499999999999996E-2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-4.2499999999999996E-2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-4.4999999999999998E-2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-4.1077503429355275E-2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-6.7500000000000004E-2</v>
      </c>
      <c r="J32" s="95"/>
      <c r="K32" s="96"/>
      <c r="L32" s="95">
        <f t="shared" si="13"/>
        <v>-6.7500000000000004E-2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-6.7500000000000004E-2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-9.2499999999999999E-2</v>
      </c>
      <c r="AA32" s="78">
        <f>$Z$29*_xll.RtGet($AD$32,$AD$33&amp;$Y32&amp;$AD$34,AA$30)</f>
        <v>7.4999999999999997E-3</v>
      </c>
      <c r="AC32" s="124" t="s">
        <v>68</v>
      </c>
      <c r="AD32" s="123" t="s">
        <v>67</v>
      </c>
      <c r="AF32" s="233">
        <f t="shared" si="20"/>
        <v>-4.2499999999999996E-2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-4.2499999999999996E-2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-6.25E-2</v>
      </c>
      <c r="AQ32" s="235">
        <v>6</v>
      </c>
      <c r="AR32" s="237">
        <v>-4.3038097019578496E-2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-7.2500000000000009E-2</v>
      </c>
      <c r="J33" s="95"/>
      <c r="K33" s="96"/>
      <c r="L33" s="95">
        <f t="shared" si="13"/>
        <v>-7.2500000000000009E-2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-7.2500000000000009E-2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-9.5000000000000001E-2</v>
      </c>
      <c r="AA33" s="78">
        <f>$Z$29*_xll.RtGet($AD$32,$AD$33&amp;$Y33&amp;$AD$34,AA$30)</f>
        <v>5.0000000000000001E-3</v>
      </c>
      <c r="AC33" s="121" t="s">
        <v>66</v>
      </c>
      <c r="AD33" s="120" t="s">
        <v>263</v>
      </c>
      <c r="AF33" s="233">
        <f t="shared" si="20"/>
        <v>-4.4999999999999998E-2</v>
      </c>
      <c r="AG33" s="227">
        <f t="shared" si="25"/>
        <v>9</v>
      </c>
      <c r="AH33" s="227">
        <f t="shared" si="21"/>
        <v>9</v>
      </c>
      <c r="AI33" s="234">
        <f t="shared" si="22"/>
        <v>-4.4999999999999998E-2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-9.2499999999999999E-2</v>
      </c>
      <c r="AQ33" s="235">
        <v>9</v>
      </c>
      <c r="AR33" s="237">
        <v>-4.4999999999999998E-2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-9.2499999999999999E-2</v>
      </c>
      <c r="J34" s="95"/>
      <c r="K34" s="96"/>
      <c r="L34" s="95">
        <f t="shared" si="13"/>
        <v>-9.2499999999999999E-2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-9.2499999999999999E-2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-0.16250000000000001</v>
      </c>
      <c r="AQ34" s="235">
        <v>12</v>
      </c>
      <c r="AR34" s="237">
        <v>-4.6961902980421501E-2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-0.13250000000000001</v>
      </c>
      <c r="J35" s="95"/>
      <c r="K35" s="96"/>
      <c r="L35" s="95">
        <f t="shared" si="13"/>
        <v>-0.13250000000000001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-0.13250000000000001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-5.088047138047138E-2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-0.16999999999999998</v>
      </c>
      <c r="J36" s="95"/>
      <c r="K36" s="96"/>
      <c r="L36" s="95">
        <f t="shared" si="13"/>
        <v>-0.16999999999999998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-0.16999999999999998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-8.7500000000000008E-2</v>
      </c>
      <c r="AA36" s="78">
        <f>$Z$29*_xll.RtGet($AD$32,$AD$33&amp;$Y36&amp;$AD$34,AA$30)</f>
        <v>-3.7499999999999999E-2</v>
      </c>
      <c r="AF36" s="233">
        <f t="shared" si="20"/>
        <v>-6.25E-2</v>
      </c>
      <c r="AG36" s="227">
        <f t="shared" si="25"/>
        <v>36</v>
      </c>
      <c r="AH36" s="227">
        <f t="shared" si="21"/>
        <v>36</v>
      </c>
      <c r="AI36" s="234">
        <f t="shared" si="22"/>
        <v>-6.25E-2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-5.4783327098141918E-2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-0.16250000000000001</v>
      </c>
      <c r="J37" s="95"/>
      <c r="K37" s="96"/>
      <c r="L37" s="95">
        <f t="shared" si="13"/>
        <v>-0.16250000000000001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-0.16250000000000001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-9.2499999999999999E-2</v>
      </c>
      <c r="AA37" s="78">
        <f>$Z$29*_xll.RtGet($AD$32,$AD$33&amp;$Y37&amp;$AD$34,AA$30)</f>
        <v>-4.2500000000000003E-2</v>
      </c>
      <c r="AF37" s="233">
        <f t="shared" si="20"/>
        <v>-6.7500000000000004E-2</v>
      </c>
      <c r="AG37" s="227">
        <f t="shared" si="25"/>
        <v>48</v>
      </c>
      <c r="AH37" s="227">
        <f t="shared" si="21"/>
        <v>48</v>
      </c>
      <c r="AI37" s="234">
        <f t="shared" si="22"/>
        <v>-6.7500000000000004E-2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-6.25E-2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-9.5000000000000001E-2</v>
      </c>
      <c r="J38" s="95"/>
      <c r="K38" s="96"/>
      <c r="L38" s="95">
        <f t="shared" si="13"/>
        <v>-9.5000000000000001E-2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-9.5000000000000001E-2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-9.7500000000000003E-2</v>
      </c>
      <c r="AA38" s="78">
        <f>$Z$29*_xll.RtGet($AD$32,$AD$33&amp;$Y38&amp;$AD$34,AA$30)</f>
        <v>-4.7500000000000001E-2</v>
      </c>
      <c r="AF38" s="233">
        <f t="shared" si="20"/>
        <v>-7.2500000000000009E-2</v>
      </c>
      <c r="AG38" s="227">
        <f t="shared" si="25"/>
        <v>60</v>
      </c>
      <c r="AH38" s="227">
        <f t="shared" si="21"/>
        <v>60</v>
      </c>
      <c r="AI38" s="234">
        <f t="shared" si="22"/>
        <v>-7.2500000000000009E-2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-7.0307581411126183E-2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-0.11750000000000001</v>
      </c>
      <c r="AA39" s="78">
        <f>$Z$29*_xll.RtGet($AD$32,$AD$33&amp;$Y39&amp;$AD$34,AA$30)</f>
        <v>-6.7500000000000004E-2</v>
      </c>
      <c r="AF39" s="233">
        <f t="shared" si="20"/>
        <v>-9.2499999999999999E-2</v>
      </c>
      <c r="AG39" s="227">
        <f t="shared" si="25"/>
        <v>84</v>
      </c>
      <c r="AH39" s="227">
        <f t="shared" si="21"/>
        <v>84</v>
      </c>
      <c r="AI39" s="234">
        <f t="shared" si="22"/>
        <v>-9.2499999999999999E-2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-7.8183853459972863E-2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-0.1575</v>
      </c>
      <c r="AA40" s="78">
        <f>$Z$29*_xll.RtGet($AD$32,$AD$33&amp;$Y40&amp;$AD$34,AA$30)</f>
        <v>-0.1075</v>
      </c>
      <c r="AF40" s="233">
        <f t="shared" si="20"/>
        <v>-0.13250000000000001</v>
      </c>
      <c r="AG40" s="227">
        <f t="shared" si="25"/>
        <v>120</v>
      </c>
      <c r="AH40" s="227">
        <f t="shared" si="21"/>
        <v>120</v>
      </c>
      <c r="AI40" s="234">
        <f t="shared" si="22"/>
        <v>-0.13250000000000001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-8.5718198778833105E-2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-0.19500000000000001</v>
      </c>
      <c r="AA41" s="78">
        <f>$Z$29*_xll.RtGet($AD$32,$AD$33&amp;$Y41&amp;$AD$34,AA$30)</f>
        <v>-0.14499999999999999</v>
      </c>
      <c r="AF41" s="233">
        <f t="shared" si="20"/>
        <v>-0.16999999999999998</v>
      </c>
      <c r="AG41" s="227">
        <f t="shared" si="25"/>
        <v>180</v>
      </c>
      <c r="AH41" s="227">
        <f t="shared" si="21"/>
        <v>180</v>
      </c>
      <c r="AI41" s="234">
        <f t="shared" si="22"/>
        <v>-0.16999999999999998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-9.2499999999999999E-2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-0.1875</v>
      </c>
      <c r="AA42" s="78">
        <f>$Z$29*_xll.RtGet($AD$32,$AD$33&amp;$Y42&amp;$AD$34,AA$30)</f>
        <v>-0.13750000000000001</v>
      </c>
      <c r="AF42" s="233">
        <f t="shared" si="20"/>
        <v>-0.16250000000000001</v>
      </c>
      <c r="AG42" s="227">
        <f t="shared" si="25"/>
        <v>240</v>
      </c>
      <c r="AH42" s="227">
        <f t="shared" si="21"/>
        <v>240</v>
      </c>
      <c r="AI42" s="234">
        <f t="shared" si="22"/>
        <v>-0.16250000000000001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-9.8669267454262591E-2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</v>
      </c>
      <c r="AA43" s="78">
        <f>$Z$29*_xll.RtGet($AD$32,$AD$33&amp;$Y43&amp;$AD$34,AA$30)</f>
        <v>-7.0000000000000007E-2</v>
      </c>
      <c r="AF43" s="233">
        <f t="shared" si="20"/>
        <v>-9.5000000000000001E-2</v>
      </c>
      <c r="AG43" s="227">
        <f t="shared" si="25"/>
        <v>360</v>
      </c>
      <c r="AH43" s="227">
        <f t="shared" si="21"/>
        <v>360</v>
      </c>
      <c r="AI43" s="234">
        <f t="shared" si="22"/>
        <v>-9.5000000000000001E-2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-0.10465021841180987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-0.11045854591403474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-0.11610994300233018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-0.12162010271808912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-0.1270047181027045</v>
      </c>
    </row>
    <row r="48" spans="1:44" ht="11.25" customHeight="1" x14ac:dyDescent="0.2">
      <c r="B48" s="104" t="str">
        <f>"DomDiscCurveName"&amp;IF(ISBLANK(C8),"","#"&amp;C8)</f>
        <v>DomDiscCurveName#USDBASIS.EURSTD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-0.1322794821975693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-0.13746008804407639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-0.14256222868361879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-0.14760159715758939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-0.15259388650738118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-0.15755478977438708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-0.16250000000000001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-0.16744521022561296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-0.17240611349261886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-0.17739840284241062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-0.18243777131638123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-0.18753991195592362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-0.19272051780243071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-0.19799528189729551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-0.20337989728191092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-0.20889005699766983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-0.21454145408596526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45" priority="10" stopIfTrue="1" operator="equal">
      <formula>FALSE</formula>
    </cfRule>
  </conditionalFormatting>
  <conditionalFormatting sqref="I3:L20 I23:L23">
    <cfRule type="expression" dxfId="44" priority="5" stopIfTrue="1">
      <formula>NOT($E3)</formula>
    </cfRule>
  </conditionalFormatting>
  <conditionalFormatting sqref="I26:L67">
    <cfRule type="expression" dxfId="43" priority="2" stopIfTrue="1">
      <formula>NOT($E26)</formula>
    </cfRule>
  </conditionalFormatting>
  <conditionalFormatting sqref="L3:L20">
    <cfRule type="expression" dxfId="42" priority="6" stopIfTrue="1">
      <formula>ISNUMBER(J3)</formula>
    </cfRule>
    <cfRule type="expression" dxfId="41" priority="9" stopIfTrue="1">
      <formula>ISNUMBER(K3)</formula>
    </cfRule>
  </conditionalFormatting>
  <conditionalFormatting sqref="L23">
    <cfRule type="expression" dxfId="40" priority="4" stopIfTrue="1">
      <formula>ISNUMBER(J23)</formula>
    </cfRule>
    <cfRule type="expression" dxfId="39" priority="8" stopIfTrue="1">
      <formula>ISNUMBER(K23)</formula>
    </cfRule>
  </conditionalFormatting>
  <conditionalFormatting sqref="L26:L67">
    <cfRule type="expression" dxfId="38" priority="3" stopIfTrue="1">
      <formula>ISNUMBER(J26)</formula>
    </cfRule>
    <cfRule type="expression" dxfId="37" priority="7" stopIfTrue="1">
      <formula>ISNUMBER(K26)</formula>
    </cfRule>
  </conditionalFormatting>
  <conditionalFormatting sqref="E3:E20">
    <cfRule type="cellIs" dxfId="3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-0.249977111117893"/>
    <outlinePr summaryRight="0"/>
  </sheetPr>
  <dimension ref="A1:AR97"/>
  <sheetViews>
    <sheetView showGridLines="0" workbookViewId="0">
      <selection activeCell="AH32" sqref="AH32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0</v>
      </c>
      <c r="F3" s="204" t="str">
        <f>Y3</f>
        <v>ON</v>
      </c>
      <c r="G3" s="180">
        <v>0</v>
      </c>
      <c r="H3" s="205" t="s">
        <v>24</v>
      </c>
      <c r="I3" s="201" t="e">
        <f t="array" ref="I3:I4">100*AI17:AI18</f>
        <v>#NUM!</v>
      </c>
      <c r="J3" s="206"/>
      <c r="K3" s="207"/>
      <c r="L3" s="206" t="e">
        <f t="shared" ref="L3:L20" si="0">IF(ISNUMBER(J3),J3,I3)+K3</f>
        <v>#NUM!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264</v>
      </c>
    </row>
    <row r="4" spans="1:35" ht="11.25" customHeight="1" x14ac:dyDescent="0.2">
      <c r="A4" s="66"/>
      <c r="B4" s="189" t="s">
        <v>91</v>
      </c>
      <c r="C4" s="188" t="s">
        <v>289</v>
      </c>
      <c r="D4" s="66"/>
      <c r="E4" s="208" t="b">
        <v>0</v>
      </c>
      <c r="F4" s="209" t="str">
        <f>Y4</f>
        <v>TN</v>
      </c>
      <c r="G4" s="210">
        <v>0</v>
      </c>
      <c r="H4" s="211" t="s">
        <v>93</v>
      </c>
      <c r="I4" s="202" t="e">
        <v>#NUM!</v>
      </c>
      <c r="J4" s="212"/>
      <c r="K4" s="213"/>
      <c r="L4" s="212" t="e">
        <f t="shared" si="0"/>
        <v>#NUM!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42221</v>
      </c>
      <c r="V4" s="71">
        <v>1.0009244103609476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 t="str">
        <f>_xll.xlDateWorkFw($C$6,$C$3+1,0)</f>
        <v>Calendar name is unknown.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42313</v>
      </c>
      <c r="V5" s="71">
        <v>1.0019257677796032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 t="str">
        <f>_xll.xlDateWorkFw($C$6,$AI$4+1,0)</f>
        <v>Calendar name is unknown.</v>
      </c>
    </row>
    <row r="6" spans="1:35" ht="11.25" customHeight="1" x14ac:dyDescent="0.2">
      <c r="A6" s="68"/>
      <c r="B6" s="183" t="s">
        <v>99</v>
      </c>
      <c r="C6" s="119" t="s">
        <v>100</v>
      </c>
      <c r="D6" s="66"/>
      <c r="E6" s="182" t="b">
        <v>0</v>
      </c>
      <c r="F6" s="308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42405</v>
      </c>
      <c r="V6" s="71">
        <v>1.0031462302103196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 t="str">
        <f>_xll.xlDateWorkFw($C$6,$AI$5+7,0)</f>
        <v>Calendar name is unknown.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0</v>
      </c>
      <c r="F7" s="309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42495</v>
      </c>
      <c r="V7" s="71">
        <v>1.00444663088665</v>
      </c>
      <c r="W7"/>
      <c r="X7"/>
      <c r="Y7" s="133" t="s">
        <v>82</v>
      </c>
      <c r="Z7" s="135" t="s">
        <v>71</v>
      </c>
      <c r="AA7" s="134" t="s">
        <v>70</v>
      </c>
      <c r="AF7" s="124" t="s">
        <v>265</v>
      </c>
      <c r="AG7" s="177"/>
      <c r="AH7" s="177"/>
      <c r="AI7" s="176" t="e">
        <f t="array" ref="AI7:AI9">_xll.xlShmInterpDisc($AI$3,AI4:AI6+0*TYPE(ObjectsTrigger))</f>
        <v>#NUM!</v>
      </c>
    </row>
    <row r="8" spans="1:35" ht="11.25" customHeight="1" x14ac:dyDescent="0.2">
      <c r="A8" s="68"/>
      <c r="B8" s="140" t="s">
        <v>107</v>
      </c>
      <c r="C8" s="119" t="s">
        <v>173</v>
      </c>
      <c r="D8" s="66"/>
      <c r="E8" s="91" t="b">
        <v>0</v>
      </c>
      <c r="F8" s="310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42860</v>
      </c>
      <c r="V8" s="71">
        <v>1.0101981967791964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266</v>
      </c>
      <c r="AG8" s="68"/>
      <c r="AH8" s="68"/>
      <c r="AI8" s="170" t="e">
        <v>#NUM!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311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43228</v>
      </c>
      <c r="V9" s="71">
        <v>1.0149927331302433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 t="s">
        <v>287</v>
      </c>
      <c r="AF9" s="25" t="s">
        <v>267</v>
      </c>
      <c r="AG9" s="168"/>
      <c r="AH9" s="168"/>
      <c r="AI9" s="167" t="e">
        <v>#NUM!</v>
      </c>
    </row>
    <row r="10" spans="1:35" ht="11.25" customHeight="1" x14ac:dyDescent="0.2">
      <c r="A10" s="68"/>
      <c r="B10" s="179" t="s">
        <v>109</v>
      </c>
      <c r="C10" s="119" t="s">
        <v>144</v>
      </c>
      <c r="D10" s="66"/>
      <c r="E10" s="98" t="b">
        <v>0</v>
      </c>
      <c r="F10" s="311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43592</v>
      </c>
      <c r="V10" s="71">
        <v>1.0182932236055566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268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311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43956</v>
      </c>
      <c r="V11" s="71">
        <v>1.0192681154265217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311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44686</v>
      </c>
      <c r="V12" s="71">
        <v>1.0164742009416541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 t="e">
        <f>_xll.xlYrfDayCount(AI5,AI6,AI10)</f>
        <v>#N/A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311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45783</v>
      </c>
      <c r="V13" s="71">
        <v>1.0011340923010508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#N/A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311">
        <f t="shared" si="8"/>
        <v>6</v>
      </c>
      <c r="G14" s="80">
        <v>6</v>
      </c>
      <c r="H14" s="78" t="s">
        <v>81</v>
      </c>
      <c r="I14" s="97" t="e">
        <f t="shared" si="9"/>
        <v>#DIV/0!</v>
      </c>
      <c r="J14" s="95"/>
      <c r="K14" s="96"/>
      <c r="L14" s="95" t="e">
        <f t="shared" si="0"/>
        <v>#DIV/0!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>
        <v>47610</v>
      </c>
      <c r="V14" s="71">
        <v>0.96015580324500827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 t="s">
        <v>288</v>
      </c>
      <c r="AF14" s="24" t="s">
        <v>269</v>
      </c>
      <c r="AG14" s="68"/>
      <c r="AH14" s="68"/>
      <c r="AI14" s="170" t="e">
        <f>AI7*EXP(-$AI$13*_xll.xlYrfDayCount($C$3,AI4,$AI$11))</f>
        <v>#NUM!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49437</v>
      </c>
      <c r="V15" s="71">
        <v>0.91655447866410555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270</v>
      </c>
      <c r="AG15" s="68"/>
      <c r="AH15" s="68"/>
      <c r="AI15" s="170" t="e">
        <f>AI8*EXP(-$AI$13*_xll.xlYrfDayCount($C$3,AI5,$AI$11))</f>
        <v>#NUM!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53087</v>
      </c>
      <c r="V16" s="71">
        <v>0.83920356965134879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271</v>
      </c>
      <c r="AG16" s="168"/>
      <c r="AH16" s="168"/>
      <c r="AI16" s="167" t="e">
        <f>AI9*EXP(-$AI$13*_xll.xlYrfDayCount($C$3,AI6,$AI$11))</f>
        <v>#NUM!</v>
      </c>
    </row>
    <row r="17" spans="1:44" ht="11.25" customHeight="1" x14ac:dyDescent="0.2">
      <c r="A17" s="68"/>
      <c r="D17" s="66"/>
      <c r="E17" s="98" t="b">
        <v>0</v>
      </c>
      <c r="F17" s="311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272</v>
      </c>
      <c r="AG17" s="68"/>
      <c r="AH17" s="68"/>
      <c r="AI17" s="170" t="e">
        <f>(1/AI14-1)/_xll.xlYrfDayCount($C$3,AI4,$AI$10)</f>
        <v>#NUM!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 t="str">
        <f>_xll.RtGet($AD$13,$AD$14&amp;$Y18&amp;$AD$15,Z$12)</f>
        <v>#N/A RIC Not Found</v>
      </c>
      <c r="AA18" s="78" t="str">
        <f>_xll.RtGet($AD$13,$AD$14&amp;$Y18&amp;$AD$15,AA$12)</f>
        <v>#N/A RIC Not Found</v>
      </c>
      <c r="AB18" s="67"/>
      <c r="AC18" s="67"/>
      <c r="AD18" s="67"/>
      <c r="AF18" s="24" t="s">
        <v>273</v>
      </c>
      <c r="AG18" s="68"/>
      <c r="AH18" s="68"/>
      <c r="AI18" s="170" t="e">
        <f>(AI14/AI15-1)/_xll.xlYrfDayCount(AI4,AI5,$AI$10)</f>
        <v>#NUM!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274</v>
      </c>
      <c r="AG19" s="68"/>
      <c r="AH19" s="68"/>
      <c r="AI19" s="170" t="e">
        <f>AI17*100-IF(J3&gt;0,J3,I3)</f>
        <v>#NUM!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275</v>
      </c>
      <c r="AG20" s="168"/>
      <c r="AH20" s="168"/>
      <c r="AI20" s="167" t="e">
        <f>AI18*100-IF(J4&gt;0,J4,I4)</f>
        <v>#NUM!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USD2EUR</v>
      </c>
      <c r="G23" s="67"/>
      <c r="H23" s="67"/>
      <c r="I23" s="162">
        <f>AVERAGE(Z27:AA27)</f>
        <v>0.89593692783833478</v>
      </c>
      <c r="J23" s="160"/>
      <c r="K23" s="161"/>
      <c r="L23" s="160">
        <f>IF(ISNUMBER(J23),J23,I23)+K23</f>
        <v>0.89593692783833478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-0.1925</v>
      </c>
      <c r="J26" s="152"/>
      <c r="K26" s="153"/>
      <c r="L26" s="152">
        <f t="shared" ref="L26:L67" si="13">IF(ISNUMBER(J26),J26,I26)+K26</f>
        <v>-0.1925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-0.1925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-0.21250000000000002</v>
      </c>
      <c r="J27" s="95"/>
      <c r="K27" s="96"/>
      <c r="L27" s="95">
        <f t="shared" si="13"/>
        <v>-0.21250000000000002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-0.21250000000000002</v>
      </c>
      <c r="U27" s="72" t="e">
        <v>#N/A</v>
      </c>
      <c r="V27" s="71" t="e">
        <v>#N/A</v>
      </c>
      <c r="W27"/>
      <c r="X27"/>
      <c r="Y27" s="388" t="s">
        <v>100</v>
      </c>
      <c r="Z27" s="146">
        <f>1/_xll.RtGet($AD$26,$AD$27&amp;$Y27&amp;$AD$28,Z$26)</f>
        <v>0.89597706298718749</v>
      </c>
      <c r="AA27" s="389">
        <f>1/_xll.RtGet($AD$26,$AD$27&amp;$Y27&amp;$AD$28,AA$26)</f>
        <v>0.89589679268948208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-0.24249999999999999</v>
      </c>
      <c r="J28" s="95"/>
      <c r="K28" s="96"/>
      <c r="L28" s="95">
        <f t="shared" si="13"/>
        <v>-0.24249999999999999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-0.24249999999999999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-0.26500000000000001</v>
      </c>
      <c r="J29" s="95"/>
      <c r="K29" s="96"/>
      <c r="L29" s="95">
        <f t="shared" si="13"/>
        <v>-0.26500000000000001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-0.26500000000000001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-0.32</v>
      </c>
      <c r="J30" s="95"/>
      <c r="K30" s="96"/>
      <c r="L30" s="95">
        <f t="shared" si="13"/>
        <v>-0.32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-0.33875</v>
      </c>
      <c r="J31" s="95"/>
      <c r="K31" s="96"/>
      <c r="L31" s="95">
        <f t="shared" si="13"/>
        <v>-0.33875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-0.33875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-0.24249999999999999</v>
      </c>
      <c r="AA31" s="127">
        <f>$Z$29*_xll.RtGet($AD$32,$AD$33&amp;$Y31&amp;$AD$34,AA$30)</f>
        <v>-0.14250000000000002</v>
      </c>
      <c r="AF31" s="225">
        <f t="shared" ref="AF31:AF72" si="20">AVERAGE(Z31:AA31)</f>
        <v>-0.1925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-0.1925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-0.24249999999999999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-0.21152205497353879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-0.34499999999999997</v>
      </c>
      <c r="J32" s="95"/>
      <c r="K32" s="96"/>
      <c r="L32" s="95">
        <f t="shared" si="13"/>
        <v>-0.34499999999999997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-0.34499999999999997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-0.26250000000000001</v>
      </c>
      <c r="AA32" s="78">
        <f>$Z$29*_xll.RtGet($AD$32,$AD$33&amp;$Y32&amp;$AD$34,AA$30)</f>
        <v>-0.16250000000000001</v>
      </c>
      <c r="AC32" s="124" t="s">
        <v>68</v>
      </c>
      <c r="AD32" s="123" t="s">
        <v>67</v>
      </c>
      <c r="AF32" s="233">
        <f t="shared" si="20"/>
        <v>-0.21250000000000002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-0.21250000000000002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-0.33875</v>
      </c>
      <c r="AQ32" s="235">
        <v>6</v>
      </c>
      <c r="AR32" s="237">
        <v>-0.22682422769188162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-0.29249999999999998</v>
      </c>
      <c r="AA33" s="78">
        <f>$Z$29*_xll.RtGet($AD$32,$AD$33&amp;$Y33&amp;$AD$34,AA$30)</f>
        <v>-0.1925</v>
      </c>
      <c r="AC33" s="121" t="s">
        <v>66</v>
      </c>
      <c r="AD33" s="120" t="s">
        <v>236</v>
      </c>
      <c r="AF33" s="233">
        <f t="shared" si="20"/>
        <v>-0.24249999999999999</v>
      </c>
      <c r="AG33" s="227">
        <f t="shared" si="25"/>
        <v>9</v>
      </c>
      <c r="AH33" s="227">
        <f t="shared" si="21"/>
        <v>9</v>
      </c>
      <c r="AI33" s="234">
        <f t="shared" si="22"/>
        <v>-0.24249999999999999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-0.34375</v>
      </c>
      <c r="AQ33" s="235">
        <v>9</v>
      </c>
      <c r="AR33" s="237">
        <v>-0.24249999999999999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-0.34375</v>
      </c>
      <c r="J34" s="95"/>
      <c r="K34" s="96"/>
      <c r="L34" s="95">
        <f t="shared" si="13"/>
        <v>-0.34375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-0.34375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-0.28999999999999998</v>
      </c>
      <c r="AA34" s="78">
        <f>$Z$29*_xll.RtGet($AD$32,$AD$33&amp;$Y34&amp;$AD$34,AA$30)</f>
        <v>-0.24</v>
      </c>
      <c r="AC34" s="118" t="s">
        <v>63</v>
      </c>
      <c r="AD34" s="215" t="s">
        <v>178</v>
      </c>
      <c r="AF34" s="233">
        <f t="shared" si="20"/>
        <v>-0.26500000000000001</v>
      </c>
      <c r="AG34" s="227">
        <f t="shared" si="25"/>
        <v>12</v>
      </c>
      <c r="AH34" s="227">
        <f t="shared" si="21"/>
        <v>12</v>
      </c>
      <c r="AI34" s="234">
        <f t="shared" si="22"/>
        <v>-0.26500000000000001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-0.23374999999999999</v>
      </c>
      <c r="AQ34" s="235">
        <v>12</v>
      </c>
      <c r="AR34" s="237">
        <v>-0.25817577230811839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-0.32625000000000004</v>
      </c>
      <c r="J35" s="95"/>
      <c r="K35" s="96"/>
      <c r="L35" s="95">
        <f t="shared" si="13"/>
        <v>-0.32625000000000004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-0.32625000000000004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-0.34500000000000003</v>
      </c>
      <c r="AA35" s="78">
        <f>$Z$29*_xll.RtGet($AD$32,$AD$33&amp;$Y35&amp;$AD$34,AA$30)</f>
        <v>-0.29499999999999998</v>
      </c>
      <c r="AF35" s="233">
        <f t="shared" si="20"/>
        <v>-0.32</v>
      </c>
      <c r="AG35" s="227">
        <f t="shared" si="25"/>
        <v>24</v>
      </c>
      <c r="AH35" s="227">
        <f t="shared" si="21"/>
        <v>24</v>
      </c>
      <c r="AI35" s="234">
        <f t="shared" si="22"/>
        <v>-0.32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-0.28803291856525293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-0.27875000000000005</v>
      </c>
      <c r="J36" s="95"/>
      <c r="K36" s="96"/>
      <c r="L36" s="95">
        <f t="shared" si="13"/>
        <v>-0.27875000000000005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-0.27875000000000005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-0.36375000000000002</v>
      </c>
      <c r="AA36" s="78">
        <f>$Z$29*_xll.RtGet($AD$32,$AD$33&amp;$Y36&amp;$AD$34,AA$30)</f>
        <v>-0.31375000000000003</v>
      </c>
      <c r="AF36" s="233">
        <f t="shared" si="20"/>
        <v>-0.33875</v>
      </c>
      <c r="AG36" s="227">
        <f t="shared" si="25"/>
        <v>36</v>
      </c>
      <c r="AH36" s="227">
        <f t="shared" si="21"/>
        <v>36</v>
      </c>
      <c r="AI36" s="234">
        <f t="shared" si="22"/>
        <v>-0.33875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-0.31340686974508097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-0.23374999999999999</v>
      </c>
      <c r="J37" s="95"/>
      <c r="K37" s="96"/>
      <c r="L37" s="95">
        <f t="shared" si="13"/>
        <v>-0.23374999999999999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-0.23374999999999999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-0.37</v>
      </c>
      <c r="AA37" s="78">
        <f>$Z$29*_xll.RtGet($AD$32,$AD$33&amp;$Y37&amp;$AD$34,AA$30)</f>
        <v>-0.32</v>
      </c>
      <c r="AF37" s="233">
        <f t="shared" si="20"/>
        <v>-0.34499999999999997</v>
      </c>
      <c r="AG37" s="227">
        <f t="shared" si="25"/>
        <v>48</v>
      </c>
      <c r="AH37" s="227">
        <f t="shared" si="21"/>
        <v>48</v>
      </c>
      <c r="AI37" s="234">
        <f t="shared" si="22"/>
        <v>-0.34499999999999997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-0.33875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-0.17499999999999999</v>
      </c>
      <c r="J38" s="95"/>
      <c r="K38" s="96"/>
      <c r="L38" s="95">
        <f t="shared" si="13"/>
        <v>-0.17499999999999999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-0.17499999999999999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5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-0.34089757492113565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-0.36875000000000002</v>
      </c>
      <c r="AA39" s="78">
        <f>$Z$29*_xll.RtGet($AD$32,$AD$33&amp;$Y39&amp;$AD$34,AA$30)</f>
        <v>-0.31875000000000003</v>
      </c>
      <c r="AF39" s="233">
        <f t="shared" si="20"/>
        <v>-0.34375</v>
      </c>
      <c r="AG39" s="227">
        <f t="shared" si="25"/>
        <v>84</v>
      </c>
      <c r="AH39" s="227">
        <f t="shared" si="21"/>
        <v>84</v>
      </c>
      <c r="AI39" s="234">
        <f t="shared" si="22"/>
        <v>-0.34375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-0.34246451104100945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-0.35125000000000001</v>
      </c>
      <c r="AA40" s="78">
        <f>$Z$29*_xll.RtGet($AD$32,$AD$33&amp;$Y40&amp;$AD$34,AA$30)</f>
        <v>-0.30125000000000002</v>
      </c>
      <c r="AF40" s="233">
        <f t="shared" si="20"/>
        <v>-0.32625000000000004</v>
      </c>
      <c r="AG40" s="227">
        <f t="shared" si="25"/>
        <v>120</v>
      </c>
      <c r="AH40" s="227">
        <f t="shared" si="21"/>
        <v>120</v>
      </c>
      <c r="AI40" s="234">
        <f t="shared" si="22"/>
        <v>-0.32625000000000004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-0.34342419164037857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-0.30375000000000002</v>
      </c>
      <c r="AA41" s="78">
        <f>$Z$29*_xll.RtGet($AD$32,$AD$33&amp;$Y41&amp;$AD$34,AA$30)</f>
        <v>-0.25375000000000003</v>
      </c>
      <c r="AF41" s="233">
        <f t="shared" si="20"/>
        <v>-0.27875000000000005</v>
      </c>
      <c r="AG41" s="227">
        <f t="shared" si="25"/>
        <v>180</v>
      </c>
      <c r="AH41" s="227">
        <f t="shared" si="21"/>
        <v>180</v>
      </c>
      <c r="AI41" s="234">
        <f t="shared" si="22"/>
        <v>-0.27875000000000005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-0.34375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-0.25874999999999998</v>
      </c>
      <c r="AA42" s="78">
        <f>$Z$29*_xll.RtGet($AD$32,$AD$33&amp;$Y42&amp;$AD$34,AA$30)</f>
        <v>-0.20874999999999999</v>
      </c>
      <c r="AF42" s="233">
        <f t="shared" si="20"/>
        <v>-0.23374999999999999</v>
      </c>
      <c r="AG42" s="227">
        <f t="shared" si="25"/>
        <v>240</v>
      </c>
      <c r="AH42" s="227">
        <f t="shared" si="21"/>
        <v>240</v>
      </c>
      <c r="AI42" s="234">
        <f t="shared" si="22"/>
        <v>-0.23374999999999999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-0.34279870277651342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</v>
      </c>
      <c r="AA43" s="78">
        <f>$Z$29*_xll.RtGet($AD$32,$AD$33&amp;$Y43&amp;$AD$34,AA$30)</f>
        <v>-0.15</v>
      </c>
      <c r="AF43" s="233">
        <f t="shared" si="20"/>
        <v>-0.17499999999999999</v>
      </c>
      <c r="AG43" s="227">
        <f t="shared" si="25"/>
        <v>360</v>
      </c>
      <c r="AH43" s="227">
        <f t="shared" si="21"/>
        <v>360</v>
      </c>
      <c r="AI43" s="234">
        <f t="shared" si="22"/>
        <v>-0.17499999999999999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-0.34004494765589438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-0.33563893946290396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-0.32973088302230313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-0.32247098315885298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-0.31400944469731451</v>
      </c>
    </row>
    <row r="48" spans="1:44" ht="11.25" customHeight="1" x14ac:dyDescent="0.2">
      <c r="B48" s="104" t="str">
        <f>"DomDiscCurveName"&amp;IF(ISBLANK(C8),"","#"&amp;C8)</f>
        <v>DomDiscCurveName#USDON_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-0.30449647246244882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-0.29408227127901687</v>
      </c>
    </row>
    <row r="50" spans="1:44" ht="11.25" customHeight="1" x14ac:dyDescent="0.2">
      <c r="B50" s="104" t="str">
        <f>"ForFwdCurveName"&amp;IF(ISBLANK(C10),"","#"&amp;C10)</f>
        <v>ForFwdCurveName#EUR3M_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-0.28291704597177969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-0.27115100136549841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-0.258934342284934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-0.24641727355484752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-0.23375000000000001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-0.22108272644515251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-0.20856565771506602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-0.19634899863450161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-0.18458295402822034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-0.17341772872098321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-0.16300352753755126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-0.15349055530268557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-0.14502901684114711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-0.13776911697769698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-0.13186106053709618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35" priority="10" stopIfTrue="1" operator="equal">
      <formula>FALSE</formula>
    </cfRule>
  </conditionalFormatting>
  <conditionalFormatting sqref="I3:L20 I23:L23">
    <cfRule type="expression" dxfId="34" priority="5" stopIfTrue="1">
      <formula>NOT($E3)</formula>
    </cfRule>
  </conditionalFormatting>
  <conditionalFormatting sqref="I26:L67">
    <cfRule type="expression" dxfId="33" priority="2" stopIfTrue="1">
      <formula>NOT($E26)</formula>
    </cfRule>
  </conditionalFormatting>
  <conditionalFormatting sqref="L3:L20">
    <cfRule type="expression" dxfId="32" priority="6" stopIfTrue="1">
      <formula>ISNUMBER(J3)</formula>
    </cfRule>
    <cfRule type="expression" dxfId="31" priority="9" stopIfTrue="1">
      <formula>ISNUMBER(K3)</formula>
    </cfRule>
  </conditionalFormatting>
  <conditionalFormatting sqref="L23">
    <cfRule type="expression" dxfId="30" priority="4" stopIfTrue="1">
      <formula>ISNUMBER(J23)</formula>
    </cfRule>
    <cfRule type="expression" dxfId="29" priority="8" stopIfTrue="1">
      <formula>ISNUMBER(K23)</formula>
    </cfRule>
  </conditionalFormatting>
  <conditionalFormatting sqref="L26:L67">
    <cfRule type="expression" dxfId="28" priority="3" stopIfTrue="1">
      <formula>ISNUMBER(J26)</formula>
    </cfRule>
    <cfRule type="expression" dxfId="27" priority="7" stopIfTrue="1">
      <formula>ISNUMBER(K26)</formula>
    </cfRule>
  </conditionalFormatting>
  <conditionalFormatting sqref="E3:E20">
    <cfRule type="cellIs" dxfId="2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38" t="s">
        <v>97</v>
      </c>
      <c r="C2" s="43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42123</v>
      </c>
      <c r="D3" s="66"/>
      <c r="E3" s="203" t="b">
        <v>0</v>
      </c>
      <c r="F3" s="204" t="str">
        <f>Y3</f>
        <v>ON</v>
      </c>
      <c r="G3" s="180">
        <v>0</v>
      </c>
      <c r="H3" s="205" t="s">
        <v>24</v>
      </c>
      <c r="I3" s="201" t="e">
        <f t="array" ref="I3:I4">100*AI17:AI18</f>
        <v>#DIV/0!</v>
      </c>
      <c r="J3" s="206"/>
      <c r="K3" s="207"/>
      <c r="L3" s="206" t="e">
        <f t="shared" ref="L3:L20" si="0">IF(ISNUMBER(J3),J3,I3)+K3</f>
        <v>#DIV/0!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3">
        <f t="array" ref="U3:V79">_xll.xlCCBasisCurveBootstrapper(C4,C3,C5,C6,L23,S2,Q3:S20,0,U2:V2,S25,R26:S67,C11,C12,C13,C45,B48:B69,C48:C69,C15)</f>
        <v>42123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0.27999999999999997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264</v>
      </c>
    </row>
    <row r="4" spans="1:35" ht="11.25" customHeight="1" x14ac:dyDescent="0.2">
      <c r="A4" s="66"/>
      <c r="B4" s="189" t="s">
        <v>91</v>
      </c>
      <c r="C4" s="188" t="s">
        <v>286</v>
      </c>
      <c r="D4" s="66"/>
      <c r="E4" s="208" t="b">
        <v>0</v>
      </c>
      <c r="F4" s="209" t="str">
        <f>Y4</f>
        <v>TN</v>
      </c>
      <c r="G4" s="210">
        <v>0</v>
      </c>
      <c r="H4" s="211" t="s">
        <v>93</v>
      </c>
      <c r="I4" s="202" t="e">
        <v>#DIV/0!</v>
      </c>
      <c r="J4" s="212"/>
      <c r="K4" s="213"/>
      <c r="L4" s="212" t="e">
        <f t="shared" si="0"/>
        <v>#DIV/0!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42221</v>
      </c>
      <c r="V4" s="71">
        <v>0.99897079073223494</v>
      </c>
      <c r="W4"/>
      <c r="X4"/>
      <c r="Y4" s="233" t="s">
        <v>92</v>
      </c>
      <c r="Z4" s="233">
        <f>_xll.RtGet($AD$3,$AD$4&amp;$Y4&amp;$AD$5,Z$2)</f>
        <v>0.22000000000000003</v>
      </c>
      <c r="AA4" s="234">
        <f>_xll.RtGet($AD$3,$AD$4&amp;$Y4&amp;$AD$5,AA$2)</f>
        <v>0.32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42124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0.22999999999999998</v>
      </c>
      <c r="J5" s="88"/>
      <c r="K5" s="89"/>
      <c r="L5" s="88">
        <f t="shared" si="0"/>
        <v>0.22999999999999998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42313</v>
      </c>
      <c r="V5" s="71">
        <v>0.99791068868841903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0.27999999999999997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42125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0</v>
      </c>
      <c r="F6" s="308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42405</v>
      </c>
      <c r="V6" s="71">
        <v>0.99674074430945692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42132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0</v>
      </c>
      <c r="F7" s="309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42495</v>
      </c>
      <c r="V7" s="71">
        <v>0.99536184254625326</v>
      </c>
      <c r="W7"/>
      <c r="X7"/>
      <c r="Y7" s="133" t="s">
        <v>82</v>
      </c>
      <c r="Z7" s="135" t="s">
        <v>71</v>
      </c>
      <c r="AA7" s="134" t="s">
        <v>70</v>
      </c>
      <c r="AF7" s="124" t="s">
        <v>265</v>
      </c>
      <c r="AG7" s="177"/>
      <c r="AH7" s="177"/>
      <c r="AI7" s="176">
        <f t="array" ref="AI7:AI9">_xll.xlShmInterpDisc($AI$3,AI4:AI6+0*TYPE(ObjectsTrigger))</f>
        <v>0.99998683222818718</v>
      </c>
    </row>
    <row r="8" spans="1:35" ht="11.25" customHeight="1" x14ac:dyDescent="0.2">
      <c r="A8" s="68"/>
      <c r="B8" s="140" t="s">
        <v>107</v>
      </c>
      <c r="C8" s="119" t="s">
        <v>173</v>
      </c>
      <c r="D8" s="66"/>
      <c r="E8" s="91" t="b">
        <v>0</v>
      </c>
      <c r="F8" s="310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42860</v>
      </c>
      <c r="V8" s="71">
        <v>0.98705298866633673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266</v>
      </c>
      <c r="AG8" s="68"/>
      <c r="AH8" s="68"/>
      <c r="AI8" s="170">
        <v>0.99997416223664792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311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43228</v>
      </c>
      <c r="V9" s="71">
        <v>0.97520850561442329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 t="s">
        <v>287</v>
      </c>
      <c r="AF9" s="25" t="s">
        <v>267</v>
      </c>
      <c r="AG9" s="168"/>
      <c r="AH9" s="168"/>
      <c r="AI9" s="167">
        <v>0.99988724537035734</v>
      </c>
    </row>
    <row r="10" spans="1:35" ht="11.25" customHeight="1" x14ac:dyDescent="0.2">
      <c r="A10" s="68"/>
      <c r="B10" s="179" t="s">
        <v>109</v>
      </c>
      <c r="C10" s="119" t="s">
        <v>262</v>
      </c>
      <c r="D10" s="66"/>
      <c r="E10" s="98" t="b">
        <v>0</v>
      </c>
      <c r="F10" s="311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43592</v>
      </c>
      <c r="V10" s="71">
        <v>0.96132432392186051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268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311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43956</v>
      </c>
      <c r="V11" s="71">
        <v>0.94549277653155062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311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44686</v>
      </c>
      <c r="V12" s="71">
        <v>0.91271445103593829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311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45783</v>
      </c>
      <c r="V13" s="71">
        <v>0.86313270927233154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311">
        <f t="shared" si="8"/>
        <v>6</v>
      </c>
      <c r="G14" s="80">
        <v>6</v>
      </c>
      <c r="H14" s="78" t="s">
        <v>81</v>
      </c>
      <c r="I14" s="97" t="e">
        <f t="shared" si="9"/>
        <v>#DIV/0!</v>
      </c>
      <c r="J14" s="95"/>
      <c r="K14" s="96"/>
      <c r="L14" s="95" t="e">
        <f t="shared" si="0"/>
        <v>#DIV/0!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>
        <v>47610</v>
      </c>
      <c r="V14" s="71">
        <v>0.78185957002460671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 t="s">
        <v>288</v>
      </c>
      <c r="AF14" s="24" t="s">
        <v>269</v>
      </c>
      <c r="AG14" s="68"/>
      <c r="AH14" s="68"/>
      <c r="AI14" s="170" t="e">
        <f>AI7*EXP(-$AI$13*_xll.xlYrfDayCount($C$3,AI4,$AI$11))</f>
        <v>#DIV/0!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0.78023148148349719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49437</v>
      </c>
      <c r="V15" s="71">
        <v>0.70267000153779002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270</v>
      </c>
      <c r="AG15" s="68"/>
      <c r="AH15" s="68"/>
      <c r="AI15" s="170" t="e">
        <f>AI8*EXP(-$AI$13*_xll.xlYrfDayCount($C$3,AI5,$AI$11))</f>
        <v>#DIV/0!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53087</v>
      </c>
      <c r="V16" s="71">
        <v>0.5620982447951739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271</v>
      </c>
      <c r="AG16" s="168"/>
      <c r="AH16" s="168"/>
      <c r="AI16" s="167" t="e">
        <f>AI9*EXP(-$AI$13*_xll.xlYrfDayCount($C$3,AI6,$AI$11))</f>
        <v>#DIV/0!</v>
      </c>
    </row>
    <row r="17" spans="1:44" ht="11.25" customHeight="1" x14ac:dyDescent="0.2">
      <c r="A17" s="68"/>
      <c r="D17" s="66"/>
      <c r="E17" s="98" t="b">
        <v>0</v>
      </c>
      <c r="F17" s="311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272</v>
      </c>
      <c r="AG17" s="68"/>
      <c r="AH17" s="68"/>
      <c r="AI17" s="170" t="e">
        <f>(1/AI14-1)/_xll.xlYrfDayCount($C$3,AI4,$AI$10)</f>
        <v>#DIV/0!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 t="str">
        <f>_xll.RtGet($AD$13,$AD$14&amp;$Y18&amp;$AD$15,Z$12)</f>
        <v>#N/A RIC Not Found</v>
      </c>
      <c r="AA18" s="78" t="str">
        <f>_xll.RtGet($AD$13,$AD$14&amp;$Y18&amp;$AD$15,AA$12)</f>
        <v>#N/A RIC Not Found</v>
      </c>
      <c r="AB18" s="67"/>
      <c r="AC18" s="67"/>
      <c r="AD18" s="67"/>
      <c r="AF18" s="24" t="s">
        <v>273</v>
      </c>
      <c r="AG18" s="68"/>
      <c r="AH18" s="68"/>
      <c r="AI18" s="170" t="e">
        <f>(AI14/AI15-1)/_xll.xlYrfDayCount(AI4,AI5,$AI$10)</f>
        <v>#DIV/0!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274</v>
      </c>
      <c r="AG19" s="68"/>
      <c r="AH19" s="68"/>
      <c r="AI19" s="170" t="e">
        <f>AI17*100-IF(J3&gt;0,J3,I3)</f>
        <v>#DIV/0!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275</v>
      </c>
      <c r="AG20" s="168"/>
      <c r="AH20" s="168"/>
      <c r="AI20" s="167" t="e">
        <f>AI18*100-IF(J4&gt;0,J4,I4)</f>
        <v>#DIV/0!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0.646412421922405</v>
      </c>
      <c r="J23" s="160"/>
      <c r="K23" s="161"/>
      <c r="L23" s="160">
        <f>IF(ISNUMBER(J23),J23,I23)+K23</f>
        <v>0.646412421922405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38" t="s">
        <v>80</v>
      </c>
      <c r="C24" s="43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-4.2499999999999996E-2</v>
      </c>
      <c r="J26" s="152"/>
      <c r="K26" s="153"/>
      <c r="L26" s="152">
        <f t="shared" ref="L26:L67" si="13">IF(ISNUMBER(J26),J26,I26)+K26</f>
        <v>-4.2499999999999996E-2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-4.2499999999999996E-2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-4.2499999999999996E-2</v>
      </c>
      <c r="J27" s="95"/>
      <c r="K27" s="96"/>
      <c r="L27" s="95">
        <f t="shared" si="13"/>
        <v>-4.2499999999999996E-2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-4.2499999999999996E-2</v>
      </c>
      <c r="U27" s="72" t="e">
        <v>#N/A</v>
      </c>
      <c r="V27" s="71" t="e">
        <v>#N/A</v>
      </c>
      <c r="W27"/>
      <c r="X27"/>
      <c r="Y27" s="386" t="s">
        <v>153</v>
      </c>
      <c r="Z27" s="386">
        <f>1/_xll.RtGet($AD$26,$AD$27&amp;$Y27&amp;$AD$28,Z$26)</f>
        <v>0.64649599172485128</v>
      </c>
      <c r="AA27" s="387">
        <f>1/_xll.RtGet($AD$26,$AD$27&amp;$Y27&amp;$AD$28,AA$26)</f>
        <v>0.64632885211995872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-4.4999999999999998E-2</v>
      </c>
      <c r="J28" s="95"/>
      <c r="K28" s="96"/>
      <c r="L28" s="95">
        <f t="shared" si="13"/>
        <v>-4.4999999999999998E-2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-4.4999999999999998E-2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-6.25E-2</v>
      </c>
      <c r="J31" s="95"/>
      <c r="K31" s="96"/>
      <c r="L31" s="95">
        <f t="shared" si="13"/>
        <v>-6.25E-2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-6.25E-2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-9.2499999999999999E-2</v>
      </c>
      <c r="AA31" s="127">
        <f>$Z$29*_xll.RtGet($AD$32,$AD$33&amp;$Y31&amp;$AD$34,AA$30)</f>
        <v>7.4999999999999997E-3</v>
      </c>
      <c r="AF31" s="225">
        <f t="shared" ref="AF31:AF72" si="20">AVERAGE(Z31:AA31)</f>
        <v>-4.2499999999999996E-2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-4.2499999999999996E-2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-4.4999999999999998E-2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-4.1077503429355275E-2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-6.7500000000000004E-2</v>
      </c>
      <c r="J32" s="95"/>
      <c r="K32" s="96"/>
      <c r="L32" s="95">
        <f t="shared" si="13"/>
        <v>-6.7500000000000004E-2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-6.7500000000000004E-2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-9.2499999999999999E-2</v>
      </c>
      <c r="AA32" s="78">
        <f>$Z$29*_xll.RtGet($AD$32,$AD$33&amp;$Y32&amp;$AD$34,AA$30)</f>
        <v>7.4999999999999997E-3</v>
      </c>
      <c r="AC32" s="124" t="s">
        <v>68</v>
      </c>
      <c r="AD32" s="123" t="s">
        <v>67</v>
      </c>
      <c r="AF32" s="233">
        <f t="shared" si="20"/>
        <v>-4.2499999999999996E-2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-4.2499999999999996E-2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-6.25E-2</v>
      </c>
      <c r="AQ32" s="235">
        <v>6</v>
      </c>
      <c r="AR32" s="237">
        <v>-4.3038097019578496E-2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-7.2500000000000009E-2</v>
      </c>
      <c r="J33" s="95"/>
      <c r="K33" s="96"/>
      <c r="L33" s="95">
        <f t="shared" si="13"/>
        <v>-7.2500000000000009E-2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-7.2500000000000009E-2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-9.5000000000000001E-2</v>
      </c>
      <c r="AA33" s="78">
        <f>$Z$29*_xll.RtGet($AD$32,$AD$33&amp;$Y33&amp;$AD$34,AA$30)</f>
        <v>5.0000000000000001E-3</v>
      </c>
      <c r="AC33" s="121" t="s">
        <v>66</v>
      </c>
      <c r="AD33" s="120" t="s">
        <v>263</v>
      </c>
      <c r="AF33" s="233">
        <f t="shared" si="20"/>
        <v>-4.4999999999999998E-2</v>
      </c>
      <c r="AG33" s="227">
        <f t="shared" si="25"/>
        <v>9</v>
      </c>
      <c r="AH33" s="227">
        <f t="shared" si="21"/>
        <v>9</v>
      </c>
      <c r="AI33" s="234">
        <f t="shared" si="22"/>
        <v>-4.4999999999999998E-2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-9.2499999999999999E-2</v>
      </c>
      <c r="AQ33" s="235">
        <v>9</v>
      </c>
      <c r="AR33" s="237">
        <v>-4.4999999999999998E-2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-9.2499999999999999E-2</v>
      </c>
      <c r="J34" s="95"/>
      <c r="K34" s="96"/>
      <c r="L34" s="95">
        <f t="shared" si="13"/>
        <v>-9.2499999999999999E-2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-9.2499999999999999E-2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-0.16250000000000001</v>
      </c>
      <c r="AQ34" s="235">
        <v>12</v>
      </c>
      <c r="AR34" s="237">
        <v>-4.6961902980421501E-2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-0.13250000000000001</v>
      </c>
      <c r="J35" s="95"/>
      <c r="K35" s="96"/>
      <c r="L35" s="95">
        <f t="shared" si="13"/>
        <v>-0.13250000000000001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-0.13250000000000001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-5.088047138047138E-2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-0.16999999999999998</v>
      </c>
      <c r="J36" s="95"/>
      <c r="K36" s="96"/>
      <c r="L36" s="95">
        <f t="shared" si="13"/>
        <v>-0.16999999999999998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-0.16999999999999998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-8.7500000000000008E-2</v>
      </c>
      <c r="AA36" s="78">
        <f>$Z$29*_xll.RtGet($AD$32,$AD$33&amp;$Y36&amp;$AD$34,AA$30)</f>
        <v>-3.7499999999999999E-2</v>
      </c>
      <c r="AF36" s="233">
        <f t="shared" si="20"/>
        <v>-6.25E-2</v>
      </c>
      <c r="AG36" s="227">
        <f t="shared" si="25"/>
        <v>36</v>
      </c>
      <c r="AH36" s="227">
        <f t="shared" si="21"/>
        <v>36</v>
      </c>
      <c r="AI36" s="234">
        <f t="shared" si="22"/>
        <v>-6.25E-2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-5.4783327098141918E-2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-0.16250000000000001</v>
      </c>
      <c r="J37" s="95"/>
      <c r="K37" s="96"/>
      <c r="L37" s="95">
        <f t="shared" si="13"/>
        <v>-0.16250000000000001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-0.16250000000000001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-9.2499999999999999E-2</v>
      </c>
      <c r="AA37" s="78">
        <f>$Z$29*_xll.RtGet($AD$32,$AD$33&amp;$Y37&amp;$AD$34,AA$30)</f>
        <v>-4.2500000000000003E-2</v>
      </c>
      <c r="AF37" s="233">
        <f t="shared" si="20"/>
        <v>-6.7500000000000004E-2</v>
      </c>
      <c r="AG37" s="227">
        <f t="shared" si="25"/>
        <v>48</v>
      </c>
      <c r="AH37" s="227">
        <f t="shared" si="21"/>
        <v>48</v>
      </c>
      <c r="AI37" s="234">
        <f t="shared" si="22"/>
        <v>-6.7500000000000004E-2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-6.25E-2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-9.5000000000000001E-2</v>
      </c>
      <c r="J38" s="95"/>
      <c r="K38" s="96"/>
      <c r="L38" s="95">
        <f t="shared" si="13"/>
        <v>-9.5000000000000001E-2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-9.5000000000000001E-2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-9.7500000000000003E-2</v>
      </c>
      <c r="AA38" s="78">
        <f>$Z$29*_xll.RtGet($AD$32,$AD$33&amp;$Y38&amp;$AD$34,AA$30)</f>
        <v>-4.7500000000000001E-2</v>
      </c>
      <c r="AF38" s="233">
        <f t="shared" si="20"/>
        <v>-7.2500000000000009E-2</v>
      </c>
      <c r="AG38" s="227">
        <f t="shared" si="25"/>
        <v>60</v>
      </c>
      <c r="AH38" s="227">
        <f t="shared" si="21"/>
        <v>60</v>
      </c>
      <c r="AI38" s="234">
        <f t="shared" si="22"/>
        <v>-7.2500000000000009E-2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-7.0307581411126183E-2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-0.11750000000000001</v>
      </c>
      <c r="AA39" s="78">
        <f>$Z$29*_xll.RtGet($AD$32,$AD$33&amp;$Y39&amp;$AD$34,AA$30)</f>
        <v>-6.7500000000000004E-2</v>
      </c>
      <c r="AF39" s="233">
        <f t="shared" si="20"/>
        <v>-9.2499999999999999E-2</v>
      </c>
      <c r="AG39" s="227">
        <f t="shared" si="25"/>
        <v>84</v>
      </c>
      <c r="AH39" s="227">
        <f t="shared" si="21"/>
        <v>84</v>
      </c>
      <c r="AI39" s="234">
        <f t="shared" si="22"/>
        <v>-9.2499999999999999E-2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-7.8183853459972863E-2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-0.1575</v>
      </c>
      <c r="AA40" s="78">
        <f>$Z$29*_xll.RtGet($AD$32,$AD$33&amp;$Y40&amp;$AD$34,AA$30)</f>
        <v>-0.1075</v>
      </c>
      <c r="AF40" s="233">
        <f t="shared" si="20"/>
        <v>-0.13250000000000001</v>
      </c>
      <c r="AG40" s="227">
        <f t="shared" si="25"/>
        <v>120</v>
      </c>
      <c r="AH40" s="227">
        <f t="shared" si="21"/>
        <v>120</v>
      </c>
      <c r="AI40" s="234">
        <f t="shared" si="22"/>
        <v>-0.13250000000000001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-8.5718198778833105E-2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-0.19500000000000001</v>
      </c>
      <c r="AA41" s="78">
        <f>$Z$29*_xll.RtGet($AD$32,$AD$33&amp;$Y41&amp;$AD$34,AA$30)</f>
        <v>-0.14499999999999999</v>
      </c>
      <c r="AF41" s="233">
        <f t="shared" si="20"/>
        <v>-0.16999999999999998</v>
      </c>
      <c r="AG41" s="227">
        <f t="shared" si="25"/>
        <v>180</v>
      </c>
      <c r="AH41" s="227">
        <f t="shared" si="21"/>
        <v>180</v>
      </c>
      <c r="AI41" s="234">
        <f t="shared" si="22"/>
        <v>-0.16999999999999998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-9.2499999999999999E-2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-0.1875</v>
      </c>
      <c r="AA42" s="78">
        <f>$Z$29*_xll.RtGet($AD$32,$AD$33&amp;$Y42&amp;$AD$34,AA$30)</f>
        <v>-0.13750000000000001</v>
      </c>
      <c r="AF42" s="233">
        <f t="shared" si="20"/>
        <v>-0.16250000000000001</v>
      </c>
      <c r="AG42" s="227">
        <f t="shared" si="25"/>
        <v>240</v>
      </c>
      <c r="AH42" s="227">
        <f t="shared" si="21"/>
        <v>240</v>
      </c>
      <c r="AI42" s="234">
        <f t="shared" si="22"/>
        <v>-0.16250000000000001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-9.8669267454262591E-2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</v>
      </c>
      <c r="AA43" s="78">
        <f>$Z$29*_xll.RtGet($AD$32,$AD$33&amp;$Y43&amp;$AD$34,AA$30)</f>
        <v>-7.0000000000000007E-2</v>
      </c>
      <c r="AF43" s="233">
        <f t="shared" si="20"/>
        <v>-9.5000000000000001E-2</v>
      </c>
      <c r="AG43" s="227">
        <f t="shared" si="25"/>
        <v>360</v>
      </c>
      <c r="AH43" s="227">
        <f t="shared" si="21"/>
        <v>360</v>
      </c>
      <c r="AI43" s="234">
        <f t="shared" si="22"/>
        <v>-9.5000000000000001E-2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-0.10465021841180987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-0.11045854591403474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-0.11610994300233018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-0.12162010271808912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-0.1270047181027045</v>
      </c>
    </row>
    <row r="48" spans="1:44" ht="11.25" customHeight="1" x14ac:dyDescent="0.2">
      <c r="B48" s="104" t="str">
        <f>"DomDiscCurveName"&amp;IF(ISBLANK(C8),"","#"&amp;C8)</f>
        <v>DomDiscCurveName#USDON_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-0.1322794821975693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-0.13746008804407639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-0.14256222868361879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-0.14760159715758939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-0.15259388650738118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-0.15755478977438708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-0.16250000000000001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-0.16744521022561296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-0.17240611349261886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-0.17739840284241062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-0.18243777131638123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-0.18753991195592362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-0.19272051780243071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-0.19799528189729551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-0.20337989728191092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-0.20889005699766983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-0.21454145408596526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25" priority="10" stopIfTrue="1" operator="equal">
      <formula>FALSE</formula>
    </cfRule>
  </conditionalFormatting>
  <conditionalFormatting sqref="I3:L20 I23:L23">
    <cfRule type="expression" dxfId="24" priority="5" stopIfTrue="1">
      <formula>NOT($E3)</formula>
    </cfRule>
  </conditionalFormatting>
  <conditionalFormatting sqref="I26:L67">
    <cfRule type="expression" dxfId="23" priority="2" stopIfTrue="1">
      <formula>NOT($E26)</formula>
    </cfRule>
  </conditionalFormatting>
  <conditionalFormatting sqref="L3:L20">
    <cfRule type="expression" dxfId="22" priority="6" stopIfTrue="1">
      <formula>ISNUMBER(J3)</formula>
    </cfRule>
    <cfRule type="expression" dxfId="21" priority="9" stopIfTrue="1">
      <formula>ISNUMBER(K3)</formula>
    </cfRule>
  </conditionalFormatting>
  <conditionalFormatting sqref="L23">
    <cfRule type="expression" dxfId="20" priority="4" stopIfTrue="1">
      <formula>ISNUMBER(J23)</formula>
    </cfRule>
    <cfRule type="expression" dxfId="19" priority="8" stopIfTrue="1">
      <formula>ISNUMBER(K23)</formula>
    </cfRule>
  </conditionalFormatting>
  <conditionalFormatting sqref="L26:L67">
    <cfRule type="expression" dxfId="18" priority="3" stopIfTrue="1">
      <formula>ISNUMBER(J26)</formula>
    </cfRule>
    <cfRule type="expression" dxfId="17" priority="7" stopIfTrue="1">
      <formula>ISNUMBER(K26)</formula>
    </cfRule>
  </conditionalFormatting>
  <conditionalFormatting sqref="E3:E20">
    <cfRule type="cellIs" dxfId="1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37"/>
  <sheetViews>
    <sheetView tabSelected="1" zoomScaleNormal="100" workbookViewId="0">
      <selection activeCell="M30" sqref="M30"/>
    </sheetView>
  </sheetViews>
  <sheetFormatPr defaultRowHeight="11.25" outlineLevelCol="1" x14ac:dyDescent="0.2"/>
  <cols>
    <col min="1" max="1" width="2.83203125" customWidth="1"/>
    <col min="2" max="2" width="15.83203125" customWidth="1"/>
    <col min="3" max="3" width="25" customWidth="1"/>
    <col min="4" max="4" width="22.33203125" bestFit="1" customWidth="1"/>
    <col min="5" max="6" width="10.1640625" bestFit="1" customWidth="1"/>
    <col min="7" max="7" width="10.1640625" hidden="1" customWidth="1"/>
    <col min="8" max="8" width="9" bestFit="1" customWidth="1"/>
    <col min="9" max="9" width="10.1640625" bestFit="1" customWidth="1"/>
    <col min="10" max="10" width="9.83203125" customWidth="1"/>
    <col min="11" max="12" width="14.5" customWidth="1"/>
    <col min="13" max="13" width="13.6640625" customWidth="1"/>
    <col min="14" max="14" width="11.83203125" customWidth="1"/>
    <col min="15" max="15" width="11.5" hidden="1" customWidth="1" outlineLevel="1"/>
    <col min="16" max="18" width="9.1640625" hidden="1" customWidth="1" outlineLevel="1"/>
    <col min="19" max="19" width="15.5" customWidth="1" collapsed="1"/>
    <col min="20" max="20" width="9.1640625" hidden="1" customWidth="1" outlineLevel="1"/>
    <col min="21" max="21" width="9.5" hidden="1" customWidth="1" outlineLevel="1"/>
    <col min="22" max="22" width="9.1640625" collapsed="1"/>
  </cols>
  <sheetData>
    <row r="1" spans="1:29" ht="12" thickBot="1" x14ac:dyDescent="0.25">
      <c r="A1" s="292" t="b">
        <v>0</v>
      </c>
    </row>
    <row r="2" spans="1:29" ht="12" thickBot="1" x14ac:dyDescent="0.25">
      <c r="B2" s="444" t="s">
        <v>298</v>
      </c>
      <c r="C2" s="445"/>
      <c r="D2" s="446"/>
      <c r="AA2" s="335" t="s">
        <v>129</v>
      </c>
      <c r="AB2" s="336">
        <f>_xll.xlDateWorkFw(C7,_xll.xlDateSettle($C$4,C3,2),FALSE)</f>
        <v>42129</v>
      </c>
    </row>
    <row r="3" spans="1:29" x14ac:dyDescent="0.2">
      <c r="B3" s="350" t="s">
        <v>95</v>
      </c>
      <c r="C3" s="470">
        <f>EvaluationDate</f>
        <v>42123</v>
      </c>
      <c r="D3" s="471"/>
      <c r="F3" s="396"/>
      <c r="G3" s="358"/>
      <c r="H3" s="455" t="s">
        <v>290</v>
      </c>
      <c r="I3" s="456"/>
      <c r="J3" s="456"/>
      <c r="K3" s="461" t="s">
        <v>291</v>
      </c>
      <c r="L3" s="462"/>
      <c r="M3" s="462"/>
      <c r="N3" s="462"/>
      <c r="O3" s="462"/>
      <c r="P3" s="462"/>
      <c r="Q3" s="462"/>
      <c r="R3" s="462"/>
      <c r="S3" s="462"/>
      <c r="T3" s="462"/>
      <c r="U3" s="463"/>
      <c r="AA3" s="359">
        <f>INDEX(dvCurveBootstrapperOptions!$C$30:$C$33,MATCH(C8,dvCurveBootstrapperOptions!$B$30:$B$33,0))</f>
        <v>4</v>
      </c>
      <c r="AB3" s="359">
        <f>INDEX(dvCurveBootstrapperOptions!$C$30:$C$33,MATCH(C10,dvCurveBootstrapperOptions!$B$30:$B$33,0))</f>
        <v>4</v>
      </c>
    </row>
    <row r="4" spans="1:29" ht="12" thickBot="1" x14ac:dyDescent="0.25">
      <c r="B4" s="351" t="s">
        <v>220</v>
      </c>
      <c r="C4" s="472" t="s">
        <v>228</v>
      </c>
      <c r="D4" s="473"/>
      <c r="F4" s="397"/>
      <c r="G4" s="358"/>
      <c r="H4" s="390"/>
      <c r="I4" s="391"/>
      <c r="J4" s="392"/>
      <c r="K4" s="461" t="s">
        <v>292</v>
      </c>
      <c r="L4" s="462"/>
      <c r="M4" s="462"/>
      <c r="N4" s="462"/>
      <c r="O4" s="462"/>
      <c r="P4" s="462"/>
      <c r="Q4" s="462"/>
      <c r="R4" s="463"/>
      <c r="S4" s="464" t="s">
        <v>293</v>
      </c>
      <c r="T4" s="465"/>
      <c r="U4" s="466"/>
      <c r="AA4" s="360">
        <f>INDEX(dvCurveBootstrapperOptions!$C$3:$C$12,MATCH(C$9,dvCurveBootstrapperOptions!$B$3:$B$12,0))</f>
        <v>4</v>
      </c>
      <c r="AB4" s="360">
        <f>INDEX(dvCurveBootstrapperOptions!$C$3:$C$12,MATCH(C$11,dvCurveBootstrapperOptions!$B$3:$B$12,0))</f>
        <v>5</v>
      </c>
    </row>
    <row r="5" spans="1:29" ht="13.5" thickBot="1" x14ac:dyDescent="0.25">
      <c r="B5" s="347" t="s">
        <v>242</v>
      </c>
      <c r="C5" s="488" t="s">
        <v>100</v>
      </c>
      <c r="D5" s="489"/>
      <c r="F5" s="330" t="s">
        <v>237</v>
      </c>
      <c r="G5" s="352"/>
      <c r="H5" s="393" t="s">
        <v>71</v>
      </c>
      <c r="I5" s="394" t="s">
        <v>70</v>
      </c>
      <c r="J5" s="395" t="s">
        <v>256</v>
      </c>
      <c r="K5" s="379" t="s">
        <v>253</v>
      </c>
      <c r="L5" s="380"/>
      <c r="M5" s="379" t="s">
        <v>254</v>
      </c>
      <c r="N5" s="380"/>
      <c r="O5" s="476" t="s">
        <v>252</v>
      </c>
      <c r="P5" s="477"/>
      <c r="Q5" s="476" t="s">
        <v>255</v>
      </c>
      <c r="R5" s="477"/>
      <c r="S5" s="379" t="s">
        <v>253</v>
      </c>
      <c r="T5" s="378" t="s">
        <v>252</v>
      </c>
      <c r="U5" s="398" t="s">
        <v>255</v>
      </c>
    </row>
    <row r="6" spans="1:29" ht="12" thickBot="1" x14ac:dyDescent="0.25">
      <c r="B6" s="348" t="s">
        <v>243</v>
      </c>
      <c r="C6" s="440" t="s">
        <v>153</v>
      </c>
      <c r="D6" s="441"/>
      <c r="F6" s="331" t="s">
        <v>177</v>
      </c>
      <c r="G6" s="353">
        <f>IF(LEN($F6)&gt;0,LEFT($F6,LEN($F6)-1)*IF(RIGHT($F6,1)="Y",12,1),"")</f>
        <v>12</v>
      </c>
      <c r="H6" s="367">
        <f>IF(LEN($F6)&gt;0,$AB$7*_xll.RtGet($AB$8,$AB$9&amp;$F6&amp;$AB$10,AB$11),"")</f>
        <v>0.1925</v>
      </c>
      <c r="I6" s="368">
        <f>IF(LEN($F6)&gt;0,$AB$7*_xll.RtGet($AB$8,$AB$9&amp;$F6&amp;$AB$10,AB$12),"")</f>
        <v>0.2525</v>
      </c>
      <c r="J6" s="371">
        <f>IF(LEN($F6)&gt;0,0.5*(H6+I6),"")</f>
        <v>0.2225</v>
      </c>
      <c r="K6" s="385">
        <f t="shared" ref="K6:K18" si="0">IF(LEN($F6)&gt;0,100*Q6/O6,"")</f>
        <v>0.22165198406463657</v>
      </c>
      <c r="L6" s="420">
        <f>K6</f>
        <v>0.22165198406463657</v>
      </c>
      <c r="M6" s="385">
        <f t="shared" ref="M6:M18" si="1">IF(LEN($F6)&gt;0,100*R6/P6,"")</f>
        <v>0.2216565381356953</v>
      </c>
      <c r="N6" s="420">
        <f>M6</f>
        <v>0.2216565381356953</v>
      </c>
      <c r="O6" s="523">
        <f>IF(LEN($F6)&gt;0,_xll.xlShmImplAnnuity(C$15,C$15,$AB$2,,$G6,$AB$3,$AB$4,$AB$3,$AB$4,1,1,,0+0*TYPE($C$27)),"")</f>
        <v>0.99819908828032333</v>
      </c>
      <c r="P6" s="524">
        <f>IF(LEN($F6)&gt;0,_xll.xlShmImplAnnuity(D$15,D$15,$AB$2,,$G6,$AB$3,$AB$4,$AB$3,$AB$4,1,1,,0+0*TYPE($C$27)),"")</f>
        <v>0.99688342823893561</v>
      </c>
      <c r="Q6" s="525">
        <f>IF(LEN($F6)&gt;0,_xll.xlShmCCSwapNPV($AB$2,,$G6,C$13,C$14,C$15,C$16,$AA$3:$AB$3,$AA$4:$AB$4,{1,1},{1,1},{0,0},{1,1},{1,1},{0,0},{0,0},1+0*TYPE($C$27),$C$5),"")</f>
        <v>2.2125280840884498E-3</v>
      </c>
      <c r="R6" s="526">
        <f>IF(LEN($F6)&gt;0,_xll.xlShmCCSwapNPV($AB$2,,$G6,D$13,D$14,D$15,D$16,$AA$3:$AB$3,$AA$4:$AB$4,{1,1},{1,1},{0,0},{1,1},{1,1},{0,0},{0,0},1+0*TYPE($C$27),$C$5),"")</f>
        <v>2.2096572962828631E-3</v>
      </c>
      <c r="S6" s="385">
        <f t="shared" ref="S6:S18" si="2">IF(LEN($F6)&gt;0,100*U6/T6,"")</f>
        <v>0.22165830979468654</v>
      </c>
      <c r="T6" s="355">
        <f>IF(LEN($F6)&gt;0,_xll.xlShmImplAnnuity(C$20,C$20,$AB$2,,$G6,$AB$3,$AB$4,$AB$3,$AB$4,1,1,,0+0*TYPE($C$27)),"")</f>
        <v>0.99998852167762475</v>
      </c>
      <c r="U6" s="399">
        <f>IF(LEN($F6)&gt;0,_xll.xlShmCCSwapNPV($AB$2,,$G6,C$18,C$19,C$20,C$21,$AA$3:$AB$3,$AA$4:$AB$4,{1,1},{1,1},{0,0},{1,1},{1,1},{0,0},{0,0},1+0*TYPE($C$27),$C$5),"")</f>
        <v>2.2165576552914956E-3</v>
      </c>
      <c r="AA6" s="467"/>
      <c r="AB6" s="468"/>
      <c r="AC6" s="469"/>
    </row>
    <row r="7" spans="1:29" ht="12" thickBot="1" x14ac:dyDescent="0.25">
      <c r="B7" s="349" t="s">
        <v>123</v>
      </c>
      <c r="C7" s="442" t="s">
        <v>153</v>
      </c>
      <c r="D7" s="443"/>
      <c r="F7" s="332" t="s">
        <v>179</v>
      </c>
      <c r="G7" s="354">
        <f t="shared" ref="G7:G18" si="3">IF(LEN($F7)&gt;0,LEFT($F7,LEN($F7)-1)*IF(RIGHT($F7,1)="Y",12,1),"")</f>
        <v>24</v>
      </c>
      <c r="H7" s="369">
        <f>IF(LEN($F7)&gt;0,$AB$7*_xll.RtGet($AB$8,$AB$9&amp;$F7&amp;$AB$10,AB$11),"")</f>
        <v>0.23750000000000002</v>
      </c>
      <c r="I7" s="370">
        <f>IF(LEN($F7)&gt;0,$AB$7*_xll.RtGet($AB$8,$AB$9&amp;$F7&amp;$AB$10,AB$12),"")</f>
        <v>0.29749999999999999</v>
      </c>
      <c r="J7" s="371">
        <f t="shared" ref="J7:J18" si="4">IF(LEN($F7)&gt;0,0.5*(H7+I7),"")</f>
        <v>0.26750000000000002</v>
      </c>
      <c r="K7" s="385">
        <f t="shared" si="0"/>
        <v>0.26510364858137292</v>
      </c>
      <c r="L7" s="420">
        <f t="shared" ref="L7:L18" si="5">K7</f>
        <v>0.26510364858137292</v>
      </c>
      <c r="M7" s="385">
        <f t="shared" si="1"/>
        <v>0.26507648880113721</v>
      </c>
      <c r="N7" s="420">
        <f t="shared" ref="N7:N18" si="6">M7</f>
        <v>0.26507648880113721</v>
      </c>
      <c r="O7" s="527">
        <f>IF(LEN($F7)&gt;0,_xll.xlShmImplAnnuity(C$15,C$15,$AB$2,,$G7,$AB$3,$AB$4,$AB$3,$AB$4,1,1,,0+0*TYPE($C$27)),"")</f>
        <v>1.9827624743530998</v>
      </c>
      <c r="P7" s="528">
        <f>IF(LEN($F7)&gt;0,_xll.xlShmImplAnnuity(D$15,D$15,$AB$2,,$G7,$AB$3,$AB$4,$AB$3,$AB$4,1,1,,0+0*TYPE($C$27)),"")</f>
        <v>1.9785370577116237</v>
      </c>
      <c r="Q7" s="529">
        <f>IF(LEN($F7)&gt;0,_xll.xlShmCCSwapNPV($AB$2,,$G7,C$13,C$14,C$15,C$16,$AA$3:$AB$3,$AA$4:$AB$4,{1,1},{1,1},{0,0},{1,1},{1,1},{0,0},{0,0},1+0*TYPE($C$27),$C$5),"")</f>
        <v>5.2563756622123758E-3</v>
      </c>
      <c r="R7" s="530">
        <f>IF(LEN($F7)&gt;0,_xll.xlShmCCSwapNPV($AB$2,,$G7,D$13,D$14,D$15,D$16,$AA$3:$AB$3,$AA$4:$AB$4,{1,1},{1,1},{0,0},{1,1},{1,1},{0,0},{0,0},1+0*TYPE($C$27),$C$5),"")</f>
        <v>5.2446365622113023E-3</v>
      </c>
      <c r="S7" s="385">
        <f t="shared" si="2"/>
        <v>0.26501414875472662</v>
      </c>
      <c r="T7" s="356">
        <f>IF(LEN($F7)&gt;0,_xll.xlShmImplAnnuity(C$20,C$20,$AB$2,,$G7,$AB$3,$AB$4,$AB$3,$AB$4,1,1,,0+0*TYPE($C$27)),"")</f>
        <v>1.9903960249816246</v>
      </c>
      <c r="U7" s="400">
        <f>IF(LEN($F7)&gt;0,_xll.xlShmCCSwapNPV($AB$2,,$G7,C$18,C$19,C$20,C$21,$AA$3:$AB$3,$AA$4:$AB$4,{1,1},{1,1},{0,0},{1,1},{1,1},{0,0},{0,0},1+0*TYPE($C$27),$C$5),"")</f>
        <v>5.2748310824529687E-3</v>
      </c>
      <c r="AA7" s="416" t="s">
        <v>241</v>
      </c>
      <c r="AB7" s="459">
        <v>0.01</v>
      </c>
      <c r="AC7" s="460"/>
    </row>
    <row r="8" spans="1:29" ht="12" x14ac:dyDescent="0.2">
      <c r="B8" s="337" t="s">
        <v>248</v>
      </c>
      <c r="C8" s="486" t="s">
        <v>149</v>
      </c>
      <c r="D8" s="487"/>
      <c r="F8" s="332" t="s">
        <v>180</v>
      </c>
      <c r="G8" s="354">
        <f t="shared" si="3"/>
        <v>36</v>
      </c>
      <c r="H8" s="369">
        <f>IF(LEN($F8)&gt;0,$AB$7*_xll.RtGet($AB$8,$AB$9&amp;$F8&amp;$AB$10,AB$11),"")</f>
        <v>0.255</v>
      </c>
      <c r="I8" s="370">
        <f>IF(LEN($F8)&gt;0,$AB$7*_xll.RtGet($AB$8,$AB$9&amp;$F8&amp;$AB$10,AB$12),"")</f>
        <v>0.315</v>
      </c>
      <c r="J8" s="371">
        <f t="shared" si="4"/>
        <v>0.28500000000000003</v>
      </c>
      <c r="K8" s="385">
        <f t="shared" si="0"/>
        <v>0.28155071652702895</v>
      </c>
      <c r="L8" s="420">
        <f t="shared" si="5"/>
        <v>0.28155071652702895</v>
      </c>
      <c r="M8" s="385">
        <f t="shared" si="1"/>
        <v>0.28158945718815204</v>
      </c>
      <c r="N8" s="420">
        <f t="shared" si="6"/>
        <v>0.28158945718815204</v>
      </c>
      <c r="O8" s="527">
        <f>IF(LEN($F8)&gt;0,_xll.xlShmImplAnnuity(C$15,C$15,$AB$2,,$G8,$AB$3,$AB$4,$AB$3,$AB$4,1,1,,0+0*TYPE($C$27)),"")</f>
        <v>2.9604168229486127</v>
      </c>
      <c r="P8" s="528">
        <f>IF(LEN($F8)&gt;0,_xll.xlShmImplAnnuity(D$15,D$15,$AB$2,,$G8,$AB$3,$AB$4,$AB$3,$AB$4,1,1,,0+0*TYPE($C$27)),"")</f>
        <v>2.9508847153006661</v>
      </c>
      <c r="Q8" s="529">
        <f>IF(LEN($F8)&gt;0,_xll.xlShmCCSwapNPV($AB$2,,$G8,C$13,C$14,C$15,C$16,$AA$3:$AB$3,$AA$4:$AB$4,{1,1},{1,1},{0,0},{1,1},{1,1},{0,0},{0,0},1+0*TYPE($C$27),$C$5),"")</f>
        <v>8.3350747771985256E-3</v>
      </c>
      <c r="R8" s="530">
        <f>IF(LEN($F8)&gt;0,_xll.xlShmCCSwapNPV($AB$2,,$G8,D$13,D$14,D$15,D$16,$AA$3:$AB$3,$AA$4:$AB$4,{1,1},{1,1},{0,0},{1,1},{1,1},{0,0},{0,0},1+0*TYPE($C$27),$C$5),"")</f>
        <v>8.309380252063292E-3</v>
      </c>
      <c r="S8" s="385">
        <f t="shared" si="2"/>
        <v>0.28160361750838908</v>
      </c>
      <c r="T8" s="356">
        <f>IF(LEN($F8)&gt;0,_xll.xlShmImplAnnuity(C$20,C$20,$AB$2,,$G8,$AB$3,$AB$4,$AB$3,$AB$4,1,1,,0+0*TYPE($C$27)),"")</f>
        <v>2.9783373633014683</v>
      </c>
      <c r="U8" s="400">
        <f>IF(LEN($F8)&gt;0,_xll.xlShmCCSwapNPV($AB$2,,$G8,C$18,C$19,C$20,C$21,$AA$3:$AB$3,$AA$4:$AB$4,{1,1},{1,1},{0,0},{1,1},{1,1},{0,0},{0,0},1+0*TYPE($C$27),$C$5),"")</f>
        <v>8.3871057566609064E-3</v>
      </c>
      <c r="AA8" s="417" t="s">
        <v>68</v>
      </c>
      <c r="AB8" s="457" t="s">
        <v>67</v>
      </c>
      <c r="AC8" s="458"/>
    </row>
    <row r="9" spans="1:29" ht="12" x14ac:dyDescent="0.2">
      <c r="B9" s="338" t="s">
        <v>249</v>
      </c>
      <c r="C9" s="480" t="s">
        <v>52</v>
      </c>
      <c r="D9" s="481"/>
      <c r="F9" s="332" t="s">
        <v>181</v>
      </c>
      <c r="G9" s="354">
        <f t="shared" si="3"/>
        <v>48</v>
      </c>
      <c r="H9" s="369">
        <f>IF(LEN($F9)&gt;0,$AB$7*_xll.RtGet($AB$8,$AB$9&amp;$F9&amp;$AB$10,AB$11),"")</f>
        <v>0.26</v>
      </c>
      <c r="I9" s="370">
        <f>IF(LEN($F9)&gt;0,$AB$7*_xll.RtGet($AB$8,$AB$9&amp;$F9&amp;$AB$10,AB$12),"")</f>
        <v>0.32</v>
      </c>
      <c r="J9" s="371">
        <f t="shared" si="4"/>
        <v>0.29000000000000004</v>
      </c>
      <c r="K9" s="385">
        <f t="shared" si="0"/>
        <v>0.28299054524650941</v>
      </c>
      <c r="L9" s="420">
        <f t="shared" si="5"/>
        <v>0.28299054524650941</v>
      </c>
      <c r="M9" s="385">
        <f t="shared" si="1"/>
        <v>0.28301140262654945</v>
      </c>
      <c r="N9" s="420">
        <f t="shared" si="6"/>
        <v>0.28301140262654945</v>
      </c>
      <c r="O9" s="527">
        <f>IF(LEN($F9)&gt;0,_xll.xlShmImplAnnuity(C$15,C$15,$AB$2,,$G9,$AB$3,$AB$4,$AB$3,$AB$4,1,1,,0+0*TYPE($C$27)),"")</f>
        <v>3.9100430257724872</v>
      </c>
      <c r="P9" s="528">
        <f>IF(LEN($F9)&gt;0,_xll.xlShmImplAnnuity(D$15,D$15,$AB$2,,$G9,$AB$3,$AB$4,$AB$3,$AB$4,1,1,,0+0*TYPE($C$27)),"")</f>
        <v>3.8926659907151775</v>
      </c>
      <c r="Q9" s="529">
        <f>IF(LEN($F9)&gt;0,_xll.xlShmCCSwapNPV($AB$2,,$G9,C$13,C$14,C$15,C$16,$AA$3:$AB$3,$AA$4:$AB$4,{1,1},{1,1},{0,0},{1,1},{1,1},{0,0},{0,0},1+0*TYPE($C$27),$C$5),"")</f>
        <v>1.1065052078006676E-2</v>
      </c>
      <c r="R9" s="530">
        <f>IF(LEN($F9)&gt;0,_xll.xlShmCCSwapNPV($AB$2,,$G9,D$13,D$14,D$15,D$16,$AA$3:$AB$3,$AA$4:$AB$4,{1,1},{1,1},{0,0},{1,1},{1,1},{0,0},{0,0},1+0*TYPE($C$27),$C$5),"")</f>
        <v>1.1016688619889692E-2</v>
      </c>
      <c r="S9" s="385">
        <f t="shared" si="2"/>
        <v>0.283045070835305</v>
      </c>
      <c r="T9" s="356">
        <f>IF(LEN($F9)&gt;0,_xll.xlShmImplAnnuity(C$20,C$20,$AB$2,,$G9,$AB$3,$AB$4,$AB$3,$AB$4,1,1,,0+0*TYPE($C$27)),"")</f>
        <v>3.9423822131637021</v>
      </c>
      <c r="U9" s="400">
        <f>IF(LEN($F9)&gt;0,_xll.xlShmCCSwapNPV($AB$2,,$G9,C$18,C$19,C$20,C$21,$AA$3:$AB$3,$AA$4:$AB$4,{1,1},{1,1},{0,0},{1,1},{1,1},{0,0},{0,0},1+0*TYPE($C$27),$C$5),"")</f>
        <v>1.1158718527847666E-2</v>
      </c>
      <c r="AA9" s="417" t="s">
        <v>66</v>
      </c>
      <c r="AB9" s="447" t="s">
        <v>277</v>
      </c>
      <c r="AC9" s="448"/>
    </row>
    <row r="10" spans="1:29" ht="12" x14ac:dyDescent="0.2">
      <c r="B10" s="338" t="s">
        <v>250</v>
      </c>
      <c r="C10" s="482" t="s">
        <v>149</v>
      </c>
      <c r="D10" s="483"/>
      <c r="F10" s="332" t="s">
        <v>182</v>
      </c>
      <c r="G10" s="354">
        <f t="shared" si="3"/>
        <v>60</v>
      </c>
      <c r="H10" s="369">
        <f>IF(LEN($F10)&gt;0,$AB$7*_xll.RtGet($AB$8,$AB$9&amp;$F10&amp;$AB$10,AB$11),"")</f>
        <v>0.255</v>
      </c>
      <c r="I10" s="370">
        <f>IF(LEN($F10)&gt;0,$AB$7*_xll.RtGet($AB$8,$AB$9&amp;$F10&amp;$AB$10,AB$12),"")</f>
        <v>0.315</v>
      </c>
      <c r="J10" s="371">
        <f t="shared" si="4"/>
        <v>0.28500000000000003</v>
      </c>
      <c r="K10" s="385">
        <f t="shared" si="0"/>
        <v>0.27691918247664477</v>
      </c>
      <c r="L10" s="420">
        <f t="shared" si="5"/>
        <v>0.27691918247664477</v>
      </c>
      <c r="M10" s="385">
        <f t="shared" si="1"/>
        <v>0.27693073976432886</v>
      </c>
      <c r="N10" s="420">
        <f t="shared" si="6"/>
        <v>0.27693073976432886</v>
      </c>
      <c r="O10" s="527">
        <f>IF(LEN($F10)&gt;0,_xll.xlShmImplAnnuity(C$15,C$15,$AB$2,,$G10,$AB$3,$AB$4,$AB$3,$AB$4,1,1,,0+0*TYPE($C$27)),"")</f>
        <v>4.8408938918078377</v>
      </c>
      <c r="P10" s="528">
        <f>IF(LEN($F10)&gt;0,_xll.xlShmImplAnnuity(D$15,D$15,$AB$2,,$G10,$AB$3,$AB$4,$AB$3,$AB$4,1,1,,0+0*TYPE($C$27)),"")</f>
        <v>4.8134230197161374</v>
      </c>
      <c r="Q10" s="529">
        <f>IF(LEN($F10)&gt;0,_xll.xlShmCCSwapNPV($AB$2,,$G10,C$13,C$14,C$15,C$16,$AA$3:$AB$3,$AA$4:$AB$4,{1,1},{1,1},{0,0},{1,1},{1,1},{0,0},{0,0},1+0*TYPE($C$27),$C$5),"")</f>
        <v>1.3405363789756097E-2</v>
      </c>
      <c r="R10" s="530">
        <f>IF(LEN($F10)&gt;0,_xll.xlShmCCSwapNPV($AB$2,,$G10,D$13,D$14,D$15,D$16,$AA$3:$AB$3,$AA$4:$AB$4,{1,1},{1,1},{0,0},{1,1},{1,1},{0,0},{0,0},1+0*TYPE($C$27),$C$5),"")</f>
        <v>1.3329847976486398E-2</v>
      </c>
      <c r="S10" s="385">
        <f t="shared" si="2"/>
        <v>0.27695948596410097</v>
      </c>
      <c r="T10" s="356">
        <f>IF(LEN($F10)&gt;0,_xll.xlShmImplAnnuity(C$20,C$20,$AB$2,,$G10,$AB$3,$AB$4,$AB$3,$AB$4,1,1,,0+0*TYPE($C$27)),"")</f>
        <v>4.8913102848493528</v>
      </c>
      <c r="U10" s="400">
        <f>IF(LEN($F10)&gt;0,_xll.xlShmCCSwapNPV($AB$2,,$G10,C$18,C$19,C$20,C$21,$AA$3:$AB$3,$AA$4:$AB$4,{1,1},{1,1},{0,0},{1,1},{1,1},{0,0},{0,0},1+0*TYPE($C$27),$C$5),"")</f>
        <v>1.354694782182797E-2</v>
      </c>
      <c r="AA10" s="417" t="s">
        <v>63</v>
      </c>
      <c r="AB10" s="449" t="s">
        <v>178</v>
      </c>
      <c r="AC10" s="450"/>
    </row>
    <row r="11" spans="1:29" ht="12.75" thickBot="1" x14ac:dyDescent="0.25">
      <c r="B11" s="339" t="s">
        <v>251</v>
      </c>
      <c r="C11" s="484" t="s">
        <v>50</v>
      </c>
      <c r="D11" s="485"/>
      <c r="F11" s="332" t="s">
        <v>183</v>
      </c>
      <c r="G11" s="354">
        <f t="shared" si="3"/>
        <v>84</v>
      </c>
      <c r="H11" s="369">
        <f>IF(LEN($F11)&gt;0,$AB$7*_xll.RtGet($AB$8,$AB$9&amp;$F11&amp;$AB$10,AB$11),"")</f>
        <v>0.24</v>
      </c>
      <c r="I11" s="370">
        <f>IF(LEN($F11)&gt;0,$AB$7*_xll.RtGet($AB$8,$AB$9&amp;$F11&amp;$AB$10,AB$12),"")</f>
        <v>0.3</v>
      </c>
      <c r="J11" s="371">
        <f t="shared" si="4"/>
        <v>0.27</v>
      </c>
      <c r="K11" s="385">
        <f t="shared" si="0"/>
        <v>0.25708549912918471</v>
      </c>
      <c r="L11" s="420">
        <f t="shared" si="5"/>
        <v>0.25708549912918471</v>
      </c>
      <c r="M11" s="385">
        <f t="shared" si="1"/>
        <v>0.25707807154559642</v>
      </c>
      <c r="N11" s="420">
        <f t="shared" si="6"/>
        <v>0.25707807154559642</v>
      </c>
      <c r="O11" s="527">
        <f>IF(LEN($F11)&gt;0,_xll.xlShmImplAnnuity(C$15,C$15,$AB$2,,$G11,$AB$3,$AB$4,$AB$3,$AB$4,1,1,,0+0*TYPE($C$27)),"")</f>
        <v>6.6489823298662021</v>
      </c>
      <c r="P11" s="528">
        <f>IF(LEN($F11)&gt;0,_xll.xlShmImplAnnuity(D$15,D$15,$AB$2,,$G11,$AB$3,$AB$4,$AB$3,$AB$4,1,1,,0+0*TYPE($C$27)),"")</f>
        <v>6.5952223174730218</v>
      </c>
      <c r="Q11" s="529">
        <f>IF(LEN($F11)&gt;0,_xll.xlShmCCSwapNPV($AB$2,,$G11,C$13,C$14,C$15,C$16,$AA$3:$AB$3,$AA$4:$AB$4,{1,1},{1,1},{0,0},{1,1},{1,1},{0,0},{0,0},1+0*TYPE($C$27),$C$5),"")</f>
        <v>1.7093569409747822E-2</v>
      </c>
      <c r="R11" s="530">
        <f>IF(LEN($F11)&gt;0,_xll.xlShmCCSwapNPV($AB$2,,$G11,D$13,D$14,D$15,D$16,$AA$3:$AB$3,$AA$4:$AB$4,{1,1},{1,1},{0,0},{1,1},{1,1},{0,0},{0,0},1+0*TYPE($C$27),$C$5),"")</f>
        <v>1.6954870347904438E-2</v>
      </c>
      <c r="S11" s="385">
        <f t="shared" si="2"/>
        <v>0.25694750037151903</v>
      </c>
      <c r="T11" s="356">
        <f>IF(LEN($F11)&gt;0,_xll.xlShmImplAnnuity(C$20,C$20,$AB$2,,$G11,$AB$3,$AB$4,$AB$3,$AB$4,1,1,,0+0*TYPE($C$27)),"")</f>
        <v>6.7455238588688902</v>
      </c>
      <c r="U11" s="400">
        <f>IF(LEN($F11)&gt;0,_xll.xlShmCCSwapNPV($AB$2,,$G11,C$18,C$19,C$20,C$21,$AA$3:$AB$3,$AA$4:$AB$4,{1,1},{1,1},{0,0},{1,1},{1,1},{0,0},{0,0},1+0*TYPE($C$27),$C$5),"")</f>
        <v>1.7332454942328046E-2</v>
      </c>
      <c r="AA11" s="418" t="s">
        <v>239</v>
      </c>
      <c r="AB11" s="451" t="s">
        <v>219</v>
      </c>
      <c r="AC11" s="452"/>
    </row>
    <row r="12" spans="1:29" ht="12" thickBot="1" x14ac:dyDescent="0.25">
      <c r="B12" s="444" t="s">
        <v>295</v>
      </c>
      <c r="C12" s="445"/>
      <c r="D12" s="446"/>
      <c r="F12" s="332" t="s">
        <v>184</v>
      </c>
      <c r="G12" s="354">
        <f t="shared" si="3"/>
        <v>120</v>
      </c>
      <c r="H12" s="369">
        <f>IF(LEN($F12)&gt;0,$AB$7*_xll.RtGet($AB$8,$AB$9&amp;$F12&amp;$AB$10,AB$11),"")</f>
        <v>0.19</v>
      </c>
      <c r="I12" s="370">
        <f>IF(LEN($F12)&gt;0,$AB$7*_xll.RtGet($AB$8,$AB$9&amp;$F12&amp;$AB$10,AB$12),"")</f>
        <v>0.25</v>
      </c>
      <c r="J12" s="371">
        <f t="shared" si="4"/>
        <v>0.22</v>
      </c>
      <c r="K12" s="385">
        <f t="shared" si="0"/>
        <v>0.20036740650264667</v>
      </c>
      <c r="L12" s="420">
        <f t="shared" si="5"/>
        <v>0.20036740650264667</v>
      </c>
      <c r="M12" s="385">
        <f t="shared" si="1"/>
        <v>0.20037250265318035</v>
      </c>
      <c r="N12" s="420">
        <f t="shared" si="6"/>
        <v>0.20037250265318035</v>
      </c>
      <c r="O12" s="527">
        <f>IF(LEN($F12)&gt;0,_xll.xlShmImplAnnuity(C$15,C$15,$AB$2,,$G12,$AB$3,$AB$4,$AB$3,$AB$4,1,1,,0+0*TYPE($C$27)),"")</f>
        <v>9.2217158277862659</v>
      </c>
      <c r="P12" s="528">
        <f>IF(LEN($F12)&gt;0,_xll.xlShmImplAnnuity(D$15,D$15,$AB$2,,$G12,$AB$3,$AB$4,$AB$3,$AB$4,1,1,,0+0*TYPE($C$27)),"")</f>
        <v>9.1158530867224066</v>
      </c>
      <c r="Q12" s="529">
        <f>IF(LEN($F12)&gt;0,_xll.xlShmCCSwapNPV($AB$2,,$G12,C$13,C$14,C$15,C$16,$AA$3:$AB$3,$AA$4:$AB$4,{1,1},{1,1},{0,0},{1,1},{1,1},{0,0},{0,0},1+0*TYPE($C$27),$C$5),"")</f>
        <v>1.8477312839179416E-2</v>
      </c>
      <c r="R12" s="530">
        <f>IF(LEN($F12)&gt;0,_xll.xlShmCCSwapNPV($AB$2,,$G12,D$13,D$14,D$15,D$16,$AA$3:$AB$3,$AA$4:$AB$4,{1,1},{1,1},{0,0},{1,1},{1,1},{0,0},{0,0},1+0*TYPE($C$27),$C$5),"")</f>
        <v>1.8265662968052876E-2</v>
      </c>
      <c r="S12" s="385">
        <f t="shared" si="2"/>
        <v>0.20030186050093607</v>
      </c>
      <c r="T12" s="356">
        <f>IF(LEN($F12)&gt;0,_xll.xlShmImplAnnuity(C$20,C$20,$AB$2,,$G12,$AB$3,$AB$4,$AB$3,$AB$4,1,1,,0+0*TYPE($C$27)),"")</f>
        <v>9.4079580938688281</v>
      </c>
      <c r="U12" s="400">
        <f>IF(LEN($F12)&gt;0,_xll.xlShmCCSwapNPV($AB$2,,$G12,C$18,C$19,C$20,C$21,$AA$3:$AB$3,$AA$4:$AB$4,{1,1},{1,1},{0,0},{1,1},{1,1},{0,0},{0,0},1+0*TYPE($C$27),$C$5),"")</f>
        <v>1.8844315097167663E-2</v>
      </c>
      <c r="AA12" s="419" t="s">
        <v>240</v>
      </c>
      <c r="AB12" s="453" t="s">
        <v>230</v>
      </c>
      <c r="AC12" s="454"/>
    </row>
    <row r="13" spans="1:29" x14ac:dyDescent="0.2">
      <c r="B13" s="340" t="s">
        <v>244</v>
      </c>
      <c r="C13" s="341" t="s">
        <v>143</v>
      </c>
      <c r="D13" s="383" t="s">
        <v>174</v>
      </c>
      <c r="F13" s="332" t="s">
        <v>185</v>
      </c>
      <c r="G13" s="354">
        <f t="shared" si="3"/>
        <v>180</v>
      </c>
      <c r="H13" s="369">
        <f>IF(LEN($F13)&gt;0,$AB$7*_xll.RtGet($AB$8,$AB$9&amp;$F13&amp;$AB$10,AB$11),"")</f>
        <v>0.11</v>
      </c>
      <c r="I13" s="370">
        <f>IF(LEN($F13)&gt;0,$AB$7*_xll.RtGet($AB$8,$AB$9&amp;$F13&amp;$AB$10,AB$12),"")</f>
        <v>0.17</v>
      </c>
      <c r="J13" s="371">
        <f t="shared" si="4"/>
        <v>0.14000000000000001</v>
      </c>
      <c r="K13" s="385">
        <f t="shared" si="0"/>
        <v>0.11770936727949621</v>
      </c>
      <c r="L13" s="420">
        <f t="shared" si="5"/>
        <v>0.11770936727949621</v>
      </c>
      <c r="M13" s="385">
        <f t="shared" si="1"/>
        <v>0.11776459969128017</v>
      </c>
      <c r="N13" s="420">
        <f t="shared" si="6"/>
        <v>0.11776459969128017</v>
      </c>
      <c r="O13" s="527">
        <f>IF(LEN($F13)&gt;0,_xll.xlShmImplAnnuity(C$15,C$15,$AB$2,,$G13,$AB$3,$AB$4,$AB$3,$AB$4,1,1,,0+0*TYPE($C$27)),"")</f>
        <v>13.145193862101788</v>
      </c>
      <c r="P13" s="528">
        <f>IF(LEN($F13)&gt;0,_xll.xlShmImplAnnuity(D$15,D$15,$AB$2,,$G13,$AB$3,$AB$4,$AB$3,$AB$4,1,1,,0+0*TYPE($C$27)),"")</f>
        <v>12.93045159049586</v>
      </c>
      <c r="Q13" s="529">
        <f>IF(LEN($F13)&gt;0,_xll.xlShmCCSwapNPV($AB$2,,$G13,C$13,C$14,C$15,C$16,$AA$3:$AB$3,$AA$4:$AB$4,{1,1},{1,1},{0,0},{1,1},{1,1},{0,0},{0,0},1+0*TYPE($C$27),$C$5),"")</f>
        <v>1.5473124522743187E-2</v>
      </c>
      <c r="R13" s="530">
        <f>IF(LEN($F13)&gt;0,_xll.xlShmCCSwapNPV($AB$2,,$G13,D$13,D$14,D$15,D$16,$AA$3:$AB$3,$AA$4:$AB$4,{1,1},{1,1},{0,0},{1,1},{1,1},{0,0},{0,0},1+0*TYPE($C$27),$C$5),"")</f>
        <v>1.5227494553822218E-2</v>
      </c>
      <c r="S13" s="385">
        <f t="shared" si="2"/>
        <v>0.117623500532844</v>
      </c>
      <c r="T13" s="356">
        <f>IF(LEN($F13)&gt;0,_xll.xlShmImplAnnuity(C$20,C$20,$AB$2,,$G13,$AB$3,$AB$4,$AB$3,$AB$4,1,1,,0+0*TYPE($C$27)),"")</f>
        <v>13.51375921790558</v>
      </c>
      <c r="U13" s="400">
        <f>IF(LEN($F13)&gt;0,_xll.xlShmCCSwapNPV($AB$2,,$G13,C$18,C$19,C$20,C$21,$AA$3:$AB$3,$AA$4:$AB$4,{1,1},{1,1},{0,0},{1,1},{1,1},{0,0},{0,0},1+0*TYPE($C$27),$C$5),"")</f>
        <v>1.5895356645680425E-2</v>
      </c>
    </row>
    <row r="14" spans="1:29" x14ac:dyDescent="0.2">
      <c r="B14" s="342" t="s">
        <v>245</v>
      </c>
      <c r="C14" s="119" t="s">
        <v>144</v>
      </c>
      <c r="D14" s="343" t="s">
        <v>144</v>
      </c>
      <c r="F14" s="332" t="s">
        <v>189</v>
      </c>
      <c r="G14" s="354">
        <f t="shared" si="3"/>
        <v>240</v>
      </c>
      <c r="H14" s="369">
        <f>IF(LEN($F14)&gt;0,$AB$7*_xll.RtGet($AB$8,$AB$9&amp;$F14&amp;$AB$10,AB$11),"")</f>
        <v>7.4999999999999997E-2</v>
      </c>
      <c r="I14" s="370">
        <f>IF(LEN($F14)&gt;0,$AB$7*_xll.RtGet($AB$8,$AB$9&amp;$F14&amp;$AB$10,AB$12),"")</f>
        <v>0.13500000000000001</v>
      </c>
      <c r="J14" s="371">
        <f t="shared" si="4"/>
        <v>0.10500000000000001</v>
      </c>
      <c r="K14" s="385">
        <f t="shared" si="0"/>
        <v>8.3027899029526162E-2</v>
      </c>
      <c r="L14" s="420">
        <f t="shared" si="5"/>
        <v>8.3027899029526162E-2</v>
      </c>
      <c r="M14" s="385">
        <f t="shared" si="1"/>
        <v>8.3107146329931894E-2</v>
      </c>
      <c r="N14" s="420">
        <f t="shared" si="6"/>
        <v>8.3107146329931894E-2</v>
      </c>
      <c r="O14" s="527">
        <f>IF(LEN($F14)&gt;0,_xll.xlShmImplAnnuity(C$15,C$15,$AB$2,,$G14,$AB$3,$AB$4,$AB$3,$AB$4,1,1,,0+0*TYPE($C$27)),"")</f>
        <v>16.646023051751992</v>
      </c>
      <c r="P14" s="528">
        <f>IF(LEN($F14)&gt;0,_xll.xlShmImplAnnuity(D$15,D$15,$AB$2,,$G14,$AB$3,$AB$4,$AB$3,$AB$4,1,1,,0+0*TYPE($C$27)),"")</f>
        <v>16.310395376519036</v>
      </c>
      <c r="Q14" s="529">
        <f>IF(LEN($F14)&gt;0,_xll.xlShmCCSwapNPV($AB$2,,$G14,C$13,C$14,C$15,C$16,$AA$3:$AB$3,$AA$4:$AB$4,{1,1},{1,1},{0,0},{1,1},{1,1},{0,0},{0,0},1+0*TYPE($C$27),$C$5),"")</f>
        <v>1.3820843211840295E-2</v>
      </c>
      <c r="R14" s="530">
        <f>IF(LEN($F14)&gt;0,_xll.xlShmCCSwapNPV($AB$2,,$G14,D$13,D$14,D$15,D$16,$AA$3:$AB$3,$AA$4:$AB$4,{1,1},{1,1},{0,0},{1,1},{1,1},{0,0},{0,0},1+0*TYPE($C$27),$C$5),"")</f>
        <v>1.355510415255412E-2</v>
      </c>
      <c r="S14" s="385">
        <f t="shared" si="2"/>
        <v>8.2915361172486088E-2</v>
      </c>
      <c r="T14" s="356">
        <f>IF(LEN($F14)&gt;0,_xll.xlShmImplAnnuity(C$20,C$20,$AB$2,,$G14,$AB$3,$AB$4,$AB$3,$AB$4,1,1,,0+0*TYPE($C$27)),"")</f>
        <v>17.217734761740246</v>
      </c>
      <c r="U14" s="400">
        <f>IF(LEN($F14)&gt;0,_xll.xlShmCCSwapNPV($AB$2,,$G14,C$18,C$19,C$20,C$21,$AA$3:$AB$3,$AA$4:$AB$4,{1,1},{1,1},{0,0},{1,1},{1,1},{0,0},{0,0},1+0*TYPE($C$27),$C$5),"")</f>
        <v>1.4276146963417613E-2</v>
      </c>
    </row>
    <row r="15" spans="1:29" x14ac:dyDescent="0.2">
      <c r="B15" s="342" t="s">
        <v>246</v>
      </c>
      <c r="C15" s="119" t="s">
        <v>261</v>
      </c>
      <c r="D15" s="384" t="s">
        <v>278</v>
      </c>
      <c r="F15" s="332" t="s">
        <v>190</v>
      </c>
      <c r="G15" s="354">
        <f t="shared" si="3"/>
        <v>360</v>
      </c>
      <c r="H15" s="361" t="e">
        <f>IF(LEN($F15)&gt;0,$AB$7*_xll.RtGet($AB$8,$AB$9&amp;$F15&amp;$AB$10,AB$11),"")</f>
        <v>#VALUE!</v>
      </c>
      <c r="I15" s="362" t="e">
        <f>IF(LEN($F15)&gt;0,$AB$7*_xll.RtGet($AB$8,$AB$9&amp;$F15&amp;$AB$10,AB$12),"")</f>
        <v>#VALUE!</v>
      </c>
      <c r="J15" s="372" t="e">
        <f t="shared" si="4"/>
        <v>#VALUE!</v>
      </c>
      <c r="K15" s="385">
        <f t="shared" si="0"/>
        <v>9.6686398047325484E-2</v>
      </c>
      <c r="L15" s="420">
        <f t="shared" si="5"/>
        <v>9.6686398047325484E-2</v>
      </c>
      <c r="M15" s="531">
        <f t="shared" si="1"/>
        <v>9.6903429777997041E-2</v>
      </c>
      <c r="N15" s="532">
        <f t="shared" si="6"/>
        <v>9.6903429777997041E-2</v>
      </c>
      <c r="O15" s="527">
        <f>IF(LEN($F15)&gt;0,_xll.xlShmImplAnnuity(C$15,C$15,$AB$2,,$G15,$AB$3,$AB$4,$AB$3,$AB$4,1,1,,0+0*TYPE($C$27)),"")</f>
        <v>22.50804734926545</v>
      </c>
      <c r="P15" s="528">
        <f>IF(LEN($F15)&gt;0,_xll.xlShmImplAnnuity(D$15,D$15,$AB$2,,$G15,$AB$3,$AB$4,$AB$3,$AB$4,1,1,,0+0*TYPE($C$27)),"")</f>
        <v>21.933166446278737</v>
      </c>
      <c r="Q15" s="529">
        <f>IF(LEN($F15)&gt;0,_xll.xlShmCCSwapNPV($AB$2,,$G15,C$13,C$14,C$15,C$16,$AA$3:$AB$3,$AA$4:$AB$4,{1,1},{1,1},{0,0},{1,1},{1,1},{0,0},{0,0},1+0*TYPE($C$27),$C$5),"")</f>
        <v>2.1762220252791287E-2</v>
      </c>
      <c r="R15" s="530">
        <f>IF(LEN($F15)&gt;0,_xll.xlShmCCSwapNPV($AB$2,,$G15,D$13,D$14,D$15,D$16,$AA$3:$AB$3,$AA$4:$AB$4,{1,1},{1,1},{0,0},{1,1},{1,1},{0,0},{0,0},1+0*TYPE($C$27),$C$5),"")</f>
        <v>2.1253990545360923E-2</v>
      </c>
      <c r="S15" s="385">
        <f t="shared" si="2"/>
        <v>9.6422733636313346E-2</v>
      </c>
      <c r="T15" s="356">
        <f>IF(LEN($F15)&gt;0,_xll.xlShmImplAnnuity(C$20,C$20,$AB$2,,$G15,$AB$3,$AB$4,$AB$3,$AB$4,1,1,,0+0*TYPE($C$27)),"")</f>
        <v>23.501887824066902</v>
      </c>
      <c r="U15" s="400">
        <f>IF(LEN($F15)&gt;0,_xll.xlShmCCSwapNPV($AB$2,,$G15,C$18,C$19,C$20,C$21,$AA$3:$AB$3,$AA$4:$AB$4,{1,1},{1,1},{0,0},{1,1},{1,1},{0,0},{0,0},1+0*TYPE($C$27),$C$5),"")</f>
        <v>2.2661162696105186E-2</v>
      </c>
    </row>
    <row r="16" spans="1:29" ht="12" thickBot="1" x14ac:dyDescent="0.25">
      <c r="B16" s="344" t="s">
        <v>247</v>
      </c>
      <c r="C16" s="345" t="s">
        <v>262</v>
      </c>
      <c r="D16" s="346" t="s">
        <v>262</v>
      </c>
      <c r="F16" s="333"/>
      <c r="G16" s="328" t="str">
        <f t="shared" si="3"/>
        <v/>
      </c>
      <c r="H16" s="363" t="str">
        <f>IF(LEN($F16)&gt;0,$AB$7*_xll.RtGet($AB$8,$AB$9&amp;$F16&amp;$AB$10,AB$11),"")</f>
        <v/>
      </c>
      <c r="I16" s="364" t="str">
        <f>IF(LEN($F16)&gt;0,$AB$7*_xll.RtGet($AB$8,$AB$9&amp;$F16&amp;$AB$10,AB$12),"")</f>
        <v/>
      </c>
      <c r="J16" s="373" t="str">
        <f t="shared" si="4"/>
        <v/>
      </c>
      <c r="K16" s="385" t="str">
        <f t="shared" si="0"/>
        <v/>
      </c>
      <c r="L16" s="420" t="str">
        <f t="shared" si="5"/>
        <v/>
      </c>
      <c r="M16" s="531" t="str">
        <f t="shared" si="1"/>
        <v/>
      </c>
      <c r="N16" s="532" t="str">
        <f t="shared" si="6"/>
        <v/>
      </c>
      <c r="O16" s="527" t="str">
        <f>IF(LEN($F16)&gt;0,_xll.xlShmImplAnnuity(C$15,C$15,$AB$2,,$G16,$AB$3,$AB$4,$AB$3,$AB$4,1,1,,0+0*TYPE($C$27)),"")</f>
        <v/>
      </c>
      <c r="P16" s="528" t="str">
        <f>IF(LEN($F16)&gt;0,_xll.xlShmImplAnnuity(D$15,D$15,$AB$2,,$G16,$AB$3,$AB$4,$AB$3,$AB$4,1,1,,0+0*TYPE($C$27)),"")</f>
        <v/>
      </c>
      <c r="Q16" s="529" t="str">
        <f>IF(LEN($F16)&gt;0,_xll.xlShmCCSwapNPV($AB$2,,$G16,C$13,C$14,C$15,C$16,$AA$3:$AB$3,$AA$4:$AB$4,{1,1},{1,1},{0,0},{1,1},{1,1},{0,0},{0,0},1+0*TYPE($C$27),$C$5),"")</f>
        <v/>
      </c>
      <c r="R16" s="530" t="str">
        <f>IF(LEN($F16)&gt;0,_xll.xlShmCCSwapNPV($AB$2,,$G16,D$13,D$14,D$15,D$16,$AA$3:$AB$3,$AA$4:$AB$4,{1,1},{1,1},{0,0},{1,1},{1,1},{0,0},{0,0},1+0*TYPE($C$27),$C$5),"")</f>
        <v/>
      </c>
      <c r="S16" s="385" t="str">
        <f t="shared" si="2"/>
        <v/>
      </c>
      <c r="T16" s="356" t="str">
        <f>IF(LEN($F16)&gt;0,_xll.xlShmImplAnnuity(C$20,C$20,$AB$2,,$G16,$AB$3,$AB$4,$AB$3,$AB$4,1,1,,0+0*TYPE($C$27)),"")</f>
        <v/>
      </c>
      <c r="U16" s="400" t="str">
        <f>IF(LEN($F16)&gt;0,_xll.xlShmCCSwapNPV($AB$2,,$G16,C$18,C$19,C$20,C$21,$AA$3:$AB$3,$AA$4:$AB$4,{1,1},{1,1},{0,0},{1,1},{1,1},{0,0},{0,0},1+0*TYPE($C$27),$C$5),"")</f>
        <v/>
      </c>
    </row>
    <row r="17" spans="1:21" ht="12" thickBot="1" x14ac:dyDescent="0.25">
      <c r="B17" s="444" t="s">
        <v>299</v>
      </c>
      <c r="C17" s="445"/>
      <c r="D17" s="446"/>
      <c r="F17" s="333"/>
      <c r="G17" s="328" t="str">
        <f t="shared" si="3"/>
        <v/>
      </c>
      <c r="H17" s="363" t="str">
        <f>IF(LEN($F17)&gt;0,$AB$7*_xll.RtGet($AB$8,$AB$9&amp;$F17&amp;$AB$10,AB$11),"")</f>
        <v/>
      </c>
      <c r="I17" s="364" t="str">
        <f>IF(LEN($F17)&gt;0,$AB$7*_xll.RtGet($AB$8,$AB$9&amp;$F17&amp;$AB$10,AB$12),"")</f>
        <v/>
      </c>
      <c r="J17" s="373" t="str">
        <f t="shared" si="4"/>
        <v/>
      </c>
      <c r="K17" s="385" t="str">
        <f t="shared" si="0"/>
        <v/>
      </c>
      <c r="L17" s="420" t="str">
        <f t="shared" si="5"/>
        <v/>
      </c>
      <c r="M17" s="531" t="str">
        <f t="shared" si="1"/>
        <v/>
      </c>
      <c r="N17" s="532" t="str">
        <f t="shared" si="6"/>
        <v/>
      </c>
      <c r="O17" s="527" t="str">
        <f>IF(LEN($F17)&gt;0,_xll.xlShmImplAnnuity(C$15,C$15,$AB$2,,$G17,$AB$3,$AB$4,$AB$3,$AB$4,1,1,,0+0*TYPE($C$27)),"")</f>
        <v/>
      </c>
      <c r="P17" s="528" t="str">
        <f>IF(LEN($F17)&gt;0,_xll.xlShmImplAnnuity(D$15,D$15,$AB$2,,$G17,$AB$3,$AB$4,$AB$3,$AB$4,1,1,,0+0*TYPE($C$27)),"")</f>
        <v/>
      </c>
      <c r="Q17" s="529" t="str">
        <f>IF(LEN($F17)&gt;0,_xll.xlShmCCSwapNPV($AB$2,,$G17,C$13,C$14,C$15,C$16,$AA$3:$AB$3,$AA$4:$AB$4,{1,1},{1,1},{0,0},{1,1},{1,1},{0,0},{0,0},1+0*TYPE($C$27),$C$5),"")</f>
        <v/>
      </c>
      <c r="R17" s="530" t="str">
        <f>IF(LEN($F17)&gt;0,_xll.xlShmCCSwapNPV($AB$2,,$G17,D$13,D$14,D$15,D$16,$AA$3:$AB$3,$AA$4:$AB$4,{1,1},{1,1},{0,0},{1,1},{1,1},{0,0},{0,0},1+0*TYPE($C$27),$C$5),"")</f>
        <v/>
      </c>
      <c r="S17" s="385" t="str">
        <f t="shared" si="2"/>
        <v/>
      </c>
      <c r="T17" s="356" t="str">
        <f>IF(LEN($F17)&gt;0,_xll.xlShmImplAnnuity(C$20,C$20,$AB$2,,$G17,$AB$3,$AB$4,$AB$3,$AB$4,1,1,,0+0*TYPE($C$27)),"")</f>
        <v/>
      </c>
      <c r="U17" s="400" t="str">
        <f>IF(LEN($F17)&gt;0,_xll.xlShmCCSwapNPV($AB$2,,$G17,C$18,C$19,C$20,C$21,$AA$3:$AB$3,$AA$4:$AB$4,{1,1},{1,1},{0,0},{1,1},{1,1},{0,0},{0,0},1+0*TYPE($C$27),$C$5),"")</f>
        <v/>
      </c>
    </row>
    <row r="18" spans="1:21" x14ac:dyDescent="0.2">
      <c r="B18" s="340" t="s">
        <v>244</v>
      </c>
      <c r="C18" s="488" t="s">
        <v>289</v>
      </c>
      <c r="D18" s="489"/>
      <c r="F18" s="334"/>
      <c r="G18" s="329" t="str">
        <f t="shared" si="3"/>
        <v/>
      </c>
      <c r="H18" s="365" t="str">
        <f>IF(LEN($F18)&gt;0,$AB$7*_xll.RtGet($AB$8,$AB$9&amp;$F18&amp;$AB$10,AB$11),"")</f>
        <v/>
      </c>
      <c r="I18" s="366" t="str">
        <f>IF(LEN($F18)&gt;0,$AB$7*_xll.RtGet($AB$8,$AB$9&amp;$F18&amp;$AB$10,AB$12),"")</f>
        <v/>
      </c>
      <c r="J18" s="374" t="str">
        <f t="shared" si="4"/>
        <v/>
      </c>
      <c r="K18" s="533" t="str">
        <f t="shared" si="0"/>
        <v/>
      </c>
      <c r="L18" s="534" t="str">
        <f t="shared" si="5"/>
        <v/>
      </c>
      <c r="M18" s="535" t="str">
        <f t="shared" si="1"/>
        <v/>
      </c>
      <c r="N18" s="536" t="str">
        <f t="shared" si="6"/>
        <v/>
      </c>
      <c r="O18" s="537" t="str">
        <f>IF(LEN($F18)&gt;0,_xll.xlShmImplAnnuity(C$15,C$15,$AB$2,,$G18,$AB$3,$AB$4,$AB$3,$AB$4,1,1,,0+0*TYPE($C$27)),"")</f>
        <v/>
      </c>
      <c r="P18" s="538" t="str">
        <f>IF(LEN($F18)&gt;0,_xll.xlShmImplAnnuity(D$15,D$15,$AB$2,,$G18,$AB$3,$AB$4,$AB$3,$AB$4,1,1,,0+0*TYPE($C$27)),"")</f>
        <v/>
      </c>
      <c r="Q18" s="539" t="str">
        <f>IF(LEN($F18)&gt;0,_xll.xlShmCCSwapNPV($AB$2,,$G18,C$13,C$14,C$15,C$16,$AA$3:$AB$3,$AA$4:$AB$4,{1,1},{1,1},{0,0},{1,1},{1,1},{0,0},{0,0},1+0*TYPE($C$27),$C$5),"")</f>
        <v/>
      </c>
      <c r="R18" s="540" t="str">
        <f>IF(LEN($F18)&gt;0,_xll.xlShmCCSwapNPV($AB$2,,$G18,D$13,D$14,D$15,D$16,$AA$3:$AB$3,$AA$4:$AB$4,{1,1},{1,1},{0,0},{1,1},{1,1},{0,0},{0,0},1+0*TYPE($C$27),$C$5),"")</f>
        <v/>
      </c>
      <c r="S18" s="541" t="str">
        <f t="shared" si="2"/>
        <v/>
      </c>
      <c r="T18" s="357" t="str">
        <f>IF(LEN($F18)&gt;0,_xll.xlShmImplAnnuity(C$20,C$20,$AB$2,,$G18,$AB$3,$AB$4,$AB$3,$AB$4,1,1,,0+0*TYPE($C$27)),"")</f>
        <v/>
      </c>
      <c r="U18" s="401" t="str">
        <f>IF(LEN($F18)&gt;0,_xll.xlShmCCSwapNPV($AB$2,,$G18,C$18,C$19,C$20,C$21,$AA$3:$AB$3,$AA$4:$AB$4,{1,1},{1,1},{0,0},{1,1},{1,1},{0,0},{0,0},1+0*TYPE($C$27),$C$5),"")</f>
        <v/>
      </c>
    </row>
    <row r="19" spans="1:21" ht="12" thickBot="1" x14ac:dyDescent="0.25">
      <c r="B19" s="342" t="s">
        <v>245</v>
      </c>
      <c r="C19" s="440" t="s">
        <v>144</v>
      </c>
      <c r="D19" s="441"/>
    </row>
    <row r="20" spans="1:21" ht="12" thickBot="1" x14ac:dyDescent="0.25">
      <c r="B20" s="342" t="s">
        <v>246</v>
      </c>
      <c r="C20" s="440" t="s">
        <v>286</v>
      </c>
      <c r="D20" s="441"/>
      <c r="F20" s="421" t="s">
        <v>294</v>
      </c>
      <c r="G20" s="422"/>
      <c r="H20" s="422"/>
      <c r="I20" s="422"/>
      <c r="J20" s="422"/>
      <c r="K20" s="423"/>
    </row>
    <row r="21" spans="1:21" ht="12" thickBot="1" x14ac:dyDescent="0.25">
      <c r="B21" s="344" t="s">
        <v>247</v>
      </c>
      <c r="C21" s="442" t="s">
        <v>262</v>
      </c>
      <c r="D21" s="443"/>
      <c r="F21" s="404"/>
      <c r="G21" s="403"/>
      <c r="H21" s="428" t="s">
        <v>300</v>
      </c>
      <c r="I21" s="429"/>
      <c r="J21" s="428" t="s">
        <v>301</v>
      </c>
      <c r="K21" s="430"/>
    </row>
    <row r="22" spans="1:21" ht="12" thickBot="1" x14ac:dyDescent="0.25">
      <c r="B22" s="444" t="s">
        <v>296</v>
      </c>
      <c r="C22" s="445"/>
      <c r="D22" s="446"/>
      <c r="F22" s="405" t="str">
        <f t="array" ref="F22:F34">IF(LEN(F6:F18)&gt;0,F6:F18,"")</f>
        <v>1Y</v>
      </c>
      <c r="G22" s="358"/>
      <c r="H22" s="406" t="str">
        <f t="shared" ref="H22:H34" si="7">IF(LEN($F22)&gt;0,H$35&amp;$F22,"")</f>
        <v>CCSGBPEUROIS1Y</v>
      </c>
      <c r="I22" s="414" t="str">
        <f>IF(LEN($F22)&gt;0,IF(ISPWDOK($C$30),_xll.RtContribute($C$23&amp;T(TYPE($C$27)),H22,$C$24:$D$24,K6:L6,$C$25),"Paused"),"")</f>
        <v>Paused</v>
      </c>
      <c r="J22" s="426" t="str">
        <f t="shared" ref="J22:J34" si="8">IF(LEN($F22)&gt;0,J$35&amp;$F22,"")</f>
        <v>CCSGBPEUR1Y</v>
      </c>
      <c r="K22" s="415" t="str">
        <f>IF(LEN($F22)&gt;0,IF(ISPWDOK($C$30),_xll.RtContribute($C$23&amp;T(TYPE($C$27)),J22,$C$24:$D$24,M6:N6,$C$25),"Paused"),"")</f>
        <v>Paused</v>
      </c>
    </row>
    <row r="23" spans="1:21" x14ac:dyDescent="0.2">
      <c r="B23" s="342" t="s">
        <v>297</v>
      </c>
      <c r="C23" s="490" t="s">
        <v>102</v>
      </c>
      <c r="D23" s="491"/>
      <c r="F23" s="407" t="str">
        <v>2Y</v>
      </c>
      <c r="G23" s="358"/>
      <c r="H23" s="406" t="str">
        <f t="shared" si="7"/>
        <v>CCSGBPEUROIS2Y</v>
      </c>
      <c r="I23" s="414" t="str">
        <f>IF(LEN($F23)&gt;0,IF(ISPWDOK($C$30),_xll.RtContribute($C$23&amp;T(TYPE($C$27)),H23,$C$24:$D$24,K7:L7,$C$25),"Paused"),"")</f>
        <v>Paused</v>
      </c>
      <c r="J23" s="426" t="str">
        <f t="shared" si="8"/>
        <v>CCSGBPEUR2Y</v>
      </c>
      <c r="K23" s="415" t="str">
        <f>IF(LEN($F23)&gt;0,IF(ISPWDOK($C$30),_xll.RtContribute($C$23&amp;T(TYPE($C$27)),J23,$C$24:$D$24,M7:N7,$C$25),"Paused"),"")</f>
        <v>Paused</v>
      </c>
    </row>
    <row r="24" spans="1:21" x14ac:dyDescent="0.2">
      <c r="B24" s="342" t="s">
        <v>302</v>
      </c>
      <c r="C24" s="381" t="s">
        <v>71</v>
      </c>
      <c r="D24" s="382" t="s">
        <v>70</v>
      </c>
      <c r="F24" s="407" t="str">
        <v>3Y</v>
      </c>
      <c r="G24" s="358"/>
      <c r="H24" s="406" t="str">
        <f t="shared" si="7"/>
        <v>CCSGBPEUROIS3Y</v>
      </c>
      <c r="I24" s="414" t="str">
        <f>IF(LEN($F24)&gt;0,IF(ISPWDOK($C$30),_xll.RtContribute($C$23&amp;T(TYPE($C$27)),H24,$C$24:$D$24,K8:L8,$C$25),"Paused"),"")</f>
        <v>Paused</v>
      </c>
      <c r="J24" s="426" t="str">
        <f t="shared" si="8"/>
        <v>CCSGBPEUR3Y</v>
      </c>
      <c r="K24" s="415" t="str">
        <f>IF(LEN($F24)&gt;0,IF(ISPWDOK($C$30),_xll.RtContribute($C$23&amp;T(TYPE($C$27)),J24,$C$24:$D$24,M8:N8,$C$25),"Paused"),"")</f>
        <v>Paused</v>
      </c>
    </row>
    <row r="25" spans="1:21" ht="12" thickBot="1" x14ac:dyDescent="0.25">
      <c r="B25" s="344" t="s">
        <v>303</v>
      </c>
      <c r="C25" s="478" t="s">
        <v>304</v>
      </c>
      <c r="D25" s="479"/>
      <c r="F25" s="407" t="str">
        <v>4Y</v>
      </c>
      <c r="G25" s="402"/>
      <c r="H25" s="406" t="str">
        <f t="shared" si="7"/>
        <v>CCSGBPEUROIS4Y</v>
      </c>
      <c r="I25" s="414" t="str">
        <f>IF(LEN($F25)&gt;0,IF(ISPWDOK($C$30),_xll.RtContribute($C$23&amp;T(TYPE($C$27)),H25,$C$24:$D$24,K9:L9,$C$25),"Paused"),"")</f>
        <v>Paused</v>
      </c>
      <c r="J25" s="426" t="str">
        <f t="shared" si="8"/>
        <v>CCSGBPEUR4Y</v>
      </c>
      <c r="K25" s="415" t="str">
        <f>IF(LEN($F25)&gt;0,IF(ISPWDOK($C$30),_xll.RtContribute($C$23&amp;T(TYPE($C$27)),J25,$C$24:$D$24,M9:N9,$C$25),"Paused"),"")</f>
        <v>Paused</v>
      </c>
    </row>
    <row r="26" spans="1:21" ht="12" thickBot="1" x14ac:dyDescent="0.25">
      <c r="F26" s="407" t="str">
        <v>5Y</v>
      </c>
      <c r="G26" s="358"/>
      <c r="H26" s="406" t="str">
        <f t="shared" si="7"/>
        <v>CCSGBPEUROIS5Y</v>
      </c>
      <c r="I26" s="414" t="str">
        <f>IF(LEN($F26)&gt;0,IF(ISPWDOK($C$30),_xll.RtContribute($C$23&amp;T(TYPE($C$27)),H26,$C$24:$D$24,K10:L10,$C$25),"Paused"),"")</f>
        <v>Paused</v>
      </c>
      <c r="J26" s="426" t="str">
        <f t="shared" si="8"/>
        <v>CCSGBPEUR5Y</v>
      </c>
      <c r="K26" s="415" t="str">
        <f>IF(LEN($F26)&gt;0,IF(ISPWDOK($C$30),_xll.RtContribute($C$23&amp;T(TYPE($C$27)),J26,$C$24:$D$24,M10:N10,$C$25),"Paused"),"")</f>
        <v>Paused</v>
      </c>
    </row>
    <row r="27" spans="1:21" ht="12" thickBot="1" x14ac:dyDescent="0.25">
      <c r="A27">
        <v>60</v>
      </c>
      <c r="B27" s="424" t="s">
        <v>101</v>
      </c>
      <c r="C27" s="474">
        <f>_xll.RtNow(A27&amp;"s")</f>
        <v>0.78023148148349719</v>
      </c>
      <c r="D27" s="475"/>
      <c r="F27" s="407" t="str">
        <v>7Y</v>
      </c>
      <c r="G27" s="358"/>
      <c r="H27" s="406" t="str">
        <f t="shared" si="7"/>
        <v>CCSGBPEUROIS7Y</v>
      </c>
      <c r="I27" s="414" t="str">
        <f>IF(LEN($F27)&gt;0,IF(ISPWDOK($C$30),_xll.RtContribute($C$23&amp;T(TYPE($C$27)),H27,$C$24:$D$24,K11:L11,$C$25),"Paused"),"")</f>
        <v>Paused</v>
      </c>
      <c r="J27" s="426" t="str">
        <f t="shared" si="8"/>
        <v>CCSGBPEUR7Y</v>
      </c>
      <c r="K27" s="415" t="str">
        <f>IF(LEN($F27)&gt;0,IF(ISPWDOK($C$30),_xll.RtContribute($C$23&amp;T(TYPE($C$27)),J27,$C$24:$D$24,M11:N11,$C$25),"Paused"),"")</f>
        <v>Paused</v>
      </c>
    </row>
    <row r="28" spans="1:21" ht="12" thickBot="1" x14ac:dyDescent="0.25">
      <c r="F28" s="407" t="str">
        <v>10Y</v>
      </c>
      <c r="G28" s="358"/>
      <c r="H28" s="406" t="str">
        <f t="shared" si="7"/>
        <v>CCSGBPEUROIS10Y</v>
      </c>
      <c r="I28" s="414" t="str">
        <f>IF(LEN($F28)&gt;0,IF(ISPWDOK($C$30),_xll.RtContribute($C$23&amp;T(TYPE($C$27)),H28,$C$24:$D$24,K12:L12,$C$25),"Paused"),"")</f>
        <v>Paused</v>
      </c>
      <c r="J28" s="426" t="str">
        <f t="shared" si="8"/>
        <v>CCSGBPEUR10Y</v>
      </c>
      <c r="K28" s="415" t="str">
        <f>IF(LEN($F28)&gt;0,IF(ISPWDOK($C$30),_xll.RtContribute($C$23&amp;T(TYPE($C$27)),J28,$C$24:$D$24,M12:N12,$C$25),"Paused"),"")</f>
        <v>Paused</v>
      </c>
    </row>
    <row r="29" spans="1:21" ht="13.5" thickBot="1" x14ac:dyDescent="0.25">
      <c r="C29" s="431" t="s">
        <v>305</v>
      </c>
      <c r="F29" s="407" t="str">
        <v>15Y</v>
      </c>
      <c r="G29" s="358"/>
      <c r="H29" s="406" t="str">
        <f t="shared" si="7"/>
        <v>CCSGBPEUROIS15Y</v>
      </c>
      <c r="I29" s="414" t="str">
        <f>IF(LEN($F29)&gt;0,IF(ISPWDOK($C$30),_xll.RtContribute($C$23&amp;T(TYPE($C$27)),H29,$C$24:$D$24,K13:L13,$C$25),"Paused"),"")</f>
        <v>Paused</v>
      </c>
      <c r="J29" s="426" t="str">
        <f t="shared" si="8"/>
        <v>CCSGBPEUR15Y</v>
      </c>
      <c r="K29" s="415" t="str">
        <f>IF(LEN($F29)&gt;0,IF(ISPWDOK($C$30),_xll.RtContribute($C$23&amp;T(TYPE($C$27)),J29,$C$24:$D$24,M13:N13,$C$25),"Paused"),"")</f>
        <v>Paused</v>
      </c>
    </row>
    <row r="30" spans="1:21" ht="13.5" thickBot="1" x14ac:dyDescent="0.25">
      <c r="C30" s="432"/>
      <c r="F30" s="407" t="str">
        <v>20Y</v>
      </c>
      <c r="G30" s="358"/>
      <c r="H30" s="406" t="str">
        <f t="shared" si="7"/>
        <v>CCSGBPEUROIS20Y</v>
      </c>
      <c r="I30" s="414" t="str">
        <f>IF(LEN($F30)&gt;0,IF(ISPWDOK($C$30),_xll.RtContribute($C$23&amp;T(TYPE($C$27)),H30,$C$24:$D$24,K14:L14,$C$25),"Paused"),"")</f>
        <v>Paused</v>
      </c>
      <c r="J30" s="426" t="str">
        <f t="shared" si="8"/>
        <v>CCSGBPEUR20Y</v>
      </c>
      <c r="K30" s="415" t="str">
        <f>IF(LEN($F30)&gt;0,IF(ISPWDOK($C$30),_xll.RtContribute($C$23&amp;T(TYPE($C$27)),J30,$C$24:$D$24,M14:N14,$C$25),"Paused"),"")</f>
        <v>Paused</v>
      </c>
    </row>
    <row r="31" spans="1:21" x14ac:dyDescent="0.2">
      <c r="F31" s="407" t="str">
        <v>30Y</v>
      </c>
      <c r="G31" s="358"/>
      <c r="H31" s="406" t="str">
        <f t="shared" si="7"/>
        <v>CCSGBPEUROIS30Y</v>
      </c>
      <c r="I31" s="414" t="str">
        <f>IF(LEN($F31)&gt;0,IF(ISPWDOK($C$30),_xll.RtContribute($C$23&amp;T(TYPE($C$27)),H31,$C$24:$D$24,K15:L15,$C$25),"Paused"),"")</f>
        <v>Paused</v>
      </c>
      <c r="J31" s="426" t="str">
        <f t="shared" si="8"/>
        <v>CCSGBPEUR30Y</v>
      </c>
      <c r="K31" s="415" t="str">
        <f>IF(LEN($F31)&gt;0,IF(ISPWDOK($C$30),_xll.RtContribute($C$23&amp;T(TYPE($C$27)),J31,$C$24:$D$24,M15:N15,$C$25),"Paused"),"")</f>
        <v>Paused</v>
      </c>
    </row>
    <row r="32" spans="1:21" x14ac:dyDescent="0.2">
      <c r="F32" s="408" t="str">
        <v/>
      </c>
      <c r="G32" s="358"/>
      <c r="H32" s="406" t="str">
        <f t="shared" si="7"/>
        <v/>
      </c>
      <c r="I32" s="414" t="str">
        <f>IF(LEN($F32)&gt;0,IF(ISPWDOK($C$30),_xll.RtContribute($C$23&amp;T(TYPE($C$27)),H32,$C$24:$D$24,K16:L16,$C$25),"Paused"),"")</f>
        <v/>
      </c>
      <c r="J32" s="426" t="str">
        <f t="shared" si="8"/>
        <v/>
      </c>
      <c r="K32" s="415" t="str">
        <f>IF(LEN($F32)&gt;0,IF(ISPWDOK($C$30),_xll.RtContribute($C$23&amp;T(TYPE($C$27)),J32,$C$24:$D$24,M16:N16,$C$25),"Paused"),"")</f>
        <v/>
      </c>
    </row>
    <row r="33" spans="6:11" x14ac:dyDescent="0.2">
      <c r="F33" s="408" t="str">
        <v/>
      </c>
      <c r="G33" s="358"/>
      <c r="H33" s="406" t="str">
        <f t="shared" si="7"/>
        <v/>
      </c>
      <c r="I33" s="414" t="str">
        <f>IF(LEN($F33)&gt;0,IF(ISPWDOK($C$30),_xll.RtContribute($C$23&amp;T(TYPE($C$27)),H33,$C$24:$D$24,K17:L17,$C$25),"Paused"),"")</f>
        <v/>
      </c>
      <c r="J33" s="426" t="str">
        <f t="shared" si="8"/>
        <v/>
      </c>
      <c r="K33" s="415" t="str">
        <f>IF(LEN($F33)&gt;0,IF(ISPWDOK($C$30),_xll.RtContribute($C$23&amp;T(TYPE($C$27)),J33,$C$24:$D$24,M17:N17,$C$25),"Paused"),"")</f>
        <v/>
      </c>
    </row>
    <row r="34" spans="6:11" ht="12" thickBot="1" x14ac:dyDescent="0.25">
      <c r="F34" s="409" t="str">
        <v/>
      </c>
      <c r="G34" s="410"/>
      <c r="H34" s="406" t="str">
        <f t="shared" si="7"/>
        <v/>
      </c>
      <c r="I34" s="414" t="str">
        <f>IF(LEN($F34)&gt;0,IF(ISPWDOK($C$30),_xll.RtContribute($C$23&amp;T(TYPE($C$27)),H34,$C$24:$D$24,K18:L18,$C$25),"Paused"),"")</f>
        <v/>
      </c>
      <c r="J34" s="426" t="str">
        <f t="shared" si="8"/>
        <v/>
      </c>
      <c r="K34" s="415" t="str">
        <f>IF(LEN($F34)&gt;0,IF(ISPWDOK($C$30),_xll.RtContribute($C$23&amp;T(TYPE($C$27)),J34,$C$24:$D$24,M18:N18,$C$25),"Paused"),"")</f>
        <v/>
      </c>
    </row>
    <row r="35" spans="6:11" ht="12" thickBot="1" x14ac:dyDescent="0.25">
      <c r="F35" s="425" t="s">
        <v>66</v>
      </c>
      <c r="G35" s="410"/>
      <c r="H35" s="411" t="s">
        <v>276</v>
      </c>
      <c r="I35" s="412"/>
      <c r="J35" s="427" t="s">
        <v>279</v>
      </c>
      <c r="K35" s="413"/>
    </row>
    <row r="37" spans="6:11" x14ac:dyDescent="0.2">
      <c r="G37" s="327"/>
    </row>
  </sheetData>
  <mergeCells count="33">
    <mergeCell ref="C19:D19"/>
    <mergeCell ref="C4:D4"/>
    <mergeCell ref="C27:D27"/>
    <mergeCell ref="O5:P5"/>
    <mergeCell ref="Q5:R5"/>
    <mergeCell ref="C25:D25"/>
    <mergeCell ref="C9:D9"/>
    <mergeCell ref="C10:D10"/>
    <mergeCell ref="C11:D11"/>
    <mergeCell ref="C8:D8"/>
    <mergeCell ref="C5:D5"/>
    <mergeCell ref="C6:D6"/>
    <mergeCell ref="C7:D7"/>
    <mergeCell ref="B17:D17"/>
    <mergeCell ref="B22:D22"/>
    <mergeCell ref="C23:D23"/>
    <mergeCell ref="C18:D18"/>
    <mergeCell ref="C20:D20"/>
    <mergeCell ref="C21:D21"/>
    <mergeCell ref="B2:D2"/>
    <mergeCell ref="AB9:AC9"/>
    <mergeCell ref="AB10:AC10"/>
    <mergeCell ref="AB11:AC11"/>
    <mergeCell ref="AB12:AC12"/>
    <mergeCell ref="H3:J3"/>
    <mergeCell ref="AB8:AC8"/>
    <mergeCell ref="AB7:AC7"/>
    <mergeCell ref="K3:U3"/>
    <mergeCell ref="S4:U4"/>
    <mergeCell ref="K4:R4"/>
    <mergeCell ref="B12:D12"/>
    <mergeCell ref="AA6:AC6"/>
    <mergeCell ref="C3:D3"/>
  </mergeCells>
  <dataValidations count="2">
    <dataValidation type="list" allowBlank="1" showInputMessage="1" showErrorMessage="1" sqref="C10 C8">
      <formula1>"annual, semiannual, quarterly,monthly"</formula1>
    </dataValidation>
    <dataValidation type="list" allowBlank="1" showInputMessage="1" showErrorMessage="1" sqref="C11 C9">
      <formula1>" Act/Act AFB,30E/360,360/360,30E+360,Act/360,Act/365,365/365,Act/Act,30/360,One/One"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9"/>
  <sheetViews>
    <sheetView zoomScale="85" zoomScaleNormal="85" workbookViewId="0">
      <selection activeCell="O19" sqref="O19"/>
    </sheetView>
  </sheetViews>
  <sheetFormatPr defaultRowHeight="11.25" outlineLevelCol="1" x14ac:dyDescent="0.2"/>
  <cols>
    <col min="1" max="1" width="3.83203125" customWidth="1"/>
    <col min="2" max="2" width="22.5" customWidth="1"/>
    <col min="3" max="3" width="19.1640625" customWidth="1"/>
    <col min="4" max="4" width="26.1640625" customWidth="1"/>
    <col min="5" max="5" width="25" customWidth="1"/>
    <col min="6" max="6" width="23.1640625" customWidth="1"/>
    <col min="7" max="7" width="12.5" bestFit="1" customWidth="1"/>
    <col min="10" max="10" width="22.6640625" hidden="1" customWidth="1" outlineLevel="1"/>
    <col min="11" max="11" width="10.6640625" hidden="1" customWidth="1" outlineLevel="1"/>
    <col min="12" max="12" width="9.1640625" hidden="1" customWidth="1" outlineLevel="1"/>
    <col min="13" max="13" width="9.33203125" collapsed="1"/>
  </cols>
  <sheetData>
    <row r="1" spans="1:12" ht="12" thickBot="1" x14ac:dyDescent="0.25">
      <c r="A1" s="292" t="b">
        <v>0</v>
      </c>
      <c r="B1" s="294" t="s">
        <v>101</v>
      </c>
      <c r="C1" s="255"/>
    </row>
    <row r="2" spans="1:12" ht="12" thickBot="1" x14ac:dyDescent="0.25">
      <c r="E2" s="64"/>
    </row>
    <row r="3" spans="1:12" ht="15" x14ac:dyDescent="0.2">
      <c r="B3" s="256" t="s">
        <v>233</v>
      </c>
      <c r="C3" s="256" t="s">
        <v>231</v>
      </c>
      <c r="D3" s="256" t="s">
        <v>232</v>
      </c>
      <c r="E3" s="64"/>
      <c r="F3" s="376" t="s">
        <v>257</v>
      </c>
    </row>
    <row r="4" spans="1:12" ht="15.75" thickBot="1" x14ac:dyDescent="0.25">
      <c r="B4" s="257" t="e">
        <f>+C4*D4</f>
        <v>#REF!</v>
      </c>
      <c r="C4" s="257">
        <f>'USDBASIS(EURON)'!L23+0*TYPE($C$1)</f>
        <v>1.1161500000000002</v>
      </c>
      <c r="D4" s="257" t="e">
        <f>#REF!+0*TYPE($C$1)</f>
        <v>#REF!</v>
      </c>
      <c r="F4" s="377" t="e">
        <f>+G24+G46+G67+G88</f>
        <v>#VALUE!</v>
      </c>
    </row>
    <row r="5" spans="1:12" ht="12" thickBot="1" x14ac:dyDescent="0.25"/>
    <row r="6" spans="1:12" ht="12" thickBot="1" x14ac:dyDescent="0.25">
      <c r="C6" s="494" t="s">
        <v>234</v>
      </c>
      <c r="D6" s="495"/>
      <c r="E6" s="496" t="s">
        <v>235</v>
      </c>
      <c r="F6" s="497"/>
      <c r="J6" s="261" t="str">
        <f t="array" ref="J6:J28">_xll.xlShmCurveList(TYPE(C1)+TYPE(ManualTrigger)+TYPE(Triggers!RTDataTrigger)+TYPE(ObjectsTrigger))</f>
        <v>EUR3M_</v>
      </c>
      <c r="K6" s="261"/>
    </row>
    <row r="7" spans="1:12" ht="12" x14ac:dyDescent="0.2">
      <c r="B7" s="264"/>
      <c r="C7" s="322" t="s">
        <v>192</v>
      </c>
      <c r="D7" s="321" t="str">
        <f>IF(C7="Pay","Receive","Pay")</f>
        <v>Receive</v>
      </c>
      <c r="E7" s="265" t="str">
        <f>D7</f>
        <v>Receive</v>
      </c>
      <c r="F7" s="266" t="str">
        <f>C7</f>
        <v>Pay</v>
      </c>
      <c r="J7" s="262" t="str">
        <v>EURBASIS.USDON</v>
      </c>
      <c r="K7" s="262" t="str">
        <f>_xll.xlLiborNameToCurrency(C17&amp;T(TYPE(K9)))</f>
        <v>EUR</v>
      </c>
    </row>
    <row r="8" spans="1:12" ht="12" x14ac:dyDescent="0.2">
      <c r="B8" s="267" t="s">
        <v>193</v>
      </c>
      <c r="C8" s="510">
        <v>40717</v>
      </c>
      <c r="D8" s="511"/>
      <c r="E8" s="512">
        <f>$C$8</f>
        <v>40717</v>
      </c>
      <c r="F8" s="513"/>
      <c r="J8" s="262" t="str">
        <v>EURON_</v>
      </c>
      <c r="K8" s="262" t="str">
        <f>_xll.xlLiborNameToCurrency(D17&amp;T(TYPE(K16)))</f>
        <v>CHF</v>
      </c>
    </row>
    <row r="9" spans="1:12" ht="12" x14ac:dyDescent="0.2">
      <c r="B9" s="267" t="s">
        <v>194</v>
      </c>
      <c r="C9" s="514">
        <v>44005</v>
      </c>
      <c r="D9" s="515"/>
      <c r="E9" s="516">
        <f>C9</f>
        <v>44005</v>
      </c>
      <c r="F9" s="517"/>
      <c r="J9" s="262" t="str">
        <v>EURSTD_</v>
      </c>
      <c r="K9" s="261">
        <f>0*TYPE(C1)+0*TYPE(J6)</f>
        <v>0</v>
      </c>
    </row>
    <row r="10" spans="1:12" ht="12" x14ac:dyDescent="0.2">
      <c r="B10" s="267" t="s">
        <v>195</v>
      </c>
      <c r="C10" s="518"/>
      <c r="D10" s="483"/>
      <c r="E10" s="519">
        <f>$C$10</f>
        <v>0</v>
      </c>
      <c r="F10" s="520"/>
      <c r="J10" s="24" t="str">
        <v>GBP3M_</v>
      </c>
      <c r="K10" s="258">
        <f>INDEX(dvCurveBootstrapperOptions!$C$30:$C$33,MATCH(C$11,dvCurveBootstrapperOptions!$B$30:$B$33,0))</f>
        <v>1</v>
      </c>
      <c r="L10" s="259">
        <f>INDEX(dvCurveBootstrapperOptions!$C$30:$C$33,MATCH(D$11,dvCurveBootstrapperOptions!$B$30:$B$33,0))</f>
        <v>1</v>
      </c>
    </row>
    <row r="11" spans="1:12" ht="12" x14ac:dyDescent="0.2">
      <c r="B11" s="267" t="s">
        <v>196</v>
      </c>
      <c r="C11" s="268" t="s">
        <v>38</v>
      </c>
      <c r="D11" s="269" t="s">
        <v>38</v>
      </c>
      <c r="E11" s="270" t="str">
        <f t="array" ref="E11:F15">$C$11:$D$15</f>
        <v>annual</v>
      </c>
      <c r="F11" s="271" t="str">
        <v>annual</v>
      </c>
      <c r="J11" s="24" t="str">
        <v>GBPBASIS.EURON.USD</v>
      </c>
      <c r="K11" s="25">
        <f>INDEX(dvCurveBootstrapperOptions!$C$3:$C$12,MATCH(C$12,dvCurveBootstrapperOptions!$B$3:$B$12,0))</f>
        <v>8</v>
      </c>
      <c r="L11" s="260">
        <f>INDEX(dvCurveBootstrapperOptions!$C$3:$C$12,MATCH(D$12,dvCurveBootstrapperOptions!$B$3:$B$12,0))</f>
        <v>8</v>
      </c>
    </row>
    <row r="12" spans="1:12" ht="12" x14ac:dyDescent="0.2">
      <c r="B12" s="267" t="s">
        <v>197</v>
      </c>
      <c r="C12" s="326" t="s">
        <v>45</v>
      </c>
      <c r="D12" s="323" t="s">
        <v>45</v>
      </c>
      <c r="E12" s="270" t="str">
        <v>30/360</v>
      </c>
      <c r="F12" s="271" t="str">
        <v>30/360</v>
      </c>
      <c r="J12" s="262" t="str">
        <v>GBPBASIS.EURSTD.USD</v>
      </c>
    </row>
    <row r="13" spans="1:12" ht="12" x14ac:dyDescent="0.2">
      <c r="B13" s="267" t="s">
        <v>198</v>
      </c>
      <c r="C13" s="278" t="b">
        <v>1</v>
      </c>
      <c r="D13" s="279" t="b">
        <v>1</v>
      </c>
      <c r="E13" s="272" t="b">
        <v>1</v>
      </c>
      <c r="F13" s="273" t="b">
        <v>1</v>
      </c>
      <c r="J13" s="262" t="str">
        <v>GBPBASIS.USDON</v>
      </c>
    </row>
    <row r="14" spans="1:12" ht="12" x14ac:dyDescent="0.2">
      <c r="B14" s="280" t="s">
        <v>199</v>
      </c>
      <c r="C14" s="281" t="b">
        <v>0</v>
      </c>
      <c r="D14" s="282" t="b">
        <v>0</v>
      </c>
      <c r="E14" s="274" t="b">
        <v>0</v>
      </c>
      <c r="F14" s="275" t="b">
        <v>0</v>
      </c>
      <c r="J14" s="262" t="str">
        <v>GBPON_</v>
      </c>
    </row>
    <row r="15" spans="1:12" ht="12" x14ac:dyDescent="0.2">
      <c r="B15" s="267" t="s">
        <v>200</v>
      </c>
      <c r="C15" s="283">
        <v>82169269</v>
      </c>
      <c r="D15" s="284">
        <v>100000000</v>
      </c>
      <c r="E15" s="276">
        <v>82169269</v>
      </c>
      <c r="F15" s="277">
        <v>100000000</v>
      </c>
      <c r="J15" s="262" t="str">
        <v>GBPSTD_</v>
      </c>
    </row>
    <row r="16" spans="1:12" ht="12" x14ac:dyDescent="0.2">
      <c r="B16" s="267" t="s">
        <v>201</v>
      </c>
      <c r="C16" s="490" t="e">
        <f>$B$4</f>
        <v>#REF!</v>
      </c>
      <c r="D16" s="491"/>
      <c r="E16" s="498" t="e">
        <f>$C$16</f>
        <v>#REF!</v>
      </c>
      <c r="F16" s="499"/>
      <c r="J16" s="262" t="str">
        <v>USD3M_</v>
      </c>
    </row>
    <row r="17" spans="2:10" ht="10.9" customHeight="1" x14ac:dyDescent="0.2">
      <c r="B17" s="267" t="s">
        <v>202</v>
      </c>
      <c r="C17" s="268" t="s">
        <v>143</v>
      </c>
      <c r="D17" s="269" t="s">
        <v>218</v>
      </c>
      <c r="E17" s="268" t="s">
        <v>174</v>
      </c>
      <c r="F17" s="269" t="s">
        <v>217</v>
      </c>
      <c r="J17" s="262" t="str">
        <v>USDBASIS.EURON</v>
      </c>
    </row>
    <row r="18" spans="2:10" ht="11.85" customHeight="1" x14ac:dyDescent="0.2">
      <c r="B18" s="267" t="s">
        <v>203</v>
      </c>
      <c r="C18" s="306" t="s">
        <v>144</v>
      </c>
      <c r="D18" s="307" t="s">
        <v>216</v>
      </c>
      <c r="E18" s="270" t="s">
        <v>144</v>
      </c>
      <c r="F18" s="271" t="s">
        <v>216</v>
      </c>
      <c r="J18" s="262" t="str">
        <v>USDBASIS.EURSTD</v>
      </c>
    </row>
    <row r="19" spans="2:10" ht="12" x14ac:dyDescent="0.2">
      <c r="B19" s="267" t="s">
        <v>204</v>
      </c>
      <c r="C19" s="490"/>
      <c r="D19" s="491"/>
      <c r="E19" s="498" t="str">
        <f>IF(LEN($C$19)&gt;0, $C$19,"")</f>
        <v/>
      </c>
      <c r="F19" s="499"/>
      <c r="J19" s="262" t="str">
        <v>USDON_</v>
      </c>
    </row>
    <row r="20" spans="2:10" ht="12" x14ac:dyDescent="0.2">
      <c r="B20" s="267" t="s">
        <v>205</v>
      </c>
      <c r="C20" s="268">
        <v>0</v>
      </c>
      <c r="D20" s="269">
        <v>0</v>
      </c>
      <c r="E20" s="270">
        <f t="array" ref="E20:F23">$C$20:$D$23</f>
        <v>0</v>
      </c>
      <c r="F20" s="271">
        <v>0</v>
      </c>
      <c r="J20" s="262" t="str">
        <v>USDSTD_</v>
      </c>
    </row>
    <row r="21" spans="2:10" ht="12" x14ac:dyDescent="0.2">
      <c r="B21" s="267" t="s">
        <v>206</v>
      </c>
      <c r="C21" s="268">
        <v>4.6029999999999998</v>
      </c>
      <c r="D21" s="269">
        <v>3.01</v>
      </c>
      <c r="E21" s="270">
        <v>4.6029999999999998</v>
      </c>
      <c r="F21" s="271">
        <v>3.01</v>
      </c>
      <c r="J21" s="262" t="e">
        <v>#N/A</v>
      </c>
    </row>
    <row r="22" spans="2:10" ht="12" x14ac:dyDescent="0.2">
      <c r="B22" s="267" t="s">
        <v>207</v>
      </c>
      <c r="C22" s="268" t="b">
        <v>0</v>
      </c>
      <c r="D22" s="269" t="b">
        <v>0</v>
      </c>
      <c r="E22" s="270" t="b">
        <v>0</v>
      </c>
      <c r="F22" s="271" t="b">
        <v>0</v>
      </c>
      <c r="J22" s="262" t="e">
        <v>#N/A</v>
      </c>
    </row>
    <row r="23" spans="2:10" ht="12.75" thickBot="1" x14ac:dyDescent="0.25">
      <c r="B23" s="287" t="s">
        <v>208</v>
      </c>
      <c r="C23" s="288"/>
      <c r="D23" s="289"/>
      <c r="E23" s="285">
        <v>0</v>
      </c>
      <c r="F23" s="286">
        <v>0</v>
      </c>
      <c r="J23" s="262" t="e">
        <v>#N/A</v>
      </c>
    </row>
    <row r="24" spans="2:10" ht="11.25" customHeight="1" x14ac:dyDescent="0.2">
      <c r="B24" s="500" t="str">
        <f>"CCSWAP1 NPV ("&amp;_xll.xlLiborNameToCurrency(C17)&amp;")"</f>
        <v>CCSWAP1 NPV (EUR)</v>
      </c>
      <c r="C24" s="502" t="e">
        <f>IF(OR($C$9&gt;0,$C$10&gt;0),IF($C$7="Receive",1,-1)*_xll.xlShmCCSwapNPV($C$8,$C$9,$C$10,$C$17,$C$18,$D$17,$D$18,K10:L10,K11:L11,$C$15:$D$15,$C$20:$D$20,$C$21:$D$21,$C$13:$D$13,$C$14:$D$14,$C$22:$D$22,$C$23:$D$23,$C$16,$C$19&amp;T(TYPE($K$9))),"Error: Missing Maturity Info")</f>
        <v>#VALUE!</v>
      </c>
      <c r="D24" s="503"/>
      <c r="E24" s="506" t="e">
        <f>IF(OR($E$9&gt;0,$E$10&gt;0),IF($E$7="Receive",1,-1)*_xll.xlShmCCSwapNPV($E$8,$E$9,$E$10,$E$17,$E$18,$F$17,$F$18,$K$10:$L$10,$K$11:$L$11,$E$15:$F$15,$E$20:$F$20,$E$21:$F$21,$E$13:$F$13,$E$14:$F$14,$E$22:$F$22,$C$23:$D$23,$E$16,$E$19&amp;T(TYPE($K$9))),"Error: Missing Maturity Info")</f>
        <v>#VALUE!</v>
      </c>
      <c r="F24" s="507"/>
      <c r="G24" s="492" t="e">
        <f>C24+E24</f>
        <v>#VALUE!</v>
      </c>
      <c r="J24" s="262" t="e">
        <v>#N/A</v>
      </c>
    </row>
    <row r="25" spans="2:10" ht="16.5" customHeight="1" thickBot="1" x14ac:dyDescent="0.25">
      <c r="B25" s="501"/>
      <c r="C25" s="504"/>
      <c r="D25" s="505"/>
      <c r="E25" s="508"/>
      <c r="F25" s="509"/>
      <c r="G25" s="493"/>
      <c r="J25" s="262" t="e">
        <v>#N/A</v>
      </c>
    </row>
    <row r="26" spans="2:10" x14ac:dyDescent="0.2">
      <c r="C26" t="str">
        <f>IF(ISERROR(C24),_xll.xlShmCCSwapNPV($C$8,$C$9,$C$10,$C$17,$C$18,$D$17,$D$18,K10:L10,K11:L11,$C$15:$D$15,$C$20:$D$20,$C$21:$D$21,$C$13:$D$13,$C$14:$D$14,$C$22:$D$22,$C$23:$D$23,$C$16,$C$19&amp;T(TYPE($K$9))),"")</f>
        <v>Curve (CHFBASIS.EURON(USD)) is not present in shared memory.</v>
      </c>
      <c r="E26" t="str">
        <f>IF(ISERROR(E24),_xll.xlShmCCSwapNPV($E$8,$E$9,$E$10,$E$17,$E$18,$F$17,$F$18,$K$10:$L$10,$K$11:$L$11,$E$15:$F$15,$E$20:$F$20,$E$21:$F$21,$E$13:$F$13,$E$14:$F$14,$E$22:$F$22,$C$23:$D$23,$E$16,$E$19&amp;T(TYPE($K$9))),"")</f>
        <v>Curve (CHFBASIS.EURSTD(USD)) is not present in shared memory.</v>
      </c>
      <c r="J26" s="262" t="e">
        <v>#N/A</v>
      </c>
    </row>
    <row r="27" spans="2:10" x14ac:dyDescent="0.2">
      <c r="J27" s="262" t="e">
        <v>#N/A</v>
      </c>
    </row>
    <row r="28" spans="2:10" ht="12" thickBot="1" x14ac:dyDescent="0.25">
      <c r="J28" s="263" t="e">
        <v>#N/A</v>
      </c>
    </row>
    <row r="29" spans="2:10" ht="12" x14ac:dyDescent="0.2">
      <c r="B29" s="264"/>
      <c r="C29" s="322" t="s">
        <v>192</v>
      </c>
      <c r="D29" s="321" t="str">
        <f>IF(C29="Pay","Receive","Pay")</f>
        <v>Receive</v>
      </c>
      <c r="E29" s="265" t="str">
        <f>D29</f>
        <v>Receive</v>
      </c>
      <c r="F29" s="266" t="str">
        <f>C29</f>
        <v>Pay</v>
      </c>
    </row>
    <row r="30" spans="2:10" ht="12" x14ac:dyDescent="0.2">
      <c r="B30" s="267" t="s">
        <v>193</v>
      </c>
      <c r="C30" s="510">
        <v>40717</v>
      </c>
      <c r="D30" s="511"/>
      <c r="E30" s="512">
        <f>$C30</f>
        <v>40717</v>
      </c>
      <c r="F30" s="513"/>
    </row>
    <row r="31" spans="2:10" ht="12" x14ac:dyDescent="0.2">
      <c r="B31" s="267" t="s">
        <v>194</v>
      </c>
      <c r="C31" s="514">
        <v>42361</v>
      </c>
      <c r="D31" s="515"/>
      <c r="E31" s="516">
        <f>$C31</f>
        <v>42361</v>
      </c>
      <c r="F31" s="517"/>
    </row>
    <row r="32" spans="2:10" ht="12" x14ac:dyDescent="0.2">
      <c r="B32" s="267" t="s">
        <v>195</v>
      </c>
      <c r="C32" s="518">
        <v>0</v>
      </c>
      <c r="D32" s="483"/>
      <c r="E32" s="519">
        <f>$C32</f>
        <v>0</v>
      </c>
      <c r="F32" s="520"/>
    </row>
    <row r="33" spans="2:7" ht="12" x14ac:dyDescent="0.2">
      <c r="B33" s="267" t="s">
        <v>196</v>
      </c>
      <c r="C33" s="295" t="s">
        <v>38</v>
      </c>
      <c r="D33" s="296" t="s">
        <v>38</v>
      </c>
      <c r="E33" s="270" t="str">
        <f t="array" ref="E33:F37">$C33:$D37</f>
        <v>annual</v>
      </c>
      <c r="F33" s="271" t="str">
        <v>annual</v>
      </c>
    </row>
    <row r="34" spans="2:7" ht="12" x14ac:dyDescent="0.2">
      <c r="B34" s="267" t="s">
        <v>197</v>
      </c>
      <c r="C34" s="295" t="s">
        <v>45</v>
      </c>
      <c r="D34" s="296" t="s">
        <v>45</v>
      </c>
      <c r="E34" s="270" t="str">
        <v>30/360</v>
      </c>
      <c r="F34" s="271" t="str">
        <v>30/360</v>
      </c>
    </row>
    <row r="35" spans="2:7" ht="12" x14ac:dyDescent="0.2">
      <c r="B35" s="267" t="s">
        <v>198</v>
      </c>
      <c r="C35" s="278" t="b">
        <v>1</v>
      </c>
      <c r="D35" s="279" t="b">
        <v>1</v>
      </c>
      <c r="E35" s="272" t="b">
        <v>1</v>
      </c>
      <c r="F35" s="273" t="b">
        <v>1</v>
      </c>
    </row>
    <row r="36" spans="2:7" ht="12" x14ac:dyDescent="0.2">
      <c r="B36" s="280" t="s">
        <v>199</v>
      </c>
      <c r="C36" s="281" t="b">
        <v>0</v>
      </c>
      <c r="D36" s="282" t="b">
        <v>0</v>
      </c>
      <c r="E36" s="274" t="b">
        <v>0</v>
      </c>
      <c r="F36" s="275" t="b">
        <v>0</v>
      </c>
    </row>
    <row r="37" spans="2:7" ht="12" x14ac:dyDescent="0.2">
      <c r="B37" s="267" t="s">
        <v>200</v>
      </c>
      <c r="C37" s="283">
        <v>123253903</v>
      </c>
      <c r="D37" s="284">
        <v>150000000</v>
      </c>
      <c r="E37" s="276">
        <v>123253903</v>
      </c>
      <c r="F37" s="277">
        <v>150000000</v>
      </c>
    </row>
    <row r="38" spans="2:7" ht="12" x14ac:dyDescent="0.2">
      <c r="B38" s="267" t="s">
        <v>201</v>
      </c>
      <c r="C38" s="490" t="e">
        <f>$B$4</f>
        <v>#REF!</v>
      </c>
      <c r="D38" s="491"/>
      <c r="E38" s="498" t="e">
        <f>$C38</f>
        <v>#REF!</v>
      </c>
      <c r="F38" s="499"/>
    </row>
    <row r="39" spans="2:7" ht="12" x14ac:dyDescent="0.2">
      <c r="B39" s="267" t="s">
        <v>202</v>
      </c>
      <c r="C39" s="295" t="s">
        <v>143</v>
      </c>
      <c r="D39" s="320" t="s">
        <v>218</v>
      </c>
      <c r="E39" s="295" t="s">
        <v>174</v>
      </c>
      <c r="F39" s="320" t="s">
        <v>217</v>
      </c>
    </row>
    <row r="40" spans="2:7" ht="12" x14ac:dyDescent="0.2">
      <c r="B40" s="267" t="s">
        <v>203</v>
      </c>
      <c r="C40" s="306" t="s">
        <v>144</v>
      </c>
      <c r="D40" s="307" t="s">
        <v>216</v>
      </c>
      <c r="E40" s="270" t="s">
        <v>144</v>
      </c>
      <c r="F40" s="271" t="s">
        <v>216</v>
      </c>
    </row>
    <row r="41" spans="2:7" ht="12" x14ac:dyDescent="0.2">
      <c r="B41" s="267" t="s">
        <v>204</v>
      </c>
      <c r="C41" s="490"/>
      <c r="D41" s="491"/>
      <c r="E41" s="498" t="str">
        <f>IF(LEN($C41)&gt;0, $C41,"")</f>
        <v/>
      </c>
      <c r="F41" s="499"/>
    </row>
    <row r="42" spans="2:7" ht="12" x14ac:dyDescent="0.2">
      <c r="B42" s="267" t="s">
        <v>205</v>
      </c>
      <c r="C42" s="295">
        <v>0</v>
      </c>
      <c r="D42" s="296">
        <v>0</v>
      </c>
      <c r="E42" s="270">
        <f t="array" ref="E42:F45">$C42:$D45</f>
        <v>0</v>
      </c>
      <c r="F42" s="271">
        <v>0</v>
      </c>
    </row>
    <row r="43" spans="2:7" ht="12" x14ac:dyDescent="0.2">
      <c r="B43" s="267" t="s">
        <v>206</v>
      </c>
      <c r="C43" s="295">
        <v>3.5419999999999998</v>
      </c>
      <c r="D43" s="296">
        <v>2.0099999999999998</v>
      </c>
      <c r="E43" s="270">
        <v>3.5419999999999998</v>
      </c>
      <c r="F43" s="271">
        <v>2.0099999999999998</v>
      </c>
    </row>
    <row r="44" spans="2:7" ht="12" x14ac:dyDescent="0.2">
      <c r="B44" s="267" t="s">
        <v>207</v>
      </c>
      <c r="C44" s="295" t="b">
        <v>0</v>
      </c>
      <c r="D44" s="296" t="b">
        <v>0</v>
      </c>
      <c r="E44" s="270" t="b">
        <v>0</v>
      </c>
      <c r="F44" s="271" t="b">
        <v>0</v>
      </c>
    </row>
    <row r="45" spans="2:7" ht="12.75" thickBot="1" x14ac:dyDescent="0.25">
      <c r="B45" s="287" t="s">
        <v>208</v>
      </c>
      <c r="C45" s="288"/>
      <c r="D45" s="289"/>
      <c r="E45" s="285">
        <v>0</v>
      </c>
      <c r="F45" s="286">
        <v>0</v>
      </c>
    </row>
    <row r="46" spans="2:7" ht="11.25" customHeight="1" x14ac:dyDescent="0.2">
      <c r="B46" s="500" t="str">
        <f>"CCSWAP1 NPV ("&amp;_xll.xlLiborNameToCurrency(C39)&amp;")"</f>
        <v>CCSWAP1 NPV (EUR)</v>
      </c>
      <c r="C46" s="502" t="e">
        <f>IF(OR($C31&gt;0,$C32&gt;0),IF($C29="Receive",1,-1)*_xll.xlShmCCSwapNPV($C30,$C31,$C32,$C39,$C40,$D39,$D40,$K$10:$L$10,$K$11:$L$11,$C37:$D37,$C42:$D42,$C43:$D43,$C35:$D35,$C36:$D36,$C44:$D44,$C45:$D45,$C38,$C41&amp;T(TYPE($K$9))),"Error: Missing Maturity Info")</f>
        <v>#VALUE!</v>
      </c>
      <c r="D46" s="503"/>
      <c r="E46" s="506" t="e">
        <f>IF(OR($E31&gt;0,$E32&gt;0),IF($E29="Receive",1,-1)*_xll.xlShmCCSwapNPV($E30,$E31,$E32,$E39,$E40,$F39,$F40,$K$10:$L$10,$K$11:$L$11,$E37:$F37,$E42:$F42,$E43:$F43,$E35:$F35,$E36:$F36,$E44:$F44,$E45:$F45,$E38,$E41&amp;T(TYPE($K$9))),"Error: Missing Maturity Info")</f>
        <v>#VALUE!</v>
      </c>
      <c r="F46" s="507"/>
      <c r="G46" s="492" t="e">
        <f>C46+E46</f>
        <v>#VALUE!</v>
      </c>
    </row>
    <row r="47" spans="2:7" ht="12.2" customHeight="1" thickBot="1" x14ac:dyDescent="0.25">
      <c r="B47" s="501"/>
      <c r="C47" s="504"/>
      <c r="D47" s="505"/>
      <c r="E47" s="508"/>
      <c r="F47" s="509"/>
      <c r="G47" s="493"/>
    </row>
    <row r="48" spans="2:7" x14ac:dyDescent="0.2">
      <c r="E48" s="290"/>
      <c r="F48" s="290"/>
    </row>
    <row r="49" spans="2:6" ht="12" thickBot="1" x14ac:dyDescent="0.25">
      <c r="E49" s="290"/>
      <c r="F49" s="290"/>
    </row>
    <row r="50" spans="2:6" ht="10.9" customHeight="1" x14ac:dyDescent="0.2">
      <c r="B50" s="264"/>
      <c r="C50" s="322" t="s">
        <v>192</v>
      </c>
      <c r="D50" s="321" t="str">
        <f>IF(C50="Pay","Receive","Pay")</f>
        <v>Receive</v>
      </c>
      <c r="E50" s="265" t="str">
        <f>D50</f>
        <v>Receive</v>
      </c>
      <c r="F50" s="266" t="str">
        <f>C50</f>
        <v>Pay</v>
      </c>
    </row>
    <row r="51" spans="2:6" ht="11.85" customHeight="1" x14ac:dyDescent="0.2">
      <c r="B51" s="267" t="s">
        <v>193</v>
      </c>
      <c r="C51" s="510">
        <v>41199</v>
      </c>
      <c r="D51" s="511"/>
      <c r="E51" s="512">
        <f>$C51</f>
        <v>41199</v>
      </c>
      <c r="F51" s="513"/>
    </row>
    <row r="52" spans="2:6" ht="12" x14ac:dyDescent="0.2">
      <c r="B52" s="267" t="s">
        <v>194</v>
      </c>
      <c r="C52" s="514">
        <v>43390</v>
      </c>
      <c r="D52" s="515"/>
      <c r="E52" s="516">
        <f>$C52</f>
        <v>43390</v>
      </c>
      <c r="F52" s="517"/>
    </row>
    <row r="53" spans="2:6" ht="12" x14ac:dyDescent="0.2">
      <c r="B53" s="267" t="s">
        <v>195</v>
      </c>
      <c r="C53" s="518">
        <v>0</v>
      </c>
      <c r="D53" s="483"/>
      <c r="E53" s="519">
        <f>$C53</f>
        <v>0</v>
      </c>
      <c r="F53" s="520"/>
    </row>
    <row r="54" spans="2:6" ht="12" x14ac:dyDescent="0.2">
      <c r="B54" s="267" t="s">
        <v>196</v>
      </c>
      <c r="C54" s="324" t="s">
        <v>38</v>
      </c>
      <c r="D54" s="325" t="s">
        <v>38</v>
      </c>
      <c r="E54" s="270" t="str">
        <f t="array" ref="E54:F58">$C54:$D58</f>
        <v>annual</v>
      </c>
      <c r="F54" s="271" t="str">
        <v>annual</v>
      </c>
    </row>
    <row r="55" spans="2:6" ht="12" x14ac:dyDescent="0.2">
      <c r="B55" s="267" t="s">
        <v>197</v>
      </c>
      <c r="C55" s="324" t="s">
        <v>45</v>
      </c>
      <c r="D55" s="325" t="s">
        <v>45</v>
      </c>
      <c r="E55" s="270" t="str">
        <v>30/360</v>
      </c>
      <c r="F55" s="271" t="str">
        <v>30/360</v>
      </c>
    </row>
    <row r="56" spans="2:6" ht="12" x14ac:dyDescent="0.2">
      <c r="B56" s="267" t="s">
        <v>198</v>
      </c>
      <c r="C56" s="278" t="b">
        <v>1</v>
      </c>
      <c r="D56" s="279" t="b">
        <v>1</v>
      </c>
      <c r="E56" s="272" t="b">
        <v>1</v>
      </c>
      <c r="F56" s="273" t="b">
        <v>1</v>
      </c>
    </row>
    <row r="57" spans="2:6" ht="12" x14ac:dyDescent="0.2">
      <c r="B57" s="280" t="s">
        <v>199</v>
      </c>
      <c r="C57" s="281" t="b">
        <v>0</v>
      </c>
      <c r="D57" s="282" t="b">
        <v>0</v>
      </c>
      <c r="E57" s="274" t="b">
        <v>0</v>
      </c>
      <c r="F57" s="275" t="b">
        <v>0</v>
      </c>
    </row>
    <row r="58" spans="2:6" ht="12" x14ac:dyDescent="0.2">
      <c r="B58" s="267" t="s">
        <v>200</v>
      </c>
      <c r="C58" s="283">
        <v>289160608</v>
      </c>
      <c r="D58" s="284">
        <v>350000000</v>
      </c>
      <c r="E58" s="276">
        <v>289160608</v>
      </c>
      <c r="F58" s="277">
        <v>350000000</v>
      </c>
    </row>
    <row r="59" spans="2:6" ht="12" x14ac:dyDescent="0.2">
      <c r="B59" s="267" t="s">
        <v>201</v>
      </c>
      <c r="C59" s="490" t="e">
        <f>$B$4</f>
        <v>#REF!</v>
      </c>
      <c r="D59" s="491"/>
      <c r="E59" s="498" t="e">
        <f>$C59</f>
        <v>#REF!</v>
      </c>
      <c r="F59" s="499"/>
    </row>
    <row r="60" spans="2:6" ht="12" x14ac:dyDescent="0.2">
      <c r="B60" s="267" t="s">
        <v>202</v>
      </c>
      <c r="C60" s="324" t="s">
        <v>143</v>
      </c>
      <c r="D60" s="325" t="s">
        <v>218</v>
      </c>
      <c r="E60" s="324" t="s">
        <v>174</v>
      </c>
      <c r="F60" s="325" t="s">
        <v>217</v>
      </c>
    </row>
    <row r="61" spans="2:6" ht="12" x14ac:dyDescent="0.2">
      <c r="B61" s="267" t="s">
        <v>203</v>
      </c>
      <c r="C61" s="306" t="s">
        <v>144</v>
      </c>
      <c r="D61" s="307" t="s">
        <v>216</v>
      </c>
      <c r="E61" s="270" t="s">
        <v>144</v>
      </c>
      <c r="F61" s="271" t="s">
        <v>216</v>
      </c>
    </row>
    <row r="62" spans="2:6" ht="12" x14ac:dyDescent="0.2">
      <c r="B62" s="267" t="s">
        <v>204</v>
      </c>
      <c r="C62" s="490"/>
      <c r="D62" s="491"/>
      <c r="E62" s="498" t="str">
        <f>IF(LEN($C62)&gt;0, $C62,"")</f>
        <v/>
      </c>
      <c r="F62" s="499"/>
    </row>
    <row r="63" spans="2:6" ht="12" x14ac:dyDescent="0.2">
      <c r="B63" s="267" t="s">
        <v>205</v>
      </c>
      <c r="C63" s="324">
        <v>0</v>
      </c>
      <c r="D63" s="325">
        <v>0</v>
      </c>
      <c r="E63" s="270">
        <f t="array" ref="E63:F66">$C63:$D66</f>
        <v>0</v>
      </c>
      <c r="F63" s="271">
        <v>0</v>
      </c>
    </row>
    <row r="64" spans="2:6" ht="12" x14ac:dyDescent="0.2">
      <c r="B64" s="267" t="s">
        <v>206</v>
      </c>
      <c r="C64" s="324">
        <v>4.0999999999999996</v>
      </c>
      <c r="D64" s="325">
        <v>2.76</v>
      </c>
      <c r="E64" s="270">
        <v>4.0999999999999996</v>
      </c>
      <c r="F64" s="271">
        <v>2.76</v>
      </c>
    </row>
    <row r="65" spans="2:7" ht="12" x14ac:dyDescent="0.2">
      <c r="B65" s="267" t="s">
        <v>207</v>
      </c>
      <c r="C65" s="324" t="b">
        <v>0</v>
      </c>
      <c r="D65" s="325" t="b">
        <v>0</v>
      </c>
      <c r="E65" s="270" t="b">
        <v>0</v>
      </c>
      <c r="F65" s="271" t="b">
        <v>0</v>
      </c>
    </row>
    <row r="66" spans="2:7" ht="12.75" thickBot="1" x14ac:dyDescent="0.25">
      <c r="B66" s="287" t="s">
        <v>208</v>
      </c>
      <c r="C66" s="288"/>
      <c r="D66" s="289"/>
      <c r="E66" s="285">
        <v>0</v>
      </c>
      <c r="F66" s="286">
        <v>0</v>
      </c>
    </row>
    <row r="67" spans="2:7" ht="11.25" customHeight="1" x14ac:dyDescent="0.2">
      <c r="B67" s="500" t="str">
        <f>"CCSWAP1 NPV ("&amp;_xll.xlLiborNameToCurrency(C60)&amp;")"</f>
        <v>CCSWAP1 NPV (EUR)</v>
      </c>
      <c r="C67" s="502" t="e">
        <f>IF(OR($C52&gt;0,$C53&gt;0),IF($C50="Receive",1,-1)*_xll.xlShmCCSwapNPV($C51,$C52,$C53,$C60,$C61,$D60,$D61,$K$10:$L$10,$K$11:$L$11,$C58:$D58,$C63:$D63,$C64:$D64,$C56:$D56,$C57:$D57,$C65:$D65,$C66:$D66,$C59,$C62&amp;T(TYPE($K$9))),"Error: Missing Maturity Info")</f>
        <v>#VALUE!</v>
      </c>
      <c r="D67" s="503"/>
      <c r="E67" s="506" t="e">
        <f>IF(OR($E52&gt;0,$E53&gt;0),IF($E50="Receive",1,-1)*_xll.xlShmCCSwapNPV($E51,$E52,$E53,$E60,$E61,$F60,$F61,$K$10:$L$10,$K$11:$L$11,$E58:$F58,$E63:$F63,$E64:$F64,$E56:$F56,$E57:$F57,$E65:$F65,$E66:$F66,$E59,$E62&amp;T(TYPE($K$9))),"Error: Missing Maturity Info")</f>
        <v>#VALUE!</v>
      </c>
      <c r="F67" s="507"/>
      <c r="G67" s="492" t="e">
        <f>C67+E67</f>
        <v>#VALUE!</v>
      </c>
    </row>
    <row r="68" spans="2:7" ht="12.2" customHeight="1" thickBot="1" x14ac:dyDescent="0.25">
      <c r="B68" s="501"/>
      <c r="C68" s="504"/>
      <c r="D68" s="505"/>
      <c r="E68" s="508"/>
      <c r="F68" s="509"/>
      <c r="G68" s="493"/>
    </row>
    <row r="70" spans="2:7" ht="12" thickBot="1" x14ac:dyDescent="0.25"/>
    <row r="71" spans="2:7" ht="12" x14ac:dyDescent="0.2">
      <c r="B71" s="264"/>
      <c r="C71" s="322" t="s">
        <v>192</v>
      </c>
      <c r="D71" s="321" t="str">
        <f>IF(C71="Pay","Receive","Pay")</f>
        <v>Receive</v>
      </c>
      <c r="E71" s="265" t="str">
        <f>D71</f>
        <v>Receive</v>
      </c>
      <c r="F71" s="266" t="str">
        <f>C71</f>
        <v>Pay</v>
      </c>
    </row>
    <row r="72" spans="2:7" ht="12" x14ac:dyDescent="0.2">
      <c r="B72" s="267" t="s">
        <v>193</v>
      </c>
      <c r="C72" s="510">
        <v>41208</v>
      </c>
      <c r="D72" s="511"/>
      <c r="E72" s="512">
        <f>$C72</f>
        <v>41208</v>
      </c>
      <c r="F72" s="513"/>
    </row>
    <row r="73" spans="2:7" ht="12" x14ac:dyDescent="0.2">
      <c r="B73" s="267" t="s">
        <v>194</v>
      </c>
      <c r="C73" s="514">
        <v>46686</v>
      </c>
      <c r="D73" s="515"/>
      <c r="E73" s="516">
        <f>$C73</f>
        <v>46686</v>
      </c>
      <c r="F73" s="517"/>
    </row>
    <row r="74" spans="2:7" ht="12" x14ac:dyDescent="0.2">
      <c r="B74" s="267" t="s">
        <v>195</v>
      </c>
      <c r="C74" s="518">
        <v>0</v>
      </c>
      <c r="D74" s="483"/>
      <c r="E74" s="519">
        <f>$C74</f>
        <v>0</v>
      </c>
      <c r="F74" s="520"/>
    </row>
    <row r="75" spans="2:7" ht="12" x14ac:dyDescent="0.2">
      <c r="B75" s="267" t="s">
        <v>196</v>
      </c>
      <c r="C75" s="324" t="s">
        <v>38</v>
      </c>
      <c r="D75" s="325" t="s">
        <v>38</v>
      </c>
      <c r="E75" s="270" t="str">
        <f t="array" ref="E75:F79">$C75:$D79</f>
        <v>annual</v>
      </c>
      <c r="F75" s="271" t="str">
        <v>annual</v>
      </c>
    </row>
    <row r="76" spans="2:7" ht="12" x14ac:dyDescent="0.2">
      <c r="B76" s="267" t="s">
        <v>197</v>
      </c>
      <c r="C76" s="324" t="s">
        <v>45</v>
      </c>
      <c r="D76" s="325" t="s">
        <v>45</v>
      </c>
      <c r="E76" s="270" t="str">
        <v>30/360</v>
      </c>
      <c r="F76" s="271" t="str">
        <v>30/360</v>
      </c>
    </row>
    <row r="77" spans="2:7" ht="12" x14ac:dyDescent="0.2">
      <c r="B77" s="267" t="s">
        <v>198</v>
      </c>
      <c r="C77" s="278" t="b">
        <v>1</v>
      </c>
      <c r="D77" s="279" t="b">
        <v>1</v>
      </c>
      <c r="E77" s="272" t="b">
        <v>1</v>
      </c>
      <c r="F77" s="273" t="b">
        <v>1</v>
      </c>
    </row>
    <row r="78" spans="2:7" ht="12" x14ac:dyDescent="0.2">
      <c r="B78" s="280" t="s">
        <v>199</v>
      </c>
      <c r="C78" s="281" t="b">
        <v>0</v>
      </c>
      <c r="D78" s="282" t="b">
        <v>0</v>
      </c>
      <c r="E78" s="274" t="b">
        <v>0</v>
      </c>
      <c r="F78" s="275" t="b">
        <v>0</v>
      </c>
    </row>
    <row r="79" spans="2:7" ht="12" x14ac:dyDescent="0.2">
      <c r="B79" s="267" t="s">
        <v>200</v>
      </c>
      <c r="C79" s="283">
        <v>107438017</v>
      </c>
      <c r="D79" s="284">
        <v>130000000</v>
      </c>
      <c r="E79" s="276">
        <v>107438017</v>
      </c>
      <c r="F79" s="277">
        <v>130000000</v>
      </c>
    </row>
    <row r="80" spans="2:7" ht="12" x14ac:dyDescent="0.2">
      <c r="B80" s="267" t="s">
        <v>201</v>
      </c>
      <c r="C80" s="490" t="e">
        <f>$B$4</f>
        <v>#REF!</v>
      </c>
      <c r="D80" s="491"/>
      <c r="E80" s="498" t="e">
        <f>$C80</f>
        <v>#REF!</v>
      </c>
      <c r="F80" s="499"/>
    </row>
    <row r="81" spans="2:7" ht="12" x14ac:dyDescent="0.2">
      <c r="B81" s="267" t="s">
        <v>202</v>
      </c>
      <c r="C81" s="324" t="s">
        <v>143</v>
      </c>
      <c r="D81" s="325" t="s">
        <v>218</v>
      </c>
      <c r="E81" s="324" t="s">
        <v>174</v>
      </c>
      <c r="F81" s="325" t="s">
        <v>217</v>
      </c>
    </row>
    <row r="82" spans="2:7" ht="12" x14ac:dyDescent="0.2">
      <c r="B82" s="267" t="s">
        <v>203</v>
      </c>
      <c r="C82" s="306" t="s">
        <v>144</v>
      </c>
      <c r="D82" s="307" t="s">
        <v>216</v>
      </c>
      <c r="E82" s="270" t="s">
        <v>144</v>
      </c>
      <c r="F82" s="271" t="s">
        <v>216</v>
      </c>
    </row>
    <row r="83" spans="2:7" ht="12" x14ac:dyDescent="0.2">
      <c r="B83" s="267" t="s">
        <v>204</v>
      </c>
      <c r="C83" s="490"/>
      <c r="D83" s="491"/>
      <c r="E83" s="498" t="str">
        <f>IF(LEN($C83)&gt;0, $C83,"")</f>
        <v/>
      </c>
      <c r="F83" s="499"/>
    </row>
    <row r="84" spans="2:7" ht="12" x14ac:dyDescent="0.2">
      <c r="B84" s="267" t="s">
        <v>205</v>
      </c>
      <c r="C84" s="324">
        <v>0</v>
      </c>
      <c r="D84" s="325">
        <v>0</v>
      </c>
      <c r="E84" s="270">
        <f t="array" ref="E84:F87">$C84:$D87</f>
        <v>0</v>
      </c>
      <c r="F84" s="271">
        <v>0</v>
      </c>
    </row>
    <row r="85" spans="2:7" ht="12" x14ac:dyDescent="0.2">
      <c r="B85" s="267" t="s">
        <v>206</v>
      </c>
      <c r="C85" s="324">
        <v>5.798</v>
      </c>
      <c r="D85" s="325">
        <v>4</v>
      </c>
      <c r="E85" s="270">
        <v>5.798</v>
      </c>
      <c r="F85" s="271">
        <v>4</v>
      </c>
    </row>
    <row r="86" spans="2:7" ht="12" x14ac:dyDescent="0.2">
      <c r="B86" s="267" t="s">
        <v>207</v>
      </c>
      <c r="C86" s="324" t="b">
        <v>0</v>
      </c>
      <c r="D86" s="325" t="b">
        <v>0</v>
      </c>
      <c r="E86" s="270" t="b">
        <v>0</v>
      </c>
      <c r="F86" s="271" t="b">
        <v>0</v>
      </c>
    </row>
    <row r="87" spans="2:7" ht="12.75" thickBot="1" x14ac:dyDescent="0.25">
      <c r="B87" s="287" t="s">
        <v>208</v>
      </c>
      <c r="C87" s="288"/>
      <c r="D87" s="289"/>
      <c r="E87" s="285">
        <v>0</v>
      </c>
      <c r="F87" s="286">
        <v>0</v>
      </c>
    </row>
    <row r="88" spans="2:7" ht="11.25" customHeight="1" x14ac:dyDescent="0.2">
      <c r="B88" s="500" t="str">
        <f>"CCSWAP1 NPV ("&amp;_xll.xlLiborNameToCurrency(C81)&amp;")"</f>
        <v>CCSWAP1 NPV (EUR)</v>
      </c>
      <c r="C88" s="502" t="e">
        <f>IF(OR($C73&gt;0,$C74&gt;0),IF($C71="Receive",1,-1)*_xll.xlShmCCSwapNPV($C72,$C73,$C74,$C81,$C82,$D81,$D82,$K$10:$L$10,$K$11:$L$11,$C79:$D79,$C84:$D84,$C85:$D85,$C77:$D77,$C78:$D78,$C86:$D86,$C87:$D87,$C80,$C83&amp;T(TYPE($K$9))),"Error: Missing Maturity Info")</f>
        <v>#VALUE!</v>
      </c>
      <c r="D88" s="503"/>
      <c r="E88" s="506" t="e">
        <f>IF(OR($E73&gt;0,$E74&gt;0),IF($E71="Receive",1,-1)*_xll.xlShmCCSwapNPV($E72,$E73,$E74,$E81,$E82,$F81,$F82,$K$10:$L$10,$K$11:$L$11,$E79:$F79,$E84:$F84,$E85:$F85,$E77:$F77,$E78:$F78,$E86:$F86,$E87:$F87,$E80,$E83&amp;T(TYPE($K$9))),"Error: Missing Maturity Info")</f>
        <v>#VALUE!</v>
      </c>
      <c r="F88" s="507"/>
      <c r="G88" s="492" t="e">
        <f>C88+E88</f>
        <v>#VALUE!</v>
      </c>
    </row>
    <row r="89" spans="2:7" ht="12.2" customHeight="1" thickBot="1" x14ac:dyDescent="0.25">
      <c r="B89" s="501"/>
      <c r="C89" s="504"/>
      <c r="D89" s="505"/>
      <c r="E89" s="508"/>
      <c r="F89" s="509"/>
      <c r="G89" s="493"/>
    </row>
  </sheetData>
  <mergeCells count="58">
    <mergeCell ref="C16:D16"/>
    <mergeCell ref="E16:F16"/>
    <mergeCell ref="C19:D19"/>
    <mergeCell ref="E19:F19"/>
    <mergeCell ref="B24:B25"/>
    <mergeCell ref="C24:D25"/>
    <mergeCell ref="E24:F25"/>
    <mergeCell ref="C8:D8"/>
    <mergeCell ref="E8:F8"/>
    <mergeCell ref="C9:D9"/>
    <mergeCell ref="E9:F9"/>
    <mergeCell ref="C10:D10"/>
    <mergeCell ref="E10:F10"/>
    <mergeCell ref="C30:D30"/>
    <mergeCell ref="E30:F30"/>
    <mergeCell ref="C31:D31"/>
    <mergeCell ref="E31:F31"/>
    <mergeCell ref="C32:D32"/>
    <mergeCell ref="E32:F32"/>
    <mergeCell ref="C41:D41"/>
    <mergeCell ref="E41:F41"/>
    <mergeCell ref="B46:B47"/>
    <mergeCell ref="C46:D47"/>
    <mergeCell ref="E46:F47"/>
    <mergeCell ref="B67:B68"/>
    <mergeCell ref="C67:D68"/>
    <mergeCell ref="E67:F68"/>
    <mergeCell ref="C51:D51"/>
    <mergeCell ref="E51:F51"/>
    <mergeCell ref="C52:D52"/>
    <mergeCell ref="E52:F52"/>
    <mergeCell ref="C53:D53"/>
    <mergeCell ref="E53:F53"/>
    <mergeCell ref="B88:B89"/>
    <mergeCell ref="C88:D89"/>
    <mergeCell ref="E88:F89"/>
    <mergeCell ref="C72:D72"/>
    <mergeCell ref="E72:F72"/>
    <mergeCell ref="C73:D73"/>
    <mergeCell ref="E73:F73"/>
    <mergeCell ref="C74:D74"/>
    <mergeCell ref="E74:F74"/>
    <mergeCell ref="G88:G89"/>
    <mergeCell ref="C6:D6"/>
    <mergeCell ref="E6:F6"/>
    <mergeCell ref="G24:G25"/>
    <mergeCell ref="G46:G47"/>
    <mergeCell ref="G67:G68"/>
    <mergeCell ref="C80:D80"/>
    <mergeCell ref="E80:F80"/>
    <mergeCell ref="C83:D83"/>
    <mergeCell ref="E83:F83"/>
    <mergeCell ref="C59:D59"/>
    <mergeCell ref="E59:F59"/>
    <mergeCell ref="C62:D62"/>
    <mergeCell ref="E62:F62"/>
    <mergeCell ref="C38:D38"/>
    <mergeCell ref="E38:F38"/>
  </mergeCells>
  <conditionalFormatting sqref="C18">
    <cfRule type="expression" dxfId="15" priority="19">
      <formula>ABS(C20)&lt;0.000000001</formula>
    </cfRule>
  </conditionalFormatting>
  <conditionalFormatting sqref="D18">
    <cfRule type="expression" dxfId="14" priority="18">
      <formula>ABS(D20)&lt;0.000000001</formula>
    </cfRule>
  </conditionalFormatting>
  <conditionalFormatting sqref="F18">
    <cfRule type="expression" dxfId="13" priority="14">
      <formula>ABS(F20)&lt;0.000000001</formula>
    </cfRule>
  </conditionalFormatting>
  <conditionalFormatting sqref="E18">
    <cfRule type="expression" dxfId="12" priority="15">
      <formula>ABS(E20)&lt;0.000000001</formula>
    </cfRule>
  </conditionalFormatting>
  <conditionalFormatting sqref="C40">
    <cfRule type="expression" dxfId="11" priority="13">
      <formula>ABS(C42)&lt;0.000000001</formula>
    </cfRule>
  </conditionalFormatting>
  <conditionalFormatting sqref="E40">
    <cfRule type="expression" dxfId="10" priority="11">
      <formula>ABS(E42)&lt;0.000000001</formula>
    </cfRule>
  </conditionalFormatting>
  <conditionalFormatting sqref="F40">
    <cfRule type="expression" dxfId="9" priority="10">
      <formula>ABS(F42)&lt;0.000000001</formula>
    </cfRule>
  </conditionalFormatting>
  <conditionalFormatting sqref="D40">
    <cfRule type="expression" dxfId="8" priority="9">
      <formula>ABS(D42)&lt;0.000000001</formula>
    </cfRule>
  </conditionalFormatting>
  <conditionalFormatting sqref="C61">
    <cfRule type="expression" dxfId="7" priority="8">
      <formula>ABS(C63)&lt;0.000000001</formula>
    </cfRule>
  </conditionalFormatting>
  <conditionalFormatting sqref="E61">
    <cfRule type="expression" dxfId="6" priority="7">
      <formula>ABS(E63)&lt;0.000000001</formula>
    </cfRule>
  </conditionalFormatting>
  <conditionalFormatting sqref="F61">
    <cfRule type="expression" dxfId="5" priority="6">
      <formula>ABS(F63)&lt;0.000000001</formula>
    </cfRule>
  </conditionalFormatting>
  <conditionalFormatting sqref="D61">
    <cfRule type="expression" dxfId="4" priority="5">
      <formula>ABS(D63)&lt;0.000000001</formula>
    </cfRule>
  </conditionalFormatting>
  <conditionalFormatting sqref="C82">
    <cfRule type="expression" dxfId="3" priority="4">
      <formula>ABS(C84)&lt;0.000000001</formula>
    </cfRule>
  </conditionalFormatting>
  <conditionalFormatting sqref="E82">
    <cfRule type="expression" dxfId="2" priority="3">
      <formula>ABS(E84)&lt;0.000000001</formula>
    </cfRule>
  </conditionalFormatting>
  <conditionalFormatting sqref="F82">
    <cfRule type="expression" dxfId="1" priority="2">
      <formula>ABS(F84)&lt;0.000000001</formula>
    </cfRule>
  </conditionalFormatting>
  <conditionalFormatting sqref="D82">
    <cfRule type="expression" dxfId="0" priority="1">
      <formula>ABS(D84)&lt;0.000000001</formula>
    </cfRule>
  </conditionalFormatting>
  <dataValidations count="6">
    <dataValidation type="list" allowBlank="1" showInputMessage="1" showErrorMessage="1" sqref="C22:F22 C13:F14 C44:F44 C35:F36 C65:F65 C56:F57 C86:F86 C77:F78">
      <formula1>"TRUE,FALSE"</formula1>
    </dataValidation>
    <dataValidation type="list" allowBlank="1" showInputMessage="1" showErrorMessage="1" sqref="C12:F12 C34:F34 C55:F55 C76:F76">
      <formula1>" Act/Act AFB,30E/360,360/360,30E+360,Act/360,Act/365,365/365,Act/Act,30/360,One/One"</formula1>
    </dataValidation>
    <dataValidation type="list" allowBlank="1" showInputMessage="1" showErrorMessage="1" sqref="C11:F11 C33:F33 C54:F54 C75:F75">
      <formula1>"annual, semiannual, quarterly,monthly"</formula1>
    </dataValidation>
    <dataValidation type="list" allowBlank="1" showInputMessage="1" showErrorMessage="1" sqref="C7:F7 C29:F29 C50:F50 C71:F71">
      <formula1>"Pay,Receive"</formula1>
    </dataValidation>
    <dataValidation type="list" allowBlank="1" showInputMessage="1" showErrorMessage="1" sqref="C19:D19 C41:D41 C62:D62 C83:D83">
      <formula1>$K$6:$K$8</formula1>
    </dataValidation>
    <dataValidation type="list" allowBlank="1" showInputMessage="1" showErrorMessage="1" sqref="C17:F18 C39:F40 C60:F61 C81:F82">
      <formula1>$J$6:$J$28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showGridLines="0" workbookViewId="0">
      <selection activeCell="J99" sqref="J99"/>
    </sheetView>
  </sheetViews>
  <sheetFormatPr defaultRowHeight="11.25" x14ac:dyDescent="0.2"/>
  <cols>
    <col min="2" max="2" width="16.33203125" bestFit="1" customWidth="1"/>
    <col min="3" max="3" width="28" bestFit="1" customWidth="1"/>
    <col min="5" max="5" width="17.1640625" bestFit="1" customWidth="1"/>
    <col min="6" max="6" width="22.5" bestFit="1" customWidth="1"/>
  </cols>
  <sheetData>
    <row r="2" spans="2:6" x14ac:dyDescent="0.2">
      <c r="B2" s="319" t="s">
        <v>159</v>
      </c>
      <c r="C2" s="319"/>
      <c r="E2" s="319" t="s">
        <v>175</v>
      </c>
      <c r="F2" s="319"/>
    </row>
    <row r="3" spans="2:6" x14ac:dyDescent="0.2">
      <c r="B3" s="318" t="s">
        <v>229</v>
      </c>
      <c r="C3" s="317">
        <f>COUNT(B13:B89)</f>
        <v>26</v>
      </c>
      <c r="E3" s="318" t="s">
        <v>229</v>
      </c>
      <c r="F3" s="317">
        <f>COUNT(E13:E89)</f>
        <v>26</v>
      </c>
    </row>
    <row r="4" spans="2:6" x14ac:dyDescent="0.2">
      <c r="B4" s="316" t="s">
        <v>91</v>
      </c>
      <c r="C4" s="27" t="str">
        <f>'USDBASIS(EURON)'!C4</f>
        <v>USDBASIS.EURON</v>
      </c>
      <c r="E4" s="316" t="s">
        <v>91</v>
      </c>
      <c r="F4" s="27" t="str">
        <f>'USDBASIS(EURSTD)'!C4</f>
        <v>USDBASIS.EURSTD</v>
      </c>
    </row>
    <row r="5" spans="2:6" x14ac:dyDescent="0.2">
      <c r="B5" s="316" t="s">
        <v>220</v>
      </c>
      <c r="C5" s="27" t="s">
        <v>228</v>
      </c>
      <c r="E5" s="316" t="s">
        <v>220</v>
      </c>
      <c r="F5" s="27" t="s">
        <v>228</v>
      </c>
    </row>
    <row r="6" spans="2:6" x14ac:dyDescent="0.2">
      <c r="B6" s="316" t="s">
        <v>227</v>
      </c>
      <c r="C6" s="27" t="s">
        <v>226</v>
      </c>
      <c r="E6" s="316" t="s">
        <v>227</v>
      </c>
      <c r="F6" s="27" t="s">
        <v>226</v>
      </c>
    </row>
    <row r="7" spans="2:6" x14ac:dyDescent="0.2">
      <c r="B7" s="316" t="s">
        <v>225</v>
      </c>
      <c r="C7" s="27" t="s">
        <v>145</v>
      </c>
      <c r="E7" s="316" t="s">
        <v>225</v>
      </c>
      <c r="F7" s="27" t="s">
        <v>145</v>
      </c>
    </row>
    <row r="8" spans="2:6" x14ac:dyDescent="0.2">
      <c r="B8" s="316" t="s">
        <v>224</v>
      </c>
      <c r="C8" s="27" t="s">
        <v>223</v>
      </c>
      <c r="E8" s="316" t="s">
        <v>224</v>
      </c>
      <c r="F8" s="27" t="s">
        <v>223</v>
      </c>
    </row>
    <row r="9" spans="2:6" x14ac:dyDescent="0.2">
      <c r="B9" s="315" t="s">
        <v>222</v>
      </c>
      <c r="C9" s="314" t="str">
        <f>_xll.qlInterpolatedYieldCurve(C4,B13:INDEX(B13:B89,C3),C13:INDEX(C13:C89,C3),C5,C6,,,C7,C8,TRUE,EvaluationDate)</f>
        <v>USDBASIS.EURON#0074</v>
      </c>
      <c r="E9" s="315" t="s">
        <v>222</v>
      </c>
      <c r="F9" s="314" t="str">
        <f>_xll.qlInterpolatedYieldCurve(F4,E13:INDEX(E13:E89,F3),F13:INDEX(F13:F89,F3),F5,F6,,,F7,F8,TRUE,EvaluationDate)</f>
        <v>USDBASIS.EURSTD#0073</v>
      </c>
    </row>
    <row r="12" spans="2:6" x14ac:dyDescent="0.2">
      <c r="B12" s="312" t="s">
        <v>221</v>
      </c>
      <c r="C12" s="312" t="s">
        <v>145</v>
      </c>
      <c r="E12" s="312" t="s">
        <v>221</v>
      </c>
      <c r="F12" s="312" t="s">
        <v>145</v>
      </c>
    </row>
    <row r="13" spans="2:6" x14ac:dyDescent="0.2">
      <c r="B13" s="193">
        <f>'USDBASIS(EURON)'!U3</f>
        <v>42123</v>
      </c>
      <c r="C13" s="313">
        <f>'USDBASIS(EURON)'!V3</f>
        <v>1</v>
      </c>
      <c r="E13" s="193">
        <f>'USDBASIS(EURSTD)'!U3</f>
        <v>42123</v>
      </c>
      <c r="F13" s="313">
        <f>'USDBASIS(EURSTD)'!V3</f>
        <v>1</v>
      </c>
    </row>
    <row r="14" spans="2:6" x14ac:dyDescent="0.2">
      <c r="B14" s="72">
        <f>'USDBASIS(EURON)'!U4</f>
        <v>42124</v>
      </c>
      <c r="C14" s="71">
        <f>'USDBASIS(EURON)'!V4</f>
        <v>0.99998539765448891</v>
      </c>
      <c r="E14" s="72">
        <f>'USDBASIS(EURSTD)'!U4</f>
        <v>42124</v>
      </c>
      <c r="F14" s="71">
        <f>'USDBASIS(EURSTD)'!V4</f>
        <v>0.99998519966522348</v>
      </c>
    </row>
    <row r="15" spans="2:6" x14ac:dyDescent="0.2">
      <c r="B15" s="72">
        <f>'USDBASIS(EURON)'!U5</f>
        <v>42125</v>
      </c>
      <c r="C15" s="71">
        <f>'USDBASIS(EURON)'!V5</f>
        <v>0.99997369214654297</v>
      </c>
      <c r="E15" s="72">
        <f>'USDBASIS(EURSTD)'!U5</f>
        <v>42125</v>
      </c>
      <c r="F15" s="71">
        <f>'USDBASIS(EURSTD)'!V5</f>
        <v>0.99996928848115174</v>
      </c>
    </row>
    <row r="16" spans="2:6" x14ac:dyDescent="0.2">
      <c r="B16" s="72">
        <f>'USDBASIS(EURON)'!U6</f>
        <v>42132</v>
      </c>
      <c r="C16" s="71">
        <f>'USDBASIS(EURON)'!V6</f>
        <v>0.99989989363556664</v>
      </c>
      <c r="E16" s="72">
        <f>'USDBASIS(EURSTD)'!U6</f>
        <v>42132</v>
      </c>
      <c r="F16" s="71">
        <f>'USDBASIS(EURSTD)'!V6</f>
        <v>0.99989143543754</v>
      </c>
    </row>
    <row r="17" spans="2:6" x14ac:dyDescent="0.2">
      <c r="B17" s="72">
        <f>'USDBASIS(EURON)'!U7</f>
        <v>42139</v>
      </c>
      <c r="C17" s="71">
        <f>'USDBASIS(EURON)'!V7</f>
        <v>0.99983009359516939</v>
      </c>
      <c r="E17" s="72">
        <f>'USDBASIS(EURSTD)'!U7</f>
        <v>42139</v>
      </c>
      <c r="F17" s="71">
        <f>'USDBASIS(EURSTD)'!V7</f>
        <v>0.99981960093618383</v>
      </c>
    </row>
    <row r="18" spans="2:6" x14ac:dyDescent="0.2">
      <c r="B18" s="72">
        <f>'USDBASIS(EURON)'!U8</f>
        <v>42146</v>
      </c>
      <c r="C18" s="71">
        <f>'USDBASIS(EURON)'!V8</f>
        <v>0.99975259604912725</v>
      </c>
      <c r="E18" s="72">
        <f>'USDBASIS(EURSTD)'!U8</f>
        <v>42146</v>
      </c>
      <c r="F18" s="71">
        <f>'USDBASIS(EURSTD)'!V8</f>
        <v>0.99973277047722309</v>
      </c>
    </row>
    <row r="19" spans="2:6" x14ac:dyDescent="0.2">
      <c r="B19" s="72">
        <f>'USDBASIS(EURON)'!U9</f>
        <v>42156</v>
      </c>
      <c r="C19" s="71">
        <f>'USDBASIS(EURON)'!V9</f>
        <v>0.99966239584360017</v>
      </c>
      <c r="E19" s="72">
        <f>'USDBASIS(EURSTD)'!U9</f>
        <v>42156</v>
      </c>
      <c r="F19" s="71">
        <f>'USDBASIS(EURSTD)'!V9</f>
        <v>0.99961720572294421</v>
      </c>
    </row>
    <row r="20" spans="2:6" x14ac:dyDescent="0.2">
      <c r="B20" s="72">
        <f>'USDBASIS(EURON)'!U10</f>
        <v>42186</v>
      </c>
      <c r="C20" s="71">
        <f>'USDBASIS(EURON)'!V10</f>
        <v>0.99931259690114427</v>
      </c>
      <c r="E20" s="72">
        <f>'USDBASIS(EURSTD)'!U10</f>
        <v>42186</v>
      </c>
      <c r="F20" s="71">
        <f>'USDBASIS(EURSTD)'!V10</f>
        <v>0.99917557930796153</v>
      </c>
    </row>
    <row r="21" spans="2:6" x14ac:dyDescent="0.2">
      <c r="B21" s="72">
        <f>'USDBASIS(EURON)'!U11</f>
        <v>42219</v>
      </c>
      <c r="C21" s="71">
        <f>'USDBASIS(EURON)'!V11</f>
        <v>0.99902512103883923</v>
      </c>
      <c r="E21" s="72">
        <f>'USDBASIS(EURSTD)'!U11</f>
        <v>42219</v>
      </c>
      <c r="F21" s="71">
        <f>'USDBASIS(EURSTD)'!V11</f>
        <v>0.99870168432564344</v>
      </c>
    </row>
    <row r="22" spans="2:6" x14ac:dyDescent="0.2">
      <c r="B22" s="72">
        <f>'USDBASIS(EURON)'!U12</f>
        <v>42248</v>
      </c>
      <c r="C22" s="71">
        <f>'USDBASIS(EURON)'!V12</f>
        <v>0.99864931316196115</v>
      </c>
      <c r="E22" s="72">
        <f>'USDBASIS(EURSTD)'!U12</f>
        <v>42248</v>
      </c>
      <c r="F22" s="71">
        <f>'USDBASIS(EURSTD)'!V12</f>
        <v>0.99819405892728297</v>
      </c>
    </row>
    <row r="23" spans="2:6" x14ac:dyDescent="0.2">
      <c r="B23" s="72">
        <f>'USDBASIS(EURON)'!U13</f>
        <v>42278</v>
      </c>
      <c r="C23" s="71">
        <f>'USDBASIS(EURON)'!V13</f>
        <v>0.99825715837487028</v>
      </c>
      <c r="E23" s="72">
        <f>'USDBASIS(EURSTD)'!U13</f>
        <v>42278</v>
      </c>
      <c r="F23" s="71">
        <f>'USDBASIS(EURSTD)'!V13</f>
        <v>0.99753593197977708</v>
      </c>
    </row>
    <row r="24" spans="2:6" x14ac:dyDescent="0.2">
      <c r="B24" s="72">
        <f>'USDBASIS(EURON)'!U14</f>
        <v>42310</v>
      </c>
      <c r="C24" s="71">
        <f>'USDBASIS(EURON)'!V14</f>
        <v>0.99783194369271444</v>
      </c>
      <c r="E24" s="72">
        <f>'USDBASIS(EURSTD)'!U14</f>
        <v>42310</v>
      </c>
      <c r="F24" s="71">
        <f>'USDBASIS(EURSTD)'!V14</f>
        <v>0.9967635803788526</v>
      </c>
    </row>
    <row r="25" spans="2:6" x14ac:dyDescent="0.2">
      <c r="B25" s="72">
        <f>'USDBASIS(EURON)'!U15</f>
        <v>42339</v>
      </c>
      <c r="C25" s="71">
        <f>'USDBASIS(EURON)'!V15</f>
        <v>0.99725631418432492</v>
      </c>
      <c r="E25" s="72">
        <f>'USDBASIS(EURSTD)'!U15</f>
        <v>42339</v>
      </c>
      <c r="F25" s="71">
        <f>'USDBASIS(EURSTD)'!V15</f>
        <v>0.99594206874816615</v>
      </c>
    </row>
    <row r="26" spans="2:6" x14ac:dyDescent="0.2">
      <c r="B26" s="72">
        <f>'USDBASIS(EURON)'!U16</f>
        <v>42373</v>
      </c>
      <c r="C26" s="71">
        <f>'USDBASIS(EURON)'!V16</f>
        <v>0.99670713674357847</v>
      </c>
      <c r="E26" s="72">
        <f>'USDBASIS(EURSTD)'!U16</f>
        <v>42373</v>
      </c>
      <c r="F26" s="71">
        <f>'USDBASIS(EURSTD)'!V16</f>
        <v>0.99499363880624847</v>
      </c>
    </row>
    <row r="27" spans="2:6" x14ac:dyDescent="0.2">
      <c r="B27" s="72">
        <f>'USDBASIS(EURON)'!U17</f>
        <v>42401</v>
      </c>
      <c r="C27" s="71">
        <f>'USDBASIS(EURON)'!V17</f>
        <v>0.9961056970791472</v>
      </c>
      <c r="E27" s="72">
        <f>'USDBASIS(EURSTD)'!U17</f>
        <v>42401</v>
      </c>
      <c r="F27" s="71">
        <f>'USDBASIS(EURSTD)'!V17</f>
        <v>0.9942553160669213</v>
      </c>
    </row>
    <row r="28" spans="2:6" x14ac:dyDescent="0.2">
      <c r="B28" s="72">
        <f>'USDBASIS(EURON)'!U18</f>
        <v>42405</v>
      </c>
      <c r="C28" s="71">
        <f>'USDBASIS(EURON)'!V18</f>
        <v>0.99599634437524809</v>
      </c>
      <c r="E28" s="72">
        <f>'USDBASIS(EURSTD)'!U18</f>
        <v>42405</v>
      </c>
      <c r="F28" s="71">
        <f>'USDBASIS(EURSTD)'!V18</f>
        <v>0.99423270479885728</v>
      </c>
    </row>
    <row r="29" spans="2:6" x14ac:dyDescent="0.2">
      <c r="B29" s="72">
        <f>'USDBASIS(EURON)'!U19</f>
        <v>42495</v>
      </c>
      <c r="C29" s="71">
        <f>'USDBASIS(EURON)'!V19</f>
        <v>0.99375484926414381</v>
      </c>
      <c r="E29" s="72">
        <f>'USDBASIS(EURSTD)'!U19</f>
        <v>42495</v>
      </c>
      <c r="F29" s="71">
        <f>'USDBASIS(EURSTD)'!V19</f>
        <v>0.99165887732893232</v>
      </c>
    </row>
    <row r="30" spans="2:6" x14ac:dyDescent="0.2">
      <c r="B30" s="72">
        <f>'USDBASIS(EURON)'!U20</f>
        <v>42860</v>
      </c>
      <c r="C30" s="71">
        <f>'USDBASIS(EURON)'!V20</f>
        <v>0.97981370088122255</v>
      </c>
      <c r="E30" s="72">
        <f>'USDBASIS(EURSTD)'!U20</f>
        <v>42860</v>
      </c>
      <c r="F30" s="71">
        <f>'USDBASIS(EURSTD)'!V20</f>
        <v>0.97632776111276931</v>
      </c>
    </row>
    <row r="31" spans="2:6" x14ac:dyDescent="0.2">
      <c r="B31" s="72">
        <f>'USDBASIS(EURON)'!U21</f>
        <v>43228</v>
      </c>
      <c r="C31" s="71">
        <f>'USDBASIS(EURON)'!V21</f>
        <v>0.96024765663021716</v>
      </c>
      <c r="E31" s="72">
        <f>'USDBASIS(EURSTD)'!U21</f>
        <v>43228</v>
      </c>
      <c r="F31" s="71">
        <f>'USDBASIS(EURSTD)'!V21</f>
        <v>0.95384832384897922</v>
      </c>
    </row>
    <row r="32" spans="2:6" x14ac:dyDescent="0.2">
      <c r="B32" s="72">
        <f>'USDBASIS(EURON)'!U22</f>
        <v>43592</v>
      </c>
      <c r="C32" s="71">
        <f>'USDBASIS(EURON)'!V22</f>
        <v>0.93764713543677514</v>
      </c>
      <c r="E32" s="72">
        <f>'USDBASIS(EURSTD)'!U22</f>
        <v>43592</v>
      </c>
      <c r="F32" s="71">
        <f>'USDBASIS(EURSTD)'!V22</f>
        <v>0.92901754346915644</v>
      </c>
    </row>
    <row r="33" spans="2:6" x14ac:dyDescent="0.2">
      <c r="B33" s="72">
        <f>'USDBASIS(EURON)'!U23</f>
        <v>43956</v>
      </c>
      <c r="C33" s="71">
        <f>'USDBASIS(EURON)'!V23</f>
        <v>0.91371375487837758</v>
      </c>
      <c r="E33" s="72">
        <f>'USDBASIS(EURSTD)'!U23</f>
        <v>43956</v>
      </c>
      <c r="F33" s="71">
        <f>'USDBASIS(EURSTD)'!V23</f>
        <v>0.9028968736933114</v>
      </c>
    </row>
    <row r="34" spans="2:6" x14ac:dyDescent="0.2">
      <c r="B34" s="72">
        <f>'USDBASIS(EURON)'!U24</f>
        <v>44686</v>
      </c>
      <c r="C34" s="71">
        <f>'USDBASIS(EURON)'!V24</f>
        <v>0.86352486062569522</v>
      </c>
      <c r="E34" s="72">
        <f>'USDBASIS(EURSTD)'!U24</f>
        <v>44686</v>
      </c>
      <c r="F34" s="71">
        <f>'USDBASIS(EURSTD)'!V24</f>
        <v>0.84916455488057452</v>
      </c>
    </row>
    <row r="35" spans="2:6" x14ac:dyDescent="0.2">
      <c r="B35" s="72">
        <f>'USDBASIS(EURON)'!U25</f>
        <v>45783</v>
      </c>
      <c r="C35" s="71">
        <f>'USDBASIS(EURON)'!V25</f>
        <v>0.79079916462099664</v>
      </c>
      <c r="E35" s="72">
        <f>'USDBASIS(EURSTD)'!U25</f>
        <v>45783</v>
      </c>
      <c r="F35" s="71">
        <f>'USDBASIS(EURSTD)'!V25</f>
        <v>0.77238344508731283</v>
      </c>
    </row>
    <row r="36" spans="2:6" x14ac:dyDescent="0.2">
      <c r="B36" s="72">
        <f>'USDBASIS(EURON)'!U26</f>
        <v>47610</v>
      </c>
      <c r="C36" s="71">
        <f>'USDBASIS(EURON)'!V26</f>
        <v>0.68338328800173442</v>
      </c>
      <c r="E36" s="72">
        <f>'USDBASIS(EURSTD)'!U26</f>
        <v>47610</v>
      </c>
      <c r="F36" s="71">
        <f>'USDBASIS(EURSTD)'!V26</f>
        <v>0.66173724569126169</v>
      </c>
    </row>
    <row r="37" spans="2:6" x14ac:dyDescent="0.2">
      <c r="B37" s="72">
        <f>'USDBASIS(EURON)'!U27</f>
        <v>49437</v>
      </c>
      <c r="C37" s="71">
        <f>'USDBASIS(EURON)'!V27</f>
        <v>0.59278482154814127</v>
      </c>
      <c r="E37" s="72">
        <f>'USDBASIS(EURSTD)'!U27</f>
        <v>49437</v>
      </c>
      <c r="F37" s="71">
        <f>'USDBASIS(EURSTD)'!V27</f>
        <v>0.57081979574798636</v>
      </c>
    </row>
    <row r="38" spans="2:6" x14ac:dyDescent="0.2">
      <c r="B38" s="72">
        <f>'USDBASIS(EURON)'!U28</f>
        <v>53087</v>
      </c>
      <c r="C38" s="71">
        <f>'USDBASIS(EURON)'!V28</f>
        <v>0.45189178365136518</v>
      </c>
      <c r="E38" s="72">
        <f>'USDBASIS(EURSTD)'!U28</f>
        <v>53087</v>
      </c>
      <c r="F38" s="71">
        <f>'USDBASIS(EURSTD)'!V28</f>
        <v>0.43199400850026815</v>
      </c>
    </row>
    <row r="39" spans="2:6" x14ac:dyDescent="0.2">
      <c r="B39" s="72" t="e">
        <f>'USDBASIS(EURON)'!U29</f>
        <v>#N/A</v>
      </c>
      <c r="C39" s="71" t="e">
        <f>'USDBASIS(EURON)'!V29</f>
        <v>#N/A</v>
      </c>
      <c r="E39" s="72" t="e">
        <f>'USDBASIS(EURSTD)'!U29</f>
        <v>#N/A</v>
      </c>
      <c r="F39" s="71" t="e">
        <f>'USDBASIS(EURSTD)'!V29</f>
        <v>#N/A</v>
      </c>
    </row>
    <row r="40" spans="2:6" x14ac:dyDescent="0.2">
      <c r="B40" s="72" t="e">
        <f>'USDBASIS(EURON)'!U30</f>
        <v>#N/A</v>
      </c>
      <c r="C40" s="71" t="e">
        <f>'USDBASIS(EURON)'!V30</f>
        <v>#N/A</v>
      </c>
      <c r="E40" s="72" t="e">
        <f>'USDBASIS(EURSTD)'!U30</f>
        <v>#N/A</v>
      </c>
      <c r="F40" s="71" t="e">
        <f>'USDBASIS(EURSTD)'!V30</f>
        <v>#N/A</v>
      </c>
    </row>
    <row r="41" spans="2:6" x14ac:dyDescent="0.2">
      <c r="B41" s="72" t="e">
        <f>'USDBASIS(EURON)'!U31</f>
        <v>#N/A</v>
      </c>
      <c r="C41" s="71" t="e">
        <f>'USDBASIS(EURON)'!V31</f>
        <v>#N/A</v>
      </c>
      <c r="E41" s="72" t="e">
        <f>'USDBASIS(EURSTD)'!U31</f>
        <v>#N/A</v>
      </c>
      <c r="F41" s="71" t="e">
        <f>'USDBASIS(EURSTD)'!V31</f>
        <v>#N/A</v>
      </c>
    </row>
    <row r="42" spans="2:6" x14ac:dyDescent="0.2">
      <c r="B42" s="72" t="e">
        <f>'USDBASIS(EURON)'!U32</f>
        <v>#N/A</v>
      </c>
      <c r="C42" s="71" t="e">
        <f>'USDBASIS(EURON)'!V32</f>
        <v>#N/A</v>
      </c>
      <c r="E42" s="72" t="e">
        <f>'USDBASIS(EURSTD)'!U32</f>
        <v>#N/A</v>
      </c>
      <c r="F42" s="71" t="e">
        <f>'USDBASIS(EURSTD)'!V32</f>
        <v>#N/A</v>
      </c>
    </row>
    <row r="43" spans="2:6" x14ac:dyDescent="0.2">
      <c r="B43" s="72" t="e">
        <f>'USDBASIS(EURON)'!U33</f>
        <v>#N/A</v>
      </c>
      <c r="C43" s="71" t="e">
        <f>'USDBASIS(EURON)'!V33</f>
        <v>#N/A</v>
      </c>
      <c r="E43" s="72" t="e">
        <f>'USDBASIS(EURSTD)'!U33</f>
        <v>#N/A</v>
      </c>
      <c r="F43" s="71" t="e">
        <f>'USDBASIS(EURSTD)'!V33</f>
        <v>#N/A</v>
      </c>
    </row>
    <row r="44" spans="2:6" x14ac:dyDescent="0.2">
      <c r="B44" s="72" t="e">
        <f>'USDBASIS(EURON)'!U34</f>
        <v>#N/A</v>
      </c>
      <c r="C44" s="71" t="e">
        <f>'USDBASIS(EURON)'!V34</f>
        <v>#N/A</v>
      </c>
      <c r="E44" s="72" t="e">
        <f>'USDBASIS(EURSTD)'!U34</f>
        <v>#N/A</v>
      </c>
      <c r="F44" s="71" t="e">
        <f>'USDBASIS(EURSTD)'!V34</f>
        <v>#N/A</v>
      </c>
    </row>
    <row r="45" spans="2:6" x14ac:dyDescent="0.2">
      <c r="B45" s="72" t="e">
        <f>'USDBASIS(EURON)'!U35</f>
        <v>#N/A</v>
      </c>
      <c r="C45" s="71" t="e">
        <f>'USDBASIS(EURON)'!V35</f>
        <v>#N/A</v>
      </c>
      <c r="E45" s="72" t="e">
        <f>'USDBASIS(EURSTD)'!U35</f>
        <v>#N/A</v>
      </c>
      <c r="F45" s="71" t="e">
        <f>'USDBASIS(EURSTD)'!V35</f>
        <v>#N/A</v>
      </c>
    </row>
    <row r="46" spans="2:6" x14ac:dyDescent="0.2">
      <c r="B46" s="72" t="e">
        <f>'USDBASIS(EURON)'!U36</f>
        <v>#N/A</v>
      </c>
      <c r="C46" s="71" t="e">
        <f>'USDBASIS(EURON)'!V36</f>
        <v>#N/A</v>
      </c>
      <c r="E46" s="72" t="e">
        <f>'USDBASIS(EURSTD)'!U36</f>
        <v>#N/A</v>
      </c>
      <c r="F46" s="71" t="e">
        <f>'USDBASIS(EURSTD)'!V36</f>
        <v>#N/A</v>
      </c>
    </row>
    <row r="47" spans="2:6" x14ac:dyDescent="0.2">
      <c r="B47" s="72" t="e">
        <f>'USDBASIS(EURON)'!U37</f>
        <v>#N/A</v>
      </c>
      <c r="C47" s="71" t="e">
        <f>'USDBASIS(EURON)'!V37</f>
        <v>#N/A</v>
      </c>
      <c r="E47" s="72" t="e">
        <f>'USDBASIS(EURSTD)'!U37</f>
        <v>#N/A</v>
      </c>
      <c r="F47" s="71" t="e">
        <f>'USDBASIS(EURSTD)'!V37</f>
        <v>#N/A</v>
      </c>
    </row>
    <row r="48" spans="2:6" x14ac:dyDescent="0.2">
      <c r="B48" s="72" t="e">
        <f>'USDBASIS(EURON)'!U38</f>
        <v>#N/A</v>
      </c>
      <c r="C48" s="71" t="e">
        <f>'USDBASIS(EURON)'!V38</f>
        <v>#N/A</v>
      </c>
      <c r="E48" s="72" t="e">
        <f>'USDBASIS(EURSTD)'!U38</f>
        <v>#N/A</v>
      </c>
      <c r="F48" s="71" t="e">
        <f>'USDBASIS(EURSTD)'!V38</f>
        <v>#N/A</v>
      </c>
    </row>
    <row r="49" spans="2:6" x14ac:dyDescent="0.2">
      <c r="B49" s="72" t="e">
        <f>'USDBASIS(EURON)'!U39</f>
        <v>#N/A</v>
      </c>
      <c r="C49" s="71" t="e">
        <f>'USDBASIS(EURON)'!V39</f>
        <v>#N/A</v>
      </c>
      <c r="E49" s="72" t="e">
        <f>'USDBASIS(EURSTD)'!U39</f>
        <v>#N/A</v>
      </c>
      <c r="F49" s="71" t="e">
        <f>'USDBASIS(EURSTD)'!V39</f>
        <v>#N/A</v>
      </c>
    </row>
    <row r="50" spans="2:6" x14ac:dyDescent="0.2">
      <c r="B50" s="72" t="e">
        <f>'USDBASIS(EURON)'!U40</f>
        <v>#N/A</v>
      </c>
      <c r="C50" s="71" t="e">
        <f>'USDBASIS(EURON)'!V40</f>
        <v>#N/A</v>
      </c>
      <c r="E50" s="72" t="e">
        <f>'USDBASIS(EURSTD)'!U40</f>
        <v>#N/A</v>
      </c>
      <c r="F50" s="71" t="e">
        <f>'USDBASIS(EURSTD)'!V40</f>
        <v>#N/A</v>
      </c>
    </row>
    <row r="51" spans="2:6" x14ac:dyDescent="0.2">
      <c r="B51" s="72" t="e">
        <f>'USDBASIS(EURON)'!U41</f>
        <v>#N/A</v>
      </c>
      <c r="C51" s="71" t="e">
        <f>'USDBASIS(EURON)'!V41</f>
        <v>#N/A</v>
      </c>
      <c r="E51" s="72" t="e">
        <f>'USDBASIS(EURSTD)'!U41</f>
        <v>#N/A</v>
      </c>
      <c r="F51" s="71" t="e">
        <f>'USDBASIS(EURSTD)'!V41</f>
        <v>#N/A</v>
      </c>
    </row>
    <row r="52" spans="2:6" x14ac:dyDescent="0.2">
      <c r="B52" s="72" t="e">
        <f>'USDBASIS(EURON)'!U42</f>
        <v>#N/A</v>
      </c>
      <c r="C52" s="71" t="e">
        <f>'USDBASIS(EURON)'!V42</f>
        <v>#N/A</v>
      </c>
      <c r="E52" s="72" t="e">
        <f>'USDBASIS(EURSTD)'!U42</f>
        <v>#N/A</v>
      </c>
      <c r="F52" s="71" t="e">
        <f>'USDBASIS(EURSTD)'!V42</f>
        <v>#N/A</v>
      </c>
    </row>
    <row r="53" spans="2:6" x14ac:dyDescent="0.2">
      <c r="B53" s="72" t="e">
        <f>'USDBASIS(EURON)'!U43</f>
        <v>#N/A</v>
      </c>
      <c r="C53" s="71" t="e">
        <f>'USDBASIS(EURON)'!V43</f>
        <v>#N/A</v>
      </c>
      <c r="E53" s="72" t="e">
        <f>'USDBASIS(EURSTD)'!U43</f>
        <v>#N/A</v>
      </c>
      <c r="F53" s="71" t="e">
        <f>'USDBASIS(EURSTD)'!V43</f>
        <v>#N/A</v>
      </c>
    </row>
    <row r="54" spans="2:6" x14ac:dyDescent="0.2">
      <c r="B54" s="72" t="e">
        <f>'USDBASIS(EURON)'!U44</f>
        <v>#N/A</v>
      </c>
      <c r="C54" s="71" t="e">
        <f>'USDBASIS(EURON)'!V44</f>
        <v>#N/A</v>
      </c>
      <c r="E54" s="72" t="e">
        <f>'USDBASIS(EURSTD)'!U44</f>
        <v>#N/A</v>
      </c>
      <c r="F54" s="71" t="e">
        <f>'USDBASIS(EURSTD)'!V44</f>
        <v>#N/A</v>
      </c>
    </row>
    <row r="55" spans="2:6" x14ac:dyDescent="0.2">
      <c r="B55" s="72" t="e">
        <f>'USDBASIS(EURON)'!U45</f>
        <v>#N/A</v>
      </c>
      <c r="C55" s="71" t="e">
        <f>'USDBASIS(EURON)'!V45</f>
        <v>#N/A</v>
      </c>
      <c r="E55" s="72" t="e">
        <f>'USDBASIS(EURSTD)'!U45</f>
        <v>#N/A</v>
      </c>
      <c r="F55" s="71" t="e">
        <f>'USDBASIS(EURSTD)'!V45</f>
        <v>#N/A</v>
      </c>
    </row>
    <row r="56" spans="2:6" x14ac:dyDescent="0.2">
      <c r="B56" s="72" t="e">
        <f>'USDBASIS(EURON)'!U46</f>
        <v>#N/A</v>
      </c>
      <c r="C56" s="71" t="e">
        <f>'USDBASIS(EURON)'!V46</f>
        <v>#N/A</v>
      </c>
      <c r="E56" s="72" t="e">
        <f>'USDBASIS(EURSTD)'!U46</f>
        <v>#N/A</v>
      </c>
      <c r="F56" s="71" t="e">
        <f>'USDBASIS(EURSTD)'!V46</f>
        <v>#N/A</v>
      </c>
    </row>
    <row r="57" spans="2:6" x14ac:dyDescent="0.2">
      <c r="B57" s="72" t="e">
        <f>'USDBASIS(EURON)'!U47</f>
        <v>#N/A</v>
      </c>
      <c r="C57" s="71" t="e">
        <f>'USDBASIS(EURON)'!V47</f>
        <v>#N/A</v>
      </c>
      <c r="E57" s="72" t="e">
        <f>'USDBASIS(EURSTD)'!U47</f>
        <v>#N/A</v>
      </c>
      <c r="F57" s="71" t="e">
        <f>'USDBASIS(EURSTD)'!V47</f>
        <v>#N/A</v>
      </c>
    </row>
    <row r="58" spans="2:6" x14ac:dyDescent="0.2">
      <c r="B58" s="72" t="e">
        <f>'USDBASIS(EURON)'!U48</f>
        <v>#N/A</v>
      </c>
      <c r="C58" s="71" t="e">
        <f>'USDBASIS(EURON)'!V48</f>
        <v>#N/A</v>
      </c>
      <c r="E58" s="72" t="e">
        <f>'USDBASIS(EURSTD)'!U48</f>
        <v>#N/A</v>
      </c>
      <c r="F58" s="71" t="e">
        <f>'USDBASIS(EURSTD)'!V48</f>
        <v>#N/A</v>
      </c>
    </row>
    <row r="59" spans="2:6" x14ac:dyDescent="0.2">
      <c r="B59" s="72" t="e">
        <f>'USDBASIS(EURON)'!U49</f>
        <v>#N/A</v>
      </c>
      <c r="C59" s="71" t="e">
        <f>'USDBASIS(EURON)'!V49</f>
        <v>#N/A</v>
      </c>
      <c r="E59" s="72" t="e">
        <f>'USDBASIS(EURSTD)'!U49</f>
        <v>#N/A</v>
      </c>
      <c r="F59" s="71" t="e">
        <f>'USDBASIS(EURSTD)'!V49</f>
        <v>#N/A</v>
      </c>
    </row>
    <row r="60" spans="2:6" x14ac:dyDescent="0.2">
      <c r="B60" s="72" t="e">
        <f>'USDBASIS(EURON)'!U50</f>
        <v>#N/A</v>
      </c>
      <c r="C60" s="71" t="e">
        <f>'USDBASIS(EURON)'!V50</f>
        <v>#N/A</v>
      </c>
      <c r="E60" s="72" t="e">
        <f>'USDBASIS(EURSTD)'!U50</f>
        <v>#N/A</v>
      </c>
      <c r="F60" s="71" t="e">
        <f>'USDBASIS(EURSTD)'!V50</f>
        <v>#N/A</v>
      </c>
    </row>
    <row r="61" spans="2:6" x14ac:dyDescent="0.2">
      <c r="B61" s="72" t="e">
        <f>'USDBASIS(EURON)'!U51</f>
        <v>#N/A</v>
      </c>
      <c r="C61" s="71" t="e">
        <f>'USDBASIS(EURON)'!V51</f>
        <v>#N/A</v>
      </c>
      <c r="E61" s="72" t="e">
        <f>'USDBASIS(EURSTD)'!U51</f>
        <v>#N/A</v>
      </c>
      <c r="F61" s="71" t="e">
        <f>'USDBASIS(EURSTD)'!V51</f>
        <v>#N/A</v>
      </c>
    </row>
    <row r="62" spans="2:6" x14ac:dyDescent="0.2">
      <c r="B62" s="72" t="e">
        <f>'USDBASIS(EURON)'!U52</f>
        <v>#N/A</v>
      </c>
      <c r="C62" s="71" t="e">
        <f>'USDBASIS(EURON)'!V52</f>
        <v>#N/A</v>
      </c>
      <c r="E62" s="72" t="e">
        <f>'USDBASIS(EURSTD)'!U52</f>
        <v>#N/A</v>
      </c>
      <c r="F62" s="71" t="e">
        <f>'USDBASIS(EURSTD)'!V52</f>
        <v>#N/A</v>
      </c>
    </row>
    <row r="63" spans="2:6" x14ac:dyDescent="0.2">
      <c r="B63" s="72" t="e">
        <f>'USDBASIS(EURON)'!U53</f>
        <v>#N/A</v>
      </c>
      <c r="C63" s="71" t="e">
        <f>'USDBASIS(EURON)'!V53</f>
        <v>#N/A</v>
      </c>
      <c r="E63" s="72" t="e">
        <f>'USDBASIS(EURSTD)'!U53</f>
        <v>#N/A</v>
      </c>
      <c r="F63" s="71" t="e">
        <f>'USDBASIS(EURSTD)'!V53</f>
        <v>#N/A</v>
      </c>
    </row>
    <row r="64" spans="2:6" x14ac:dyDescent="0.2">
      <c r="B64" s="72" t="e">
        <f>'USDBASIS(EURON)'!U54</f>
        <v>#N/A</v>
      </c>
      <c r="C64" s="71" t="e">
        <f>'USDBASIS(EURON)'!V54</f>
        <v>#N/A</v>
      </c>
      <c r="E64" s="72" t="e">
        <f>'USDBASIS(EURSTD)'!U54</f>
        <v>#N/A</v>
      </c>
      <c r="F64" s="71" t="e">
        <f>'USDBASIS(EURSTD)'!V54</f>
        <v>#N/A</v>
      </c>
    </row>
    <row r="65" spans="2:6" x14ac:dyDescent="0.2">
      <c r="B65" s="72" t="e">
        <f>'USDBASIS(EURON)'!U55</f>
        <v>#N/A</v>
      </c>
      <c r="C65" s="71" t="e">
        <f>'USDBASIS(EURON)'!V55</f>
        <v>#N/A</v>
      </c>
      <c r="E65" s="72" t="e">
        <f>'USDBASIS(EURSTD)'!U55</f>
        <v>#N/A</v>
      </c>
      <c r="F65" s="71" t="e">
        <f>'USDBASIS(EURSTD)'!V55</f>
        <v>#N/A</v>
      </c>
    </row>
    <row r="66" spans="2:6" x14ac:dyDescent="0.2">
      <c r="B66" s="72" t="e">
        <f>'USDBASIS(EURON)'!U56</f>
        <v>#N/A</v>
      </c>
      <c r="C66" s="71" t="e">
        <f>'USDBASIS(EURON)'!V56</f>
        <v>#N/A</v>
      </c>
      <c r="E66" s="72" t="e">
        <f>'USDBASIS(EURSTD)'!U56</f>
        <v>#N/A</v>
      </c>
      <c r="F66" s="71" t="e">
        <f>'USDBASIS(EURSTD)'!V56</f>
        <v>#N/A</v>
      </c>
    </row>
    <row r="67" spans="2:6" x14ac:dyDescent="0.2">
      <c r="B67" s="72" t="e">
        <f>'USDBASIS(EURON)'!U57</f>
        <v>#N/A</v>
      </c>
      <c r="C67" s="71" t="e">
        <f>'USDBASIS(EURON)'!V57</f>
        <v>#N/A</v>
      </c>
      <c r="E67" s="72" t="e">
        <f>'USDBASIS(EURSTD)'!U57</f>
        <v>#N/A</v>
      </c>
      <c r="F67" s="71" t="e">
        <f>'USDBASIS(EURSTD)'!V57</f>
        <v>#N/A</v>
      </c>
    </row>
    <row r="68" spans="2:6" x14ac:dyDescent="0.2">
      <c r="B68" s="72" t="e">
        <f>'USDBASIS(EURON)'!U58</f>
        <v>#N/A</v>
      </c>
      <c r="C68" s="71" t="e">
        <f>'USDBASIS(EURON)'!V58</f>
        <v>#N/A</v>
      </c>
      <c r="E68" s="72" t="e">
        <f>'USDBASIS(EURSTD)'!U58</f>
        <v>#N/A</v>
      </c>
      <c r="F68" s="71" t="e">
        <f>'USDBASIS(EURSTD)'!V58</f>
        <v>#N/A</v>
      </c>
    </row>
    <row r="69" spans="2:6" x14ac:dyDescent="0.2">
      <c r="B69" s="72" t="e">
        <f>'USDBASIS(EURON)'!U59</f>
        <v>#N/A</v>
      </c>
      <c r="C69" s="71" t="e">
        <f>'USDBASIS(EURON)'!V59</f>
        <v>#N/A</v>
      </c>
      <c r="E69" s="72" t="e">
        <f>'USDBASIS(EURSTD)'!U59</f>
        <v>#N/A</v>
      </c>
      <c r="F69" s="71" t="e">
        <f>'USDBASIS(EURSTD)'!V59</f>
        <v>#N/A</v>
      </c>
    </row>
    <row r="70" spans="2:6" x14ac:dyDescent="0.2">
      <c r="B70" s="72" t="e">
        <f>'USDBASIS(EURON)'!U60</f>
        <v>#N/A</v>
      </c>
      <c r="C70" s="71" t="e">
        <f>'USDBASIS(EURON)'!V60</f>
        <v>#N/A</v>
      </c>
      <c r="E70" s="72" t="e">
        <f>'USDBASIS(EURSTD)'!U60</f>
        <v>#N/A</v>
      </c>
      <c r="F70" s="71" t="e">
        <f>'USDBASIS(EURSTD)'!V60</f>
        <v>#N/A</v>
      </c>
    </row>
    <row r="71" spans="2:6" x14ac:dyDescent="0.2">
      <c r="B71" s="72" t="e">
        <f>'USDBASIS(EURON)'!U61</f>
        <v>#N/A</v>
      </c>
      <c r="C71" s="71" t="e">
        <f>'USDBASIS(EURON)'!V61</f>
        <v>#N/A</v>
      </c>
      <c r="E71" s="72" t="e">
        <f>'USDBASIS(EURSTD)'!U61</f>
        <v>#N/A</v>
      </c>
      <c r="F71" s="71" t="e">
        <f>'USDBASIS(EURSTD)'!V61</f>
        <v>#N/A</v>
      </c>
    </row>
    <row r="72" spans="2:6" x14ac:dyDescent="0.2">
      <c r="B72" s="72" t="e">
        <f>'USDBASIS(EURON)'!U62</f>
        <v>#N/A</v>
      </c>
      <c r="C72" s="71" t="e">
        <f>'USDBASIS(EURON)'!V62</f>
        <v>#N/A</v>
      </c>
      <c r="E72" s="72" t="e">
        <f>'USDBASIS(EURSTD)'!U62</f>
        <v>#N/A</v>
      </c>
      <c r="F72" s="71" t="e">
        <f>'USDBASIS(EURSTD)'!V62</f>
        <v>#N/A</v>
      </c>
    </row>
    <row r="73" spans="2:6" x14ac:dyDescent="0.2">
      <c r="B73" s="72" t="e">
        <f>'USDBASIS(EURON)'!U63</f>
        <v>#N/A</v>
      </c>
      <c r="C73" s="71" t="e">
        <f>'USDBASIS(EURON)'!V63</f>
        <v>#N/A</v>
      </c>
      <c r="E73" s="72" t="e">
        <f>'USDBASIS(EURSTD)'!U63</f>
        <v>#N/A</v>
      </c>
      <c r="F73" s="71" t="e">
        <f>'USDBASIS(EURSTD)'!V63</f>
        <v>#N/A</v>
      </c>
    </row>
    <row r="74" spans="2:6" x14ac:dyDescent="0.2">
      <c r="B74" s="72" t="e">
        <f>'USDBASIS(EURON)'!U64</f>
        <v>#N/A</v>
      </c>
      <c r="C74" s="71" t="e">
        <f>'USDBASIS(EURON)'!V64</f>
        <v>#N/A</v>
      </c>
      <c r="E74" s="72" t="e">
        <f>'USDBASIS(EURSTD)'!U64</f>
        <v>#N/A</v>
      </c>
      <c r="F74" s="71" t="e">
        <f>'USDBASIS(EURSTD)'!V64</f>
        <v>#N/A</v>
      </c>
    </row>
    <row r="75" spans="2:6" x14ac:dyDescent="0.2">
      <c r="B75" s="72" t="e">
        <f>'USDBASIS(EURON)'!U65</f>
        <v>#N/A</v>
      </c>
      <c r="C75" s="71" t="e">
        <f>'USDBASIS(EURON)'!V65</f>
        <v>#N/A</v>
      </c>
      <c r="E75" s="72" t="e">
        <f>'USDBASIS(EURSTD)'!U65</f>
        <v>#N/A</v>
      </c>
      <c r="F75" s="71" t="e">
        <f>'USDBASIS(EURSTD)'!V65</f>
        <v>#N/A</v>
      </c>
    </row>
    <row r="76" spans="2:6" x14ac:dyDescent="0.2">
      <c r="B76" s="72" t="e">
        <f>'USDBASIS(EURON)'!U66</f>
        <v>#N/A</v>
      </c>
      <c r="C76" s="71" t="e">
        <f>'USDBASIS(EURON)'!V66</f>
        <v>#N/A</v>
      </c>
      <c r="E76" s="72" t="e">
        <f>'USDBASIS(EURSTD)'!U66</f>
        <v>#N/A</v>
      </c>
      <c r="F76" s="71" t="e">
        <f>'USDBASIS(EURSTD)'!V66</f>
        <v>#N/A</v>
      </c>
    </row>
    <row r="77" spans="2:6" x14ac:dyDescent="0.2">
      <c r="B77" s="72" t="e">
        <f>'USDBASIS(EURON)'!U67</f>
        <v>#N/A</v>
      </c>
      <c r="C77" s="71" t="e">
        <f>'USDBASIS(EURON)'!V67</f>
        <v>#N/A</v>
      </c>
      <c r="E77" s="72" t="e">
        <f>'USDBASIS(EURSTD)'!U67</f>
        <v>#N/A</v>
      </c>
      <c r="F77" s="71" t="e">
        <f>'USDBASIS(EURSTD)'!V67</f>
        <v>#N/A</v>
      </c>
    </row>
    <row r="78" spans="2:6" x14ac:dyDescent="0.2">
      <c r="B78" s="72" t="e">
        <f>'USDBASIS(EURON)'!U68</f>
        <v>#N/A</v>
      </c>
      <c r="C78" s="71" t="e">
        <f>'USDBASIS(EURON)'!V68</f>
        <v>#N/A</v>
      </c>
      <c r="E78" s="72" t="e">
        <f>'USDBASIS(EURSTD)'!U68</f>
        <v>#N/A</v>
      </c>
      <c r="F78" s="71" t="e">
        <f>'USDBASIS(EURSTD)'!V68</f>
        <v>#N/A</v>
      </c>
    </row>
    <row r="79" spans="2:6" x14ac:dyDescent="0.2">
      <c r="B79" s="72" t="e">
        <f>'USDBASIS(EURON)'!U69</f>
        <v>#N/A</v>
      </c>
      <c r="C79" s="71" t="e">
        <f>'USDBASIS(EURON)'!V69</f>
        <v>#N/A</v>
      </c>
      <c r="E79" s="72" t="e">
        <f>'USDBASIS(EURSTD)'!U69</f>
        <v>#N/A</v>
      </c>
      <c r="F79" s="71" t="e">
        <f>'USDBASIS(EURSTD)'!V69</f>
        <v>#N/A</v>
      </c>
    </row>
    <row r="80" spans="2:6" x14ac:dyDescent="0.2">
      <c r="B80" s="72" t="e">
        <f>'USDBASIS(EURON)'!U70</f>
        <v>#N/A</v>
      </c>
      <c r="C80" s="71" t="e">
        <f>'USDBASIS(EURON)'!V70</f>
        <v>#N/A</v>
      </c>
      <c r="E80" s="72" t="e">
        <f>'USDBASIS(EURSTD)'!U70</f>
        <v>#N/A</v>
      </c>
      <c r="F80" s="71" t="e">
        <f>'USDBASIS(EURSTD)'!V70</f>
        <v>#N/A</v>
      </c>
    </row>
    <row r="81" spans="2:6" x14ac:dyDescent="0.2">
      <c r="B81" s="72" t="e">
        <f>'USDBASIS(EURON)'!U71</f>
        <v>#N/A</v>
      </c>
      <c r="C81" s="71" t="e">
        <f>'USDBASIS(EURON)'!V71</f>
        <v>#N/A</v>
      </c>
      <c r="E81" s="72" t="e">
        <f>'USDBASIS(EURSTD)'!U71</f>
        <v>#N/A</v>
      </c>
      <c r="F81" s="71" t="e">
        <f>'USDBASIS(EURSTD)'!V71</f>
        <v>#N/A</v>
      </c>
    </row>
    <row r="82" spans="2:6" x14ac:dyDescent="0.2">
      <c r="B82" s="72" t="e">
        <f>'USDBASIS(EURON)'!U72</f>
        <v>#N/A</v>
      </c>
      <c r="C82" s="71" t="e">
        <f>'USDBASIS(EURON)'!V72</f>
        <v>#N/A</v>
      </c>
      <c r="E82" s="72" t="e">
        <f>'USDBASIS(EURSTD)'!U72</f>
        <v>#N/A</v>
      </c>
      <c r="F82" s="71" t="e">
        <f>'USDBASIS(EURSTD)'!V72</f>
        <v>#N/A</v>
      </c>
    </row>
    <row r="83" spans="2:6" x14ac:dyDescent="0.2">
      <c r="B83" s="72" t="e">
        <f>'USDBASIS(EURON)'!U73</f>
        <v>#N/A</v>
      </c>
      <c r="C83" s="71" t="e">
        <f>'USDBASIS(EURON)'!V73</f>
        <v>#N/A</v>
      </c>
      <c r="E83" s="72" t="e">
        <f>'USDBASIS(EURSTD)'!U73</f>
        <v>#N/A</v>
      </c>
      <c r="F83" s="71" t="e">
        <f>'USDBASIS(EURSTD)'!V73</f>
        <v>#N/A</v>
      </c>
    </row>
    <row r="84" spans="2:6" x14ac:dyDescent="0.2">
      <c r="B84" s="72" t="e">
        <f>'USDBASIS(EURON)'!U74</f>
        <v>#N/A</v>
      </c>
      <c r="C84" s="71" t="e">
        <f>'USDBASIS(EURON)'!V74</f>
        <v>#N/A</v>
      </c>
      <c r="E84" s="72" t="e">
        <f>'USDBASIS(EURSTD)'!U74</f>
        <v>#N/A</v>
      </c>
      <c r="F84" s="71" t="e">
        <f>'USDBASIS(EURSTD)'!V74</f>
        <v>#N/A</v>
      </c>
    </row>
    <row r="85" spans="2:6" x14ac:dyDescent="0.2">
      <c r="B85" s="72" t="e">
        <f>'USDBASIS(EURON)'!U75</f>
        <v>#N/A</v>
      </c>
      <c r="C85" s="71" t="e">
        <f>'USDBASIS(EURON)'!V75</f>
        <v>#N/A</v>
      </c>
      <c r="E85" s="72" t="e">
        <f>'USDBASIS(EURSTD)'!U75</f>
        <v>#N/A</v>
      </c>
      <c r="F85" s="71" t="e">
        <f>'USDBASIS(EURSTD)'!V75</f>
        <v>#N/A</v>
      </c>
    </row>
    <row r="86" spans="2:6" x14ac:dyDescent="0.2">
      <c r="B86" s="72" t="e">
        <f>'USDBASIS(EURON)'!U76</f>
        <v>#N/A</v>
      </c>
      <c r="C86" s="71" t="e">
        <f>'USDBASIS(EURON)'!V76</f>
        <v>#N/A</v>
      </c>
      <c r="E86" s="72" t="e">
        <f>'USDBASIS(EURSTD)'!U76</f>
        <v>#N/A</v>
      </c>
      <c r="F86" s="71" t="e">
        <f>'USDBASIS(EURSTD)'!V76</f>
        <v>#N/A</v>
      </c>
    </row>
    <row r="87" spans="2:6" x14ac:dyDescent="0.2">
      <c r="B87" s="72" t="e">
        <f>'USDBASIS(EURON)'!U77</f>
        <v>#N/A</v>
      </c>
      <c r="C87" s="71" t="e">
        <f>'USDBASIS(EURON)'!V77</f>
        <v>#N/A</v>
      </c>
      <c r="E87" s="72" t="e">
        <f>'USDBASIS(EURSTD)'!U77</f>
        <v>#N/A</v>
      </c>
      <c r="F87" s="71" t="e">
        <f>'USDBASIS(EURSTD)'!V77</f>
        <v>#N/A</v>
      </c>
    </row>
    <row r="88" spans="2:6" x14ac:dyDescent="0.2">
      <c r="B88" s="72" t="e">
        <f>'USDBASIS(EURON)'!U78</f>
        <v>#N/A</v>
      </c>
      <c r="C88" s="71" t="e">
        <f>'USDBASIS(EURON)'!V78</f>
        <v>#N/A</v>
      </c>
      <c r="E88" s="72" t="e">
        <f>'USDBASIS(EURSTD)'!U78</f>
        <v>#N/A</v>
      </c>
      <c r="F88" s="71" t="e">
        <f>'USDBASIS(EURSTD)'!V78</f>
        <v>#N/A</v>
      </c>
    </row>
    <row r="89" spans="2:6" x14ac:dyDescent="0.2">
      <c r="B89" s="70" t="e">
        <f>'USDBASIS(EURON)'!U79</f>
        <v>#N/A</v>
      </c>
      <c r="C89" s="69" t="e">
        <f>'USDBASIS(EURON)'!V79</f>
        <v>#N/A</v>
      </c>
      <c r="E89" s="70" t="e">
        <f>'USDBASIS(EURSTD)'!U79</f>
        <v>#N/A</v>
      </c>
      <c r="F89" s="69" t="e">
        <f>'USDBASIS(EURSTD)'!V79</f>
        <v>#N/A</v>
      </c>
    </row>
    <row r="95" spans="2:6" x14ac:dyDescent="0.2">
      <c r="B95" s="293" t="s">
        <v>215</v>
      </c>
      <c r="C95" s="293" t="b">
        <v>0</v>
      </c>
    </row>
  </sheetData>
  <dataConsolidate/>
  <dataValidations disablePrompts="1" count="4">
    <dataValidation type="list" allowBlank="1" showInputMessage="1" showErrorMessage="1" sqref="C8 F8">
      <formula1>"BackwardFlat,ForwardFlat,Linear,LogLinear,Parabolic,LogParabolic,MonotonicParabolic,MonotonicLogParabolic,CubicNaturalSpline,MonotonicCubicNaturalSpline,LogCubicNaturalSpline,MonotonicLogCubicNaturalSpline,KrugerCubic,KrugerLogCubic"</formula1>
    </dataValidation>
    <dataValidation type="list" allowBlank="1" showInputMessage="1" showErrorMessage="1" sqref="C7 F7">
      <formula1>"Discount,ZeroYield,ForwardRate"</formula1>
    </dataValidation>
    <dataValidation type="list" allowBlank="1" showInputMessage="1" showErrorMessage="1" sqref="C6 F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C5 F5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5"/>
  <sheetViews>
    <sheetView workbookViewId="0">
      <selection activeCell="L39" sqref="L39"/>
    </sheetView>
  </sheetViews>
  <sheetFormatPr defaultColWidth="9.33203125" defaultRowHeight="11.25" x14ac:dyDescent="0.2"/>
  <cols>
    <col min="1" max="1" width="3.83203125" style="16" customWidth="1"/>
    <col min="2" max="2" width="12.83203125" style="16" customWidth="1"/>
    <col min="3" max="3" width="9.33203125" style="16"/>
    <col min="4" max="4" width="3.83203125" style="16" customWidth="1"/>
    <col min="5" max="5" width="15.83203125" style="16" customWidth="1"/>
    <col min="6" max="7" width="3.83203125" style="16" customWidth="1"/>
    <col min="8" max="8" width="9.33203125" style="16"/>
    <col min="9" max="9" width="3.83203125" style="16" customWidth="1"/>
    <col min="10" max="16384" width="9.33203125" style="16"/>
  </cols>
  <sheetData>
    <row r="2" spans="2:8" x14ac:dyDescent="0.2">
      <c r="B2" s="521" t="s">
        <v>62</v>
      </c>
      <c r="C2" s="522"/>
      <c r="E2" s="19" t="s">
        <v>61</v>
      </c>
      <c r="H2" s="19" t="s">
        <v>60</v>
      </c>
    </row>
    <row r="3" spans="2:8" x14ac:dyDescent="0.2">
      <c r="B3" s="18" t="s">
        <v>59</v>
      </c>
      <c r="C3" s="18">
        <v>0</v>
      </c>
      <c r="E3" s="18" t="s">
        <v>58</v>
      </c>
      <c r="H3" s="18" t="b">
        <v>1</v>
      </c>
    </row>
    <row r="4" spans="2:8" x14ac:dyDescent="0.2">
      <c r="B4" s="20" t="s">
        <v>57</v>
      </c>
      <c r="C4" s="20">
        <v>1</v>
      </c>
      <c r="E4" s="20" t="s">
        <v>56</v>
      </c>
      <c r="H4" s="17" t="b">
        <v>0</v>
      </c>
    </row>
    <row r="5" spans="2:8" x14ac:dyDescent="0.2">
      <c r="B5" s="20" t="s">
        <v>55</v>
      </c>
      <c r="C5" s="20">
        <v>2</v>
      </c>
      <c r="E5" s="20" t="s">
        <v>11</v>
      </c>
    </row>
    <row r="6" spans="2:8" x14ac:dyDescent="0.2">
      <c r="B6" s="22" t="s">
        <v>54</v>
      </c>
      <c r="C6" s="20">
        <v>3</v>
      </c>
      <c r="E6" s="20" t="s">
        <v>53</v>
      </c>
    </row>
    <row r="7" spans="2:8" x14ac:dyDescent="0.2">
      <c r="B7" s="20" t="s">
        <v>52</v>
      </c>
      <c r="C7" s="20">
        <v>4</v>
      </c>
      <c r="E7" s="17" t="s">
        <v>51</v>
      </c>
    </row>
    <row r="8" spans="2:8" x14ac:dyDescent="0.2">
      <c r="B8" s="20" t="s">
        <v>50</v>
      </c>
      <c r="C8" s="20">
        <v>5</v>
      </c>
    </row>
    <row r="9" spans="2:8" x14ac:dyDescent="0.2">
      <c r="B9" s="20" t="s">
        <v>49</v>
      </c>
      <c r="C9" s="20">
        <v>6</v>
      </c>
      <c r="E9" s="19" t="s">
        <v>48</v>
      </c>
    </row>
    <row r="10" spans="2:8" x14ac:dyDescent="0.2">
      <c r="B10" s="20" t="s">
        <v>47</v>
      </c>
      <c r="C10" s="20">
        <v>7</v>
      </c>
      <c r="E10" s="18" t="s">
        <v>46</v>
      </c>
    </row>
    <row r="11" spans="2:8" x14ac:dyDescent="0.2">
      <c r="B11" s="20" t="s">
        <v>45</v>
      </c>
      <c r="C11" s="20">
        <v>8</v>
      </c>
      <c r="E11" s="20" t="s">
        <v>12</v>
      </c>
    </row>
    <row r="12" spans="2:8" x14ac:dyDescent="0.2">
      <c r="B12" s="17" t="s">
        <v>44</v>
      </c>
      <c r="C12" s="17">
        <v>9</v>
      </c>
      <c r="E12" s="17" t="s">
        <v>43</v>
      </c>
    </row>
    <row r="13" spans="2:8" x14ac:dyDescent="0.2">
      <c r="E13" s="21"/>
    </row>
    <row r="14" spans="2:8" x14ac:dyDescent="0.2">
      <c r="B14" s="521" t="s">
        <v>42</v>
      </c>
      <c r="C14" s="522"/>
      <c r="E14" s="19" t="s">
        <v>41</v>
      </c>
    </row>
    <row r="15" spans="2:8" x14ac:dyDescent="0.2">
      <c r="B15" s="18" t="s">
        <v>40</v>
      </c>
      <c r="C15" s="18">
        <v>0</v>
      </c>
      <c r="E15" s="18" t="s">
        <v>13</v>
      </c>
    </row>
    <row r="16" spans="2:8" x14ac:dyDescent="0.2">
      <c r="B16" s="20" t="s">
        <v>39</v>
      </c>
      <c r="C16" s="20">
        <v>1</v>
      </c>
      <c r="E16" s="20" t="s">
        <v>38</v>
      </c>
    </row>
    <row r="17" spans="2:5" x14ac:dyDescent="0.2">
      <c r="B17" s="20" t="s">
        <v>37</v>
      </c>
      <c r="C17" s="20">
        <v>2</v>
      </c>
      <c r="E17" s="17" t="s">
        <v>36</v>
      </c>
    </row>
    <row r="18" spans="2:5" x14ac:dyDescent="0.2">
      <c r="B18" s="17" t="s">
        <v>35</v>
      </c>
      <c r="C18" s="17">
        <v>3</v>
      </c>
      <c r="E18" s="21"/>
    </row>
    <row r="19" spans="2:5" x14ac:dyDescent="0.2">
      <c r="E19" s="19" t="s">
        <v>34</v>
      </c>
    </row>
    <row r="20" spans="2:5" x14ac:dyDescent="0.2">
      <c r="B20" s="521" t="s">
        <v>33</v>
      </c>
      <c r="C20" s="522"/>
      <c r="E20" s="18" t="s">
        <v>32</v>
      </c>
    </row>
    <row r="21" spans="2:5" x14ac:dyDescent="0.2">
      <c r="B21" s="18" t="s">
        <v>31</v>
      </c>
      <c r="C21" s="18">
        <v>0</v>
      </c>
      <c r="E21" s="20" t="s">
        <v>30</v>
      </c>
    </row>
    <row r="22" spans="2:5" x14ac:dyDescent="0.2">
      <c r="B22" s="20" t="s">
        <v>29</v>
      </c>
      <c r="C22" s="20">
        <v>1</v>
      </c>
      <c r="E22" s="17" t="s">
        <v>28</v>
      </c>
    </row>
    <row r="23" spans="2:5" x14ac:dyDescent="0.2">
      <c r="B23" s="17" t="s">
        <v>27</v>
      </c>
      <c r="C23" s="17">
        <v>2</v>
      </c>
    </row>
    <row r="24" spans="2:5" x14ac:dyDescent="0.2">
      <c r="E24" s="19" t="s">
        <v>26</v>
      </c>
    </row>
    <row r="25" spans="2:5" x14ac:dyDescent="0.2">
      <c r="B25" s="521" t="s">
        <v>25</v>
      </c>
      <c r="C25" s="522"/>
      <c r="E25" s="18" t="s">
        <v>24</v>
      </c>
    </row>
    <row r="26" spans="2:5" x14ac:dyDescent="0.2">
      <c r="B26" s="18" t="s">
        <v>15</v>
      </c>
      <c r="C26" s="18">
        <v>0</v>
      </c>
      <c r="E26" s="17" t="s">
        <v>23</v>
      </c>
    </row>
    <row r="27" spans="2:5" x14ac:dyDescent="0.2">
      <c r="B27" s="17" t="s">
        <v>22</v>
      </c>
      <c r="C27" s="17">
        <v>1</v>
      </c>
    </row>
    <row r="28" spans="2:5" x14ac:dyDescent="0.2">
      <c r="E28" s="19" t="s">
        <v>21</v>
      </c>
    </row>
    <row r="29" spans="2:5" x14ac:dyDescent="0.2">
      <c r="B29" s="521" t="s">
        <v>151</v>
      </c>
      <c r="C29" s="522"/>
      <c r="E29" s="18" t="s">
        <v>20</v>
      </c>
    </row>
    <row r="30" spans="2:5" x14ac:dyDescent="0.2">
      <c r="B30" s="58" t="s">
        <v>38</v>
      </c>
      <c r="C30" s="61">
        <v>1</v>
      </c>
      <c r="E30" s="17" t="s">
        <v>19</v>
      </c>
    </row>
    <row r="31" spans="2:5" x14ac:dyDescent="0.2">
      <c r="B31" s="59" t="s">
        <v>148</v>
      </c>
      <c r="C31" s="62">
        <v>2</v>
      </c>
    </row>
    <row r="32" spans="2:5" x14ac:dyDescent="0.2">
      <c r="B32" s="59" t="s">
        <v>149</v>
      </c>
      <c r="C32" s="62">
        <v>4</v>
      </c>
    </row>
    <row r="33" spans="2:3" x14ac:dyDescent="0.2">
      <c r="B33" s="60" t="s">
        <v>150</v>
      </c>
      <c r="C33" s="63">
        <v>12</v>
      </c>
    </row>
    <row r="35" spans="2:3" x14ac:dyDescent="0.2">
      <c r="B35" s="293" t="s">
        <v>215</v>
      </c>
      <c r="C35" s="293" t="b">
        <v>1</v>
      </c>
    </row>
  </sheetData>
  <dataConsolidate/>
  <mergeCells count="5">
    <mergeCell ref="B20:C20"/>
    <mergeCell ref="B25:C25"/>
    <mergeCell ref="B2:C2"/>
    <mergeCell ref="B14:C14"/>
    <mergeCell ref="B29:C29"/>
  </mergeCells>
  <pageMargins left="0.75" right="0.75" top="1" bottom="1" header="0.5" footer="0.5"/>
  <pageSetup paperSize="9" orientation="portrait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61</vt:i4>
      </vt:variant>
    </vt:vector>
  </HeadingPairs>
  <TitlesOfParts>
    <vt:vector size="75" baseType="lpstr">
      <vt:lpstr>Triggers</vt:lpstr>
      <vt:lpstr>EUR Curves</vt:lpstr>
      <vt:lpstr>USD Curves</vt:lpstr>
      <vt:lpstr>GBP Curves</vt:lpstr>
      <vt:lpstr>USDBASIS(EURON)</vt:lpstr>
      <vt:lpstr>USDBASIS(EURSTD)</vt:lpstr>
      <vt:lpstr>GBPBASIS(EURON,USD)</vt:lpstr>
      <vt:lpstr>GBPBASIS(EURSTD,USD)</vt:lpstr>
      <vt:lpstr>EURBASIS(USDON)</vt:lpstr>
      <vt:lpstr>GBPBASIS(USDON)</vt:lpstr>
      <vt:lpstr>EURGBP_Monitor</vt:lpstr>
      <vt:lpstr>SwapPricer</vt:lpstr>
      <vt:lpstr>Ql Curve</vt:lpstr>
      <vt:lpstr>dvCurveBootstrapperOptions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dvSwapPaymFreq</vt:lpstr>
      <vt:lpstr>EvaluationDate</vt:lpstr>
      <vt:lpstr>'EUR Curves'!FinDBVerbose</vt:lpstr>
      <vt:lpstr>'GBP Curves'!FinDBVerbose</vt:lpstr>
      <vt:lpstr>'USD Curves'!FinDBVerbose</vt:lpstr>
      <vt:lpstr>dvCurveBootstrapperOptions!IsBootstrapSheet</vt:lpstr>
      <vt:lpstr>'EUR Curves'!IsBootstrapSheet</vt:lpstr>
      <vt:lpstr>'EURBASIS(USDON)'!IsBootstrapSheet</vt:lpstr>
      <vt:lpstr>EURGBP_Monitor!IsBootstrapSheet</vt:lpstr>
      <vt:lpstr>'GBP Curves'!IsBootstrapSheet</vt:lpstr>
      <vt:lpstr>'GBPBASIS(EURON,USD)'!IsBootstrapSheet</vt:lpstr>
      <vt:lpstr>'GBPBASIS(EURSTD,USD)'!IsBootstrapSheet</vt:lpstr>
      <vt:lpstr>'GBPBASIS(USDON)'!IsBootstrapSheet</vt:lpstr>
      <vt:lpstr>'Ql Curve'!IsBootstrapSheet</vt:lpstr>
      <vt:lpstr>SwapPricer!IsBootstrapSheet</vt:lpstr>
      <vt:lpstr>Triggers!IsBootstrapSheet</vt:lpstr>
      <vt:lpstr>'USD Curves'!IsBootstrapSheet</vt:lpstr>
      <vt:lpstr>'USDBASIS(EURON)'!IsBootstrapSheet</vt:lpstr>
      <vt:lpstr>'USDBASIS(EURSTD)'!IsBootstrapSheet</vt:lpstr>
      <vt:lpstr>ManualTrigger</vt:lpstr>
      <vt:lpstr>ObjectsTrigger</vt:lpstr>
      <vt:lpstr>'EUR Curves'!Override</vt:lpstr>
      <vt:lpstr>'EURBASIS(USDON)'!Override</vt:lpstr>
      <vt:lpstr>'GBP Curves'!Override</vt:lpstr>
      <vt:lpstr>'GBPBASIS(EURON,USD)'!Override</vt:lpstr>
      <vt:lpstr>'GBPBASIS(EURSTD,USD)'!Override</vt:lpstr>
      <vt:lpstr>'GBPBASIS(USDON)'!Override</vt:lpstr>
      <vt:lpstr>'USD Curves'!Override</vt:lpstr>
      <vt:lpstr>'USDBASIS(EURON)'!Override</vt:lpstr>
      <vt:lpstr>'USDBASIS(EURSTD)'!Override</vt:lpstr>
      <vt:lpstr>pwd</vt:lpstr>
      <vt:lpstr>'EUR Curves'!RealTime</vt:lpstr>
      <vt:lpstr>'EURBASIS(USDON)'!RealTime</vt:lpstr>
      <vt:lpstr>'GBP Curves'!RealTime</vt:lpstr>
      <vt:lpstr>'GBPBASIS(EURON,USD)'!RealTime</vt:lpstr>
      <vt:lpstr>'GBPBASIS(EURSTD,USD)'!RealTime</vt:lpstr>
      <vt:lpstr>'GBPBASIS(USDON)'!RealTime</vt:lpstr>
      <vt:lpstr>'USD Curves'!RealTime</vt:lpstr>
      <vt:lpstr>'USDBASIS(EURON)'!RealTime</vt:lpstr>
      <vt:lpstr>'USDBASIS(EURSTD)'!RealTime</vt:lpstr>
      <vt:lpstr>Triggers!RTDataTrigger</vt:lpstr>
      <vt:lpstr>'EUR Curves'!trigger</vt:lpstr>
      <vt:lpstr>'GBP Curves'!trigger</vt:lpstr>
      <vt:lpstr>'USD Curves'!trigger</vt:lpstr>
      <vt:lpstr>'EURBASIS(USDON)'!Used</vt:lpstr>
      <vt:lpstr>'GBPBASIS(EURON,USD)'!Used</vt:lpstr>
      <vt:lpstr>'GBPBASIS(EURSTD,USD)'!Used</vt:lpstr>
      <vt:lpstr>'GBPBASIS(USDON)'!Used</vt:lpstr>
      <vt:lpstr>'USDBASIS(EURON)'!Used</vt:lpstr>
      <vt:lpstr>'USDBASIS(EURSTD)'!Used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Cipriani Fabio</cp:lastModifiedBy>
  <dcterms:created xsi:type="dcterms:W3CDTF">2014-02-17T09:52:39Z</dcterms:created>
  <dcterms:modified xsi:type="dcterms:W3CDTF">2015-04-29T16:44:25Z</dcterms:modified>
</cp:coreProperties>
</file>