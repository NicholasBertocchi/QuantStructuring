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7212" yWindow="-14" windowWidth="15745" windowHeight="11928" tabRatio="858" activeTab="6"/>
  </bookViews>
  <sheets>
    <sheet name="Triggers" sheetId="8" r:id="rId1"/>
    <sheet name="EUR Curves" sheetId="10" r:id="rId2"/>
    <sheet name="USD Curves" sheetId="11" r:id="rId3"/>
    <sheet name="GBP Curves" sheetId="43" r:id="rId4"/>
    <sheet name="USDBASIS(EURON)" sheetId="27" r:id="rId5"/>
    <sheet name="GBPBASIS(EURON,USD)" sheetId="44" r:id="rId6"/>
    <sheet name="CONTRIBUTE" sheetId="48" r:id="rId7"/>
    <sheet name="Ql Curve" sheetId="39" state="hidden" r:id="rId8"/>
    <sheet name="dvCurveBootstrapperOptions" sheetId="2" state="hidden" r:id="rId9"/>
  </sheets>
  <definedNames>
    <definedName name="contribTrig">CONTRIBUTE!$F$12</definedName>
    <definedName name="CurveName">[0]!YCName&amp;T(TYPE([0]!CurveTrigger))</definedName>
    <definedName name="dvBool">dvCurveBootstrapperOptions!$H$3:$H$4</definedName>
    <definedName name="dvCurveBootstrapperCompounding">dvCurveBootstrapperOptions!$E$15:$E$17</definedName>
    <definedName name="dvCurveBootstrapperDayCount">dvCurveBootstrapperOptions!$B$3:$C$12</definedName>
    <definedName name="dvCurveBootstrapperFraFutAdjust">dvCurveBootstrapperOptions!$B$15:$C$18</definedName>
    <definedName name="dvCurveBootstrapperFutCons">dvCurveBootstrapperOptions!$E$20:$E$22</definedName>
    <definedName name="dvCurveBootstrapperFutEndDate">dvCurveBootstrapperOptions!$E$29:$E$30</definedName>
    <definedName name="dvCurveBootstrapperInterpOn">dvCurveBootstrapperOptions!$E$10:$E$12</definedName>
    <definedName name="dvCurveBootstrapperInterpType">dvCurveBootstrapperOptions!$E$3:$E$7</definedName>
    <definedName name="dvCurveBootstrapperMatCons">dvCurveBootstrapperOptions!$E$25:$E$26</definedName>
    <definedName name="dvCurveBootstrapperOutputType">dvCurveBootstrapperOptions!$B$26:$C$27</definedName>
    <definedName name="dvCurveBootstrapperSwapMatType">dvCurveBootstrapperOptions!$B$21:$C$23</definedName>
    <definedName name="dvSwapPaymFreq">dvCurveBootstrapperOptions!$B$30:$C$33</definedName>
    <definedName name="EvaluationDate">Triggers!$D$5</definedName>
    <definedName name="FinDBVerbose" localSheetId="1">'EUR Curves'!$C$8</definedName>
    <definedName name="FinDBVerbose" localSheetId="3">'GBP Curves'!$C$8</definedName>
    <definedName name="FinDBVerbose" localSheetId="2">'USD Curves'!$C$8</definedName>
    <definedName name="IsBootstrapSheet" localSheetId="6">CONTRIBUTE!$A$1</definedName>
    <definedName name="IsBootstrapSheet" localSheetId="8">dvCurveBootstrapperOptions!$L$39</definedName>
    <definedName name="IsBootstrapSheet" localSheetId="1">'EUR Curves'!$B$20</definedName>
    <definedName name="IsBootstrapSheet" localSheetId="3">'GBP Curves'!$B$21</definedName>
    <definedName name="IsBootstrapSheet" localSheetId="5">'GBPBASIS(EURON,USD)'!$C$70</definedName>
    <definedName name="IsBootstrapSheet" localSheetId="7">'Ql Curve'!$C$95</definedName>
    <definedName name="IsBootstrapSheet" localSheetId="0">Triggers!$C$15</definedName>
    <definedName name="IsBootstrapSheet" localSheetId="2">'USD Curves'!$B$21</definedName>
    <definedName name="IsBootstrapSheet" localSheetId="4">'USDBASIS(EURON)'!$C$70</definedName>
    <definedName name="manContribTrig">CONTRIBUTE!$G$6</definedName>
    <definedName name="manualEvalDate">Triggers!$D$7</definedName>
    <definedName name="ManualTrigger">Triggers!$D$4</definedName>
    <definedName name="ObjectsTrigger">Triggers!$D$9</definedName>
    <definedName name="Override" localSheetId="1">'EUR Curves'!$F$4:$G$93,'EUR Curves'!$O$4:$P$93,'EUR Curves'!$X$4:$Y$93</definedName>
    <definedName name="Override" localSheetId="3">'GBP Curves'!$F$4:$G$93,'GBP Curves'!$O$4:$P$93,'GBP Curves'!$X$4:$Y$93</definedName>
    <definedName name="Override" localSheetId="5">'GBPBASIS(EURON,USD)'!$J$3:$J$20,'GBPBASIS(EURON,USD)'!$J$23:$J$23,'GBPBASIS(EURON,USD)'!$J$26:$J$67</definedName>
    <definedName name="Override" localSheetId="2">'USD Curves'!$F$4:$G$93,'USD Curves'!$O$4:$P$93,'USD Curves'!$X$4:$Y$93</definedName>
    <definedName name="Override" localSheetId="4">'USDBASIS(EURON)'!$J$3:$J$20,'USDBASIS(EURON)'!$J$23:$J$23,'USDBASIS(EURON)'!$J$26:$J$67</definedName>
    <definedName name="RealTime" localSheetId="1">'EUR Curves'!$D$4:$E$93,'EUR Curves'!$M$4:$N$93,'EUR Curves'!$V$4:$W$93</definedName>
    <definedName name="RealTime" localSheetId="3">'GBP Curves'!$D$4:$E$93,'GBP Curves'!$M$4:$N$93,'GBP Curves'!$V$4:$W$93</definedName>
    <definedName name="RealTime" localSheetId="5">'GBPBASIS(EURON,USD)'!$I$3:$I$20,'GBPBASIS(EURON,USD)'!$I$23:$I$23,'GBPBASIS(EURON,USD)'!$I$26:$I$67</definedName>
    <definedName name="RealTime" localSheetId="2">'USD Curves'!$D$4:$E$93,'USD Curves'!$M$4:$N$93,'USD Curves'!$V$4:$W$93</definedName>
    <definedName name="RealTime" localSheetId="4">'USDBASIS(EURON)'!$I$3:$I$20,'USDBASIS(EURON)'!$I$23:$I$23,'USDBASIS(EURON)'!$I$26:$I$67</definedName>
    <definedName name="RTDataTrigger" localSheetId="0">Triggers!$D$8</definedName>
    <definedName name="trigger" localSheetId="1">'EUR Curves'!$I$3</definedName>
    <definedName name="trigger" localSheetId="3">'GBP Curves'!$I$3</definedName>
    <definedName name="trigger" localSheetId="2">'USD Curves'!$I$3</definedName>
    <definedName name="Used" localSheetId="5">'GBPBASIS(EURON,USD)'!$L$3:$L$20,'GBPBASIS(EURON,USD)'!$L$23:$L$23,'GBPBASIS(EURON,USD)'!$L$26:$L$67</definedName>
    <definedName name="Used" localSheetId="4">'USDBASIS(EURON)'!$L$3:$L$20,'USDBASIS(EURON)'!$L$23:$L$23,'USDBASIS(EURON)'!$L$26:$L$67</definedName>
  </definedNames>
  <calcPr calcId="145621"/>
</workbook>
</file>

<file path=xl/calcChain.xml><?xml version="1.0" encoding="utf-8"?>
<calcChain xmlns="http://schemas.openxmlformats.org/spreadsheetml/2006/main">
  <c r="A14" i="48" l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A43" i="48" s="1"/>
  <c r="A44" i="48" s="1"/>
  <c r="A45" i="48" s="1"/>
  <c r="A46" i="48" s="1"/>
  <c r="A47" i="48" s="1"/>
  <c r="A48" i="48" s="1"/>
  <c r="A49" i="48" s="1"/>
  <c r="A50" i="48" s="1"/>
  <c r="A51" i="48" s="1"/>
  <c r="A13" i="48"/>
  <c r="G5" i="48"/>
  <c r="G3" i="48"/>
  <c r="G4" i="48" s="1"/>
  <c r="F12" i="48" s="1"/>
  <c r="C8" i="44" l="1"/>
  <c r="B48" i="44" s="1"/>
  <c r="C69" i="44"/>
  <c r="B69" i="44"/>
  <c r="C68" i="44"/>
  <c r="B68" i="44"/>
  <c r="C67" i="44"/>
  <c r="B67" i="44"/>
  <c r="C66" i="44"/>
  <c r="B66" i="44"/>
  <c r="C65" i="44"/>
  <c r="B65" i="44"/>
  <c r="C64" i="44"/>
  <c r="B64" i="44"/>
  <c r="C63" i="44"/>
  <c r="B63" i="44"/>
  <c r="C62" i="44"/>
  <c r="B62" i="44"/>
  <c r="C61" i="44"/>
  <c r="B61" i="44"/>
  <c r="C60" i="44"/>
  <c r="B60" i="44"/>
  <c r="C59" i="44"/>
  <c r="B59" i="44"/>
  <c r="C58" i="44"/>
  <c r="B58" i="44"/>
  <c r="C57" i="44"/>
  <c r="B57" i="44"/>
  <c r="B56" i="44"/>
  <c r="C55" i="44"/>
  <c r="C54" i="44"/>
  <c r="B53" i="44"/>
  <c r="B52" i="44"/>
  <c r="B51" i="44"/>
  <c r="B50" i="44"/>
  <c r="B49" i="44"/>
  <c r="C45" i="44"/>
  <c r="AJ32" i="44"/>
  <c r="AJ33" i="44" s="1"/>
  <c r="AJ34" i="44" s="1"/>
  <c r="AJ35" i="44" s="1"/>
  <c r="AJ36" i="44" s="1"/>
  <c r="AJ37" i="44" s="1"/>
  <c r="AJ38" i="44" s="1"/>
  <c r="AJ39" i="44" s="1"/>
  <c r="AJ40" i="44" s="1"/>
  <c r="AJ41" i="44" s="1"/>
  <c r="AJ42" i="44" s="1"/>
  <c r="AJ43" i="44" s="1"/>
  <c r="AJ44" i="44" s="1"/>
  <c r="AJ45" i="44" s="1"/>
  <c r="AJ46" i="44" s="1"/>
  <c r="AJ47" i="44" s="1"/>
  <c r="AJ48" i="44" s="1"/>
  <c r="AJ49" i="44" s="1"/>
  <c r="AJ50" i="44" s="1"/>
  <c r="AJ51" i="44" s="1"/>
  <c r="AJ52" i="44" s="1"/>
  <c r="AJ53" i="44" s="1"/>
  <c r="AJ54" i="44" s="1"/>
  <c r="AJ55" i="44" s="1"/>
  <c r="AJ56" i="44" s="1"/>
  <c r="AJ57" i="44" s="1"/>
  <c r="AJ58" i="44" s="1"/>
  <c r="AJ59" i="44" s="1"/>
  <c r="AJ60" i="44" s="1"/>
  <c r="AJ61" i="44" s="1"/>
  <c r="AJ62" i="44" s="1"/>
  <c r="AJ63" i="44" s="1"/>
  <c r="AJ64" i="44" s="1"/>
  <c r="AJ65" i="44" s="1"/>
  <c r="AJ66" i="44" s="1"/>
  <c r="AJ67" i="44" s="1"/>
  <c r="AJ68" i="44" s="1"/>
  <c r="AJ69" i="44" s="1"/>
  <c r="AJ70" i="44" s="1"/>
  <c r="AJ71" i="44" s="1"/>
  <c r="AJ72" i="44" s="1"/>
  <c r="M32" i="44"/>
  <c r="M33" i="44" s="1"/>
  <c r="M34" i="44" s="1"/>
  <c r="M35" i="44" s="1"/>
  <c r="M36" i="44" s="1"/>
  <c r="M37" i="44" s="1"/>
  <c r="M38" i="44" s="1"/>
  <c r="M39" i="44" s="1"/>
  <c r="M40" i="44" s="1"/>
  <c r="M41" i="44" s="1"/>
  <c r="M42" i="44" s="1"/>
  <c r="M43" i="44" s="1"/>
  <c r="M44" i="44" s="1"/>
  <c r="M45" i="44" s="1"/>
  <c r="M46" i="44" s="1"/>
  <c r="M47" i="44" s="1"/>
  <c r="M48" i="44" s="1"/>
  <c r="M49" i="44" s="1"/>
  <c r="M50" i="44" s="1"/>
  <c r="M51" i="44" s="1"/>
  <c r="M52" i="44" s="1"/>
  <c r="M53" i="44" s="1"/>
  <c r="M54" i="44" s="1"/>
  <c r="M55" i="44" s="1"/>
  <c r="M56" i="44" s="1"/>
  <c r="M57" i="44" s="1"/>
  <c r="M58" i="44" s="1"/>
  <c r="M59" i="44" s="1"/>
  <c r="M60" i="44" s="1"/>
  <c r="M61" i="44" s="1"/>
  <c r="M62" i="44" s="1"/>
  <c r="M63" i="44" s="1"/>
  <c r="M64" i="44" s="1"/>
  <c r="M65" i="44" s="1"/>
  <c r="M66" i="44" s="1"/>
  <c r="M67" i="44" s="1"/>
  <c r="M31" i="44"/>
  <c r="M30" i="44"/>
  <c r="M27" i="44"/>
  <c r="M28" i="44" s="1"/>
  <c r="M29" i="44" s="1"/>
  <c r="F23" i="44"/>
  <c r="N20" i="44"/>
  <c r="F20" i="44"/>
  <c r="N19" i="44"/>
  <c r="F19" i="44"/>
  <c r="N18" i="44"/>
  <c r="F18" i="44"/>
  <c r="F17" i="44"/>
  <c r="F16" i="44"/>
  <c r="F15" i="44"/>
  <c r="F14" i="44"/>
  <c r="F13" i="44"/>
  <c r="F12" i="44"/>
  <c r="AI11" i="44"/>
  <c r="F11" i="44"/>
  <c r="F10" i="44"/>
  <c r="F9" i="44"/>
  <c r="F8" i="44"/>
  <c r="F7" i="44"/>
  <c r="N5" i="44"/>
  <c r="F5" i="44"/>
  <c r="M4" i="44"/>
  <c r="M5" i="44" s="1"/>
  <c r="M6" i="44" s="1"/>
  <c r="N6" i="44" s="1"/>
  <c r="F4" i="44"/>
  <c r="N3" i="44"/>
  <c r="F3" i="44"/>
  <c r="S2" i="44"/>
  <c r="O3" i="44" s="1"/>
  <c r="S2" i="44" a="1"/>
  <c r="U9" i="43"/>
  <c r="L9" i="43"/>
  <c r="C9" i="43"/>
  <c r="AA71" i="44"/>
  <c r="Z4" i="44"/>
  <c r="Z24" i="44"/>
  <c r="AA53" i="44"/>
  <c r="Z39" i="44"/>
  <c r="AA57" i="44"/>
  <c r="Z23" i="44"/>
  <c r="Z10" i="44"/>
  <c r="AA42" i="44"/>
  <c r="Z22" i="44"/>
  <c r="AA51" i="44"/>
  <c r="AA52" i="44"/>
  <c r="Z16" i="44"/>
  <c r="Z58" i="44"/>
  <c r="AA27" i="44"/>
  <c r="Z50" i="44"/>
  <c r="Z13" i="44"/>
  <c r="AA60" i="44"/>
  <c r="Z48" i="44"/>
  <c r="AA39" i="44"/>
  <c r="AA3" i="44"/>
  <c r="Z44" i="44"/>
  <c r="Z38" i="44"/>
  <c r="AA43" i="44"/>
  <c r="AA68" i="44"/>
  <c r="Z9" i="44"/>
  <c r="Z42" i="44"/>
  <c r="AA24" i="44"/>
  <c r="AA10" i="44"/>
  <c r="AA58" i="44"/>
  <c r="AA62" i="44"/>
  <c r="AA61" i="44"/>
  <c r="Z67" i="44"/>
  <c r="Z59" i="44"/>
  <c r="AA21" i="44"/>
  <c r="Z3" i="44"/>
  <c r="Z17" i="44"/>
  <c r="AA49" i="44"/>
  <c r="AA47" i="44"/>
  <c r="AA18" i="44"/>
  <c r="AA50" i="44"/>
  <c r="Z71" i="44"/>
  <c r="AA14" i="44"/>
  <c r="Z41" i="44"/>
  <c r="Z72" i="44"/>
  <c r="AA38" i="44"/>
  <c r="AA63" i="44"/>
  <c r="AA55" i="44"/>
  <c r="Z46" i="44"/>
  <c r="Z32" i="44"/>
  <c r="Z65" i="44"/>
  <c r="Z27" i="44"/>
  <c r="Z8" i="44"/>
  <c r="Z31" i="44"/>
  <c r="Z34" i="44"/>
  <c r="AA23" i="44"/>
  <c r="AA4" i="44"/>
  <c r="Z49" i="44"/>
  <c r="AA22" i="44"/>
  <c r="AA67" i="44"/>
  <c r="Z40" i="44"/>
  <c r="Z54" i="44"/>
  <c r="Z15" i="44"/>
  <c r="Z52" i="44"/>
  <c r="Z61" i="44"/>
  <c r="AA44" i="44"/>
  <c r="Z47" i="44"/>
  <c r="Z64" i="44"/>
  <c r="Z33" i="44"/>
  <c r="Z69" i="44"/>
  <c r="Z43" i="44"/>
  <c r="AA66" i="44"/>
  <c r="Z63" i="44"/>
  <c r="AA69" i="44"/>
  <c r="AA34" i="44"/>
  <c r="AA45" i="44"/>
  <c r="AA19" i="44"/>
  <c r="AA15" i="44"/>
  <c r="Z35" i="44"/>
  <c r="Z66" i="44"/>
  <c r="AA56" i="44"/>
  <c r="AA17" i="44"/>
  <c r="AA70" i="44"/>
  <c r="Z53" i="44"/>
  <c r="Z14" i="44"/>
  <c r="Z21" i="44"/>
  <c r="AA37" i="44"/>
  <c r="C15" i="44"/>
  <c r="Z62" i="44"/>
  <c r="Z56" i="44"/>
  <c r="AA35" i="44"/>
  <c r="AA5" i="44"/>
  <c r="AA41" i="44"/>
  <c r="Z36" i="44"/>
  <c r="AA31" i="44"/>
  <c r="AA33" i="44"/>
  <c r="Z5" i="44"/>
  <c r="AA48" i="44"/>
  <c r="AA72" i="44"/>
  <c r="AA46" i="44"/>
  <c r="AA32" i="44"/>
  <c r="AA65" i="44"/>
  <c r="AA36" i="44"/>
  <c r="Z60" i="44"/>
  <c r="Z37" i="44"/>
  <c r="Z55" i="44"/>
  <c r="AA20" i="44"/>
  <c r="AA9" i="44"/>
  <c r="Z45" i="44"/>
  <c r="Z51" i="44"/>
  <c r="AA8" i="44"/>
  <c r="AA40" i="44"/>
  <c r="AA59" i="44"/>
  <c r="AA16" i="44"/>
  <c r="Z68" i="44"/>
  <c r="AA54" i="44"/>
  <c r="Z18" i="44"/>
  <c r="AA13" i="44"/>
  <c r="Z20" i="44"/>
  <c r="Z57" i="44"/>
  <c r="AA64" i="44"/>
  <c r="Z70" i="44"/>
  <c r="Z19" i="44"/>
  <c r="I8" i="44" l="1"/>
  <c r="L8" i="44" s="1"/>
  <c r="I23" i="44"/>
  <c r="L23" i="44" s="1"/>
  <c r="AF52" i="44"/>
  <c r="I5" i="44"/>
  <c r="L5" i="44" s="1"/>
  <c r="AF31" i="44"/>
  <c r="AF68" i="44"/>
  <c r="I16" i="44"/>
  <c r="L16" i="44" s="1"/>
  <c r="I10" i="44"/>
  <c r="L10" i="44" s="1"/>
  <c r="I14" i="44"/>
  <c r="L14" i="44" s="1"/>
  <c r="AF65" i="44"/>
  <c r="AF64" i="44"/>
  <c r="I6" i="44"/>
  <c r="L6" i="44" s="1"/>
  <c r="I19" i="44"/>
  <c r="L19" i="44" s="1"/>
  <c r="AF41" i="44"/>
  <c r="AF63" i="44"/>
  <c r="I18" i="44"/>
  <c r="L18" i="44" s="1"/>
  <c r="I17" i="44"/>
  <c r="L17" i="44" s="1"/>
  <c r="AF49" i="44"/>
  <c r="I13" i="44"/>
  <c r="L13" i="44" s="1"/>
  <c r="AF72" i="44"/>
  <c r="I7" i="44"/>
  <c r="L7" i="44" s="1"/>
  <c r="I15" i="44"/>
  <c r="L15" i="44" s="1"/>
  <c r="AF57" i="44"/>
  <c r="I11" i="44"/>
  <c r="L11" i="44" s="1"/>
  <c r="AF42" i="44"/>
  <c r="AF58" i="44"/>
  <c r="AF51" i="44"/>
  <c r="AF60" i="44"/>
  <c r="AF62" i="44"/>
  <c r="AF69" i="44"/>
  <c r="AF61" i="44"/>
  <c r="I9" i="44"/>
  <c r="L9" i="44" s="1"/>
  <c r="I12" i="44"/>
  <c r="L12" i="44" s="1"/>
  <c r="I20" i="44"/>
  <c r="L20" i="44" s="1"/>
  <c r="AF50" i="44"/>
  <c r="AF67" i="44"/>
  <c r="AF32" i="44"/>
  <c r="AF33" i="44"/>
  <c r="AF34" i="44"/>
  <c r="AF35" i="44"/>
  <c r="AF36" i="44"/>
  <c r="AF37" i="44"/>
  <c r="AF38" i="44"/>
  <c r="AF39" i="44"/>
  <c r="AF40" i="44"/>
  <c r="AF48" i="44"/>
  <c r="AF56" i="44"/>
  <c r="AF71" i="44"/>
  <c r="AF53" i="44"/>
  <c r="AF43" i="44"/>
  <c r="AF44" i="44"/>
  <c r="AF54" i="44"/>
  <c r="AF59" i="44"/>
  <c r="AF66" i="44"/>
  <c r="AF70" i="44"/>
  <c r="AF45" i="44"/>
  <c r="AF46" i="44"/>
  <c r="AF47" i="44"/>
  <c r="AF55" i="44"/>
  <c r="O4" i="44"/>
  <c r="M7" i="44"/>
  <c r="AQ31" i="44" a="1"/>
  <c r="N4" i="44"/>
  <c r="D24" i="48"/>
  <c r="D17" i="48"/>
  <c r="D25" i="48"/>
  <c r="D36" i="48"/>
  <c r="D31" i="48"/>
  <c r="D50" i="48"/>
  <c r="D51" i="48"/>
  <c r="D13" i="48"/>
  <c r="D44" i="48"/>
  <c r="D34" i="48"/>
  <c r="D15" i="48"/>
  <c r="D32" i="48"/>
  <c r="D39" i="48"/>
  <c r="D16" i="48"/>
  <c r="D27" i="48"/>
  <c r="D22" i="48"/>
  <c r="D19" i="48"/>
  <c r="D37" i="48"/>
  <c r="D40" i="48"/>
  <c r="D47" i="48"/>
  <c r="D38" i="48"/>
  <c r="D23" i="48"/>
  <c r="D12" i="48"/>
  <c r="D49" i="48"/>
  <c r="D26" i="48"/>
  <c r="D33" i="48"/>
  <c r="D45" i="48"/>
  <c r="D46" i="48"/>
  <c r="D14" i="48"/>
  <c r="D43" i="48"/>
  <c r="D28" i="48"/>
  <c r="D21" i="48"/>
  <c r="D35" i="48"/>
  <c r="D20" i="48"/>
  <c r="D18" i="48"/>
  <c r="D29" i="48"/>
  <c r="D48" i="48"/>
  <c r="D30" i="48"/>
  <c r="D42" i="48"/>
  <c r="D41" i="48"/>
  <c r="AG71" i="44" l="1"/>
  <c r="I66" i="44"/>
  <c r="L66" i="44" s="1"/>
  <c r="M8" i="44"/>
  <c r="N7" i="44"/>
  <c r="AG63" i="44"/>
  <c r="I58" i="44"/>
  <c r="L58" i="44" s="1"/>
  <c r="AQ60" i="44"/>
  <c r="AQ52" i="44"/>
  <c r="AQ44" i="44"/>
  <c r="AQ36" i="44"/>
  <c r="AQ62" i="44"/>
  <c r="AQ53" i="44"/>
  <c r="AQ43" i="44"/>
  <c r="AQ34" i="44"/>
  <c r="AQ61" i="44"/>
  <c r="AQ51" i="44"/>
  <c r="AQ33" i="44"/>
  <c r="AQ42" i="44"/>
  <c r="AQ49" i="44"/>
  <c r="AQ31" i="44"/>
  <c r="AQ59" i="44"/>
  <c r="AQ50" i="44"/>
  <c r="AQ41" i="44"/>
  <c r="AQ32" i="44"/>
  <c r="AQ58" i="44"/>
  <c r="AQ40" i="44"/>
  <c r="AQ57" i="44"/>
  <c r="AQ39" i="44"/>
  <c r="AQ56" i="44"/>
  <c r="AQ38" i="44"/>
  <c r="AQ37" i="44"/>
  <c r="AQ54" i="44"/>
  <c r="AQ48" i="44"/>
  <c r="AQ63" i="44"/>
  <c r="AQ55" i="44"/>
  <c r="AQ35" i="44"/>
  <c r="AQ47" i="44"/>
  <c r="AQ64" i="44"/>
  <c r="AQ46" i="44"/>
  <c r="AQ45" i="44"/>
  <c r="I40" i="44"/>
  <c r="L40" i="44" s="1"/>
  <c r="AG45" i="44"/>
  <c r="AG35" i="44"/>
  <c r="I30" i="44"/>
  <c r="L30" i="44" s="1"/>
  <c r="AG70" i="44"/>
  <c r="I65" i="44"/>
  <c r="L65" i="44" s="1"/>
  <c r="AG56" i="44"/>
  <c r="I51" i="44"/>
  <c r="L51" i="44" s="1"/>
  <c r="I29" i="44"/>
  <c r="L29" i="44" s="1"/>
  <c r="AG34" i="44"/>
  <c r="AG61" i="44"/>
  <c r="I56" i="44"/>
  <c r="L56" i="44" s="1"/>
  <c r="AG57" i="44"/>
  <c r="I52" i="44"/>
  <c r="L52" i="44" s="1"/>
  <c r="I61" i="44"/>
  <c r="L61" i="44" s="1"/>
  <c r="AG66" i="44"/>
  <c r="I43" i="44"/>
  <c r="L43" i="44" s="1"/>
  <c r="AG48" i="44"/>
  <c r="AG33" i="44"/>
  <c r="I28" i="44"/>
  <c r="L28" i="44" s="1"/>
  <c r="I64" i="44"/>
  <c r="L64" i="44" s="1"/>
  <c r="AG69" i="44"/>
  <c r="I36" i="44"/>
  <c r="L36" i="44" s="1"/>
  <c r="AG41" i="44"/>
  <c r="I63" i="44"/>
  <c r="L63" i="44" s="1"/>
  <c r="AG68" i="44"/>
  <c r="O5" i="44"/>
  <c r="I54" i="44"/>
  <c r="L54" i="44" s="1"/>
  <c r="AG59" i="44"/>
  <c r="I35" i="44"/>
  <c r="L35" i="44" s="1"/>
  <c r="AG40" i="44"/>
  <c r="AG32" i="44"/>
  <c r="I27" i="44"/>
  <c r="L27" i="44" s="1"/>
  <c r="AG62" i="44"/>
  <c r="I57" i="44"/>
  <c r="L57" i="44" s="1"/>
  <c r="AG31" i="44"/>
  <c r="I26" i="44"/>
  <c r="L26" i="44" s="1"/>
  <c r="AG54" i="44"/>
  <c r="I49" i="44"/>
  <c r="L49" i="44" s="1"/>
  <c r="I34" i="44"/>
  <c r="L34" i="44" s="1"/>
  <c r="AG39" i="44"/>
  <c r="I62" i="44"/>
  <c r="L62" i="44" s="1"/>
  <c r="AG67" i="44"/>
  <c r="I55" i="44"/>
  <c r="L55" i="44" s="1"/>
  <c r="AG60" i="44"/>
  <c r="AG72" i="44"/>
  <c r="F67" i="44" s="1"/>
  <c r="E67" i="44" s="1"/>
  <c r="N67" i="44" s="1"/>
  <c r="I67" i="44"/>
  <c r="L67" i="44" s="1"/>
  <c r="AG55" i="44"/>
  <c r="I50" i="44"/>
  <c r="L50" i="44" s="1"/>
  <c r="I39" i="44"/>
  <c r="L39" i="44" s="1"/>
  <c r="AG44" i="44"/>
  <c r="I33" i="44"/>
  <c r="L33" i="44" s="1"/>
  <c r="AG38" i="44"/>
  <c r="I45" i="44"/>
  <c r="L45" i="44" s="1"/>
  <c r="AG50" i="44"/>
  <c r="I46" i="44"/>
  <c r="L46" i="44" s="1"/>
  <c r="AG51" i="44"/>
  <c r="I59" i="44"/>
  <c r="L59" i="44" s="1"/>
  <c r="AG64" i="44"/>
  <c r="AG52" i="44"/>
  <c r="I47" i="44"/>
  <c r="L47" i="44" s="1"/>
  <c r="AG47" i="44"/>
  <c r="I42" i="44"/>
  <c r="L42" i="44" s="1"/>
  <c r="I38" i="44"/>
  <c r="L38" i="44" s="1"/>
  <c r="AG43" i="44"/>
  <c r="I32" i="44"/>
  <c r="L32" i="44" s="1"/>
  <c r="AG37" i="44"/>
  <c r="AG58" i="44"/>
  <c r="I53" i="44"/>
  <c r="L53" i="44" s="1"/>
  <c r="I44" i="44"/>
  <c r="L44" i="44" s="1"/>
  <c r="AG49" i="44"/>
  <c r="AG65" i="44"/>
  <c r="I60" i="44"/>
  <c r="L60" i="44" s="1"/>
  <c r="I41" i="44"/>
  <c r="L41" i="44" s="1"/>
  <c r="AG46" i="44"/>
  <c r="I48" i="44"/>
  <c r="L48" i="44" s="1"/>
  <c r="AG53" i="44"/>
  <c r="AG36" i="44"/>
  <c r="I31" i="44"/>
  <c r="L31" i="44" s="1"/>
  <c r="I37" i="44"/>
  <c r="L37" i="44" s="1"/>
  <c r="AG42" i="44"/>
  <c r="F31" i="44" l="1"/>
  <c r="E31" i="44" s="1"/>
  <c r="N31" i="44" s="1"/>
  <c r="AH36" i="44"/>
  <c r="AK36" i="44" s="1"/>
  <c r="AI36" i="44"/>
  <c r="F42" i="44"/>
  <c r="E42" i="44" s="1"/>
  <c r="N42" i="44" s="1"/>
  <c r="AI47" i="44"/>
  <c r="AH47" i="44"/>
  <c r="AK47" i="44" s="1"/>
  <c r="F55" i="44"/>
  <c r="E55" i="44" s="1"/>
  <c r="N55" i="44" s="1"/>
  <c r="AI60" i="44"/>
  <c r="AH60" i="44"/>
  <c r="AK60" i="44" s="1"/>
  <c r="F54" i="44"/>
  <c r="E54" i="44" s="1"/>
  <c r="N54" i="44" s="1"/>
  <c r="AI59" i="44"/>
  <c r="AH59" i="44"/>
  <c r="AK59" i="44" s="1"/>
  <c r="F47" i="44"/>
  <c r="E47" i="44" s="1"/>
  <c r="N47" i="44" s="1"/>
  <c r="AI52" i="44"/>
  <c r="AH52" i="44"/>
  <c r="AK52" i="44" s="1"/>
  <c r="AI31" i="44"/>
  <c r="AH31" i="44"/>
  <c r="AK31" i="44" s="1"/>
  <c r="F26" i="44"/>
  <c r="E26" i="44" s="1"/>
  <c r="AG29" i="44"/>
  <c r="F32" i="44"/>
  <c r="E32" i="44" s="1"/>
  <c r="N32" i="44" s="1"/>
  <c r="AI37" i="44"/>
  <c r="AH37" i="44"/>
  <c r="AK37" i="44" s="1"/>
  <c r="AI64" i="44"/>
  <c r="AH64" i="44"/>
  <c r="AK64" i="44" s="1"/>
  <c r="F59" i="44"/>
  <c r="E59" i="44" s="1"/>
  <c r="N59" i="44" s="1"/>
  <c r="AI44" i="44"/>
  <c r="F39" i="44"/>
  <c r="E39" i="44" s="1"/>
  <c r="N39" i="44" s="1"/>
  <c r="AH44" i="44"/>
  <c r="AK44" i="44" s="1"/>
  <c r="AI67" i="44"/>
  <c r="F62" i="44"/>
  <c r="E62" i="44" s="1"/>
  <c r="N62" i="44" s="1"/>
  <c r="AH67" i="44"/>
  <c r="AK67" i="44" s="1"/>
  <c r="AI57" i="44"/>
  <c r="AH57" i="44"/>
  <c r="AK57" i="44" s="1"/>
  <c r="F52" i="44"/>
  <c r="E52" i="44" s="1"/>
  <c r="N52" i="44" s="1"/>
  <c r="F65" i="44"/>
  <c r="E65" i="44" s="1"/>
  <c r="N65" i="44" s="1"/>
  <c r="AI70" i="44"/>
  <c r="AH70" i="44"/>
  <c r="AK70" i="44" s="1"/>
  <c r="AI63" i="44"/>
  <c r="AH63" i="44"/>
  <c r="AK63" i="44" s="1"/>
  <c r="F58" i="44"/>
  <c r="E58" i="44" s="1"/>
  <c r="N58" i="44" s="1"/>
  <c r="AI62" i="44"/>
  <c r="AH62" i="44"/>
  <c r="AK62" i="44" s="1"/>
  <c r="F57" i="44"/>
  <c r="E57" i="44" s="1"/>
  <c r="N57" i="44" s="1"/>
  <c r="O6" i="44"/>
  <c r="AQ29" i="44"/>
  <c r="AI66" i="44"/>
  <c r="F61" i="44"/>
  <c r="E61" i="44" s="1"/>
  <c r="N61" i="44" s="1"/>
  <c r="AH66" i="44"/>
  <c r="AK66" i="44" s="1"/>
  <c r="AI69" i="44"/>
  <c r="F64" i="44"/>
  <c r="E64" i="44" s="1"/>
  <c r="N64" i="44" s="1"/>
  <c r="AH69" i="44"/>
  <c r="AK69" i="44" s="1"/>
  <c r="AH46" i="44"/>
  <c r="AK46" i="44" s="1"/>
  <c r="AI46" i="44"/>
  <c r="F41" i="44"/>
  <c r="E41" i="44" s="1"/>
  <c r="N41" i="44" s="1"/>
  <c r="AH42" i="44"/>
  <c r="AK42" i="44" s="1"/>
  <c r="AI42" i="44"/>
  <c r="F37" i="44"/>
  <c r="E37" i="44" s="1"/>
  <c r="N37" i="44" s="1"/>
  <c r="AH43" i="44"/>
  <c r="AK43" i="44" s="1"/>
  <c r="AI43" i="44"/>
  <c r="F38" i="44"/>
  <c r="E38" i="44" s="1"/>
  <c r="N38" i="44" s="1"/>
  <c r="AH51" i="44"/>
  <c r="AK51" i="44" s="1"/>
  <c r="F46" i="44"/>
  <c r="E46" i="44" s="1"/>
  <c r="N46" i="44" s="1"/>
  <c r="AI51" i="44"/>
  <c r="AI39" i="44"/>
  <c r="AH39" i="44"/>
  <c r="AK39" i="44" s="1"/>
  <c r="F34" i="44"/>
  <c r="E34" i="44" s="1"/>
  <c r="N34" i="44" s="1"/>
  <c r="AI33" i="44"/>
  <c r="AH33" i="44"/>
  <c r="AK33" i="44" s="1"/>
  <c r="F28" i="44"/>
  <c r="E28" i="44" s="1"/>
  <c r="N28" i="44" s="1"/>
  <c r="AI61" i="44"/>
  <c r="F56" i="44"/>
  <c r="E56" i="44" s="1"/>
  <c r="N56" i="44" s="1"/>
  <c r="AH61" i="44"/>
  <c r="AK61" i="44" s="1"/>
  <c r="AI35" i="44"/>
  <c r="F30" i="44"/>
  <c r="E30" i="44" s="1"/>
  <c r="N30" i="44" s="1"/>
  <c r="AH35" i="44"/>
  <c r="AK35" i="44" s="1"/>
  <c r="N8" i="44"/>
  <c r="M9" i="44"/>
  <c r="F36" i="44"/>
  <c r="E36" i="44" s="1"/>
  <c r="N36" i="44" s="1"/>
  <c r="AH41" i="44"/>
  <c r="AK41" i="44" s="1"/>
  <c r="AI41" i="44"/>
  <c r="F48" i="44"/>
  <c r="E48" i="44" s="1"/>
  <c r="N48" i="44" s="1"/>
  <c r="AI53" i="44"/>
  <c r="AH53" i="44"/>
  <c r="AK53" i="44" s="1"/>
  <c r="AI56" i="44"/>
  <c r="AH56" i="44"/>
  <c r="AK56" i="44" s="1"/>
  <c r="F51" i="44"/>
  <c r="E51" i="44" s="1"/>
  <c r="N51" i="44" s="1"/>
  <c r="AI54" i="44"/>
  <c r="F49" i="44"/>
  <c r="E49" i="44" s="1"/>
  <c r="N49" i="44" s="1"/>
  <c r="AH54" i="44"/>
  <c r="AK54" i="44" s="1"/>
  <c r="AI38" i="44"/>
  <c r="AH38" i="44"/>
  <c r="AK38" i="44" s="1"/>
  <c r="F33" i="44"/>
  <c r="E33" i="44" s="1"/>
  <c r="N33" i="44" s="1"/>
  <c r="F53" i="44"/>
  <c r="E53" i="44" s="1"/>
  <c r="N53" i="44" s="1"/>
  <c r="AI58" i="44"/>
  <c r="AH58" i="44"/>
  <c r="AK58" i="44" s="1"/>
  <c r="F60" i="44"/>
  <c r="E60" i="44" s="1"/>
  <c r="N60" i="44" s="1"/>
  <c r="AI65" i="44"/>
  <c r="AH65" i="44"/>
  <c r="AK65" i="44" s="1"/>
  <c r="AI55" i="44"/>
  <c r="AH55" i="44"/>
  <c r="AK55" i="44" s="1"/>
  <c r="F50" i="44"/>
  <c r="E50" i="44" s="1"/>
  <c r="N50" i="44" s="1"/>
  <c r="AH32" i="44"/>
  <c r="AK32" i="44" s="1"/>
  <c r="AI32" i="44"/>
  <c r="F27" i="44"/>
  <c r="E27" i="44" s="1"/>
  <c r="N27" i="44" s="1"/>
  <c r="F63" i="44"/>
  <c r="E63" i="44" s="1"/>
  <c r="N63" i="44" s="1"/>
  <c r="AI68" i="44"/>
  <c r="AH68" i="44"/>
  <c r="AK68" i="44" s="1"/>
  <c r="AI48" i="44"/>
  <c r="F43" i="44"/>
  <c r="E43" i="44" s="1"/>
  <c r="N43" i="44" s="1"/>
  <c r="AH48" i="44"/>
  <c r="AK48" i="44" s="1"/>
  <c r="AH34" i="44"/>
  <c r="AK34" i="44" s="1"/>
  <c r="AI34" i="44"/>
  <c r="F29" i="44"/>
  <c r="E29" i="44" s="1"/>
  <c r="N29" i="44" s="1"/>
  <c r="AI45" i="44"/>
  <c r="AH45" i="44"/>
  <c r="AK45" i="44" s="1"/>
  <c r="F40" i="44"/>
  <c r="E40" i="44" s="1"/>
  <c r="N40" i="44" s="1"/>
  <c r="AI49" i="44"/>
  <c r="AH49" i="44"/>
  <c r="AK49" i="44" s="1"/>
  <c r="F44" i="44"/>
  <c r="E44" i="44" s="1"/>
  <c r="N44" i="44" s="1"/>
  <c r="AI50" i="44"/>
  <c r="AH50" i="44"/>
  <c r="AK50" i="44" s="1"/>
  <c r="F45" i="44"/>
  <c r="E45" i="44" s="1"/>
  <c r="N45" i="44" s="1"/>
  <c r="AH40" i="44"/>
  <c r="AK40" i="44" s="1"/>
  <c r="F35" i="44"/>
  <c r="E35" i="44" s="1"/>
  <c r="N35" i="44" s="1"/>
  <c r="AI40" i="44"/>
  <c r="F66" i="44"/>
  <c r="E66" i="44" s="1"/>
  <c r="N66" i="44" s="1"/>
  <c r="AI71" i="44"/>
  <c r="AH71" i="44"/>
  <c r="AK71" i="44" s="1"/>
  <c r="AH30" i="44" l="1"/>
  <c r="AI72" i="44" s="1"/>
  <c r="M10" i="44"/>
  <c r="N9" i="44"/>
  <c r="O7" i="44"/>
  <c r="N26" i="44"/>
  <c r="S25" i="44" a="1"/>
  <c r="S25" i="44" s="1"/>
  <c r="O26" i="44" s="1"/>
  <c r="AH72" i="44" l="1"/>
  <c r="AK72" i="44" s="1"/>
  <c r="AL30" i="44" s="1"/>
  <c r="AL31" i="44" s="1"/>
  <c r="P26" i="44"/>
  <c r="O27" i="44"/>
  <c r="N10" i="44"/>
  <c r="M11" i="44"/>
  <c r="O8" i="44"/>
  <c r="F4" i="39"/>
  <c r="C4" i="39"/>
  <c r="N11" i="44" l="1"/>
  <c r="M12" i="44"/>
  <c r="O28" i="44"/>
  <c r="P27" i="44"/>
  <c r="S26" i="44"/>
  <c r="R26" i="44"/>
  <c r="O9" i="44"/>
  <c r="AL32" i="44"/>
  <c r="AM31" i="44"/>
  <c r="F23" i="27"/>
  <c r="AN31" i="44" l="1"/>
  <c r="AO31" i="44" s="1" a="1"/>
  <c r="AL33" i="44"/>
  <c r="AM32" i="44"/>
  <c r="S27" i="44"/>
  <c r="R27" i="44"/>
  <c r="O10" i="44"/>
  <c r="P28" i="44"/>
  <c r="O29" i="44"/>
  <c r="M13" i="44"/>
  <c r="N12" i="44"/>
  <c r="O11" i="44" l="1"/>
  <c r="M14" i="44"/>
  <c r="N13" i="44"/>
  <c r="AN32" i="44"/>
  <c r="AO32" i="44" s="1" a="1"/>
  <c r="O30" i="44"/>
  <c r="P29" i="44"/>
  <c r="AL34" i="44"/>
  <c r="AM33" i="44"/>
  <c r="S28" i="44"/>
  <c r="R28" i="44"/>
  <c r="AO31" i="44"/>
  <c r="AP31" i="44"/>
  <c r="AI11" i="27"/>
  <c r="N14" i="44" l="1"/>
  <c r="M15" i="44"/>
  <c r="AN33" i="44"/>
  <c r="AO33" i="44" s="1" a="1"/>
  <c r="AL35" i="44"/>
  <c r="AM34" i="44"/>
  <c r="S29" i="44"/>
  <c r="R29" i="44"/>
  <c r="O31" i="44"/>
  <c r="P30" i="44"/>
  <c r="O12" i="44"/>
  <c r="AP32" i="44"/>
  <c r="AO32" i="44"/>
  <c r="AA15" i="27"/>
  <c r="Z14" i="27"/>
  <c r="Z17" i="27"/>
  <c r="AA20" i="27"/>
  <c r="AA18" i="27"/>
  <c r="Z13" i="27"/>
  <c r="AA10" i="27"/>
  <c r="Z9" i="27"/>
  <c r="AA19" i="27"/>
  <c r="AA9" i="27"/>
  <c r="AA17" i="27"/>
  <c r="AA8" i="27"/>
  <c r="Z18" i="27"/>
  <c r="Z20" i="27"/>
  <c r="Z21" i="27"/>
  <c r="Z15" i="27"/>
  <c r="AA13" i="27"/>
  <c r="Z19" i="27"/>
  <c r="AA14" i="27"/>
  <c r="Z16" i="27"/>
  <c r="Z8" i="27"/>
  <c r="AA16" i="27"/>
  <c r="AP33" i="44" l="1"/>
  <c r="AO33" i="44"/>
  <c r="O13" i="44"/>
  <c r="AN34" i="44"/>
  <c r="AO34" i="44" s="1" a="1"/>
  <c r="AL36" i="44"/>
  <c r="AM35" i="44"/>
  <c r="P31" i="44"/>
  <c r="O32" i="44"/>
  <c r="S30" i="44"/>
  <c r="R30" i="44"/>
  <c r="M16" i="44"/>
  <c r="N15" i="44"/>
  <c r="AO34" i="44" l="1"/>
  <c r="AP34" i="44"/>
  <c r="N16" i="44"/>
  <c r="M17" i="44"/>
  <c r="O33" i="44"/>
  <c r="P32" i="44"/>
  <c r="AN35" i="44"/>
  <c r="AO35" i="44" s="1" a="1"/>
  <c r="O14" i="44"/>
  <c r="S31" i="44"/>
  <c r="R31" i="44"/>
  <c r="AL37" i="44"/>
  <c r="AM36" i="44"/>
  <c r="AJ32" i="27"/>
  <c r="Z31" i="27"/>
  <c r="O15" i="44" l="1"/>
  <c r="AN36" i="44"/>
  <c r="AO36" i="44" s="1" a="1"/>
  <c r="AL38" i="44"/>
  <c r="AM37" i="44"/>
  <c r="S32" i="44"/>
  <c r="R32" i="44"/>
  <c r="M18" i="44"/>
  <c r="M19" i="44" s="1"/>
  <c r="M20" i="44" s="1"/>
  <c r="N17" i="44"/>
  <c r="P14" i="44" s="1"/>
  <c r="P8" i="44"/>
  <c r="AP35" i="44"/>
  <c r="AO35" i="44"/>
  <c r="O34" i="44"/>
  <c r="P33" i="44"/>
  <c r="AJ33" i="27"/>
  <c r="AJ34" i="27" s="1"/>
  <c r="AJ35" i="27" s="1"/>
  <c r="AJ36" i="27" s="1"/>
  <c r="AJ37" i="27" s="1"/>
  <c r="AJ38" i="27" s="1"/>
  <c r="AJ39" i="27" s="1"/>
  <c r="AJ40" i="27" s="1"/>
  <c r="AJ41" i="27" s="1"/>
  <c r="AJ42" i="27" s="1"/>
  <c r="AJ43" i="27" s="1"/>
  <c r="AJ44" i="27" s="1"/>
  <c r="AJ45" i="27" s="1"/>
  <c r="AJ46" i="27" s="1"/>
  <c r="AJ47" i="27" s="1"/>
  <c r="AJ48" i="27" s="1"/>
  <c r="AJ49" i="27" s="1"/>
  <c r="AJ50" i="27" s="1"/>
  <c r="AJ51" i="27" s="1"/>
  <c r="AJ52" i="27" s="1"/>
  <c r="AJ53" i="27" s="1"/>
  <c r="AJ54" i="27" s="1"/>
  <c r="AJ55" i="27" s="1"/>
  <c r="AJ56" i="27" s="1"/>
  <c r="AJ57" i="27" s="1"/>
  <c r="AJ58" i="27" s="1"/>
  <c r="AJ59" i="27" s="1"/>
  <c r="AJ60" i="27" s="1"/>
  <c r="AJ61" i="27" s="1"/>
  <c r="AJ62" i="27" s="1"/>
  <c r="AJ63" i="27" s="1"/>
  <c r="AJ64" i="27" s="1"/>
  <c r="AJ65" i="27" s="1"/>
  <c r="AJ66" i="27" s="1"/>
  <c r="AJ67" i="27" s="1"/>
  <c r="AJ68" i="27" s="1"/>
  <c r="AJ69" i="27" s="1"/>
  <c r="AJ70" i="27" s="1"/>
  <c r="AJ71" i="27" s="1"/>
  <c r="AJ72" i="27" s="1"/>
  <c r="S2" i="27" a="1"/>
  <c r="S2" i="27" s="1"/>
  <c r="O3" i="27" s="1"/>
  <c r="F3" i="27"/>
  <c r="N3" i="27"/>
  <c r="AA3" i="27"/>
  <c r="Z3" i="27"/>
  <c r="AO36" i="44" l="1"/>
  <c r="AP36" i="44"/>
  <c r="R14" i="44"/>
  <c r="S14" i="44"/>
  <c r="Q14" i="44"/>
  <c r="AN37" i="44"/>
  <c r="AO37" i="44" s="1" a="1"/>
  <c r="AL39" i="44"/>
  <c r="AM38" i="44"/>
  <c r="O16" i="44"/>
  <c r="P15" i="44"/>
  <c r="Q15" i="44" s="1"/>
  <c r="R33" i="44"/>
  <c r="S33" i="44"/>
  <c r="S8" i="44"/>
  <c r="R8" i="44"/>
  <c r="Q8" i="44"/>
  <c r="P3" i="44"/>
  <c r="P4" i="44"/>
  <c r="P5" i="44"/>
  <c r="P6" i="44"/>
  <c r="P10" i="44"/>
  <c r="P7" i="44"/>
  <c r="P9" i="44"/>
  <c r="P13" i="44"/>
  <c r="O35" i="44"/>
  <c r="P34" i="44"/>
  <c r="P11" i="44"/>
  <c r="P12" i="44"/>
  <c r="AQ31" i="27" a="1"/>
  <c r="F4" i="27"/>
  <c r="M4" i="27"/>
  <c r="N4" i="27" s="1"/>
  <c r="O4" i="27"/>
  <c r="Z4" i="27"/>
  <c r="AA4" i="27"/>
  <c r="AO37" i="44" l="1"/>
  <c r="AP37" i="44"/>
  <c r="R11" i="44"/>
  <c r="S11" i="44"/>
  <c r="Q11" i="44"/>
  <c r="S34" i="44"/>
  <c r="R34" i="44"/>
  <c r="R4" i="44"/>
  <c r="Q4" i="44"/>
  <c r="O17" i="44"/>
  <c r="P16" i="44"/>
  <c r="Q16" i="44"/>
  <c r="R9" i="44"/>
  <c r="S9" i="44"/>
  <c r="Q9" i="44"/>
  <c r="S7" i="44"/>
  <c r="R7" i="44"/>
  <c r="Q7" i="44"/>
  <c r="S6" i="44"/>
  <c r="R6" i="44"/>
  <c r="Q6" i="44"/>
  <c r="S5" i="44"/>
  <c r="R5" i="44"/>
  <c r="Q5" i="44"/>
  <c r="P35" i="44"/>
  <c r="O36" i="44"/>
  <c r="R3" i="44"/>
  <c r="Q3" i="44"/>
  <c r="AL40" i="44"/>
  <c r="AM39" i="44"/>
  <c r="R10" i="44"/>
  <c r="S10" i="44"/>
  <c r="Q10" i="44"/>
  <c r="S12" i="44"/>
  <c r="R12" i="44"/>
  <c r="Q12" i="44"/>
  <c r="S15" i="44"/>
  <c r="R15" i="44"/>
  <c r="S13" i="44"/>
  <c r="R13" i="44"/>
  <c r="Q13" i="44"/>
  <c r="AN38" i="44"/>
  <c r="AO38" i="44" s="1" a="1"/>
  <c r="AQ37" i="27"/>
  <c r="AQ45" i="27"/>
  <c r="AQ53" i="27"/>
  <c r="AQ61" i="27"/>
  <c r="AQ38" i="27"/>
  <c r="AQ46" i="27"/>
  <c r="AQ54" i="27"/>
  <c r="AQ62" i="27"/>
  <c r="AQ31" i="27"/>
  <c r="AQ39" i="27"/>
  <c r="AQ47" i="27"/>
  <c r="AQ55" i="27"/>
  <c r="AQ63" i="27"/>
  <c r="AQ32" i="27"/>
  <c r="AQ40" i="27"/>
  <c r="AQ48" i="27"/>
  <c r="AQ56" i="27"/>
  <c r="AQ64" i="27"/>
  <c r="AQ33" i="27"/>
  <c r="AQ41" i="27"/>
  <c r="AQ49" i="27"/>
  <c r="AQ57" i="27"/>
  <c r="AQ34" i="27"/>
  <c r="AQ42" i="27"/>
  <c r="AQ50" i="27"/>
  <c r="AQ58" i="27"/>
  <c r="AQ35" i="27"/>
  <c r="AQ43" i="27"/>
  <c r="AQ51" i="27"/>
  <c r="AQ59" i="27"/>
  <c r="AQ36" i="27"/>
  <c r="AQ44" i="27"/>
  <c r="AQ52" i="27"/>
  <c r="AQ60" i="27"/>
  <c r="F5" i="27"/>
  <c r="M5" i="27"/>
  <c r="N5" i="27"/>
  <c r="O5" i="27"/>
  <c r="AA5" i="27"/>
  <c r="Z5" i="27"/>
  <c r="AO38" i="44" l="1"/>
  <c r="AP38" i="44"/>
  <c r="S16" i="44"/>
  <c r="R16" i="44"/>
  <c r="P36" i="44"/>
  <c r="O37" i="44"/>
  <c r="O18" i="44"/>
  <c r="Q17" i="44"/>
  <c r="P17" i="44"/>
  <c r="AN39" i="44"/>
  <c r="AO39" i="44" s="1" a="1"/>
  <c r="R35" i="44"/>
  <c r="S35" i="44"/>
  <c r="AL41" i="44"/>
  <c r="AM40" i="44"/>
  <c r="AQ29" i="27"/>
  <c r="I5" i="27"/>
  <c r="L5" i="27" s="1"/>
  <c r="M6" i="27"/>
  <c r="M7" i="27" s="1"/>
  <c r="N7" i="27" s="1"/>
  <c r="O6" i="27"/>
  <c r="O7" i="27" s="1"/>
  <c r="F7" i="27"/>
  <c r="AP39" i="44" l="1"/>
  <c r="AO39" i="44"/>
  <c r="S36" i="44"/>
  <c r="R36" i="44"/>
  <c r="AN40" i="44"/>
  <c r="AO40" i="44" s="1" a="1"/>
  <c r="P18" i="44"/>
  <c r="O19" i="44"/>
  <c r="Q18" i="44"/>
  <c r="AM41" i="44"/>
  <c r="AL42" i="44"/>
  <c r="P37" i="44"/>
  <c r="O38" i="44"/>
  <c r="R17" i="44"/>
  <c r="S17" i="44"/>
  <c r="N6" i="27"/>
  <c r="F8" i="27"/>
  <c r="M8" i="27"/>
  <c r="N8" i="27" s="1"/>
  <c r="O8" i="27"/>
  <c r="AP40" i="44" l="1"/>
  <c r="AO40" i="44"/>
  <c r="R37" i="44"/>
  <c r="S37" i="44"/>
  <c r="O20" i="44"/>
  <c r="Q19" i="44"/>
  <c r="P19" i="44"/>
  <c r="AL43" i="44"/>
  <c r="AM42" i="44"/>
  <c r="AN41" i="44"/>
  <c r="AO41" i="44" s="1" a="1"/>
  <c r="R18" i="44"/>
  <c r="S18" i="44"/>
  <c r="P38" i="44"/>
  <c r="O39" i="44"/>
  <c r="I6" i="27"/>
  <c r="L6" i="27" s="1"/>
  <c r="F9" i="27"/>
  <c r="M9" i="27"/>
  <c r="N9" i="27" s="1"/>
  <c r="O9" i="27"/>
  <c r="AO41" i="44" l="1"/>
  <c r="AP41" i="44"/>
  <c r="AL44" i="44"/>
  <c r="AM43" i="44"/>
  <c r="S19" i="44"/>
  <c r="R19" i="44"/>
  <c r="O40" i="44"/>
  <c r="P39" i="44"/>
  <c r="S38" i="44"/>
  <c r="R38" i="44"/>
  <c r="P20" i="44"/>
  <c r="Q20" i="44"/>
  <c r="AN42" i="44"/>
  <c r="AO42" i="44" s="1" a="1"/>
  <c r="I7" i="27"/>
  <c r="L7" i="27" s="1"/>
  <c r="F10" i="27"/>
  <c r="M10" i="27"/>
  <c r="N10" i="27"/>
  <c r="O10" i="27"/>
  <c r="Z10" i="27"/>
  <c r="AP42" i="44" l="1"/>
  <c r="AO42" i="44"/>
  <c r="S39" i="44"/>
  <c r="R39" i="44"/>
  <c r="O41" i="44"/>
  <c r="P40" i="44"/>
  <c r="R20" i="44"/>
  <c r="S20" i="44"/>
  <c r="AL45" i="44"/>
  <c r="AM44" i="44"/>
  <c r="AN43" i="44"/>
  <c r="AO43" i="44" s="1" a="1"/>
  <c r="I8" i="27"/>
  <c r="L8" i="27" s="1"/>
  <c r="F11" i="27"/>
  <c r="M11" i="27"/>
  <c r="N11" i="27" s="1"/>
  <c r="O11" i="27"/>
  <c r="O12" i="27" s="1"/>
  <c r="F12" i="27"/>
  <c r="F13" i="27"/>
  <c r="AP43" i="44" l="1"/>
  <c r="AO43" i="44"/>
  <c r="O42" i="44"/>
  <c r="P41" i="44"/>
  <c r="AN44" i="44"/>
  <c r="AO44" i="44" a="1"/>
  <c r="S40" i="44"/>
  <c r="R40" i="44"/>
  <c r="AL46" i="44"/>
  <c r="AM45" i="44"/>
  <c r="I9" i="27"/>
  <c r="L9" i="27" s="1"/>
  <c r="M12" i="27"/>
  <c r="O13" i="27"/>
  <c r="F14" i="27"/>
  <c r="AR31" i="44" a="1"/>
  <c r="C15" i="27"/>
  <c r="AR59" i="44" l="1"/>
  <c r="AR51" i="44"/>
  <c r="AR43" i="44"/>
  <c r="AR35" i="44"/>
  <c r="AR61" i="44"/>
  <c r="AR52" i="44"/>
  <c r="AR42" i="44"/>
  <c r="AR33" i="44"/>
  <c r="AR57" i="44"/>
  <c r="AR47" i="44"/>
  <c r="AR37" i="44"/>
  <c r="AR56" i="44"/>
  <c r="AR46" i="44"/>
  <c r="AR36" i="44"/>
  <c r="AR54" i="44"/>
  <c r="AR64" i="44"/>
  <c r="AR32" i="44"/>
  <c r="AR55" i="44"/>
  <c r="AR45" i="44"/>
  <c r="AR34" i="44"/>
  <c r="AR44" i="44"/>
  <c r="AR63" i="44"/>
  <c r="AR41" i="44"/>
  <c r="AR62" i="44"/>
  <c r="AR40" i="44"/>
  <c r="AR31" i="44"/>
  <c r="AR60" i="44"/>
  <c r="AR39" i="44"/>
  <c r="AR38" i="44"/>
  <c r="AR48" i="44"/>
  <c r="AR58" i="44"/>
  <c r="AR53" i="44"/>
  <c r="AR50" i="44"/>
  <c r="AR49" i="44"/>
  <c r="P42" i="44"/>
  <c r="O43" i="44"/>
  <c r="AP44" i="44"/>
  <c r="AO44" i="44"/>
  <c r="S41" i="44"/>
  <c r="R41" i="44"/>
  <c r="AN45" i="44"/>
  <c r="AO45" i="44" a="1"/>
  <c r="AL47" i="44"/>
  <c r="AM46" i="44"/>
  <c r="I10" i="27"/>
  <c r="L10" i="27" s="1"/>
  <c r="O14" i="27"/>
  <c r="O15" i="27" s="1"/>
  <c r="M13" i="27"/>
  <c r="N12" i="27"/>
  <c r="F15" i="27"/>
  <c r="AO46" i="44" l="1" a="1"/>
  <c r="AN46" i="44"/>
  <c r="AL48" i="44"/>
  <c r="AM47" i="44"/>
  <c r="S42" i="44"/>
  <c r="R42" i="44"/>
  <c r="O44" i="44"/>
  <c r="P43" i="44"/>
  <c r="AP45" i="44"/>
  <c r="AO45" i="44"/>
  <c r="I11" i="27"/>
  <c r="L11" i="27" s="1"/>
  <c r="N13" i="27"/>
  <c r="M14" i="27"/>
  <c r="F16" i="27"/>
  <c r="O16" i="27"/>
  <c r="S43" i="44" l="1"/>
  <c r="R43" i="44"/>
  <c r="AM48" i="44"/>
  <c r="AL49" i="44"/>
  <c r="O45" i="44"/>
  <c r="P44" i="44"/>
  <c r="AO47" i="44" a="1"/>
  <c r="AN47" i="44"/>
  <c r="AP46" i="44"/>
  <c r="AO46" i="44"/>
  <c r="I12" i="27"/>
  <c r="L12" i="27" s="1"/>
  <c r="N14" i="27"/>
  <c r="M15" i="27"/>
  <c r="F17" i="27"/>
  <c r="O17" i="27"/>
  <c r="P17" i="27" s="1"/>
  <c r="S44" i="44" l="1"/>
  <c r="R44" i="44"/>
  <c r="AM49" i="44"/>
  <c r="AL50" i="44"/>
  <c r="AO48" i="44" a="1"/>
  <c r="AN48" i="44"/>
  <c r="AO47" i="44"/>
  <c r="AP47" i="44"/>
  <c r="O46" i="44"/>
  <c r="P45" i="44"/>
  <c r="M16" i="27"/>
  <c r="N15" i="27"/>
  <c r="Q17" i="27"/>
  <c r="I13" i="27"/>
  <c r="L13" i="27" s="1"/>
  <c r="S17" i="27"/>
  <c r="R17" i="27"/>
  <c r="F18" i="27"/>
  <c r="N18" i="27"/>
  <c r="O18" i="27"/>
  <c r="Q18" i="27" s="1"/>
  <c r="AP48" i="44" l="1"/>
  <c r="AO48" i="44"/>
  <c r="AM50" i="44"/>
  <c r="AL51" i="44"/>
  <c r="AN49" i="44"/>
  <c r="AO49" i="44" a="1"/>
  <c r="S45" i="44"/>
  <c r="R45" i="44"/>
  <c r="P46" i="44"/>
  <c r="O47" i="44"/>
  <c r="N16" i="27"/>
  <c r="M17" i="27"/>
  <c r="I14" i="27"/>
  <c r="L14" i="27" s="1"/>
  <c r="P18" i="27"/>
  <c r="F19" i="27"/>
  <c r="N19" i="27"/>
  <c r="O19" i="27"/>
  <c r="P19" i="27" s="1"/>
  <c r="AP49" i="44" l="1"/>
  <c r="AO49" i="44"/>
  <c r="AM51" i="44"/>
  <c r="AL52" i="44"/>
  <c r="AO50" i="44" a="1"/>
  <c r="AN50" i="44"/>
  <c r="O48" i="44"/>
  <c r="P47" i="44"/>
  <c r="S46" i="44"/>
  <c r="R46" i="44"/>
  <c r="N17" i="27"/>
  <c r="M18" i="27"/>
  <c r="M19" i="27" s="1"/>
  <c r="I15" i="27"/>
  <c r="L15" i="27" s="1"/>
  <c r="S19" i="27"/>
  <c r="R19" i="27"/>
  <c r="R18" i="27"/>
  <c r="S18" i="27"/>
  <c r="Q19" i="27"/>
  <c r="P11" i="27"/>
  <c r="P8" i="27"/>
  <c r="F20" i="27"/>
  <c r="M20" i="27"/>
  <c r="N20" i="27"/>
  <c r="O20" i="27"/>
  <c r="P20" i="27" s="1"/>
  <c r="O49" i="44" l="1"/>
  <c r="P48" i="44"/>
  <c r="AL53" i="44"/>
  <c r="AM52" i="44"/>
  <c r="AO51" i="44" a="1"/>
  <c r="AN51" i="44"/>
  <c r="S47" i="44"/>
  <c r="R47" i="44"/>
  <c r="AP50" i="44"/>
  <c r="AO50" i="44"/>
  <c r="P16" i="27"/>
  <c r="P15" i="27"/>
  <c r="S20" i="27"/>
  <c r="R20" i="27"/>
  <c r="Q20" i="27"/>
  <c r="I16" i="27"/>
  <c r="L16" i="27" s="1"/>
  <c r="P4" i="27"/>
  <c r="P3" i="27"/>
  <c r="P5" i="27"/>
  <c r="P9" i="27"/>
  <c r="P7" i="27"/>
  <c r="P6" i="27"/>
  <c r="P13" i="27"/>
  <c r="P10" i="27"/>
  <c r="S8" i="27"/>
  <c r="Q8" i="27"/>
  <c r="R8" i="27"/>
  <c r="P14" i="27"/>
  <c r="R11" i="27"/>
  <c r="S11" i="27"/>
  <c r="Q11" i="27"/>
  <c r="P12" i="27"/>
  <c r="AA21" i="27"/>
  <c r="AO51" i="44" l="1"/>
  <c r="AP51" i="44"/>
  <c r="AL54" i="44"/>
  <c r="AM53" i="44"/>
  <c r="AO52" i="44" a="1"/>
  <c r="AN52" i="44"/>
  <c r="S48" i="44"/>
  <c r="R48" i="44"/>
  <c r="O50" i="44"/>
  <c r="P49" i="44"/>
  <c r="Q15" i="27"/>
  <c r="R15" i="27"/>
  <c r="S15" i="27"/>
  <c r="R16" i="27"/>
  <c r="Q16" i="27"/>
  <c r="I17" i="27"/>
  <c r="L17" i="27" s="1"/>
  <c r="S14" i="27" s="1"/>
  <c r="R7" i="27"/>
  <c r="S7" i="27"/>
  <c r="Q7" i="27"/>
  <c r="R14" i="27"/>
  <c r="Q14" i="27"/>
  <c r="R9" i="27"/>
  <c r="S9" i="27"/>
  <c r="Q9" i="27"/>
  <c r="Q6" i="27"/>
  <c r="R6" i="27"/>
  <c r="S6" i="27"/>
  <c r="R3" i="27"/>
  <c r="Q3" i="27"/>
  <c r="R4" i="27"/>
  <c r="Q4" i="27"/>
  <c r="R13" i="27"/>
  <c r="S13" i="27"/>
  <c r="Q13" i="27"/>
  <c r="R5" i="27"/>
  <c r="S5" i="27"/>
  <c r="Q5" i="27"/>
  <c r="R12" i="27"/>
  <c r="S12" i="27"/>
  <c r="Q12" i="27"/>
  <c r="S10" i="27"/>
  <c r="R10" i="27"/>
  <c r="Q10" i="27"/>
  <c r="Z22" i="27"/>
  <c r="AA22" i="27"/>
  <c r="AN53" i="44" l="1"/>
  <c r="AO53" i="44" a="1"/>
  <c r="AL55" i="44"/>
  <c r="AM54" i="44"/>
  <c r="R49" i="44"/>
  <c r="S49" i="44"/>
  <c r="AO52" i="44"/>
  <c r="AP52" i="44"/>
  <c r="O51" i="44"/>
  <c r="P50" i="44"/>
  <c r="S16" i="27"/>
  <c r="I18" i="27"/>
  <c r="L18" i="27" s="1"/>
  <c r="AA23" i="27"/>
  <c r="Z23" i="27"/>
  <c r="AL56" i="44" l="1"/>
  <c r="AM55" i="44"/>
  <c r="AO54" i="44" a="1"/>
  <c r="AN54" i="44"/>
  <c r="AO53" i="44"/>
  <c r="AP53" i="44"/>
  <c r="R50" i="44"/>
  <c r="S50" i="44"/>
  <c r="P51" i="44"/>
  <c r="O52" i="44"/>
  <c r="I19" i="27"/>
  <c r="L19" i="27" s="1"/>
  <c r="AA24" i="27"/>
  <c r="Z24" i="27"/>
  <c r="AO54" i="44" l="1"/>
  <c r="AP54" i="44"/>
  <c r="O53" i="44"/>
  <c r="P52" i="44"/>
  <c r="AO55" i="44" a="1"/>
  <c r="AN55" i="44"/>
  <c r="R51" i="44"/>
  <c r="S51" i="44"/>
  <c r="AL57" i="44"/>
  <c r="AM56" i="44"/>
  <c r="I20" i="27"/>
  <c r="L20" i="27" s="1"/>
  <c r="M27" i="27"/>
  <c r="AA27" i="27"/>
  <c r="Z27" i="27"/>
  <c r="P53" i="44" l="1"/>
  <c r="O54" i="44"/>
  <c r="AO55" i="44"/>
  <c r="AP55" i="44"/>
  <c r="AO56" i="44" a="1"/>
  <c r="AN56" i="44"/>
  <c r="R52" i="44"/>
  <c r="S52" i="44"/>
  <c r="AM57" i="44"/>
  <c r="AL58" i="44"/>
  <c r="I23" i="27"/>
  <c r="M28" i="27"/>
  <c r="M29" i="27" s="1"/>
  <c r="M30" i="27" s="1"/>
  <c r="M31" i="27" s="1"/>
  <c r="AA31" i="27"/>
  <c r="AP56" i="44" l="1"/>
  <c r="AO56" i="44"/>
  <c r="AL59" i="44"/>
  <c r="AM58" i="44"/>
  <c r="P54" i="44"/>
  <c r="O55" i="44"/>
  <c r="AO57" i="44" a="1"/>
  <c r="AN57" i="44"/>
  <c r="R53" i="44"/>
  <c r="S53" i="44"/>
  <c r="L23" i="27"/>
  <c r="AF31" i="27"/>
  <c r="AG31" i="27" s="1"/>
  <c r="F26" i="27" s="1"/>
  <c r="E26" i="27" s="1"/>
  <c r="N26" i="27" s="1"/>
  <c r="O56" i="44" l="1"/>
  <c r="P55" i="44"/>
  <c r="AM59" i="44"/>
  <c r="AL60" i="44"/>
  <c r="AP57" i="44"/>
  <c r="AO57" i="44"/>
  <c r="S54" i="44"/>
  <c r="R54" i="44"/>
  <c r="AO58" i="44" a="1"/>
  <c r="AN58" i="44"/>
  <c r="AI31" i="27"/>
  <c r="AH31" i="27"/>
  <c r="AK31" i="27" s="1"/>
  <c r="M32" i="27"/>
  <c r="AA32" i="27"/>
  <c r="Z32" i="27"/>
  <c r="AO59" i="44" l="1" a="1"/>
  <c r="AN59" i="44"/>
  <c r="AM60" i="44"/>
  <c r="AL61" i="44"/>
  <c r="S55" i="44"/>
  <c r="R55" i="44"/>
  <c r="AP58" i="44"/>
  <c r="AO58" i="44"/>
  <c r="O57" i="44"/>
  <c r="P56" i="44"/>
  <c r="AF32" i="27"/>
  <c r="AG32" i="27" s="1"/>
  <c r="M33" i="27"/>
  <c r="Z33" i="27"/>
  <c r="AA33" i="27"/>
  <c r="AO60" i="44" l="1" a="1"/>
  <c r="AN60" i="44"/>
  <c r="AL62" i="44"/>
  <c r="AM61" i="44"/>
  <c r="AN61" i="44" s="1"/>
  <c r="S56" i="44"/>
  <c r="R56" i="44"/>
  <c r="P57" i="44"/>
  <c r="O58" i="44"/>
  <c r="AP59" i="44"/>
  <c r="AO59" i="44"/>
  <c r="AI32" i="27"/>
  <c r="AH32" i="27"/>
  <c r="AK32" i="27" s="1"/>
  <c r="F27" i="27"/>
  <c r="E27" i="27" s="1"/>
  <c r="AF33" i="27"/>
  <c r="M34" i="27"/>
  <c r="Z34" i="27"/>
  <c r="AA34" i="27"/>
  <c r="AL63" i="44" l="1"/>
  <c r="AM62" i="44"/>
  <c r="AN62" i="44" s="1"/>
  <c r="R57" i="44"/>
  <c r="S57" i="44"/>
  <c r="P58" i="44"/>
  <c r="O59" i="44"/>
  <c r="AP60" i="44"/>
  <c r="AO60" i="44"/>
  <c r="AG33" i="27"/>
  <c r="F28" i="27" s="1"/>
  <c r="E28" i="27" s="1"/>
  <c r="N28" i="27" s="1"/>
  <c r="N27" i="27"/>
  <c r="AF34" i="27"/>
  <c r="AG34" i="27" s="1"/>
  <c r="M35" i="27"/>
  <c r="Z35" i="27"/>
  <c r="AA35" i="27"/>
  <c r="P59" i="44" l="1"/>
  <c r="O60" i="44"/>
  <c r="R58" i="44"/>
  <c r="S58" i="44"/>
  <c r="AM63" i="44"/>
  <c r="AL64" i="44"/>
  <c r="AI33" i="27"/>
  <c r="AH33" i="27"/>
  <c r="AK33" i="27" s="1"/>
  <c r="AI34" i="27"/>
  <c r="AH34" i="27"/>
  <c r="AK34" i="27" s="1"/>
  <c r="F29" i="27"/>
  <c r="E29" i="27" s="1"/>
  <c r="AF35" i="27"/>
  <c r="AG35" i="27" s="1"/>
  <c r="F30" i="27" s="1"/>
  <c r="E30" i="27" s="1"/>
  <c r="N30" i="27" s="1"/>
  <c r="M36" i="27"/>
  <c r="AA36" i="27"/>
  <c r="Z36" i="27"/>
  <c r="AM64" i="44" l="1"/>
  <c r="AL65" i="44"/>
  <c r="O61" i="44"/>
  <c r="P60" i="44"/>
  <c r="AN63" i="44"/>
  <c r="AO63" i="44" a="1"/>
  <c r="S59" i="44"/>
  <c r="R59" i="44"/>
  <c r="AI35" i="27"/>
  <c r="AH35" i="27"/>
  <c r="AK35" i="27" s="1"/>
  <c r="N29" i="27"/>
  <c r="AF36" i="27"/>
  <c r="M37" i="27"/>
  <c r="AA37" i="27"/>
  <c r="Z37" i="27"/>
  <c r="AP63" i="44" l="1"/>
  <c r="AO63" i="44"/>
  <c r="P61" i="44"/>
  <c r="O62" i="44"/>
  <c r="AL66" i="44"/>
  <c r="AM65" i="44"/>
  <c r="S60" i="44"/>
  <c r="R60" i="44"/>
  <c r="AO64" i="44" a="1"/>
  <c r="AN64" i="44"/>
  <c r="AG36" i="27"/>
  <c r="AH36" i="27" s="1"/>
  <c r="AK36" i="27" s="1"/>
  <c r="AF37" i="27"/>
  <c r="AG37" i="27" s="1"/>
  <c r="F32" i="27" s="1"/>
  <c r="E32" i="27" s="1"/>
  <c r="N32" i="27" s="1"/>
  <c r="M38" i="27"/>
  <c r="AA38" i="27"/>
  <c r="Z38" i="27"/>
  <c r="AO65" i="44" l="1" a="1"/>
  <c r="AN65" i="44"/>
  <c r="S61" i="44"/>
  <c r="R61" i="44"/>
  <c r="P62" i="44"/>
  <c r="O63" i="44"/>
  <c r="AM66" i="44"/>
  <c r="AL67" i="44"/>
  <c r="AP64" i="44"/>
  <c r="AO64" i="44"/>
  <c r="AI36" i="27"/>
  <c r="F31" i="27"/>
  <c r="E31" i="27" s="1"/>
  <c r="N31" i="27" s="1"/>
  <c r="AH37" i="27"/>
  <c r="AK37" i="27" s="1"/>
  <c r="AI37" i="27"/>
  <c r="AF38" i="27"/>
  <c r="AG38" i="27" s="1"/>
  <c r="F33" i="27" s="1"/>
  <c r="E33" i="27" s="1"/>
  <c r="N33" i="27" s="1"/>
  <c r="M39" i="27"/>
  <c r="AA39" i="27"/>
  <c r="Z39" i="27"/>
  <c r="O64" i="44" l="1"/>
  <c r="P63" i="44"/>
  <c r="AO66" i="44" a="1"/>
  <c r="AN66" i="44"/>
  <c r="AM67" i="44"/>
  <c r="AL68" i="44"/>
  <c r="R62" i="44"/>
  <c r="S62" i="44"/>
  <c r="AO65" i="44"/>
  <c r="AP65" i="44"/>
  <c r="AI38" i="27"/>
  <c r="AH38" i="27"/>
  <c r="AK38" i="27" s="1"/>
  <c r="AF39" i="27"/>
  <c r="AG39" i="27" s="1"/>
  <c r="F34" i="27" s="1"/>
  <c r="E34" i="27" s="1"/>
  <c r="M40" i="27"/>
  <c r="Z40" i="27"/>
  <c r="AA40" i="27"/>
  <c r="AM68" i="44" l="1"/>
  <c r="AL69" i="44"/>
  <c r="AO66" i="44"/>
  <c r="AP66" i="44"/>
  <c r="S63" i="44"/>
  <c r="R63" i="44"/>
  <c r="AO67" i="44" a="1"/>
  <c r="AN67" i="44"/>
  <c r="P64" i="44"/>
  <c r="O65" i="44"/>
  <c r="AH39" i="27"/>
  <c r="AK39" i="27" s="1"/>
  <c r="AI39" i="27"/>
  <c r="N34" i="27"/>
  <c r="AF40" i="27"/>
  <c r="AG40" i="27" s="1"/>
  <c r="F35" i="27" s="1"/>
  <c r="E35" i="27" s="1"/>
  <c r="N35" i="27" s="1"/>
  <c r="M41" i="27"/>
  <c r="M42" i="27" s="1"/>
  <c r="Z42" i="27"/>
  <c r="AA41" i="27"/>
  <c r="Z41" i="27"/>
  <c r="AA42" i="27"/>
  <c r="AP67" i="44" l="1"/>
  <c r="AO67" i="44"/>
  <c r="O66" i="44"/>
  <c r="P65" i="44"/>
  <c r="AL70" i="44"/>
  <c r="AM69" i="44"/>
  <c r="S64" i="44"/>
  <c r="R64" i="44"/>
  <c r="AN68" i="44"/>
  <c r="AO68" i="44" a="1"/>
  <c r="AF41" i="27"/>
  <c r="AH40" i="27"/>
  <c r="AK40" i="27" s="1"/>
  <c r="AI40" i="27"/>
  <c r="AF42" i="27"/>
  <c r="AG42" i="27" s="1"/>
  <c r="F37" i="27" s="1"/>
  <c r="E37" i="27" s="1"/>
  <c r="N37" i="27" s="1"/>
  <c r="M43" i="27"/>
  <c r="Z43" i="27"/>
  <c r="AA43" i="27"/>
  <c r="AM70" i="44" l="1"/>
  <c r="AL71" i="44"/>
  <c r="P66" i="44"/>
  <c r="O67" i="44"/>
  <c r="P67" i="44" s="1"/>
  <c r="AP68" i="44"/>
  <c r="AO68" i="44"/>
  <c r="AO69" i="44" a="1"/>
  <c r="AN69" i="44"/>
  <c r="R65" i="44"/>
  <c r="S65" i="44"/>
  <c r="AG41" i="27"/>
  <c r="F36" i="27" s="1"/>
  <c r="E36" i="27" s="1"/>
  <c r="N36" i="27" s="1"/>
  <c r="AI42" i="27"/>
  <c r="AH42" i="27"/>
  <c r="AK42" i="27" s="1"/>
  <c r="AF43" i="27"/>
  <c r="AG43" i="27" s="1"/>
  <c r="F38" i="27" s="1"/>
  <c r="E38" i="27" s="1"/>
  <c r="N38" i="27" s="1"/>
  <c r="M44" i="27"/>
  <c r="AA44" i="27"/>
  <c r="Z44" i="27"/>
  <c r="AP69" i="44" l="1"/>
  <c r="AO69" i="44"/>
  <c r="S67" i="44"/>
  <c r="R67" i="44"/>
  <c r="S66" i="44"/>
  <c r="R66" i="44"/>
  <c r="AM71" i="44"/>
  <c r="AL72" i="44"/>
  <c r="AM72" i="44" s="1"/>
  <c r="AO70" i="44" a="1"/>
  <c r="AN70" i="44"/>
  <c r="AI41" i="27"/>
  <c r="AH41" i="27"/>
  <c r="AK41" i="27" s="1"/>
  <c r="AI43" i="27"/>
  <c r="AH43" i="27"/>
  <c r="AK43" i="27" s="1"/>
  <c r="AF44" i="27"/>
  <c r="C45" i="27"/>
  <c r="M45" i="27"/>
  <c r="AA45" i="27"/>
  <c r="Z45" i="27"/>
  <c r="AO72" i="44" l="1" a="1"/>
  <c r="AN72" i="44"/>
  <c r="AO71" i="44" a="1"/>
  <c r="AN71" i="44"/>
  <c r="AP70" i="44"/>
  <c r="AO70" i="44"/>
  <c r="AG44" i="27"/>
  <c r="F39" i="27" s="1"/>
  <c r="E39" i="27" s="1"/>
  <c r="N39" i="27" s="1"/>
  <c r="AF45" i="27"/>
  <c r="AG45" i="27" s="1"/>
  <c r="F40" i="27" s="1"/>
  <c r="E40" i="27" s="1"/>
  <c r="N40" i="27" s="1"/>
  <c r="M46" i="27"/>
  <c r="AA46" i="27"/>
  <c r="Z46" i="27"/>
  <c r="AP71" i="44" l="1"/>
  <c r="AO71" i="44"/>
  <c r="AP72" i="44"/>
  <c r="AO72" i="44"/>
  <c r="AI44" i="27"/>
  <c r="AH44" i="27"/>
  <c r="AK44" i="27" s="1"/>
  <c r="AH45" i="27"/>
  <c r="AK45" i="27" s="1"/>
  <c r="AI45" i="27"/>
  <c r="AF46" i="27"/>
  <c r="M47" i="27"/>
  <c r="Z47" i="27"/>
  <c r="AA47" i="27"/>
  <c r="AG46" i="27" l="1"/>
  <c r="F41" i="27" s="1"/>
  <c r="E41" i="27" s="1"/>
  <c r="N41" i="27" s="1"/>
  <c r="AF47" i="27"/>
  <c r="AG47" i="27" s="1"/>
  <c r="F42" i="27" s="1"/>
  <c r="E42" i="27" s="1"/>
  <c r="N42" i="27" s="1"/>
  <c r="B48" i="27"/>
  <c r="M48" i="27"/>
  <c r="Z48" i="27"/>
  <c r="AA48" i="27"/>
  <c r="AI46" i="27" l="1"/>
  <c r="AH46" i="27"/>
  <c r="AK46" i="27" s="1"/>
  <c r="AI47" i="27"/>
  <c r="AH47" i="27"/>
  <c r="AK47" i="27" s="1"/>
  <c r="AF48" i="27"/>
  <c r="AG48" i="27" s="1"/>
  <c r="F43" i="27" s="1"/>
  <c r="E43" i="27" s="1"/>
  <c r="N43" i="27" s="1"/>
  <c r="B49" i="27"/>
  <c r="M49" i="27"/>
  <c r="M50" i="27" s="1"/>
  <c r="B50" i="27"/>
  <c r="Z49" i="27"/>
  <c r="Z50" i="27"/>
  <c r="AA50" i="27"/>
  <c r="AA49" i="27"/>
  <c r="AF49" i="27" l="1"/>
  <c r="AI48" i="27"/>
  <c r="AH48" i="27"/>
  <c r="AK48" i="27" s="1"/>
  <c r="AF50" i="27"/>
  <c r="AG50" i="27" s="1"/>
  <c r="F45" i="27" s="1"/>
  <c r="E45" i="27" s="1"/>
  <c r="N45" i="27" s="1"/>
  <c r="B51" i="27"/>
  <c r="M51" i="27"/>
  <c r="AA51" i="27"/>
  <c r="Z51" i="27"/>
  <c r="AG49" i="27" l="1"/>
  <c r="F44" i="27" s="1"/>
  <c r="E44" i="27" s="1"/>
  <c r="N44" i="27" s="1"/>
  <c r="AH50" i="27"/>
  <c r="AK50" i="27" s="1"/>
  <c r="AI50" i="27"/>
  <c r="AF51" i="27"/>
  <c r="B52" i="27"/>
  <c r="M52" i="27"/>
  <c r="AA52" i="27"/>
  <c r="Z52" i="27"/>
  <c r="AI49" i="27" l="1"/>
  <c r="AG51" i="27"/>
  <c r="F46" i="27" s="1"/>
  <c r="E46" i="27" s="1"/>
  <c r="N46" i="27" s="1"/>
  <c r="AH49" i="27"/>
  <c r="AK49" i="27" s="1"/>
  <c r="AF52" i="27"/>
  <c r="AG52" i="27" s="1"/>
  <c r="F47" i="27" s="1"/>
  <c r="E47" i="27" s="1"/>
  <c r="N47" i="27" s="1"/>
  <c r="B53" i="27"/>
  <c r="M53" i="27"/>
  <c r="AA53" i="27"/>
  <c r="Z53" i="27"/>
  <c r="AI51" i="27" l="1"/>
  <c r="AH51" i="27"/>
  <c r="AK51" i="27" s="1"/>
  <c r="AH52" i="27"/>
  <c r="AK52" i="27" s="1"/>
  <c r="AI52" i="27"/>
  <c r="AF53" i="27"/>
  <c r="C54" i="27"/>
  <c r="M54" i="27"/>
  <c r="M55" i="27" s="1"/>
  <c r="C55" i="27"/>
  <c r="AA55" i="27"/>
  <c r="Z55" i="27"/>
  <c r="Z54" i="27"/>
  <c r="AA54" i="27"/>
  <c r="AG53" i="27" l="1"/>
  <c r="F48" i="27" s="1"/>
  <c r="E48" i="27" s="1"/>
  <c r="N48" i="27" s="1"/>
  <c r="AF54" i="27"/>
  <c r="AF55" i="27"/>
  <c r="B56" i="27"/>
  <c r="M56" i="27"/>
  <c r="AA56" i="27"/>
  <c r="Z56" i="27"/>
  <c r="AI53" i="27" l="1"/>
  <c r="AG55" i="27"/>
  <c r="F50" i="27" s="1"/>
  <c r="E50" i="27" s="1"/>
  <c r="N50" i="27" s="1"/>
  <c r="AG54" i="27"/>
  <c r="F49" i="27" s="1"/>
  <c r="E49" i="27" s="1"/>
  <c r="N49" i="27" s="1"/>
  <c r="AH53" i="27"/>
  <c r="AK53" i="27" s="1"/>
  <c r="AF56" i="27"/>
  <c r="B57" i="27"/>
  <c r="C57" i="27"/>
  <c r="M57" i="27"/>
  <c r="Z57" i="27"/>
  <c r="AA57" i="27"/>
  <c r="AI54" i="27" l="1"/>
  <c r="AI55" i="27"/>
  <c r="AH54" i="27"/>
  <c r="AK54" i="27" s="1"/>
  <c r="AG56" i="27"/>
  <c r="F51" i="27" s="1"/>
  <c r="E51" i="27" s="1"/>
  <c r="N51" i="27" s="1"/>
  <c r="AH55" i="27"/>
  <c r="AK55" i="27" s="1"/>
  <c r="AF57" i="27"/>
  <c r="B58" i="27"/>
  <c r="C58" i="27"/>
  <c r="M58" i="27"/>
  <c r="AA58" i="27"/>
  <c r="Z58" i="27"/>
  <c r="AI56" i="27" l="1"/>
  <c r="AG57" i="27"/>
  <c r="F52" i="27" s="1"/>
  <c r="E52" i="27" s="1"/>
  <c r="N52" i="27" s="1"/>
  <c r="AH56" i="27"/>
  <c r="AK56" i="27" s="1"/>
  <c r="AF58" i="27"/>
  <c r="B59" i="27"/>
  <c r="C59" i="27"/>
  <c r="M59" i="27"/>
  <c r="Z59" i="27"/>
  <c r="AA59" i="27"/>
  <c r="AI57" i="27" l="1"/>
  <c r="AG58" i="27"/>
  <c r="F53" i="27" s="1"/>
  <c r="E53" i="27" s="1"/>
  <c r="N53" i="27" s="1"/>
  <c r="AH57" i="27"/>
  <c r="AK57" i="27" s="1"/>
  <c r="AF59" i="27"/>
  <c r="AG59" i="27" s="1"/>
  <c r="F54" i="27" s="1"/>
  <c r="E54" i="27" s="1"/>
  <c r="N54" i="27" s="1"/>
  <c r="B60" i="27"/>
  <c r="C60" i="27"/>
  <c r="M60" i="27"/>
  <c r="B61" i="27"/>
  <c r="C61" i="27"/>
  <c r="M61" i="27"/>
  <c r="AA61" i="27"/>
  <c r="Z60" i="27"/>
  <c r="AA60" i="27"/>
  <c r="Z61" i="27"/>
  <c r="AI58" i="27" l="1"/>
  <c r="AH58" i="27"/>
  <c r="AK58" i="27" s="1"/>
  <c r="AF60" i="27"/>
  <c r="AG60" i="27" s="1"/>
  <c r="F55" i="27" s="1"/>
  <c r="E55" i="27" s="1"/>
  <c r="N55" i="27" s="1"/>
  <c r="AH59" i="27"/>
  <c r="AK59" i="27" s="1"/>
  <c r="AI59" i="27"/>
  <c r="AF61" i="27"/>
  <c r="B62" i="27"/>
  <c r="C62" i="27"/>
  <c r="M62" i="27"/>
  <c r="AA62" i="27"/>
  <c r="Z62" i="27"/>
  <c r="AG61" i="27" l="1"/>
  <c r="F56" i="27" s="1"/>
  <c r="E56" i="27" s="1"/>
  <c r="N56" i="27" s="1"/>
  <c r="I56" i="27"/>
  <c r="L56" i="27" s="1"/>
  <c r="AH60" i="27"/>
  <c r="AK60" i="27" s="1"/>
  <c r="AI60" i="27"/>
  <c r="AF62" i="27"/>
  <c r="B63" i="27"/>
  <c r="C63" i="27"/>
  <c r="M63" i="27"/>
  <c r="B64" i="27"/>
  <c r="C64" i="27"/>
  <c r="M64" i="27"/>
  <c r="M65" i="27" s="1"/>
  <c r="M66" i="27" s="1"/>
  <c r="B65" i="27"/>
  <c r="C65" i="27"/>
  <c r="B66" i="27"/>
  <c r="C66" i="27"/>
  <c r="Z63" i="27"/>
  <c r="AA64" i="27"/>
  <c r="AA63" i="27"/>
  <c r="Z66" i="27"/>
  <c r="Z64" i="27"/>
  <c r="AA66" i="27"/>
  <c r="Z65" i="27"/>
  <c r="AA65" i="27"/>
  <c r="AI61" i="27" l="1"/>
  <c r="AG62" i="27"/>
  <c r="F57" i="27" s="1"/>
  <c r="E57" i="27" s="1"/>
  <c r="N57" i="27" s="1"/>
  <c r="I57" i="27"/>
  <c r="L57" i="27" s="1"/>
  <c r="AH61" i="27"/>
  <c r="AK61" i="27" s="1"/>
  <c r="AF65" i="27"/>
  <c r="AF63" i="27"/>
  <c r="AF64" i="27"/>
  <c r="AF66" i="27"/>
  <c r="B67" i="27"/>
  <c r="C67" i="27"/>
  <c r="M67" i="27"/>
  <c r="AA67" i="27"/>
  <c r="Z67" i="27"/>
  <c r="AH62" i="27" l="1"/>
  <c r="AK62" i="27" s="1"/>
  <c r="AI62" i="27"/>
  <c r="AG65" i="27"/>
  <c r="F60" i="27" s="1"/>
  <c r="E60" i="27" s="1"/>
  <c r="N60" i="27" s="1"/>
  <c r="I60" i="27"/>
  <c r="L60" i="27" s="1"/>
  <c r="AG64" i="27"/>
  <c r="F59" i="27" s="1"/>
  <c r="E59" i="27" s="1"/>
  <c r="N59" i="27" s="1"/>
  <c r="I59" i="27"/>
  <c r="L59" i="27" s="1"/>
  <c r="AG66" i="27"/>
  <c r="F61" i="27" s="1"/>
  <c r="E61" i="27" s="1"/>
  <c r="N61" i="27" s="1"/>
  <c r="I61" i="27"/>
  <c r="L61" i="27" s="1"/>
  <c r="AG63" i="27"/>
  <c r="F58" i="27" s="1"/>
  <c r="E58" i="27" s="1"/>
  <c r="N58" i="27" s="1"/>
  <c r="I58" i="27"/>
  <c r="L58" i="27" s="1"/>
  <c r="AF67" i="27"/>
  <c r="B68" i="27"/>
  <c r="C68" i="27"/>
  <c r="AA68" i="27"/>
  <c r="Z68" i="27"/>
  <c r="AI65" i="27" l="1"/>
  <c r="AH64" i="27"/>
  <c r="AK64" i="27" s="1"/>
  <c r="AI64" i="27"/>
  <c r="AH66" i="27"/>
  <c r="AK66" i="27" s="1"/>
  <c r="AG67" i="27"/>
  <c r="F62" i="27" s="1"/>
  <c r="E62" i="27" s="1"/>
  <c r="N62" i="27" s="1"/>
  <c r="I62" i="27"/>
  <c r="L62" i="27" s="1"/>
  <c r="AI66" i="27"/>
  <c r="AH63" i="27"/>
  <c r="AK63" i="27" s="1"/>
  <c r="AI63" i="27"/>
  <c r="AH65" i="27"/>
  <c r="AK65" i="27" s="1"/>
  <c r="AF68" i="27"/>
  <c r="B69" i="27"/>
  <c r="C69" i="27"/>
  <c r="AA69" i="27"/>
  <c r="Z69" i="27"/>
  <c r="AI67" i="27" l="1"/>
  <c r="AG68" i="27"/>
  <c r="F63" i="27" s="1"/>
  <c r="E63" i="27" s="1"/>
  <c r="I63" i="27"/>
  <c r="L63" i="27" s="1"/>
  <c r="AH67" i="27"/>
  <c r="AK67" i="27" s="1"/>
  <c r="AF69" i="27"/>
  <c r="AA70" i="27"/>
  <c r="Z70" i="27"/>
  <c r="AH68" i="27" l="1"/>
  <c r="AK68" i="27" s="1"/>
  <c r="AI68" i="27"/>
  <c r="AG69" i="27"/>
  <c r="F64" i="27" s="1"/>
  <c r="E64" i="27" s="1"/>
  <c r="N64" i="27" s="1"/>
  <c r="I64" i="27"/>
  <c r="L64" i="27" s="1"/>
  <c r="N63" i="27"/>
  <c r="AF70" i="27"/>
  <c r="Z71" i="27"/>
  <c r="AA71" i="27"/>
  <c r="AI69" i="27" l="1"/>
  <c r="AH69" i="27"/>
  <c r="AK69" i="27" s="1"/>
  <c r="AG70" i="27"/>
  <c r="F65" i="27" s="1"/>
  <c r="E65" i="27" s="1"/>
  <c r="I65" i="27"/>
  <c r="L65" i="27" s="1"/>
  <c r="AF71" i="27"/>
  <c r="Z72" i="27"/>
  <c r="AA72" i="27"/>
  <c r="AI70" i="27" l="1"/>
  <c r="AH70" i="27"/>
  <c r="AK70" i="27" s="1"/>
  <c r="AG71" i="27"/>
  <c r="F66" i="27" s="1"/>
  <c r="E66" i="27" s="1"/>
  <c r="N66" i="27" s="1"/>
  <c r="I66" i="27"/>
  <c r="L66" i="27" s="1"/>
  <c r="N65" i="27"/>
  <c r="AF72" i="27"/>
  <c r="C9" i="11"/>
  <c r="AH71" i="27" l="1"/>
  <c r="AK71" i="27" s="1"/>
  <c r="AI71" i="27"/>
  <c r="AG72" i="27"/>
  <c r="F67" i="27" s="1"/>
  <c r="E67" i="27" s="1"/>
  <c r="S25" i="27" s="1" a="1"/>
  <c r="I67" i="27"/>
  <c r="L67" i="27" s="1"/>
  <c r="D6" i="8"/>
  <c r="N67" i="27" l="1"/>
  <c r="S25" i="27"/>
  <c r="O26" i="27" s="1"/>
  <c r="AG29" i="27"/>
  <c r="AH30" i="27" s="1"/>
  <c r="D5" i="8"/>
  <c r="U9" i="11"/>
  <c r="L9" i="11"/>
  <c r="U9" i="10"/>
  <c r="L9" i="10"/>
  <c r="C9" i="10"/>
  <c r="L5" i="43"/>
  <c r="C5" i="11"/>
  <c r="D9" i="8"/>
  <c r="U5" i="11"/>
  <c r="C5" i="43"/>
  <c r="U5" i="43"/>
  <c r="D8" i="8"/>
  <c r="C3" i="44" l="1"/>
  <c r="AI72" i="27"/>
  <c r="AH72" i="27"/>
  <c r="AK72" i="27" s="1"/>
  <c r="AL30" i="27" s="1"/>
  <c r="O27" i="27"/>
  <c r="P26" i="27"/>
  <c r="R26" i="27" s="1"/>
  <c r="C3" i="27"/>
  <c r="C6" i="11"/>
  <c r="U5" i="10"/>
  <c r="C5" i="10"/>
  <c r="L5" i="11"/>
  <c r="C6" i="43"/>
  <c r="U6" i="43"/>
  <c r="U6" i="11"/>
  <c r="L6" i="11"/>
  <c r="L5" i="10"/>
  <c r="AI4" i="44"/>
  <c r="U6" i="10"/>
  <c r="L6" i="43"/>
  <c r="AI4" i="27"/>
  <c r="L7" i="43" l="1"/>
  <c r="M4" i="43" s="1" a="1"/>
  <c r="M76" i="43" s="1"/>
  <c r="U7" i="43"/>
  <c r="V4" i="43" s="1" a="1"/>
  <c r="V35" i="43" s="1"/>
  <c r="C7" i="43"/>
  <c r="D4" i="43" s="1" a="1"/>
  <c r="D79" i="43" s="1"/>
  <c r="U7" i="11"/>
  <c r="V4" i="11" s="1" a="1"/>
  <c r="U7" i="10"/>
  <c r="V4" i="10" s="1" a="1"/>
  <c r="C7" i="11"/>
  <c r="D4" i="11" s="1" a="1"/>
  <c r="L7" i="11"/>
  <c r="M4" i="11" s="1" a="1"/>
  <c r="P27" i="27"/>
  <c r="R27" i="27" s="1"/>
  <c r="O28" i="27"/>
  <c r="AL31" i="27"/>
  <c r="W53" i="43"/>
  <c r="W35" i="43"/>
  <c r="W89" i="43"/>
  <c r="W20" i="43"/>
  <c r="E35" i="43"/>
  <c r="E86" i="43"/>
  <c r="N20" i="43"/>
  <c r="N14" i="43"/>
  <c r="E82" i="43"/>
  <c r="W38" i="43"/>
  <c r="E26" i="43"/>
  <c r="W57" i="43"/>
  <c r="W11" i="43"/>
  <c r="W60" i="43"/>
  <c r="N24" i="43"/>
  <c r="E12" i="43"/>
  <c r="W5" i="43"/>
  <c r="N86" i="43"/>
  <c r="E80" i="43"/>
  <c r="E46" i="43"/>
  <c r="W88" i="43"/>
  <c r="E83" i="43"/>
  <c r="E87" i="43"/>
  <c r="N92" i="43"/>
  <c r="W17" i="43"/>
  <c r="E84" i="43"/>
  <c r="N90" i="43"/>
  <c r="N46" i="43"/>
  <c r="W82" i="43"/>
  <c r="E15" i="43"/>
  <c r="E67" i="43"/>
  <c r="W8" i="43"/>
  <c r="N70" i="43"/>
  <c r="N33" i="43"/>
  <c r="E58" i="43"/>
  <c r="E69" i="43"/>
  <c r="N31" i="43"/>
  <c r="E27" i="43"/>
  <c r="W58" i="43"/>
  <c r="W51" i="43"/>
  <c r="N52" i="43"/>
  <c r="N91" i="43"/>
  <c r="N89" i="43"/>
  <c r="E89" i="43"/>
  <c r="N56" i="43"/>
  <c r="N7" i="43"/>
  <c r="W15" i="43"/>
  <c r="W55" i="43"/>
  <c r="W43" i="43"/>
  <c r="W27" i="43"/>
  <c r="W14" i="43"/>
  <c r="E29" i="43"/>
  <c r="W18" i="43"/>
  <c r="W49" i="43"/>
  <c r="W65" i="43"/>
  <c r="E23" i="43"/>
  <c r="N9" i="43"/>
  <c r="E9" i="43"/>
  <c r="C6" i="10"/>
  <c r="N19" i="43"/>
  <c r="N75" i="43"/>
  <c r="N51" i="43"/>
  <c r="W32" i="43"/>
  <c r="E60" i="43"/>
  <c r="W93" i="43"/>
  <c r="E44" i="43"/>
  <c r="N11" i="43"/>
  <c r="N34" i="43"/>
  <c r="E49" i="43"/>
  <c r="E81" i="43"/>
  <c r="E74" i="43"/>
  <c r="E65" i="43"/>
  <c r="W9" i="43"/>
  <c r="E41" i="43"/>
  <c r="N72" i="43"/>
  <c r="E8" i="43"/>
  <c r="E24" i="43"/>
  <c r="E25" i="43"/>
  <c r="N38" i="43"/>
  <c r="W24" i="43"/>
  <c r="W12" i="43"/>
  <c r="W21" i="43"/>
  <c r="E30" i="43"/>
  <c r="W66" i="43"/>
  <c r="E92" i="43"/>
  <c r="N77" i="43"/>
  <c r="W68" i="43"/>
  <c r="W72" i="43"/>
  <c r="W19" i="43"/>
  <c r="N4" i="43"/>
  <c r="N15" i="43"/>
  <c r="W64" i="43"/>
  <c r="W87" i="43"/>
  <c r="E63" i="43"/>
  <c r="N57" i="43"/>
  <c r="N49" i="43"/>
  <c r="N32" i="43"/>
  <c r="N64" i="43"/>
  <c r="W59" i="43"/>
  <c r="W10" i="43"/>
  <c r="E90" i="43"/>
  <c r="N13" i="43"/>
  <c r="N28" i="43"/>
  <c r="W31" i="43"/>
  <c r="N84" i="43"/>
  <c r="W62" i="43"/>
  <c r="W6" i="43"/>
  <c r="W52" i="43"/>
  <c r="E16" i="43"/>
  <c r="W40" i="43"/>
  <c r="E13" i="43"/>
  <c r="N79" i="43"/>
  <c r="N29" i="43"/>
  <c r="E79" i="43"/>
  <c r="N41" i="43"/>
  <c r="W69" i="43"/>
  <c r="N63" i="43"/>
  <c r="W76" i="43"/>
  <c r="N59" i="43"/>
  <c r="N55" i="43"/>
  <c r="W63" i="43"/>
  <c r="W83" i="43"/>
  <c r="N69" i="43"/>
  <c r="E33" i="43"/>
  <c r="W92" i="43"/>
  <c r="W22" i="43"/>
  <c r="E42" i="43"/>
  <c r="E37" i="43"/>
  <c r="W74" i="43"/>
  <c r="W71" i="43"/>
  <c r="W4" i="43"/>
  <c r="N17" i="43"/>
  <c r="N36" i="43"/>
  <c r="W39" i="43"/>
  <c r="E68" i="43"/>
  <c r="E36" i="43"/>
  <c r="W54" i="43"/>
  <c r="N48" i="43"/>
  <c r="E19" i="43"/>
  <c r="N40" i="43"/>
  <c r="N60" i="43"/>
  <c r="E48" i="43"/>
  <c r="N21" i="43"/>
  <c r="N65" i="43"/>
  <c r="N27" i="43"/>
  <c r="E14" i="43"/>
  <c r="E91" i="43"/>
  <c r="N43" i="43"/>
  <c r="N37" i="43"/>
  <c r="N61" i="43"/>
  <c r="N74" i="43"/>
  <c r="E93" i="43"/>
  <c r="E6" i="43"/>
  <c r="N16" i="43"/>
  <c r="N47" i="43"/>
  <c r="E85" i="43"/>
  <c r="W90" i="43"/>
  <c r="E71" i="43"/>
  <c r="W50" i="43"/>
  <c r="N23" i="43"/>
  <c r="E5" i="43"/>
  <c r="E21" i="43"/>
  <c r="N53" i="43"/>
  <c r="E72" i="43"/>
  <c r="W26" i="43"/>
  <c r="E75" i="43"/>
  <c r="E56" i="43"/>
  <c r="W45" i="43"/>
  <c r="E78" i="43"/>
  <c r="E22" i="43"/>
  <c r="N82" i="43"/>
  <c r="W61" i="43"/>
  <c r="N67" i="43"/>
  <c r="E62" i="43"/>
  <c r="E73" i="43"/>
  <c r="N58" i="43"/>
  <c r="E34" i="43"/>
  <c r="E47" i="43"/>
  <c r="N88" i="43"/>
  <c r="W16" i="43"/>
  <c r="N10" i="43"/>
  <c r="N22" i="43"/>
  <c r="W41" i="43"/>
  <c r="E77" i="43"/>
  <c r="E64" i="43"/>
  <c r="E66" i="43"/>
  <c r="E54" i="43"/>
  <c r="W78" i="43"/>
  <c r="E51" i="43"/>
  <c r="E10" i="43"/>
  <c r="E59" i="43"/>
  <c r="W47" i="43"/>
  <c r="W25" i="43"/>
  <c r="E17" i="43"/>
  <c r="W70" i="43"/>
  <c r="W75" i="43"/>
  <c r="W84" i="43"/>
  <c r="W73" i="43"/>
  <c r="N68" i="43"/>
  <c r="W13" i="43"/>
  <c r="E50" i="43"/>
  <c r="N80" i="43"/>
  <c r="E39" i="43"/>
  <c r="E11" i="43"/>
  <c r="W79" i="43"/>
  <c r="W29" i="43"/>
  <c r="E4" i="43"/>
  <c r="N39" i="43"/>
  <c r="W34" i="43"/>
  <c r="AI5" i="27"/>
  <c r="E52" i="43"/>
  <c r="N93" i="43"/>
  <c r="E70" i="43"/>
  <c r="E28" i="43"/>
  <c r="W30" i="43"/>
  <c r="N87" i="43"/>
  <c r="N30" i="43"/>
  <c r="E18" i="43"/>
  <c r="W33" i="43"/>
  <c r="N6" i="43"/>
  <c r="N12" i="43"/>
  <c r="N62" i="43"/>
  <c r="N81" i="43"/>
  <c r="N18" i="43"/>
  <c r="W23" i="43"/>
  <c r="N26" i="43"/>
  <c r="W91" i="43"/>
  <c r="W28" i="43"/>
  <c r="E40" i="43"/>
  <c r="N66" i="43"/>
  <c r="N8" i="43"/>
  <c r="W42" i="43"/>
  <c r="E57" i="43"/>
  <c r="E55" i="43"/>
  <c r="W80" i="43"/>
  <c r="N35" i="43"/>
  <c r="W81" i="43"/>
  <c r="E61" i="43"/>
  <c r="E7" i="43"/>
  <c r="E45" i="43"/>
  <c r="N5" i="43"/>
  <c r="N54" i="43"/>
  <c r="E20" i="43"/>
  <c r="E88" i="43"/>
  <c r="N50" i="43"/>
  <c r="W44" i="43"/>
  <c r="W67" i="43"/>
  <c r="N85" i="43"/>
  <c r="N76" i="43"/>
  <c r="W37" i="43"/>
  <c r="W36" i="43"/>
  <c r="W48" i="43"/>
  <c r="W85" i="43"/>
  <c r="N25" i="43"/>
  <c r="E76" i="43"/>
  <c r="N44" i="43"/>
  <c r="L6" i="10"/>
  <c r="N45" i="43"/>
  <c r="W46" i="43"/>
  <c r="W7" i="43"/>
  <c r="N71" i="43"/>
  <c r="N78" i="43"/>
  <c r="W77" i="43"/>
  <c r="W86" i="43"/>
  <c r="W56" i="43"/>
  <c r="E38" i="43"/>
  <c r="N83" i="43"/>
  <c r="N42" i="43"/>
  <c r="E43" i="43"/>
  <c r="E53" i="43"/>
  <c r="N73" i="43"/>
  <c r="AI5" i="44"/>
  <c r="E31" i="43"/>
  <c r="E32" i="43"/>
  <c r="M7" i="43" l="1"/>
  <c r="M8" i="43"/>
  <c r="M5" i="43"/>
  <c r="Q5" i="43" s="1"/>
  <c r="M10" i="43"/>
  <c r="Q10" i="43" s="1"/>
  <c r="M62" i="43"/>
  <c r="Q62" i="43" s="1"/>
  <c r="M11" i="43"/>
  <c r="Q11" i="43" s="1"/>
  <c r="M27" i="43"/>
  <c r="Q27" i="43" s="1"/>
  <c r="M56" i="43"/>
  <c r="Q56" i="43" s="1"/>
  <c r="M18" i="43"/>
  <c r="M12" i="43"/>
  <c r="M17" i="43"/>
  <c r="Q17" i="43" s="1"/>
  <c r="M32" i="43"/>
  <c r="Q32" i="43" s="1"/>
  <c r="M23" i="43"/>
  <c r="Q23" i="43" s="1"/>
  <c r="M25" i="43"/>
  <c r="Q25" i="43" s="1"/>
  <c r="M15" i="43"/>
  <c r="Q15" i="43" s="1"/>
  <c r="M42" i="43"/>
  <c r="Q42" i="43" s="1"/>
  <c r="M33" i="43"/>
  <c r="Q33" i="43" s="1"/>
  <c r="M16" i="43"/>
  <c r="Q16" i="43" s="1"/>
  <c r="M6" i="43"/>
  <c r="V6" i="43"/>
  <c r="Z6" i="43" s="1"/>
  <c r="M20" i="43"/>
  <c r="Q20" i="43" s="1"/>
  <c r="M21" i="43"/>
  <c r="Q21" i="43" s="1"/>
  <c r="V24" i="43"/>
  <c r="Z24" i="43" s="1"/>
  <c r="M51" i="43"/>
  <c r="Q51" i="43" s="1"/>
  <c r="M45" i="43"/>
  <c r="Q45" i="43" s="1"/>
  <c r="M28" i="43"/>
  <c r="Q28" i="43" s="1"/>
  <c r="M30" i="43"/>
  <c r="V13" i="43"/>
  <c r="Z13" i="43" s="1"/>
  <c r="M87" i="43"/>
  <c r="Q87" i="43" s="1"/>
  <c r="M14" i="43"/>
  <c r="Q14" i="43" s="1"/>
  <c r="M29" i="43"/>
  <c r="Q29" i="43" s="1"/>
  <c r="M4" i="43"/>
  <c r="Q4" i="43" s="1"/>
  <c r="V32" i="43"/>
  <c r="M52" i="43"/>
  <c r="M54" i="43"/>
  <c r="M47" i="43"/>
  <c r="Q47" i="43" s="1"/>
  <c r="M9" i="43"/>
  <c r="Q9" i="43" s="1"/>
  <c r="V7" i="43"/>
  <c r="Z7" i="43" s="1"/>
  <c r="M26" i="43"/>
  <c r="Q26" i="43" s="1"/>
  <c r="M34" i="43"/>
  <c r="Q34" i="43" s="1"/>
  <c r="M41" i="43"/>
  <c r="Q41" i="43" s="1"/>
  <c r="V62" i="43"/>
  <c r="Z62" i="43" s="1"/>
  <c r="M36" i="43"/>
  <c r="M35" i="43"/>
  <c r="Q35" i="43" s="1"/>
  <c r="M24" i="43"/>
  <c r="Q24" i="43" s="1"/>
  <c r="M19" i="43"/>
  <c r="Q19" i="43" s="1"/>
  <c r="M13" i="43"/>
  <c r="Q13" i="43" s="1"/>
  <c r="V8" i="43"/>
  <c r="Z8" i="43" s="1"/>
  <c r="M53" i="43"/>
  <c r="Q53" i="43" s="1"/>
  <c r="M43" i="43"/>
  <c r="Q43" i="43" s="1"/>
  <c r="M37" i="43"/>
  <c r="Q37" i="43" s="1"/>
  <c r="M22" i="43"/>
  <c r="Q22" i="43" s="1"/>
  <c r="V12" i="43"/>
  <c r="Z12" i="43" s="1"/>
  <c r="V9" i="43"/>
  <c r="Z9" i="43" s="1"/>
  <c r="M44" i="43"/>
  <c r="Q44" i="43" s="1"/>
  <c r="M90" i="43"/>
  <c r="Q90" i="43" s="1"/>
  <c r="M61" i="43"/>
  <c r="Q61" i="43" s="1"/>
  <c r="M31" i="43"/>
  <c r="Q31" i="43" s="1"/>
  <c r="V15" i="43"/>
  <c r="V10" i="43"/>
  <c r="Z10" i="43" s="1"/>
  <c r="M39" i="43"/>
  <c r="Q39" i="43" s="1"/>
  <c r="M40" i="43"/>
  <c r="Q40" i="43" s="1"/>
  <c r="V23" i="43"/>
  <c r="Z23" i="43" s="1"/>
  <c r="V21" i="43"/>
  <c r="Z21" i="43" s="1"/>
  <c r="V20" i="43"/>
  <c r="Z20" i="43" s="1"/>
  <c r="M63" i="43"/>
  <c r="Q63" i="43" s="1"/>
  <c r="M46" i="43"/>
  <c r="M55" i="43"/>
  <c r="Q55" i="43" s="1"/>
  <c r="M48" i="43"/>
  <c r="Q48" i="43" s="1"/>
  <c r="M50" i="43"/>
  <c r="Q50" i="43" s="1"/>
  <c r="V17" i="43"/>
  <c r="Z17" i="43" s="1"/>
  <c r="V29" i="43"/>
  <c r="Z29" i="43" s="1"/>
  <c r="M70" i="43"/>
  <c r="Q70" i="43" s="1"/>
  <c r="M60" i="43"/>
  <c r="Q60" i="43" s="1"/>
  <c r="M64" i="43"/>
  <c r="Q64" i="43" s="1"/>
  <c r="M58" i="43"/>
  <c r="Q58" i="43" s="1"/>
  <c r="M59" i="43"/>
  <c r="Q59" i="43" s="1"/>
  <c r="V36" i="43"/>
  <c r="Z36" i="43" s="1"/>
  <c r="V84" i="43"/>
  <c r="Z84" i="43" s="1"/>
  <c r="M69" i="43"/>
  <c r="Q69" i="43" s="1"/>
  <c r="M83" i="43"/>
  <c r="Q83" i="43" s="1"/>
  <c r="M38" i="43"/>
  <c r="Q38" i="43" s="1"/>
  <c r="M67" i="43"/>
  <c r="V30" i="43"/>
  <c r="Z30" i="43" s="1"/>
  <c r="V11" i="43"/>
  <c r="Z11" i="43" s="1"/>
  <c r="M66" i="43"/>
  <c r="Q66" i="43" s="1"/>
  <c r="V22" i="43"/>
  <c r="Z22" i="43" s="1"/>
  <c r="V89" i="43"/>
  <c r="Z89" i="43" s="1"/>
  <c r="V33" i="43"/>
  <c r="V40" i="43"/>
  <c r="Z40" i="43" s="1"/>
  <c r="V19" i="43"/>
  <c r="Z19" i="43" s="1"/>
  <c r="M49" i="43"/>
  <c r="Q49" i="43" s="1"/>
  <c r="V52" i="43"/>
  <c r="Z52" i="43" s="1"/>
  <c r="V58" i="43"/>
  <c r="Z58" i="43" s="1"/>
  <c r="V83" i="43"/>
  <c r="Z83" i="43" s="1"/>
  <c r="M74" i="43"/>
  <c r="Q74" i="43" s="1"/>
  <c r="M57" i="43"/>
  <c r="Q57" i="43" s="1"/>
  <c r="V41" i="43"/>
  <c r="Z41" i="43" s="1"/>
  <c r="V26" i="43"/>
  <c r="V18" i="43"/>
  <c r="Z18" i="43" s="1"/>
  <c r="D42" i="43"/>
  <c r="H42" i="43" s="1"/>
  <c r="D48" i="43"/>
  <c r="H48" i="43" s="1"/>
  <c r="D14" i="43"/>
  <c r="H14" i="43" s="1"/>
  <c r="M88" i="43"/>
  <c r="Q88" i="43" s="1"/>
  <c r="M79" i="43"/>
  <c r="Q79" i="43" s="1"/>
  <c r="V61" i="43"/>
  <c r="Z61" i="43" s="1"/>
  <c r="V77" i="43"/>
  <c r="Z77" i="43" s="1"/>
  <c r="D12" i="43"/>
  <c r="H12" i="43" s="1"/>
  <c r="V66" i="43"/>
  <c r="Z66" i="43" s="1"/>
  <c r="V86" i="43"/>
  <c r="Z86" i="43" s="1"/>
  <c r="V71" i="43"/>
  <c r="Z71" i="43" s="1"/>
  <c r="D11" i="43"/>
  <c r="H11" i="43" s="1"/>
  <c r="D6" i="43"/>
  <c r="H6" i="43" s="1"/>
  <c r="D17" i="43"/>
  <c r="H17" i="43" s="1"/>
  <c r="D16" i="43"/>
  <c r="D36" i="43"/>
  <c r="H36" i="43" s="1"/>
  <c r="D19" i="43"/>
  <c r="H19" i="43" s="1"/>
  <c r="V80" i="43"/>
  <c r="Z80" i="43" s="1"/>
  <c r="V90" i="43"/>
  <c r="Z90" i="43" s="1"/>
  <c r="D54" i="43"/>
  <c r="H54" i="43" s="1"/>
  <c r="D44" i="43"/>
  <c r="D76" i="43"/>
  <c r="H76" i="43" s="1"/>
  <c r="D80" i="43"/>
  <c r="H80" i="43" s="1"/>
  <c r="D91" i="43"/>
  <c r="H91" i="43" s="1"/>
  <c r="D62" i="43"/>
  <c r="H62" i="43" s="1"/>
  <c r="D22" i="43"/>
  <c r="H22" i="43" s="1"/>
  <c r="D7" i="43"/>
  <c r="H7" i="43" s="1"/>
  <c r="V70" i="43"/>
  <c r="Z70" i="43" s="1"/>
  <c r="V64" i="43"/>
  <c r="D56" i="43"/>
  <c r="H56" i="43" s="1"/>
  <c r="D27" i="43"/>
  <c r="D32" i="43"/>
  <c r="H32" i="43" s="1"/>
  <c r="D15" i="43"/>
  <c r="H15" i="43" s="1"/>
  <c r="V79" i="43"/>
  <c r="Z79" i="43" s="1"/>
  <c r="V93" i="43"/>
  <c r="Z93" i="43" s="1"/>
  <c r="V82" i="43"/>
  <c r="Z82" i="43" s="1"/>
  <c r="V75" i="43"/>
  <c r="Z75" i="43" s="1"/>
  <c r="D20" i="43"/>
  <c r="H20" i="43" s="1"/>
  <c r="D45" i="43"/>
  <c r="D50" i="43"/>
  <c r="H50" i="43" s="1"/>
  <c r="D23" i="43"/>
  <c r="H23" i="43" s="1"/>
  <c r="D84" i="43"/>
  <c r="H84" i="43" s="1"/>
  <c r="D51" i="43"/>
  <c r="H51" i="43" s="1"/>
  <c r="D60" i="43"/>
  <c r="H60" i="43" s="1"/>
  <c r="D66" i="43"/>
  <c r="H66" i="43" s="1"/>
  <c r="D88" i="43"/>
  <c r="H88" i="43" s="1"/>
  <c r="M75" i="43"/>
  <c r="M85" i="43"/>
  <c r="Q85" i="43" s="1"/>
  <c r="M68" i="43"/>
  <c r="Q68" i="43" s="1"/>
  <c r="V85" i="43"/>
  <c r="Z85" i="43" s="1"/>
  <c r="V69" i="43"/>
  <c r="Z69" i="43" s="1"/>
  <c r="V92" i="43"/>
  <c r="Z92" i="43" s="1"/>
  <c r="V43" i="43"/>
  <c r="Z43" i="43" s="1"/>
  <c r="D38" i="43"/>
  <c r="H38" i="43" s="1"/>
  <c r="D92" i="43"/>
  <c r="D64" i="43"/>
  <c r="H64" i="43" s="1"/>
  <c r="D21" i="43"/>
  <c r="H21" i="43" s="1"/>
  <c r="D86" i="43"/>
  <c r="H86" i="43" s="1"/>
  <c r="D25" i="43"/>
  <c r="H25" i="43" s="1"/>
  <c r="D31" i="43"/>
  <c r="H31" i="43" s="1"/>
  <c r="M77" i="43"/>
  <c r="Q77" i="43" s="1"/>
  <c r="M81" i="43"/>
  <c r="Q81" i="43" s="1"/>
  <c r="V48" i="43"/>
  <c r="Z48" i="43" s="1"/>
  <c r="V60" i="43"/>
  <c r="Z60" i="43" s="1"/>
  <c r="V63" i="43"/>
  <c r="Z63" i="43" s="1"/>
  <c r="V28" i="43"/>
  <c r="Z28" i="43" s="1"/>
  <c r="V45" i="43"/>
  <c r="Z45" i="43" s="1"/>
  <c r="V38" i="43"/>
  <c r="Z38" i="43" s="1"/>
  <c r="V51" i="43"/>
  <c r="Z51" i="43" s="1"/>
  <c r="D72" i="43"/>
  <c r="H72" i="43" s="1"/>
  <c r="D75" i="43"/>
  <c r="H75" i="43" s="1"/>
  <c r="D57" i="43"/>
  <c r="H57" i="43" s="1"/>
  <c r="D82" i="43"/>
  <c r="H82" i="43" s="1"/>
  <c r="D30" i="43"/>
  <c r="H30" i="43" s="1"/>
  <c r="D5" i="43"/>
  <c r="H5" i="43" s="1"/>
  <c r="D34" i="43"/>
  <c r="H34" i="43" s="1"/>
  <c r="D39" i="43"/>
  <c r="H39" i="43" s="1"/>
  <c r="M78" i="43"/>
  <c r="Q78" i="43" s="1"/>
  <c r="V50" i="43"/>
  <c r="Z50" i="43" s="1"/>
  <c r="V78" i="43"/>
  <c r="Z78" i="43" s="1"/>
  <c r="V39" i="43"/>
  <c r="Z39" i="43" s="1"/>
  <c r="V34" i="43"/>
  <c r="Z34" i="43" s="1"/>
  <c r="V55" i="43"/>
  <c r="Z55" i="43" s="1"/>
  <c r="V65" i="43"/>
  <c r="Z65" i="43" s="1"/>
  <c r="V59" i="43"/>
  <c r="Z59" i="43" s="1"/>
  <c r="D10" i="43"/>
  <c r="H10" i="43" s="1"/>
  <c r="D83" i="43"/>
  <c r="D8" i="43"/>
  <c r="H8" i="43" s="1"/>
  <c r="D13" i="43"/>
  <c r="H13" i="43" s="1"/>
  <c r="D58" i="43"/>
  <c r="H58" i="43" s="1"/>
  <c r="D24" i="43"/>
  <c r="H24" i="43" s="1"/>
  <c r="D43" i="43"/>
  <c r="H43" i="43" s="1"/>
  <c r="D63" i="43"/>
  <c r="H63" i="43" s="1"/>
  <c r="V87" i="43"/>
  <c r="Z87" i="43" s="1"/>
  <c r="V57" i="43"/>
  <c r="Z57" i="43" s="1"/>
  <c r="V53" i="43"/>
  <c r="Z53" i="43" s="1"/>
  <c r="V73" i="43"/>
  <c r="Z73" i="43" s="1"/>
  <c r="V74" i="43"/>
  <c r="Z74" i="43" s="1"/>
  <c r="V67" i="43"/>
  <c r="Z67" i="43" s="1"/>
  <c r="D35" i="43"/>
  <c r="H35" i="43" s="1"/>
  <c r="D29" i="43"/>
  <c r="H29" i="43" s="1"/>
  <c r="D26" i="43"/>
  <c r="H26" i="43" s="1"/>
  <c r="D41" i="43"/>
  <c r="D67" i="43"/>
  <c r="H67" i="43" s="1"/>
  <c r="D33" i="43"/>
  <c r="H33" i="43" s="1"/>
  <c r="D52" i="43"/>
  <c r="H52" i="43" s="1"/>
  <c r="D71" i="43"/>
  <c r="H71" i="43" s="1"/>
  <c r="V49" i="43"/>
  <c r="Z49" i="43" s="1"/>
  <c r="V88" i="43"/>
  <c r="Z88" i="43" s="1"/>
  <c r="V31" i="43"/>
  <c r="Z31" i="43" s="1"/>
  <c r="V76" i="43"/>
  <c r="Z76" i="43" s="1"/>
  <c r="V81" i="43"/>
  <c r="Z81" i="43" s="1"/>
  <c r="V54" i="43"/>
  <c r="Z54" i="43" s="1"/>
  <c r="V25" i="43"/>
  <c r="Z25" i="43" s="1"/>
  <c r="V37" i="43"/>
  <c r="Z37" i="43" s="1"/>
  <c r="V47" i="43"/>
  <c r="Z47" i="43" s="1"/>
  <c r="V27" i="43"/>
  <c r="Z27" i="43" s="1"/>
  <c r="V91" i="43"/>
  <c r="Z91" i="43" s="1"/>
  <c r="D53" i="43"/>
  <c r="D28" i="43"/>
  <c r="H28" i="43" s="1"/>
  <c r="D37" i="43"/>
  <c r="H37" i="43" s="1"/>
  <c r="D81" i="43"/>
  <c r="H81" i="43" s="1"/>
  <c r="D77" i="43"/>
  <c r="H77" i="43" s="1"/>
  <c r="D40" i="43"/>
  <c r="H40" i="43" s="1"/>
  <c r="D59" i="43"/>
  <c r="H59" i="43" s="1"/>
  <c r="D69" i="43"/>
  <c r="H69" i="43" s="1"/>
  <c r="D61" i="43"/>
  <c r="H61" i="43" s="1"/>
  <c r="D47" i="43"/>
  <c r="H47" i="43" s="1"/>
  <c r="V42" i="43"/>
  <c r="Z42" i="43" s="1"/>
  <c r="V14" i="43"/>
  <c r="Z14" i="43" s="1"/>
  <c r="V5" i="43"/>
  <c r="Z5" i="43" s="1"/>
  <c r="V68" i="43"/>
  <c r="Z68" i="43" s="1"/>
  <c r="V4" i="43"/>
  <c r="Z4" i="43" s="1"/>
  <c r="V16" i="43"/>
  <c r="Z16" i="43" s="1"/>
  <c r="V72" i="43"/>
  <c r="Z72" i="43" s="1"/>
  <c r="V44" i="43"/>
  <c r="Z44" i="43" s="1"/>
  <c r="V46" i="43"/>
  <c r="Z46" i="43" s="1"/>
  <c r="V56" i="43"/>
  <c r="Z56" i="43" s="1"/>
  <c r="D65" i="43"/>
  <c r="H65" i="43" s="1"/>
  <c r="D18" i="43"/>
  <c r="H18" i="43" s="1"/>
  <c r="D46" i="43"/>
  <c r="H46" i="43" s="1"/>
  <c r="D74" i="43"/>
  <c r="H74" i="43" s="1"/>
  <c r="D9" i="43"/>
  <c r="H9" i="43" s="1"/>
  <c r="D4" i="43"/>
  <c r="H4" i="43" s="1"/>
  <c r="D49" i="43"/>
  <c r="H49" i="43" s="1"/>
  <c r="D68" i="43"/>
  <c r="H68" i="43" s="1"/>
  <c r="D78" i="43"/>
  <c r="H78" i="43" s="1"/>
  <c r="D70" i="43"/>
  <c r="H70" i="43" s="1"/>
  <c r="D55" i="43"/>
  <c r="H55" i="43" s="1"/>
  <c r="M72" i="43"/>
  <c r="Q72" i="43" s="1"/>
  <c r="M82" i="43"/>
  <c r="Q82" i="43" s="1"/>
  <c r="M92" i="43"/>
  <c r="Q92" i="43" s="1"/>
  <c r="M86" i="43"/>
  <c r="Q86" i="43" s="1"/>
  <c r="M65" i="43"/>
  <c r="Q65" i="43" s="1"/>
  <c r="M91" i="43"/>
  <c r="Q91" i="43" s="1"/>
  <c r="M73" i="43"/>
  <c r="Q73" i="43" s="1"/>
  <c r="M89" i="43"/>
  <c r="Q89" i="43" s="1"/>
  <c r="M93" i="43"/>
  <c r="Q93" i="43" s="1"/>
  <c r="M71" i="43"/>
  <c r="Q71" i="43" s="1"/>
  <c r="M80" i="43"/>
  <c r="Q80" i="43" s="1"/>
  <c r="M84" i="43"/>
  <c r="Q84" i="43" s="1"/>
  <c r="D87" i="43"/>
  <c r="H87" i="43" s="1"/>
  <c r="D89" i="43"/>
  <c r="H89" i="43" s="1"/>
  <c r="D85" i="43"/>
  <c r="H85" i="43" s="1"/>
  <c r="D90" i="43"/>
  <c r="H90" i="43" s="1"/>
  <c r="D93" i="43"/>
  <c r="H93" i="43" s="1"/>
  <c r="D73" i="43"/>
  <c r="H73" i="43" s="1"/>
  <c r="R51" i="43"/>
  <c r="R72" i="43"/>
  <c r="R82" i="43"/>
  <c r="R5" i="43"/>
  <c r="R61" i="43"/>
  <c r="R92" i="43"/>
  <c r="R55" i="43"/>
  <c r="R30" i="43"/>
  <c r="R13" i="43"/>
  <c r="R86" i="43"/>
  <c r="R65" i="43"/>
  <c r="AA12" i="43"/>
  <c r="AA87" i="43"/>
  <c r="AA60" i="43"/>
  <c r="AA32" i="43"/>
  <c r="AA40" i="43"/>
  <c r="AA53" i="43"/>
  <c r="AA28" i="43"/>
  <c r="AA89" i="43"/>
  <c r="AA82" i="43"/>
  <c r="AA74" i="43"/>
  <c r="AA51" i="43"/>
  <c r="I66" i="43"/>
  <c r="I54" i="43"/>
  <c r="I46" i="43"/>
  <c r="I37" i="43"/>
  <c r="I81" i="43"/>
  <c r="I77" i="43"/>
  <c r="I40" i="43"/>
  <c r="I50" i="43"/>
  <c r="I60" i="43"/>
  <c r="I52" i="43"/>
  <c r="I31" i="43"/>
  <c r="R87" i="43"/>
  <c r="R91" i="43"/>
  <c r="R14" i="43"/>
  <c r="R23" i="43"/>
  <c r="R79" i="43"/>
  <c r="R29" i="43"/>
  <c r="R74" i="43"/>
  <c r="R39" i="43"/>
  <c r="R22" i="43"/>
  <c r="R9" i="43"/>
  <c r="R73" i="43"/>
  <c r="AA30" i="43"/>
  <c r="AA15" i="43"/>
  <c r="AA78" i="43"/>
  <c r="AA69" i="43"/>
  <c r="AA58" i="43"/>
  <c r="AA71" i="43"/>
  <c r="AA55" i="43"/>
  <c r="AA8" i="43"/>
  <c r="AA10" i="43"/>
  <c r="AA84" i="43"/>
  <c r="AA59" i="43"/>
  <c r="I17" i="43"/>
  <c r="I91" i="43"/>
  <c r="I83" i="43"/>
  <c r="I74" i="43"/>
  <c r="I9" i="43"/>
  <c r="I4" i="43"/>
  <c r="I49" i="43"/>
  <c r="I59" i="43"/>
  <c r="I69" i="43"/>
  <c r="I61" i="43"/>
  <c r="I39" i="43"/>
  <c r="R26" i="43"/>
  <c r="R52" i="43"/>
  <c r="R7" i="43"/>
  <c r="R34" i="43"/>
  <c r="R42" i="43"/>
  <c r="R20" i="43"/>
  <c r="R47" i="43"/>
  <c r="R11" i="43"/>
  <c r="R48" i="43"/>
  <c r="R31" i="43"/>
  <c r="R17" i="43"/>
  <c r="R81" i="43"/>
  <c r="AA66" i="43"/>
  <c r="AA33" i="43"/>
  <c r="AA24" i="43"/>
  <c r="AA21" i="43"/>
  <c r="AA77" i="43"/>
  <c r="AA80" i="43"/>
  <c r="AA73" i="43"/>
  <c r="AA45" i="43"/>
  <c r="AA20" i="43"/>
  <c r="AA90" i="43"/>
  <c r="AA67" i="43"/>
  <c r="I72" i="43"/>
  <c r="I56" i="43"/>
  <c r="I29" i="43"/>
  <c r="I92" i="43"/>
  <c r="I27" i="43"/>
  <c r="I14" i="43"/>
  <c r="I58" i="43"/>
  <c r="I68" i="43"/>
  <c r="I78" i="43"/>
  <c r="I70" i="43"/>
  <c r="I47" i="43"/>
  <c r="R27" i="43"/>
  <c r="R88" i="43"/>
  <c r="R44" i="43"/>
  <c r="R70" i="43"/>
  <c r="R60" i="43"/>
  <c r="R66" i="43"/>
  <c r="R75" i="43"/>
  <c r="R38" i="43"/>
  <c r="R58" i="43"/>
  <c r="R40" i="43"/>
  <c r="R25" i="43"/>
  <c r="R89" i="43"/>
  <c r="AA85" i="43"/>
  <c r="AA52" i="43"/>
  <c r="AA61" i="43"/>
  <c r="AA39" i="43"/>
  <c r="AA26" i="43"/>
  <c r="AA17" i="43"/>
  <c r="AA93" i="43"/>
  <c r="AA9" i="43"/>
  <c r="AA29" i="43"/>
  <c r="AA11" i="43"/>
  <c r="AA75" i="43"/>
  <c r="I10" i="43"/>
  <c r="I20" i="43"/>
  <c r="I48" i="43"/>
  <c r="I57" i="43"/>
  <c r="I45" i="43"/>
  <c r="I51" i="43"/>
  <c r="I67" i="43"/>
  <c r="I86" i="43"/>
  <c r="I6" i="43"/>
  <c r="I80" i="43"/>
  <c r="I55" i="43"/>
  <c r="R63" i="43"/>
  <c r="R16" i="43"/>
  <c r="R62" i="43"/>
  <c r="R35" i="43"/>
  <c r="R78" i="43"/>
  <c r="R28" i="43"/>
  <c r="R93" i="43"/>
  <c r="R56" i="43"/>
  <c r="R67" i="43"/>
  <c r="R50" i="43"/>
  <c r="R33" i="43"/>
  <c r="AA23" i="43"/>
  <c r="AA48" i="43"/>
  <c r="AA70" i="43"/>
  <c r="AA13" i="43"/>
  <c r="AA57" i="43"/>
  <c r="AA63" i="43"/>
  <c r="AA36" i="43"/>
  <c r="AA7" i="43"/>
  <c r="AA18" i="43"/>
  <c r="AA38" i="43"/>
  <c r="AA19" i="43"/>
  <c r="AA83" i="43"/>
  <c r="I35" i="43"/>
  <c r="I38" i="43"/>
  <c r="I84" i="43"/>
  <c r="I8" i="43"/>
  <c r="I64" i="43"/>
  <c r="I88" i="43"/>
  <c r="I76" i="43"/>
  <c r="I5" i="43"/>
  <c r="I16" i="43"/>
  <c r="I89" i="43"/>
  <c r="I63" i="43"/>
  <c r="R32" i="43"/>
  <c r="R71" i="43"/>
  <c r="R80" i="43"/>
  <c r="R53" i="43"/>
  <c r="R6" i="43"/>
  <c r="R46" i="43"/>
  <c r="R10" i="43"/>
  <c r="R84" i="43"/>
  <c r="R76" i="43"/>
  <c r="R59" i="43"/>
  <c r="R41" i="43"/>
  <c r="AA6" i="43"/>
  <c r="AA49" i="43"/>
  <c r="AA88" i="43"/>
  <c r="AA31" i="43"/>
  <c r="AA76" i="43"/>
  <c r="AA81" i="43"/>
  <c r="AA54" i="43"/>
  <c r="AA25" i="43"/>
  <c r="AA37" i="43"/>
  <c r="AA47" i="43"/>
  <c r="AA27" i="43"/>
  <c r="AA91" i="43"/>
  <c r="I53" i="43"/>
  <c r="I75" i="43"/>
  <c r="I36" i="43"/>
  <c r="I26" i="43"/>
  <c r="I82" i="43"/>
  <c r="I12" i="43"/>
  <c r="I85" i="43"/>
  <c r="I24" i="43"/>
  <c r="I25" i="43"/>
  <c r="I7" i="43"/>
  <c r="I71" i="43"/>
  <c r="R69" i="43"/>
  <c r="R18" i="43"/>
  <c r="R8" i="43"/>
  <c r="R90" i="43"/>
  <c r="R24" i="43"/>
  <c r="R64" i="43"/>
  <c r="R19" i="43"/>
  <c r="R12" i="43"/>
  <c r="R85" i="43"/>
  <c r="R68" i="43"/>
  <c r="R49" i="43"/>
  <c r="AA42" i="43"/>
  <c r="AA14" i="43"/>
  <c r="AA5" i="43"/>
  <c r="AA68" i="43"/>
  <c r="AA4" i="43"/>
  <c r="AA16" i="43"/>
  <c r="AA72" i="43"/>
  <c r="AA44" i="43"/>
  <c r="AA46" i="43"/>
  <c r="AA56" i="43"/>
  <c r="AA35" i="43"/>
  <c r="I65" i="43"/>
  <c r="I90" i="43"/>
  <c r="I93" i="43"/>
  <c r="I73" i="43"/>
  <c r="I44" i="43"/>
  <c r="I13" i="43"/>
  <c r="I21" i="43"/>
  <c r="I22" i="43"/>
  <c r="I33" i="43"/>
  <c r="I34" i="43"/>
  <c r="I15" i="43"/>
  <c r="I79" i="43"/>
  <c r="R15" i="43"/>
  <c r="R36" i="43"/>
  <c r="R45" i="43"/>
  <c r="R54" i="43"/>
  <c r="R43" i="43"/>
  <c r="R83" i="43"/>
  <c r="R37" i="43"/>
  <c r="R21" i="43"/>
  <c r="R4" i="43"/>
  <c r="R77" i="43"/>
  <c r="R57" i="43"/>
  <c r="AA79" i="43"/>
  <c r="AA50" i="43"/>
  <c r="AA41" i="43"/>
  <c r="AA86" i="43"/>
  <c r="AA22" i="43"/>
  <c r="AA34" i="43"/>
  <c r="AA92" i="43"/>
  <c r="AA62" i="43"/>
  <c r="AA64" i="43"/>
  <c r="AA65" i="43"/>
  <c r="AA43" i="43"/>
  <c r="I11" i="43"/>
  <c r="I18" i="43"/>
  <c r="I28" i="43"/>
  <c r="I19" i="43"/>
  <c r="I62" i="43"/>
  <c r="I41" i="43"/>
  <c r="I30" i="43"/>
  <c r="I32" i="43"/>
  <c r="I42" i="43"/>
  <c r="I43" i="43"/>
  <c r="I23" i="43"/>
  <c r="I87" i="43"/>
  <c r="Q30" i="43"/>
  <c r="Z32" i="43"/>
  <c r="Z15" i="43"/>
  <c r="H83" i="43"/>
  <c r="Q52" i="43"/>
  <c r="Q7" i="43"/>
  <c r="Z33" i="43"/>
  <c r="H92" i="43"/>
  <c r="H27" i="43"/>
  <c r="Q75" i="43"/>
  <c r="Z26" i="43"/>
  <c r="H45" i="43"/>
  <c r="Q67" i="43"/>
  <c r="H16" i="43"/>
  <c r="Q6" i="43"/>
  <c r="Q46" i="43"/>
  <c r="Q76" i="43"/>
  <c r="H53" i="43"/>
  <c r="Q18" i="43"/>
  <c r="Q8" i="43"/>
  <c r="Q12" i="43"/>
  <c r="Z35" i="43"/>
  <c r="H44" i="43"/>
  <c r="H79" i="43"/>
  <c r="Q36" i="43"/>
  <c r="Q54" i="43"/>
  <c r="Z64" i="43"/>
  <c r="H41" i="43"/>
  <c r="C7" i="10"/>
  <c r="D4" i="10" s="1" a="1"/>
  <c r="L7" i="10"/>
  <c r="M4" i="10" s="1" a="1"/>
  <c r="M12" i="11"/>
  <c r="Q12" i="11" s="1"/>
  <c r="M63" i="11"/>
  <c r="Q63" i="11" s="1"/>
  <c r="M86" i="11"/>
  <c r="Q86" i="11" s="1"/>
  <c r="M93" i="11"/>
  <c r="Q93" i="11" s="1"/>
  <c r="M42" i="11"/>
  <c r="Q42" i="11" s="1"/>
  <c r="M30" i="11"/>
  <c r="Q30" i="11" s="1"/>
  <c r="M74" i="11"/>
  <c r="Q74" i="11" s="1"/>
  <c r="M68" i="11"/>
  <c r="Q68" i="11" s="1"/>
  <c r="M89" i="11"/>
  <c r="Q89" i="11" s="1"/>
  <c r="M84" i="11"/>
  <c r="Q84" i="11" s="1"/>
  <c r="M23" i="11"/>
  <c r="Q23" i="11" s="1"/>
  <c r="M47" i="11"/>
  <c r="Q47" i="11" s="1"/>
  <c r="M22" i="11"/>
  <c r="Q22" i="11" s="1"/>
  <c r="M62" i="11"/>
  <c r="Q62" i="11" s="1"/>
  <c r="M24" i="11"/>
  <c r="Q24" i="11" s="1"/>
  <c r="M50" i="11"/>
  <c r="Q50" i="11" s="1"/>
  <c r="M51" i="11"/>
  <c r="Q51" i="11" s="1"/>
  <c r="M48" i="11"/>
  <c r="Q48" i="11" s="1"/>
  <c r="M76" i="11"/>
  <c r="Q76" i="11" s="1"/>
  <c r="M53" i="11"/>
  <c r="Q53" i="11" s="1"/>
  <c r="M81" i="11"/>
  <c r="Q81" i="11" s="1"/>
  <c r="M56" i="11"/>
  <c r="Q56" i="11" s="1"/>
  <c r="M55" i="11"/>
  <c r="Q55" i="11" s="1"/>
  <c r="M36" i="11"/>
  <c r="Q36" i="11" s="1"/>
  <c r="M28" i="11"/>
  <c r="Q28" i="11" s="1"/>
  <c r="M71" i="11"/>
  <c r="Q71" i="11" s="1"/>
  <c r="M79" i="11"/>
  <c r="Q79" i="11" s="1"/>
  <c r="M27" i="11"/>
  <c r="Q27" i="11" s="1"/>
  <c r="M14" i="11"/>
  <c r="Q14" i="11" s="1"/>
  <c r="M88" i="11"/>
  <c r="Q88" i="11" s="1"/>
  <c r="M33" i="11"/>
  <c r="Q33" i="11" s="1"/>
  <c r="M17" i="11"/>
  <c r="Q17" i="11" s="1"/>
  <c r="M32" i="11"/>
  <c r="Q32" i="11" s="1"/>
  <c r="M91" i="11"/>
  <c r="Q91" i="11" s="1"/>
  <c r="M67" i="11"/>
  <c r="Q67" i="11" s="1"/>
  <c r="M41" i="11"/>
  <c r="Q41" i="11" s="1"/>
  <c r="M25" i="11"/>
  <c r="Q25" i="11" s="1"/>
  <c r="M60" i="11"/>
  <c r="Q60" i="11" s="1"/>
  <c r="M4" i="11"/>
  <c r="Q4" i="11" s="1"/>
  <c r="M83" i="11"/>
  <c r="Q83" i="11" s="1"/>
  <c r="M20" i="11"/>
  <c r="M31" i="11"/>
  <c r="Q31" i="11" s="1"/>
  <c r="M19" i="11"/>
  <c r="Q19" i="11" s="1"/>
  <c r="M77" i="11"/>
  <c r="Q77" i="11" s="1"/>
  <c r="M57" i="11"/>
  <c r="Q57" i="11" s="1"/>
  <c r="M69" i="11"/>
  <c r="Q69" i="11" s="1"/>
  <c r="M72" i="11"/>
  <c r="Q72" i="11" s="1"/>
  <c r="M52" i="11"/>
  <c r="Q52" i="11" s="1"/>
  <c r="M80" i="11"/>
  <c r="Q80" i="11" s="1"/>
  <c r="M37" i="11"/>
  <c r="Q37" i="11" s="1"/>
  <c r="M34" i="11"/>
  <c r="Q34" i="11" s="1"/>
  <c r="M9" i="11"/>
  <c r="Q9" i="11" s="1"/>
  <c r="M13" i="11"/>
  <c r="Q13" i="11" s="1"/>
  <c r="M59" i="11"/>
  <c r="Q59" i="11" s="1"/>
  <c r="M38" i="11"/>
  <c r="Q38" i="11" s="1"/>
  <c r="M44" i="11"/>
  <c r="Q44" i="11" s="1"/>
  <c r="M87" i="11"/>
  <c r="Q87" i="11" s="1"/>
  <c r="M40" i="11"/>
  <c r="Q40" i="11" s="1"/>
  <c r="M45" i="11"/>
  <c r="Q45" i="11" s="1"/>
  <c r="M18" i="11"/>
  <c r="Q18" i="11" s="1"/>
  <c r="M75" i="11"/>
  <c r="Q75" i="11" s="1"/>
  <c r="M46" i="11"/>
  <c r="Q46" i="11" s="1"/>
  <c r="M15" i="11"/>
  <c r="Q15" i="11" s="1"/>
  <c r="M61" i="11"/>
  <c r="Q61" i="11" s="1"/>
  <c r="M66" i="11"/>
  <c r="Q66" i="11" s="1"/>
  <c r="M85" i="11"/>
  <c r="Q85" i="11" s="1"/>
  <c r="M16" i="11"/>
  <c r="Q16" i="11" s="1"/>
  <c r="M39" i="11"/>
  <c r="Q39" i="11" s="1"/>
  <c r="M54" i="11"/>
  <c r="Q54" i="11" s="1"/>
  <c r="M5" i="11"/>
  <c r="Q5" i="11" s="1"/>
  <c r="M26" i="11"/>
  <c r="Q26" i="11" s="1"/>
  <c r="M82" i="11"/>
  <c r="Q82" i="11" s="1"/>
  <c r="M70" i="11"/>
  <c r="Q70" i="11" s="1"/>
  <c r="M10" i="11"/>
  <c r="Q10" i="11" s="1"/>
  <c r="M6" i="11"/>
  <c r="Q6" i="11" s="1"/>
  <c r="M21" i="11"/>
  <c r="Q21" i="11" s="1"/>
  <c r="M8" i="11"/>
  <c r="Q8" i="11" s="1"/>
  <c r="M11" i="11"/>
  <c r="Q11" i="11" s="1"/>
  <c r="M7" i="11"/>
  <c r="Q7" i="11" s="1"/>
  <c r="M43" i="11"/>
  <c r="Q43" i="11" s="1"/>
  <c r="M92" i="11"/>
  <c r="Q92" i="11" s="1"/>
  <c r="M58" i="11"/>
  <c r="Q58" i="11" s="1"/>
  <c r="M65" i="11"/>
  <c r="Q65" i="11" s="1"/>
  <c r="M29" i="11"/>
  <c r="Q29" i="11" s="1"/>
  <c r="M35" i="11"/>
  <c r="Q35" i="11" s="1"/>
  <c r="M49" i="11"/>
  <c r="Q49" i="11" s="1"/>
  <c r="M78" i="11"/>
  <c r="Q78" i="11" s="1"/>
  <c r="M73" i="11"/>
  <c r="Q73" i="11" s="1"/>
  <c r="M64" i="11"/>
  <c r="Q64" i="11" s="1"/>
  <c r="M90" i="11"/>
  <c r="Q90" i="11" s="1"/>
  <c r="V86" i="10"/>
  <c r="Z86" i="10" s="1"/>
  <c r="V38" i="10"/>
  <c r="Z38" i="10" s="1"/>
  <c r="V32" i="10"/>
  <c r="Z32" i="10" s="1"/>
  <c r="V93" i="10"/>
  <c r="Z93" i="10" s="1"/>
  <c r="V91" i="10"/>
  <c r="Z91" i="10" s="1"/>
  <c r="V45" i="10"/>
  <c r="Z45" i="10" s="1"/>
  <c r="V68" i="10"/>
  <c r="Z68" i="10" s="1"/>
  <c r="V80" i="10"/>
  <c r="Z80" i="10" s="1"/>
  <c r="V46" i="10"/>
  <c r="Z46" i="10" s="1"/>
  <c r="V30" i="10"/>
  <c r="Z30" i="10" s="1"/>
  <c r="V23" i="10"/>
  <c r="Z23" i="10" s="1"/>
  <c r="V72" i="10"/>
  <c r="Z72" i="10" s="1"/>
  <c r="V24" i="10"/>
  <c r="Z24" i="10" s="1"/>
  <c r="V36" i="10"/>
  <c r="Z36" i="10" s="1"/>
  <c r="V27" i="10"/>
  <c r="Z27" i="10" s="1"/>
  <c r="V78" i="10"/>
  <c r="Z78" i="10" s="1"/>
  <c r="V79" i="10"/>
  <c r="Z79" i="10" s="1"/>
  <c r="V5" i="10"/>
  <c r="Z5" i="10" s="1"/>
  <c r="V57" i="10"/>
  <c r="Z57" i="10" s="1"/>
  <c r="V60" i="10"/>
  <c r="Z60" i="10" s="1"/>
  <c r="V39" i="10"/>
  <c r="Z39" i="10" s="1"/>
  <c r="V8" i="10"/>
  <c r="Z8" i="10" s="1"/>
  <c r="V37" i="10"/>
  <c r="Z37" i="10" s="1"/>
  <c r="V54" i="10"/>
  <c r="Z54" i="10" s="1"/>
  <c r="V64" i="10"/>
  <c r="Z64" i="10" s="1"/>
  <c r="V28" i="10"/>
  <c r="Z28" i="10" s="1"/>
  <c r="V12" i="10"/>
  <c r="Z12" i="10" s="1"/>
  <c r="V83" i="10"/>
  <c r="Z83" i="10" s="1"/>
  <c r="V6" i="10"/>
  <c r="Z6" i="10" s="1"/>
  <c r="V76" i="10"/>
  <c r="Z76" i="10" s="1"/>
  <c r="V13" i="10"/>
  <c r="Z13" i="10" s="1"/>
  <c r="V70" i="10"/>
  <c r="Z70" i="10" s="1"/>
  <c r="V61" i="10"/>
  <c r="Z61" i="10" s="1"/>
  <c r="V41" i="10"/>
  <c r="Z41" i="10" s="1"/>
  <c r="V92" i="10"/>
  <c r="Z92" i="10" s="1"/>
  <c r="V89" i="10"/>
  <c r="Z89" i="10" s="1"/>
  <c r="V87" i="10"/>
  <c r="Z87" i="10" s="1"/>
  <c r="V58" i="10"/>
  <c r="Z58" i="10" s="1"/>
  <c r="V63" i="10"/>
  <c r="Z63" i="10" s="1"/>
  <c r="V4" i="10"/>
  <c r="Z4" i="10" s="1"/>
  <c r="V34" i="10"/>
  <c r="Z34" i="10" s="1"/>
  <c r="V20" i="10"/>
  <c r="Z20" i="10" s="1"/>
  <c r="V65" i="10"/>
  <c r="Z65" i="10" s="1"/>
  <c r="V43" i="10"/>
  <c r="Z43" i="10" s="1"/>
  <c r="V31" i="10"/>
  <c r="Z31" i="10" s="1"/>
  <c r="V22" i="10"/>
  <c r="Z22" i="10" s="1"/>
  <c r="V82" i="10"/>
  <c r="Z82" i="10" s="1"/>
  <c r="V33" i="10"/>
  <c r="Z33" i="10" s="1"/>
  <c r="V49" i="10"/>
  <c r="Z49" i="10" s="1"/>
  <c r="V53" i="10"/>
  <c r="Z53" i="10" s="1"/>
  <c r="V67" i="10"/>
  <c r="Z67" i="10" s="1"/>
  <c r="V75" i="10"/>
  <c r="Z75" i="10" s="1"/>
  <c r="V42" i="10"/>
  <c r="Z42" i="10" s="1"/>
  <c r="V9" i="10"/>
  <c r="Z9" i="10" s="1"/>
  <c r="V52" i="10"/>
  <c r="Z52" i="10" s="1"/>
  <c r="V19" i="10"/>
  <c r="Z19" i="10" s="1"/>
  <c r="V50" i="10"/>
  <c r="Z50" i="10" s="1"/>
  <c r="V17" i="10"/>
  <c r="Z17" i="10" s="1"/>
  <c r="V25" i="10"/>
  <c r="Z25" i="10" s="1"/>
  <c r="V7" i="10"/>
  <c r="Z7" i="10" s="1"/>
  <c r="V73" i="10"/>
  <c r="Z73" i="10" s="1"/>
  <c r="V44" i="10"/>
  <c r="Z44" i="10" s="1"/>
  <c r="V71" i="10"/>
  <c r="Z71" i="10" s="1"/>
  <c r="V10" i="10"/>
  <c r="Z10" i="10" s="1"/>
  <c r="V47" i="10"/>
  <c r="Z47" i="10" s="1"/>
  <c r="V62" i="10"/>
  <c r="Z62" i="10" s="1"/>
  <c r="V48" i="10"/>
  <c r="Z48" i="10" s="1"/>
  <c r="V11" i="10"/>
  <c r="Z11" i="10" s="1"/>
  <c r="V90" i="10"/>
  <c r="Z90" i="10" s="1"/>
  <c r="V56" i="10"/>
  <c r="Z56" i="10" s="1"/>
  <c r="V88" i="10"/>
  <c r="Z88" i="10" s="1"/>
  <c r="V84" i="10"/>
  <c r="Z84" i="10" s="1"/>
  <c r="V16" i="10"/>
  <c r="Z16" i="10" s="1"/>
  <c r="V40" i="10"/>
  <c r="Z40" i="10" s="1"/>
  <c r="V18" i="10"/>
  <c r="Z18" i="10" s="1"/>
  <c r="V35" i="10"/>
  <c r="Z35" i="10" s="1"/>
  <c r="V29" i="10"/>
  <c r="Z29" i="10" s="1"/>
  <c r="V51" i="10"/>
  <c r="Z51" i="10" s="1"/>
  <c r="V55" i="10"/>
  <c r="Z55" i="10" s="1"/>
  <c r="V77" i="10"/>
  <c r="Z77" i="10" s="1"/>
  <c r="V26" i="10"/>
  <c r="Z26" i="10" s="1"/>
  <c r="V74" i="10"/>
  <c r="Z74" i="10" s="1"/>
  <c r="V81" i="10"/>
  <c r="Z81" i="10" s="1"/>
  <c r="V15" i="10"/>
  <c r="Z15" i="10" s="1"/>
  <c r="V21" i="10"/>
  <c r="Z21" i="10" s="1"/>
  <c r="V59" i="10"/>
  <c r="Z59" i="10" s="1"/>
  <c r="V69" i="10"/>
  <c r="Z69" i="10" s="1"/>
  <c r="V14" i="10"/>
  <c r="Z14" i="10" s="1"/>
  <c r="V85" i="10"/>
  <c r="Z85" i="10" s="1"/>
  <c r="V66" i="10"/>
  <c r="Z66" i="10" s="1"/>
  <c r="D10" i="11"/>
  <c r="H10" i="11" s="1"/>
  <c r="D79" i="11"/>
  <c r="H79" i="11" s="1"/>
  <c r="D70" i="11"/>
  <c r="H70" i="11" s="1"/>
  <c r="D23" i="11"/>
  <c r="H23" i="11" s="1"/>
  <c r="D9" i="11"/>
  <c r="H9" i="11" s="1"/>
  <c r="D25" i="11"/>
  <c r="H25" i="11" s="1"/>
  <c r="D51" i="11"/>
  <c r="H51" i="11" s="1"/>
  <c r="D76" i="11"/>
  <c r="H76" i="11" s="1"/>
  <c r="D58" i="11"/>
  <c r="H58" i="11" s="1"/>
  <c r="D26" i="11"/>
  <c r="H26" i="11" s="1"/>
  <c r="D40" i="11"/>
  <c r="H40" i="11" s="1"/>
  <c r="D45" i="11"/>
  <c r="H45" i="11" s="1"/>
  <c r="D28" i="11"/>
  <c r="H28" i="11" s="1"/>
  <c r="D15" i="11"/>
  <c r="H15" i="11" s="1"/>
  <c r="D18" i="11"/>
  <c r="H18" i="11" s="1"/>
  <c r="D57" i="11"/>
  <c r="H57" i="11" s="1"/>
  <c r="D87" i="11"/>
  <c r="H87" i="11" s="1"/>
  <c r="D60" i="11"/>
  <c r="H60" i="11" s="1"/>
  <c r="D85" i="11"/>
  <c r="H85" i="11" s="1"/>
  <c r="D34" i="11"/>
  <c r="H34" i="11" s="1"/>
  <c r="D31" i="11"/>
  <c r="H31" i="11" s="1"/>
  <c r="D78" i="11"/>
  <c r="H78" i="11" s="1"/>
  <c r="D37" i="11"/>
  <c r="H37" i="11" s="1"/>
  <c r="D16" i="11"/>
  <c r="H16" i="11" s="1"/>
  <c r="D92" i="11"/>
  <c r="H92" i="11" s="1"/>
  <c r="D13" i="11"/>
  <c r="H13" i="11" s="1"/>
  <c r="D49" i="11"/>
  <c r="H49" i="11" s="1"/>
  <c r="D83" i="11"/>
  <c r="H83" i="11" s="1"/>
  <c r="D72" i="11"/>
  <c r="H72" i="11" s="1"/>
  <c r="D93" i="11"/>
  <c r="H93" i="11" s="1"/>
  <c r="D19" i="11"/>
  <c r="H19" i="11" s="1"/>
  <c r="D6" i="11"/>
  <c r="H6" i="11" s="1"/>
  <c r="D11" i="11"/>
  <c r="H11" i="11" s="1"/>
  <c r="D7" i="11"/>
  <c r="H7" i="11" s="1"/>
  <c r="D71" i="11"/>
  <c r="H71" i="11" s="1"/>
  <c r="D91" i="11"/>
  <c r="H91" i="11" s="1"/>
  <c r="D42" i="11"/>
  <c r="H42" i="11" s="1"/>
  <c r="D20" i="11"/>
  <c r="H20" i="11" s="1"/>
  <c r="D81" i="11"/>
  <c r="H81" i="11" s="1"/>
  <c r="D43" i="11"/>
  <c r="H43" i="11" s="1"/>
  <c r="D90" i="11"/>
  <c r="H90" i="11" s="1"/>
  <c r="D89" i="11"/>
  <c r="H89" i="11" s="1"/>
  <c r="D36" i="11"/>
  <c r="H36" i="11" s="1"/>
  <c r="D50" i="11"/>
  <c r="H50" i="11" s="1"/>
  <c r="D80" i="11"/>
  <c r="H80" i="11" s="1"/>
  <c r="D21" i="11"/>
  <c r="D75" i="11"/>
  <c r="H75" i="11" s="1"/>
  <c r="D55" i="11"/>
  <c r="H55" i="11" s="1"/>
  <c r="D63" i="11"/>
  <c r="H63" i="11" s="1"/>
  <c r="D64" i="11"/>
  <c r="H64" i="11" s="1"/>
  <c r="D82" i="11"/>
  <c r="H82" i="11" s="1"/>
  <c r="D22" i="11"/>
  <c r="H22" i="11" s="1"/>
  <c r="D88" i="11"/>
  <c r="H88" i="11" s="1"/>
  <c r="D39" i="11"/>
  <c r="H39" i="11" s="1"/>
  <c r="D56" i="11"/>
  <c r="H56" i="11" s="1"/>
  <c r="D84" i="11"/>
  <c r="H84" i="11" s="1"/>
  <c r="D48" i="11"/>
  <c r="H48" i="11" s="1"/>
  <c r="D47" i="11"/>
  <c r="H47" i="11" s="1"/>
  <c r="D35" i="11"/>
  <c r="H35" i="11" s="1"/>
  <c r="D32" i="11"/>
  <c r="H32" i="11" s="1"/>
  <c r="D65" i="11"/>
  <c r="H65" i="11" s="1"/>
  <c r="D77" i="11"/>
  <c r="H77" i="11" s="1"/>
  <c r="D86" i="11"/>
  <c r="H86" i="11" s="1"/>
  <c r="D69" i="11"/>
  <c r="H69" i="11" s="1"/>
  <c r="D73" i="11"/>
  <c r="H73" i="11" s="1"/>
  <c r="D17" i="11"/>
  <c r="H17" i="11" s="1"/>
  <c r="D30" i="11"/>
  <c r="H30" i="11" s="1"/>
  <c r="D74" i="11"/>
  <c r="H74" i="11" s="1"/>
  <c r="D66" i="11"/>
  <c r="H66" i="11" s="1"/>
  <c r="D5" i="11"/>
  <c r="H5" i="11" s="1"/>
  <c r="D61" i="11"/>
  <c r="H61" i="11" s="1"/>
  <c r="D46" i="11"/>
  <c r="H46" i="11" s="1"/>
  <c r="D41" i="11"/>
  <c r="H41" i="11" s="1"/>
  <c r="D68" i="11"/>
  <c r="H68" i="11" s="1"/>
  <c r="D62" i="11"/>
  <c r="H62" i="11" s="1"/>
  <c r="D8" i="11"/>
  <c r="H8" i="11" s="1"/>
  <c r="D12" i="11"/>
  <c r="H12" i="11" s="1"/>
  <c r="D4" i="11"/>
  <c r="H4" i="11" s="1"/>
  <c r="D44" i="11"/>
  <c r="H44" i="11" s="1"/>
  <c r="D52" i="11"/>
  <c r="H52" i="11" s="1"/>
  <c r="D59" i="11"/>
  <c r="H59" i="11" s="1"/>
  <c r="D29" i="11"/>
  <c r="H29" i="11" s="1"/>
  <c r="D33" i="11"/>
  <c r="H33" i="11" s="1"/>
  <c r="D67" i="11"/>
  <c r="H67" i="11" s="1"/>
  <c r="D38" i="11"/>
  <c r="H38" i="11" s="1"/>
  <c r="D24" i="11"/>
  <c r="H24" i="11" s="1"/>
  <c r="D27" i="11"/>
  <c r="H27" i="11" s="1"/>
  <c r="D53" i="11"/>
  <c r="H53" i="11" s="1"/>
  <c r="D14" i="11"/>
  <c r="H14" i="11" s="1"/>
  <c r="D54" i="11"/>
  <c r="H54" i="11" s="1"/>
  <c r="V20" i="11"/>
  <c r="Z20" i="11" s="1"/>
  <c r="V79" i="11"/>
  <c r="Z79" i="11" s="1"/>
  <c r="V71" i="11"/>
  <c r="Z71" i="11" s="1"/>
  <c r="V85" i="11"/>
  <c r="Z85" i="11" s="1"/>
  <c r="V78" i="11"/>
  <c r="Z78" i="11" s="1"/>
  <c r="V8" i="11"/>
  <c r="Z8" i="11" s="1"/>
  <c r="V5" i="11"/>
  <c r="Z5" i="11" s="1"/>
  <c r="V4" i="11"/>
  <c r="Z4" i="11" s="1"/>
  <c r="V54" i="11"/>
  <c r="Z54" i="11" s="1"/>
  <c r="V61" i="11"/>
  <c r="Z61" i="11" s="1"/>
  <c r="V17" i="11"/>
  <c r="Z17" i="11" s="1"/>
  <c r="V76" i="11"/>
  <c r="Z76" i="11" s="1"/>
  <c r="V15" i="11"/>
  <c r="Z15" i="11" s="1"/>
  <c r="V62" i="11"/>
  <c r="Z62" i="11" s="1"/>
  <c r="V59" i="11"/>
  <c r="Z59" i="11" s="1"/>
  <c r="V64" i="11"/>
  <c r="Z64" i="11" s="1"/>
  <c r="V27" i="11"/>
  <c r="Z27" i="11" s="1"/>
  <c r="V6" i="11"/>
  <c r="Z6" i="11" s="1"/>
  <c r="V21" i="11"/>
  <c r="Z21" i="11" s="1"/>
  <c r="V13" i="11"/>
  <c r="Z13" i="11" s="1"/>
  <c r="V45" i="11"/>
  <c r="Z45" i="11" s="1"/>
  <c r="V60" i="11"/>
  <c r="Z60" i="11" s="1"/>
  <c r="V57" i="11"/>
  <c r="Z57" i="11" s="1"/>
  <c r="V30" i="11"/>
  <c r="Z30" i="11" s="1"/>
  <c r="V39" i="11"/>
  <c r="Z39" i="11" s="1"/>
  <c r="V65" i="11"/>
  <c r="Z65" i="11" s="1"/>
  <c r="V43" i="11"/>
  <c r="Z43" i="11" s="1"/>
  <c r="V83" i="11"/>
  <c r="Z83" i="11" s="1"/>
  <c r="V66" i="11"/>
  <c r="Z66" i="11" s="1"/>
  <c r="V56" i="11"/>
  <c r="Z56" i="11" s="1"/>
  <c r="V24" i="11"/>
  <c r="Z24" i="11" s="1"/>
  <c r="V68" i="11"/>
  <c r="Z68" i="11" s="1"/>
  <c r="V63" i="11"/>
  <c r="Z63" i="11" s="1"/>
  <c r="V52" i="11"/>
  <c r="Z52" i="11" s="1"/>
  <c r="V82" i="11"/>
  <c r="Z82" i="11" s="1"/>
  <c r="V31" i="11"/>
  <c r="Z31" i="11" s="1"/>
  <c r="V87" i="11"/>
  <c r="Z87" i="11" s="1"/>
  <c r="V23" i="11"/>
  <c r="Z23" i="11" s="1"/>
  <c r="V19" i="11"/>
  <c r="Z19" i="11" s="1"/>
  <c r="V11" i="11"/>
  <c r="Z11" i="11" s="1"/>
  <c r="V16" i="11"/>
  <c r="Z16" i="11" s="1"/>
  <c r="V34" i="11"/>
  <c r="Z34" i="11" s="1"/>
  <c r="V38" i="11"/>
  <c r="Z38" i="11" s="1"/>
  <c r="V25" i="11"/>
  <c r="Z25" i="11" s="1"/>
  <c r="V90" i="11"/>
  <c r="Z90" i="11" s="1"/>
  <c r="V70" i="11"/>
  <c r="Z70" i="11" s="1"/>
  <c r="V41" i="11"/>
  <c r="Z41" i="11" s="1"/>
  <c r="V29" i="11"/>
  <c r="Z29" i="11" s="1"/>
  <c r="V58" i="11"/>
  <c r="Z58" i="11" s="1"/>
  <c r="V73" i="11"/>
  <c r="Z73" i="11" s="1"/>
  <c r="V33" i="11"/>
  <c r="Z33" i="11" s="1"/>
  <c r="V32" i="11"/>
  <c r="Z32" i="11" s="1"/>
  <c r="V26" i="11"/>
  <c r="Z26" i="11" s="1"/>
  <c r="V42" i="11"/>
  <c r="Z42" i="11" s="1"/>
  <c r="V88" i="11"/>
  <c r="Z88" i="11" s="1"/>
  <c r="V12" i="11"/>
  <c r="Z12" i="11" s="1"/>
  <c r="V7" i="11"/>
  <c r="Z7" i="11" s="1"/>
  <c r="V89" i="11"/>
  <c r="Z89" i="11" s="1"/>
  <c r="V92" i="11"/>
  <c r="Z92" i="11" s="1"/>
  <c r="V81" i="11"/>
  <c r="Z81" i="11" s="1"/>
  <c r="V80" i="11"/>
  <c r="Z80" i="11" s="1"/>
  <c r="V72" i="11"/>
  <c r="Z72" i="11" s="1"/>
  <c r="V9" i="11"/>
  <c r="Z9" i="11" s="1"/>
  <c r="V35" i="11"/>
  <c r="Z35" i="11" s="1"/>
  <c r="V10" i="11"/>
  <c r="Z10" i="11" s="1"/>
  <c r="V67" i="11"/>
  <c r="Z67" i="11" s="1"/>
  <c r="V77" i="11"/>
  <c r="Z77" i="11" s="1"/>
  <c r="V55" i="11"/>
  <c r="Z55" i="11" s="1"/>
  <c r="V86" i="11"/>
  <c r="Z86" i="11" s="1"/>
  <c r="V46" i="11"/>
  <c r="Z46" i="11" s="1"/>
  <c r="V18" i="11"/>
  <c r="Z18" i="11" s="1"/>
  <c r="V14" i="11"/>
  <c r="Z14" i="11" s="1"/>
  <c r="V84" i="11"/>
  <c r="Z84" i="11" s="1"/>
  <c r="V50" i="11"/>
  <c r="Z50" i="11" s="1"/>
  <c r="V40" i="11"/>
  <c r="Z40" i="11" s="1"/>
  <c r="V37" i="11"/>
  <c r="Z37" i="11" s="1"/>
  <c r="V44" i="11"/>
  <c r="Z44" i="11" s="1"/>
  <c r="V48" i="11"/>
  <c r="Z48" i="11" s="1"/>
  <c r="V51" i="11"/>
  <c r="Z51" i="11" s="1"/>
  <c r="V91" i="11"/>
  <c r="Z91" i="11" s="1"/>
  <c r="V93" i="11"/>
  <c r="Z93" i="11" s="1"/>
  <c r="V28" i="11"/>
  <c r="Z28" i="11" s="1"/>
  <c r="V74" i="11"/>
  <c r="Z74" i="11" s="1"/>
  <c r="V53" i="11"/>
  <c r="Z53" i="11" s="1"/>
  <c r="V36" i="11"/>
  <c r="Z36" i="11" s="1"/>
  <c r="V47" i="11"/>
  <c r="Z47" i="11" s="1"/>
  <c r="V75" i="11"/>
  <c r="Z75" i="11" s="1"/>
  <c r="V22" i="11"/>
  <c r="Z22" i="11" s="1"/>
  <c r="V69" i="11"/>
  <c r="Z69" i="11" s="1"/>
  <c r="V49" i="11"/>
  <c r="Z49" i="11" s="1"/>
  <c r="AM31" i="27"/>
  <c r="AN31" i="27" s="1"/>
  <c r="AO31" i="27" s="1" a="1"/>
  <c r="AO31" i="27" s="1"/>
  <c r="AL32" i="27"/>
  <c r="P28" i="27"/>
  <c r="R28" i="27" s="1"/>
  <c r="O29" i="27"/>
  <c r="AI12" i="44"/>
  <c r="AI6" i="27"/>
  <c r="AI6" i="44"/>
  <c r="N20" i="11"/>
  <c r="E21" i="11"/>
  <c r="AI7" i="44" a="1"/>
  <c r="AI7" i="44" l="1"/>
  <c r="AI9" i="44"/>
  <c r="AI8" i="44"/>
  <c r="L14" i="43"/>
  <c r="C14" i="43"/>
  <c r="U14" i="43"/>
  <c r="D91" i="10"/>
  <c r="H91" i="10" s="1"/>
  <c r="D88" i="10"/>
  <c r="H88" i="10" s="1"/>
  <c r="D55" i="10"/>
  <c r="H55" i="10" s="1"/>
  <c r="D45" i="10"/>
  <c r="H45" i="10" s="1"/>
  <c r="D7" i="10"/>
  <c r="H7" i="10" s="1"/>
  <c r="D89" i="10"/>
  <c r="H89" i="10" s="1"/>
  <c r="D41" i="10"/>
  <c r="H41" i="10" s="1"/>
  <c r="D61" i="10"/>
  <c r="H61" i="10" s="1"/>
  <c r="D40" i="10"/>
  <c r="H40" i="10" s="1"/>
  <c r="D33" i="10"/>
  <c r="H33" i="10" s="1"/>
  <c r="D25" i="10"/>
  <c r="H25" i="10" s="1"/>
  <c r="D22" i="10"/>
  <c r="H22" i="10" s="1"/>
  <c r="D34" i="10"/>
  <c r="H34" i="10" s="1"/>
  <c r="D48" i="10"/>
  <c r="H48" i="10" s="1"/>
  <c r="D46" i="10"/>
  <c r="H46" i="10" s="1"/>
  <c r="D44" i="10"/>
  <c r="H44" i="10" s="1"/>
  <c r="D76" i="10"/>
  <c r="H76" i="10" s="1"/>
  <c r="D75" i="10"/>
  <c r="H75" i="10" s="1"/>
  <c r="D37" i="10"/>
  <c r="H37" i="10" s="1"/>
  <c r="D15" i="10"/>
  <c r="H15" i="10" s="1"/>
  <c r="D12" i="10"/>
  <c r="H12" i="10" s="1"/>
  <c r="D18" i="10"/>
  <c r="H18" i="10" s="1"/>
  <c r="D21" i="10"/>
  <c r="H21" i="10" s="1"/>
  <c r="D49" i="10"/>
  <c r="H49" i="10" s="1"/>
  <c r="D42" i="10"/>
  <c r="H42" i="10" s="1"/>
  <c r="D14" i="10"/>
  <c r="H14" i="10" s="1"/>
  <c r="D13" i="10"/>
  <c r="H13" i="10" s="1"/>
  <c r="D85" i="10"/>
  <c r="H85" i="10" s="1"/>
  <c r="D23" i="10"/>
  <c r="H23" i="10" s="1"/>
  <c r="D92" i="10"/>
  <c r="H92" i="10" s="1"/>
  <c r="D28" i="10"/>
  <c r="H28" i="10" s="1"/>
  <c r="D68" i="10"/>
  <c r="H68" i="10" s="1"/>
  <c r="D17" i="10"/>
  <c r="H17" i="10" s="1"/>
  <c r="D58" i="10"/>
  <c r="H58" i="10" s="1"/>
  <c r="D27" i="10"/>
  <c r="H27" i="10" s="1"/>
  <c r="D64" i="10"/>
  <c r="H64" i="10" s="1"/>
  <c r="D32" i="10"/>
  <c r="H32" i="10" s="1"/>
  <c r="D16" i="10"/>
  <c r="H16" i="10" s="1"/>
  <c r="D93" i="10"/>
  <c r="H93" i="10" s="1"/>
  <c r="D54" i="10"/>
  <c r="H54" i="10" s="1"/>
  <c r="D81" i="10"/>
  <c r="H81" i="10" s="1"/>
  <c r="D8" i="10"/>
  <c r="H8" i="10" s="1"/>
  <c r="D39" i="10"/>
  <c r="H39" i="10" s="1"/>
  <c r="D71" i="10"/>
  <c r="H71" i="10" s="1"/>
  <c r="D70" i="10"/>
  <c r="H70" i="10" s="1"/>
  <c r="D9" i="10"/>
  <c r="H9" i="10" s="1"/>
  <c r="D6" i="10"/>
  <c r="H6" i="10" s="1"/>
  <c r="D79" i="10"/>
  <c r="H79" i="10" s="1"/>
  <c r="D86" i="10"/>
  <c r="H86" i="10" s="1"/>
  <c r="D53" i="10"/>
  <c r="H53" i="10" s="1"/>
  <c r="D19" i="10"/>
  <c r="H19" i="10" s="1"/>
  <c r="D36" i="10"/>
  <c r="H36" i="10" s="1"/>
  <c r="D77" i="10"/>
  <c r="H77" i="10" s="1"/>
  <c r="D11" i="10"/>
  <c r="H11" i="10" s="1"/>
  <c r="D51" i="10"/>
  <c r="H51" i="10" s="1"/>
  <c r="D62" i="10"/>
  <c r="H62" i="10" s="1"/>
  <c r="D66" i="10"/>
  <c r="H66" i="10" s="1"/>
  <c r="D35" i="10"/>
  <c r="H35" i="10" s="1"/>
  <c r="D83" i="10"/>
  <c r="H83" i="10" s="1"/>
  <c r="D78" i="10"/>
  <c r="H78" i="10" s="1"/>
  <c r="D80" i="10"/>
  <c r="H80" i="10" s="1"/>
  <c r="D30" i="10"/>
  <c r="H30" i="10" s="1"/>
  <c r="D60" i="10"/>
  <c r="H60" i="10" s="1"/>
  <c r="D10" i="10"/>
  <c r="H10" i="10" s="1"/>
  <c r="D67" i="10"/>
  <c r="H67" i="10" s="1"/>
  <c r="D65" i="10"/>
  <c r="H65" i="10" s="1"/>
  <c r="D57" i="10"/>
  <c r="H57" i="10" s="1"/>
  <c r="D82" i="10"/>
  <c r="H82" i="10" s="1"/>
  <c r="D63" i="10"/>
  <c r="H63" i="10" s="1"/>
  <c r="D69" i="10"/>
  <c r="H69" i="10" s="1"/>
  <c r="D50" i="10"/>
  <c r="H50" i="10" s="1"/>
  <c r="D43" i="10"/>
  <c r="H43" i="10" s="1"/>
  <c r="D29" i="10"/>
  <c r="H29" i="10" s="1"/>
  <c r="D72" i="10"/>
  <c r="H72" i="10" s="1"/>
  <c r="D4" i="10"/>
  <c r="H4" i="10" s="1"/>
  <c r="D38" i="10"/>
  <c r="H38" i="10" s="1"/>
  <c r="D24" i="10"/>
  <c r="H24" i="10" s="1"/>
  <c r="D87" i="10"/>
  <c r="H87" i="10" s="1"/>
  <c r="D20" i="10"/>
  <c r="H20" i="10" s="1"/>
  <c r="D73" i="10"/>
  <c r="H73" i="10" s="1"/>
  <c r="D52" i="10"/>
  <c r="H52" i="10" s="1"/>
  <c r="D5" i="10"/>
  <c r="H5" i="10" s="1"/>
  <c r="D84" i="10"/>
  <c r="H84" i="10" s="1"/>
  <c r="D90" i="10"/>
  <c r="H90" i="10" s="1"/>
  <c r="D74" i="10"/>
  <c r="H74" i="10" s="1"/>
  <c r="D26" i="10"/>
  <c r="H26" i="10" s="1"/>
  <c r="D31" i="10"/>
  <c r="H31" i="10" s="1"/>
  <c r="D47" i="10"/>
  <c r="H47" i="10" s="1"/>
  <c r="D59" i="10"/>
  <c r="H59" i="10" s="1"/>
  <c r="D56" i="10"/>
  <c r="H56" i="10" s="1"/>
  <c r="M89" i="10"/>
  <c r="Q89" i="10" s="1"/>
  <c r="M49" i="10"/>
  <c r="Q49" i="10" s="1"/>
  <c r="M35" i="10"/>
  <c r="Q35" i="10" s="1"/>
  <c r="M34" i="10"/>
  <c r="Q34" i="10" s="1"/>
  <c r="M14" i="10"/>
  <c r="Q14" i="10" s="1"/>
  <c r="M72" i="10"/>
  <c r="Q72" i="10" s="1"/>
  <c r="M22" i="10"/>
  <c r="Q22" i="10" s="1"/>
  <c r="M17" i="10"/>
  <c r="Q17" i="10" s="1"/>
  <c r="M51" i="10"/>
  <c r="Q51" i="10" s="1"/>
  <c r="M43" i="10"/>
  <c r="Q43" i="10" s="1"/>
  <c r="M29" i="10"/>
  <c r="Q29" i="10" s="1"/>
  <c r="M48" i="10"/>
  <c r="Q48" i="10" s="1"/>
  <c r="M24" i="10"/>
  <c r="Q24" i="10" s="1"/>
  <c r="M65" i="10"/>
  <c r="Q65" i="10" s="1"/>
  <c r="M30" i="10"/>
  <c r="Q30" i="10" s="1"/>
  <c r="M9" i="10"/>
  <c r="Q9" i="10" s="1"/>
  <c r="M31" i="10"/>
  <c r="Q31" i="10" s="1"/>
  <c r="M8" i="10"/>
  <c r="Q8" i="10" s="1"/>
  <c r="M86" i="10"/>
  <c r="Q86" i="10" s="1"/>
  <c r="M61" i="10"/>
  <c r="Q61" i="10" s="1"/>
  <c r="M53" i="10"/>
  <c r="Q53" i="10" s="1"/>
  <c r="M56" i="10"/>
  <c r="Q56" i="10" s="1"/>
  <c r="M11" i="10"/>
  <c r="Q11" i="10" s="1"/>
  <c r="M25" i="10"/>
  <c r="Q25" i="10" s="1"/>
  <c r="M27" i="10"/>
  <c r="Q27" i="10" s="1"/>
  <c r="M83" i="10"/>
  <c r="Q83" i="10" s="1"/>
  <c r="M38" i="10"/>
  <c r="Q38" i="10" s="1"/>
  <c r="M50" i="10"/>
  <c r="Q50" i="10" s="1"/>
  <c r="M12" i="10"/>
  <c r="Q12" i="10" s="1"/>
  <c r="M36" i="10"/>
  <c r="Q36" i="10" s="1"/>
  <c r="M92" i="10"/>
  <c r="Q92" i="10" s="1"/>
  <c r="M91" i="10"/>
  <c r="Q91" i="10" s="1"/>
  <c r="M47" i="10"/>
  <c r="Q47" i="10" s="1"/>
  <c r="M75" i="10"/>
  <c r="Q75" i="10" s="1"/>
  <c r="M90" i="10"/>
  <c r="Q90" i="10" s="1"/>
  <c r="M21" i="10"/>
  <c r="Q21" i="10" s="1"/>
  <c r="M67" i="10"/>
  <c r="Q67" i="10" s="1"/>
  <c r="M4" i="10"/>
  <c r="Q4" i="10" s="1"/>
  <c r="M71" i="10"/>
  <c r="Q71" i="10" s="1"/>
  <c r="M57" i="10"/>
  <c r="Q57" i="10" s="1"/>
  <c r="M68" i="10"/>
  <c r="Q68" i="10" s="1"/>
  <c r="M69" i="10"/>
  <c r="Q69" i="10" s="1"/>
  <c r="M76" i="10"/>
  <c r="Q76" i="10" s="1"/>
  <c r="M41" i="10"/>
  <c r="Q41" i="10" s="1"/>
  <c r="M37" i="10"/>
  <c r="Q37" i="10" s="1"/>
  <c r="M66" i="10"/>
  <c r="Q66" i="10" s="1"/>
  <c r="M28" i="10"/>
  <c r="Q28" i="10" s="1"/>
  <c r="M19" i="10"/>
  <c r="Q19" i="10" s="1"/>
  <c r="M44" i="10"/>
  <c r="Q44" i="10" s="1"/>
  <c r="M59" i="10"/>
  <c r="Q59" i="10" s="1"/>
  <c r="M16" i="10"/>
  <c r="Q16" i="10" s="1"/>
  <c r="M42" i="10"/>
  <c r="Q42" i="10" s="1"/>
  <c r="M26" i="10"/>
  <c r="Q26" i="10" s="1"/>
  <c r="M77" i="10"/>
  <c r="Q77" i="10" s="1"/>
  <c r="M15" i="10"/>
  <c r="Q15" i="10" s="1"/>
  <c r="M39" i="10"/>
  <c r="Q39" i="10" s="1"/>
  <c r="M87" i="10"/>
  <c r="Q87" i="10" s="1"/>
  <c r="M54" i="10"/>
  <c r="Q54" i="10" s="1"/>
  <c r="M13" i="10"/>
  <c r="Q13" i="10" s="1"/>
  <c r="M18" i="10"/>
  <c r="Q18" i="10" s="1"/>
  <c r="M84" i="10"/>
  <c r="Q84" i="10" s="1"/>
  <c r="M74" i="10"/>
  <c r="Q74" i="10" s="1"/>
  <c r="M85" i="10"/>
  <c r="Q85" i="10" s="1"/>
  <c r="M45" i="10"/>
  <c r="Q45" i="10" s="1"/>
  <c r="M20" i="10"/>
  <c r="Q20" i="10" s="1"/>
  <c r="M46" i="10"/>
  <c r="Q46" i="10" s="1"/>
  <c r="M81" i="10"/>
  <c r="Q81" i="10" s="1"/>
  <c r="M64" i="10"/>
  <c r="Q64" i="10" s="1"/>
  <c r="M32" i="10"/>
  <c r="Q32" i="10" s="1"/>
  <c r="M55" i="10"/>
  <c r="Q55" i="10" s="1"/>
  <c r="M52" i="10"/>
  <c r="Q52" i="10" s="1"/>
  <c r="M7" i="10"/>
  <c r="Q7" i="10" s="1"/>
  <c r="M58" i="10"/>
  <c r="Q58" i="10" s="1"/>
  <c r="M88" i="10"/>
  <c r="Q88" i="10" s="1"/>
  <c r="M60" i="10"/>
  <c r="Q60" i="10" s="1"/>
  <c r="M78" i="10"/>
  <c r="Q78" i="10" s="1"/>
  <c r="M62" i="10"/>
  <c r="Q62" i="10" s="1"/>
  <c r="M10" i="10"/>
  <c r="Q10" i="10" s="1"/>
  <c r="M23" i="10"/>
  <c r="Q23" i="10" s="1"/>
  <c r="M79" i="10"/>
  <c r="Q79" i="10" s="1"/>
  <c r="M63" i="10"/>
  <c r="Q63" i="10" s="1"/>
  <c r="M82" i="10"/>
  <c r="Q82" i="10" s="1"/>
  <c r="M6" i="10"/>
  <c r="Q6" i="10" s="1"/>
  <c r="M40" i="10"/>
  <c r="Q40" i="10" s="1"/>
  <c r="M73" i="10"/>
  <c r="Q73" i="10" s="1"/>
  <c r="M93" i="10"/>
  <c r="Q93" i="10" s="1"/>
  <c r="M5" i="10"/>
  <c r="Q5" i="10" s="1"/>
  <c r="M80" i="10"/>
  <c r="Q80" i="10" s="1"/>
  <c r="M33" i="10"/>
  <c r="Q33" i="10" s="1"/>
  <c r="M70" i="10"/>
  <c r="Q70" i="10" s="1"/>
  <c r="I21" i="11"/>
  <c r="R20" i="11"/>
  <c r="H21" i="11"/>
  <c r="C14" i="11" s="1"/>
  <c r="Q20" i="11"/>
  <c r="L14" i="11" s="1"/>
  <c r="AP31" i="27"/>
  <c r="O30" i="27"/>
  <c r="P29" i="27"/>
  <c r="R29" i="27" s="1"/>
  <c r="AM32" i="27"/>
  <c r="AN32" i="27" s="1"/>
  <c r="AO32" i="27" s="1" a="1"/>
  <c r="AO32" i="27" s="1"/>
  <c r="AL33" i="27"/>
  <c r="U14" i="11"/>
  <c r="U14" i="10"/>
  <c r="W45" i="11"/>
  <c r="E86" i="10"/>
  <c r="N14" i="11"/>
  <c r="E90" i="11"/>
  <c r="N92" i="11"/>
  <c r="W85" i="10"/>
  <c r="W10" i="10"/>
  <c r="E58" i="10"/>
  <c r="N42" i="11"/>
  <c r="W80" i="10"/>
  <c r="W50" i="10"/>
  <c r="C15" i="43"/>
  <c r="W76" i="10"/>
  <c r="W19" i="10"/>
  <c r="E87" i="10"/>
  <c r="N71" i="10"/>
  <c r="E49" i="11"/>
  <c r="E56" i="11"/>
  <c r="N56" i="10"/>
  <c r="W32" i="11"/>
  <c r="N21" i="11"/>
  <c r="E45" i="11"/>
  <c r="N25" i="10"/>
  <c r="N14" i="10"/>
  <c r="E71" i="10"/>
  <c r="E66" i="10"/>
  <c r="N82" i="11"/>
  <c r="E41" i="11"/>
  <c r="W78" i="10"/>
  <c r="N90" i="11"/>
  <c r="W5" i="11"/>
  <c r="N18" i="10"/>
  <c r="E75" i="10"/>
  <c r="W21" i="10"/>
  <c r="W14" i="11"/>
  <c r="E68" i="11"/>
  <c r="N58" i="10"/>
  <c r="N80" i="11"/>
  <c r="W58" i="10"/>
  <c r="W29" i="11"/>
  <c r="W26" i="11"/>
  <c r="E72" i="11"/>
  <c r="N47" i="10"/>
  <c r="E80" i="10"/>
  <c r="E74" i="10"/>
  <c r="E84" i="11"/>
  <c r="N39" i="11"/>
  <c r="N17" i="11"/>
  <c r="W75" i="10"/>
  <c r="N89" i="11"/>
  <c r="E9" i="10"/>
  <c r="N6" i="11"/>
  <c r="E51" i="10"/>
  <c r="E52" i="11"/>
  <c r="N81" i="10"/>
  <c r="E34" i="10"/>
  <c r="E34" i="11"/>
  <c r="N55" i="11"/>
  <c r="W61" i="11"/>
  <c r="E76" i="10"/>
  <c r="W59" i="11"/>
  <c r="N77" i="10"/>
  <c r="W4" i="10"/>
  <c r="N75" i="11"/>
  <c r="N84" i="11"/>
  <c r="E31" i="10"/>
  <c r="N5" i="11"/>
  <c r="N10" i="11"/>
  <c r="W88" i="10"/>
  <c r="N83" i="11"/>
  <c r="W35" i="10"/>
  <c r="E29" i="10"/>
  <c r="E82" i="11"/>
  <c r="N8" i="11"/>
  <c r="N13" i="10"/>
  <c r="W45" i="10"/>
  <c r="W72" i="10"/>
  <c r="W60" i="10"/>
  <c r="N64" i="11"/>
  <c r="N16" i="10"/>
  <c r="W9" i="10"/>
  <c r="N24" i="10"/>
  <c r="N87" i="11"/>
  <c r="N78" i="10"/>
  <c r="W49" i="10"/>
  <c r="N45" i="10"/>
  <c r="W41" i="11"/>
  <c r="W12" i="11"/>
  <c r="N9" i="11"/>
  <c r="N43" i="10"/>
  <c r="N50" i="11"/>
  <c r="W86" i="11"/>
  <c r="E47" i="11"/>
  <c r="E86" i="11"/>
  <c r="N93" i="10"/>
  <c r="W5" i="10"/>
  <c r="W67" i="10"/>
  <c r="W53" i="11"/>
  <c r="W91" i="10"/>
  <c r="E29" i="11"/>
  <c r="W13" i="11"/>
  <c r="E38" i="11"/>
  <c r="E50" i="11"/>
  <c r="E35" i="10"/>
  <c r="N54" i="10"/>
  <c r="E74" i="11"/>
  <c r="E88" i="10"/>
  <c r="W21" i="11"/>
  <c r="N18" i="11"/>
  <c r="E33" i="11"/>
  <c r="E59" i="10"/>
  <c r="N83" i="10"/>
  <c r="E92" i="10"/>
  <c r="W34" i="10"/>
  <c r="E79" i="11"/>
  <c r="N30" i="10"/>
  <c r="W86" i="10"/>
  <c r="N67" i="11"/>
  <c r="W13" i="10"/>
  <c r="N7" i="11"/>
  <c r="N80" i="10"/>
  <c r="W51" i="11"/>
  <c r="W87" i="10"/>
  <c r="N76" i="10"/>
  <c r="N67" i="10"/>
  <c r="N11" i="11"/>
  <c r="E26" i="11"/>
  <c r="E44" i="10"/>
  <c r="W84" i="11"/>
  <c r="E61" i="10"/>
  <c r="W55" i="10"/>
  <c r="W16" i="11"/>
  <c r="E80" i="11"/>
  <c r="N60" i="10"/>
  <c r="W46" i="10"/>
  <c r="N88" i="11"/>
  <c r="E22" i="10"/>
  <c r="W7" i="10"/>
  <c r="E78" i="10"/>
  <c r="W57" i="10"/>
  <c r="E5" i="10"/>
  <c r="N72" i="11"/>
  <c r="N29" i="10"/>
  <c r="N30" i="11"/>
  <c r="W71" i="10"/>
  <c r="W61" i="10"/>
  <c r="L15" i="43"/>
  <c r="W82" i="11"/>
  <c r="N38" i="10"/>
  <c r="N43" i="11"/>
  <c r="W57" i="11"/>
  <c r="W18" i="11"/>
  <c r="W69" i="10"/>
  <c r="W53" i="10"/>
  <c r="E21" i="10"/>
  <c r="E10" i="11"/>
  <c r="W20" i="10"/>
  <c r="W17" i="10"/>
  <c r="W9" i="11"/>
  <c r="E36" i="10"/>
  <c r="W12" i="10"/>
  <c r="W39" i="10"/>
  <c r="W36" i="11"/>
  <c r="E5" i="11"/>
  <c r="N93" i="11"/>
  <c r="E6" i="11"/>
  <c r="W23" i="11"/>
  <c r="E84" i="10"/>
  <c r="E54" i="10"/>
  <c r="E89" i="10"/>
  <c r="W59" i="10"/>
  <c r="E33" i="10"/>
  <c r="E25" i="10"/>
  <c r="N15" i="11"/>
  <c r="N26" i="11"/>
  <c r="N37" i="10"/>
  <c r="N45" i="11"/>
  <c r="W79" i="11"/>
  <c r="W71" i="11"/>
  <c r="W93" i="10"/>
  <c r="N36" i="10"/>
  <c r="N28" i="10"/>
  <c r="N15" i="10"/>
  <c r="W81" i="10"/>
  <c r="E20" i="10"/>
  <c r="W27" i="10"/>
  <c r="W88" i="11"/>
  <c r="E56" i="10"/>
  <c r="N77" i="11"/>
  <c r="N44" i="10"/>
  <c r="W15" i="10"/>
  <c r="E57" i="10"/>
  <c r="E61" i="11"/>
  <c r="N63" i="11"/>
  <c r="N11" i="10"/>
  <c r="N85" i="11"/>
  <c r="W84" i="10"/>
  <c r="W77" i="11"/>
  <c r="W54" i="11"/>
  <c r="E10" i="10"/>
  <c r="N65" i="11"/>
  <c r="E39" i="11"/>
  <c r="E92" i="11"/>
  <c r="N58" i="11"/>
  <c r="E8" i="10"/>
  <c r="W27" i="11"/>
  <c r="N49" i="10"/>
  <c r="W40" i="10"/>
  <c r="N32" i="10"/>
  <c r="E71" i="11"/>
  <c r="N16" i="11"/>
  <c r="N48" i="11"/>
  <c r="E63" i="11"/>
  <c r="E89" i="11"/>
  <c r="N24" i="11"/>
  <c r="W70" i="11"/>
  <c r="E72" i="10"/>
  <c r="W72" i="11"/>
  <c r="N86" i="10"/>
  <c r="N35" i="10"/>
  <c r="E8" i="11"/>
  <c r="N40" i="10"/>
  <c r="E66" i="11"/>
  <c r="E35" i="11"/>
  <c r="E55" i="10"/>
  <c r="E32" i="11"/>
  <c r="N74" i="10"/>
  <c r="E83" i="10"/>
  <c r="E7" i="11"/>
  <c r="N36" i="11"/>
  <c r="E20" i="11"/>
  <c r="N29" i="11"/>
  <c r="E49" i="10"/>
  <c r="W26" i="10"/>
  <c r="N51" i="11"/>
  <c r="E65" i="10"/>
  <c r="E75" i="11"/>
  <c r="W22" i="11"/>
  <c r="W34" i="11"/>
  <c r="W24" i="11"/>
  <c r="E19" i="10"/>
  <c r="E40" i="10"/>
  <c r="W81" i="11"/>
  <c r="N68" i="11"/>
  <c r="E11" i="11"/>
  <c r="E48" i="11"/>
  <c r="E45" i="10"/>
  <c r="E13" i="11"/>
  <c r="E6" i="10"/>
  <c r="E16" i="10"/>
  <c r="E91" i="11"/>
  <c r="E15" i="11"/>
  <c r="E76" i="11"/>
  <c r="W43" i="11"/>
  <c r="E13" i="10"/>
  <c r="N70" i="11"/>
  <c r="N85" i="10"/>
  <c r="E59" i="11"/>
  <c r="W56" i="10"/>
  <c r="W4" i="11"/>
  <c r="W22" i="10"/>
  <c r="N57" i="11"/>
  <c r="E60" i="11"/>
  <c r="N52" i="11"/>
  <c r="N25" i="11"/>
  <c r="E14" i="11"/>
  <c r="W54" i="10"/>
  <c r="W51" i="10"/>
  <c r="E39" i="10"/>
  <c r="W60" i="11"/>
  <c r="N62" i="11"/>
  <c r="W29" i="10"/>
  <c r="N91" i="11"/>
  <c r="E7" i="10"/>
  <c r="E4" i="11"/>
  <c r="W66" i="11"/>
  <c r="N66" i="11"/>
  <c r="W48" i="10"/>
  <c r="N57" i="10"/>
  <c r="W43" i="10"/>
  <c r="E73" i="10"/>
  <c r="E69" i="11"/>
  <c r="E90" i="10"/>
  <c r="W66" i="10"/>
  <c r="W33" i="10"/>
  <c r="W18" i="10"/>
  <c r="E64" i="11"/>
  <c r="E77" i="10"/>
  <c r="N62" i="10"/>
  <c r="E23" i="11"/>
  <c r="N27" i="11"/>
  <c r="N13" i="11"/>
  <c r="N54" i="11"/>
  <c r="E91" i="10"/>
  <c r="N91" i="10"/>
  <c r="E27" i="10"/>
  <c r="N4" i="10"/>
  <c r="W83" i="10"/>
  <c r="E15" i="10"/>
  <c r="W20" i="11"/>
  <c r="W44" i="11"/>
  <c r="E68" i="10"/>
  <c r="E93" i="11"/>
  <c r="E4" i="10"/>
  <c r="W73" i="10"/>
  <c r="E67" i="11"/>
  <c r="W74" i="11"/>
  <c r="E79" i="10"/>
  <c r="W49" i="11"/>
  <c r="N8" i="10"/>
  <c r="N37" i="11"/>
  <c r="E43" i="11"/>
  <c r="N28" i="11"/>
  <c r="W25" i="11"/>
  <c r="W65" i="11"/>
  <c r="N31" i="11"/>
  <c r="W90" i="10"/>
  <c r="N22" i="10"/>
  <c r="N19" i="11"/>
  <c r="N89" i="10"/>
  <c r="N41" i="10"/>
  <c r="N32" i="11"/>
  <c r="E16" i="11"/>
  <c r="W40" i="11"/>
  <c r="N5" i="10"/>
  <c r="E85" i="11"/>
  <c r="E57" i="11"/>
  <c r="N84" i="10"/>
  <c r="N17" i="10"/>
  <c r="W80" i="11"/>
  <c r="N9" i="10"/>
  <c r="W25" i="10"/>
  <c r="E12" i="11"/>
  <c r="N6" i="10"/>
  <c r="W67" i="11"/>
  <c r="W30" i="11"/>
  <c r="W6" i="10"/>
  <c r="E67" i="10"/>
  <c r="W56" i="11"/>
  <c r="E37" i="11"/>
  <c r="W78" i="11"/>
  <c r="N51" i="10"/>
  <c r="W68" i="11"/>
  <c r="AI12" i="27"/>
  <c r="N41" i="11"/>
  <c r="W82" i="10"/>
  <c r="W62" i="11"/>
  <c r="N23" i="10"/>
  <c r="N7" i="10"/>
  <c r="N92" i="10"/>
  <c r="N46" i="11"/>
  <c r="E32" i="10"/>
  <c r="E87" i="11"/>
  <c r="N33" i="11"/>
  <c r="N82" i="10"/>
  <c r="N55" i="10"/>
  <c r="E36" i="11"/>
  <c r="E50" i="10"/>
  <c r="N79" i="11"/>
  <c r="N66" i="10"/>
  <c r="W55" i="11"/>
  <c r="W64" i="11"/>
  <c r="N63" i="10"/>
  <c r="E81" i="11"/>
  <c r="N20" i="10"/>
  <c r="W92" i="11"/>
  <c r="W87" i="11"/>
  <c r="W74" i="10"/>
  <c r="W6" i="11"/>
  <c r="N47" i="11"/>
  <c r="W69" i="11"/>
  <c r="W63" i="10"/>
  <c r="E40" i="11"/>
  <c r="E30" i="10"/>
  <c r="N22" i="11"/>
  <c r="W75" i="11"/>
  <c r="W17" i="11"/>
  <c r="E19" i="11"/>
  <c r="N81" i="11"/>
  <c r="E73" i="11"/>
  <c r="E62" i="11"/>
  <c r="E53" i="10"/>
  <c r="W19" i="11"/>
  <c r="N40" i="11"/>
  <c r="E65" i="11"/>
  <c r="N19" i="10"/>
  <c r="E28" i="11"/>
  <c r="W37" i="10"/>
  <c r="W68" i="10"/>
  <c r="E46" i="10"/>
  <c r="N42" i="10"/>
  <c r="N72" i="10"/>
  <c r="E63" i="10"/>
  <c r="N10" i="10"/>
  <c r="E26" i="10"/>
  <c r="W65" i="10"/>
  <c r="N75" i="10"/>
  <c r="W62" i="10"/>
  <c r="W42" i="10"/>
  <c r="N61" i="11"/>
  <c r="N38" i="11"/>
  <c r="E78" i="11"/>
  <c r="N27" i="10"/>
  <c r="W31" i="11"/>
  <c r="E47" i="10"/>
  <c r="W11" i="11"/>
  <c r="E9" i="11"/>
  <c r="N21" i="10"/>
  <c r="N73" i="10"/>
  <c r="E81" i="10"/>
  <c r="E64" i="10"/>
  <c r="W83" i="11"/>
  <c r="W52" i="11"/>
  <c r="E52" i="10"/>
  <c r="N53" i="10"/>
  <c r="E37" i="10"/>
  <c r="E11" i="10"/>
  <c r="W15" i="11"/>
  <c r="W50" i="11"/>
  <c r="U15" i="43"/>
  <c r="N65" i="10"/>
  <c r="W30" i="10"/>
  <c r="N23" i="11"/>
  <c r="E24" i="10"/>
  <c r="W91" i="11"/>
  <c r="E46" i="11"/>
  <c r="N64" i="10"/>
  <c r="N34" i="10"/>
  <c r="N61" i="10"/>
  <c r="E42" i="10"/>
  <c r="E23" i="10"/>
  <c r="E58" i="11"/>
  <c r="N59" i="11"/>
  <c r="E54" i="11"/>
  <c r="E82" i="10"/>
  <c r="W16" i="10"/>
  <c r="W23" i="10"/>
  <c r="W39" i="11"/>
  <c r="W8" i="10"/>
  <c r="E41" i="10"/>
  <c r="N59" i="10"/>
  <c r="E31" i="11"/>
  <c r="W41" i="10"/>
  <c r="W89" i="11"/>
  <c r="N79" i="10"/>
  <c r="E12" i="10"/>
  <c r="E30" i="11"/>
  <c r="E62" i="10"/>
  <c r="E60" i="10"/>
  <c r="N88" i="10"/>
  <c r="W79" i="10"/>
  <c r="W32" i="10"/>
  <c r="W14" i="10"/>
  <c r="E93" i="10"/>
  <c r="E70" i="10"/>
  <c r="N87" i="10"/>
  <c r="N86" i="11"/>
  <c r="E38" i="10"/>
  <c r="E22" i="11"/>
  <c r="W42" i="11"/>
  <c r="E51" i="11"/>
  <c r="N49" i="11"/>
  <c r="E55" i="11"/>
  <c r="W76" i="11"/>
  <c r="W64" i="10"/>
  <c r="E18" i="11"/>
  <c r="N69" i="11"/>
  <c r="W70" i="10"/>
  <c r="E53" i="11"/>
  <c r="W46" i="11"/>
  <c r="W47" i="11"/>
  <c r="W85" i="11"/>
  <c r="N60" i="11"/>
  <c r="N74" i="11"/>
  <c r="N12" i="10"/>
  <c r="W7" i="11"/>
  <c r="E69" i="10"/>
  <c r="W35" i="11"/>
  <c r="E28" i="10"/>
  <c r="N71" i="11"/>
  <c r="E27" i="11"/>
  <c r="N44" i="11"/>
  <c r="W38" i="10"/>
  <c r="N53" i="11"/>
  <c r="N4" i="11"/>
  <c r="W11" i="10"/>
  <c r="E25" i="11"/>
  <c r="W8" i="11"/>
  <c r="W63" i="11"/>
  <c r="N68" i="10"/>
  <c r="N78" i="11"/>
  <c r="E70" i="11"/>
  <c r="E48" i="10"/>
  <c r="W58" i="11"/>
  <c r="N35" i="11"/>
  <c r="W77" i="10"/>
  <c r="W10" i="11"/>
  <c r="N52" i="10"/>
  <c r="N56" i="11"/>
  <c r="W44" i="10"/>
  <c r="N70" i="10"/>
  <c r="N90" i="10"/>
  <c r="E14" i="10"/>
  <c r="W93" i="11"/>
  <c r="N34" i="11"/>
  <c r="N50" i="10"/>
  <c r="W28" i="11"/>
  <c r="W90" i="11"/>
  <c r="E85" i="10"/>
  <c r="E42" i="11"/>
  <c r="N33" i="10"/>
  <c r="W47" i="10"/>
  <c r="W36" i="10"/>
  <c r="W92" i="10"/>
  <c r="W89" i="10"/>
  <c r="W38" i="11"/>
  <c r="N73" i="11"/>
  <c r="N31" i="10"/>
  <c r="W52" i="10"/>
  <c r="E17" i="10"/>
  <c r="N48" i="10"/>
  <c r="W73" i="11"/>
  <c r="E17" i="11"/>
  <c r="E43" i="10"/>
  <c r="N26" i="10"/>
  <c r="W31" i="10"/>
  <c r="E88" i="11"/>
  <c r="N46" i="10"/>
  <c r="E24" i="11"/>
  <c r="N39" i="10"/>
  <c r="W37" i="11"/>
  <c r="N12" i="11"/>
  <c r="W24" i="10"/>
  <c r="E77" i="11"/>
  <c r="N69" i="10"/>
  <c r="W48" i="11"/>
  <c r="E83" i="11"/>
  <c r="E44" i="11"/>
  <c r="N76" i="11"/>
  <c r="W33" i="11"/>
  <c r="E18" i="10"/>
  <c r="W28" i="10"/>
  <c r="C14" i="10" l="1"/>
  <c r="L14" i="10"/>
  <c r="AP32" i="27"/>
  <c r="P30" i="27"/>
  <c r="R30" i="27" s="1"/>
  <c r="O31" i="27"/>
  <c r="AM33" i="27"/>
  <c r="AN33" i="27" s="1"/>
  <c r="AO33" i="27" s="1" a="1"/>
  <c r="AO33" i="27" s="1"/>
  <c r="AL34" i="27"/>
  <c r="R4" i="10"/>
  <c r="AA4" i="11"/>
  <c r="I4" i="11"/>
  <c r="AA4" i="10"/>
  <c r="R4" i="11"/>
  <c r="AA62" i="10"/>
  <c r="AA19" i="11"/>
  <c r="AA25" i="10"/>
  <c r="AA51" i="10"/>
  <c r="R50" i="11"/>
  <c r="I26" i="11"/>
  <c r="AA27" i="11"/>
  <c r="AA16" i="11"/>
  <c r="AA14" i="11"/>
  <c r="I23" i="11"/>
  <c r="AA54" i="10"/>
  <c r="AA8" i="10"/>
  <c r="I29" i="11"/>
  <c r="AA13" i="10"/>
  <c r="AA7" i="11"/>
  <c r="R24" i="11"/>
  <c r="AA38" i="10"/>
  <c r="I24" i="11"/>
  <c r="I13" i="11"/>
  <c r="R7" i="11"/>
  <c r="AA60" i="10"/>
  <c r="R14" i="11"/>
  <c r="AA57" i="10"/>
  <c r="AA45" i="11"/>
  <c r="I19" i="11"/>
  <c r="AA8" i="11"/>
  <c r="AA33" i="10"/>
  <c r="I33" i="11"/>
  <c r="I12" i="11"/>
  <c r="R32" i="11"/>
  <c r="R12" i="11"/>
  <c r="AA11" i="11"/>
  <c r="R58" i="11"/>
  <c r="I32" i="11"/>
  <c r="I37" i="11"/>
  <c r="R45" i="11"/>
  <c r="AA36" i="10"/>
  <c r="AA17" i="10"/>
  <c r="I34" i="11"/>
  <c r="R51" i="11"/>
  <c r="I10" i="11"/>
  <c r="R21" i="11"/>
  <c r="AA61" i="10"/>
  <c r="R43" i="11"/>
  <c r="I8" i="11"/>
  <c r="AA65" i="10"/>
  <c r="I7" i="11"/>
  <c r="I40" i="11"/>
  <c r="AA15" i="10"/>
  <c r="R37" i="11"/>
  <c r="R6" i="11"/>
  <c r="AA5" i="10"/>
  <c r="AA29" i="11"/>
  <c r="AA42" i="11"/>
  <c r="R59" i="11"/>
  <c r="I30" i="11"/>
  <c r="R23" i="11"/>
  <c r="R36" i="11"/>
  <c r="AA28" i="11"/>
  <c r="AA41" i="10"/>
  <c r="I18" i="11"/>
  <c r="AA17" i="11"/>
  <c r="AA34" i="10"/>
  <c r="AA35" i="11"/>
  <c r="I27" i="11"/>
  <c r="R46" i="11"/>
  <c r="R44" i="11"/>
  <c r="AA24" i="11"/>
  <c r="AA58" i="11"/>
  <c r="R33" i="11"/>
  <c r="AA63" i="10"/>
  <c r="R54" i="11"/>
  <c r="AA47" i="11"/>
  <c r="AA7" i="10"/>
  <c r="AA66" i="10"/>
  <c r="R22" i="11"/>
  <c r="AA40" i="11"/>
  <c r="I25" i="11"/>
  <c r="I39" i="11"/>
  <c r="R5" i="11"/>
  <c r="AA56" i="10"/>
  <c r="AA28" i="10"/>
  <c r="AA46" i="11"/>
  <c r="I5" i="11"/>
  <c r="I6" i="11"/>
  <c r="I9" i="11"/>
  <c r="AA55" i="11"/>
  <c r="R41" i="11"/>
  <c r="I17" i="11"/>
  <c r="AA21" i="11"/>
  <c r="R55" i="11"/>
  <c r="I14" i="11"/>
  <c r="I11" i="11"/>
  <c r="AA64" i="10"/>
  <c r="AA67" i="10"/>
  <c r="R11" i="11"/>
  <c r="AA31" i="10"/>
  <c r="AA52" i="10"/>
  <c r="AA45" i="10"/>
  <c r="AA59" i="10"/>
  <c r="R17" i="11"/>
  <c r="AA48" i="10"/>
  <c r="AA26" i="11"/>
  <c r="AA5" i="11"/>
  <c r="AA15" i="11"/>
  <c r="AA14" i="10"/>
  <c r="AA32" i="10"/>
  <c r="AA47" i="10"/>
  <c r="AA6" i="10"/>
  <c r="I41" i="11"/>
  <c r="AA55" i="10"/>
  <c r="I28" i="11"/>
  <c r="I42" i="11"/>
  <c r="AA31" i="11"/>
  <c r="AA20" i="10"/>
  <c r="AA9" i="11"/>
  <c r="AA59" i="11"/>
  <c r="AA42" i="10"/>
  <c r="R31" i="11"/>
  <c r="R47" i="11"/>
  <c r="AA10" i="11"/>
  <c r="AA49" i="10"/>
  <c r="R65" i="10"/>
  <c r="R32" i="10"/>
  <c r="R22" i="10"/>
  <c r="AA21" i="10"/>
  <c r="AA20" i="11"/>
  <c r="AA30" i="11"/>
  <c r="AA26" i="10"/>
  <c r="AA41" i="11"/>
  <c r="R39" i="11"/>
  <c r="AA11" i="10"/>
  <c r="R56" i="11"/>
  <c r="R47" i="10"/>
  <c r="R30" i="11"/>
  <c r="R67" i="10"/>
  <c r="R20" i="10"/>
  <c r="R38" i="11"/>
  <c r="AA12" i="11"/>
  <c r="R52" i="11"/>
  <c r="R26" i="11"/>
  <c r="AA33" i="11"/>
  <c r="AA22" i="10"/>
  <c r="AA58" i="10"/>
  <c r="AA29" i="10"/>
  <c r="AA43" i="11"/>
  <c r="AA56" i="11"/>
  <c r="R48" i="11"/>
  <c r="I16" i="11"/>
  <c r="AA19" i="10"/>
  <c r="AA25" i="11"/>
  <c r="I36" i="11"/>
  <c r="AA46" i="10"/>
  <c r="AA57" i="11"/>
  <c r="AA39" i="10"/>
  <c r="R16" i="10"/>
  <c r="R31" i="10"/>
  <c r="AA24" i="10"/>
  <c r="R29" i="10"/>
  <c r="R8" i="11"/>
  <c r="AA44" i="10"/>
  <c r="R13" i="11"/>
  <c r="AA51" i="11"/>
  <c r="I38" i="11"/>
  <c r="R19" i="10"/>
  <c r="R25" i="11"/>
  <c r="R66" i="10"/>
  <c r="R19" i="11"/>
  <c r="AA18" i="11"/>
  <c r="R13" i="10"/>
  <c r="AA68" i="10"/>
  <c r="R57" i="10"/>
  <c r="R18" i="11"/>
  <c r="AA37" i="11"/>
  <c r="AA54" i="11"/>
  <c r="R55" i="10"/>
  <c r="AA36" i="11"/>
  <c r="R28" i="10"/>
  <c r="AA49" i="11"/>
  <c r="R48" i="10"/>
  <c r="R56" i="10"/>
  <c r="AA39" i="11"/>
  <c r="AA16" i="10"/>
  <c r="I22" i="11"/>
  <c r="AA34" i="11"/>
  <c r="R30" i="10"/>
  <c r="AA53" i="11"/>
  <c r="AA48" i="11"/>
  <c r="I35" i="11"/>
  <c r="R37" i="10"/>
  <c r="R29" i="11"/>
  <c r="R18" i="10"/>
  <c r="I20" i="11"/>
  <c r="AA35" i="10"/>
  <c r="R10" i="11"/>
  <c r="R42" i="10"/>
  <c r="R16" i="11"/>
  <c r="AA50" i="10"/>
  <c r="AA43" i="10"/>
  <c r="AA32" i="11"/>
  <c r="AA40" i="10"/>
  <c r="R51" i="10"/>
  <c r="AA13" i="11"/>
  <c r="AA27" i="10"/>
  <c r="AA53" i="10"/>
  <c r="R49" i="11"/>
  <c r="R15" i="10"/>
  <c r="R49" i="10"/>
  <c r="R28" i="11"/>
  <c r="AA12" i="10"/>
  <c r="R35" i="11"/>
  <c r="AA6" i="11"/>
  <c r="AA23" i="10"/>
  <c r="R40" i="11"/>
  <c r="AA23" i="11"/>
  <c r="R34" i="11"/>
  <c r="AA38" i="11"/>
  <c r="R35" i="10"/>
  <c r="R42" i="11"/>
  <c r="R52" i="10"/>
  <c r="AA9" i="10"/>
  <c r="AA30" i="10"/>
  <c r="R50" i="10"/>
  <c r="AA50" i="11"/>
  <c r="I15" i="11"/>
  <c r="R57" i="11"/>
  <c r="AA44" i="11"/>
  <c r="AA22" i="11"/>
  <c r="R43" i="10"/>
  <c r="R63" i="10"/>
  <c r="AA18" i="10"/>
  <c r="AA10" i="10"/>
  <c r="R10" i="10"/>
  <c r="R61" i="10"/>
  <c r="R40" i="10"/>
  <c r="R36" i="10"/>
  <c r="R27" i="11"/>
  <c r="R44" i="10"/>
  <c r="R15" i="11"/>
  <c r="I31" i="11"/>
  <c r="AA52" i="11"/>
  <c r="R53" i="11"/>
  <c r="AA37" i="10"/>
  <c r="R9" i="11"/>
  <c r="R25" i="10"/>
  <c r="R27" i="10"/>
  <c r="I54" i="10"/>
  <c r="R5" i="10"/>
  <c r="R26" i="10"/>
  <c r="I52" i="10"/>
  <c r="R12" i="10"/>
  <c r="I33" i="10"/>
  <c r="I13" i="10"/>
  <c r="R23" i="10"/>
  <c r="I60" i="10"/>
  <c r="I51" i="10"/>
  <c r="R17" i="10"/>
  <c r="I22" i="10"/>
  <c r="R46" i="10"/>
  <c r="R38" i="10"/>
  <c r="R53" i="10"/>
  <c r="I37" i="10"/>
  <c r="I12" i="10"/>
  <c r="I17" i="10"/>
  <c r="R45" i="10"/>
  <c r="I35" i="10"/>
  <c r="R6" i="10"/>
  <c r="I26" i="10"/>
  <c r="R7" i="10"/>
  <c r="I5" i="10"/>
  <c r="I19" i="10"/>
  <c r="R41" i="10"/>
  <c r="R34" i="10"/>
  <c r="I4" i="10"/>
  <c r="R64" i="10"/>
  <c r="I66" i="10"/>
  <c r="I58" i="10"/>
  <c r="I7" i="10"/>
  <c r="R11" i="10"/>
  <c r="R39" i="10"/>
  <c r="I27" i="10"/>
  <c r="R62" i="10"/>
  <c r="I16" i="10"/>
  <c r="R59" i="10"/>
  <c r="I63" i="10"/>
  <c r="I11" i="10"/>
  <c r="R68" i="10"/>
  <c r="I32" i="10"/>
  <c r="R9" i="10"/>
  <c r="I6" i="10"/>
  <c r="R33" i="10"/>
  <c r="R58" i="10"/>
  <c r="I20" i="10"/>
  <c r="R21" i="10"/>
  <c r="I23" i="10"/>
  <c r="R24" i="10"/>
  <c r="R8" i="10"/>
  <c r="I45" i="10"/>
  <c r="I25" i="10"/>
  <c r="I34" i="10"/>
  <c r="I49" i="10"/>
  <c r="I31" i="10"/>
  <c r="I47" i="10"/>
  <c r="R14" i="10"/>
  <c r="I59" i="10"/>
  <c r="I9" i="10"/>
  <c r="R54" i="10"/>
  <c r="I42" i="10"/>
  <c r="I18" i="10"/>
  <c r="I29" i="10"/>
  <c r="I43" i="10"/>
  <c r="I50" i="10"/>
  <c r="R60" i="10"/>
  <c r="I46" i="10"/>
  <c r="I41" i="10"/>
  <c r="I64" i="10"/>
  <c r="I65" i="10"/>
  <c r="I62" i="10"/>
  <c r="I30" i="10"/>
  <c r="I53" i="10"/>
  <c r="I61" i="10"/>
  <c r="I28" i="10"/>
  <c r="I40" i="10"/>
  <c r="I38" i="10"/>
  <c r="I57" i="10"/>
  <c r="I8" i="10"/>
  <c r="I48" i="10"/>
  <c r="I24" i="10"/>
  <c r="I44" i="10"/>
  <c r="I39" i="10"/>
  <c r="I21" i="10"/>
  <c r="I15" i="10"/>
  <c r="I10" i="10"/>
  <c r="I36" i="10"/>
  <c r="I56" i="10"/>
  <c r="I14" i="10"/>
  <c r="I55" i="10"/>
  <c r="AA85" i="11"/>
  <c r="I68" i="11"/>
  <c r="I70" i="10"/>
  <c r="AA71" i="10"/>
  <c r="I67" i="10"/>
  <c r="AA92" i="10"/>
  <c r="I44" i="11"/>
  <c r="I69" i="10"/>
  <c r="I59" i="11"/>
  <c r="R81" i="11"/>
  <c r="AA63" i="11"/>
  <c r="R60" i="11"/>
  <c r="R66" i="11"/>
  <c r="R75" i="11"/>
  <c r="AA61" i="11"/>
  <c r="AA86" i="11"/>
  <c r="I46" i="11"/>
  <c r="AA70" i="10"/>
  <c r="I62" i="11"/>
  <c r="I65" i="11"/>
  <c r="I63" i="11"/>
  <c r="R81" i="10"/>
  <c r="AA90" i="11"/>
  <c r="R62" i="11"/>
  <c r="I84" i="11"/>
  <c r="I77" i="10"/>
  <c r="AA89" i="11"/>
  <c r="AA81" i="10"/>
  <c r="I84" i="10"/>
  <c r="R82" i="10"/>
  <c r="I86" i="11"/>
  <c r="I76" i="11"/>
  <c r="I81" i="11"/>
  <c r="AA93" i="11"/>
  <c r="I87" i="11"/>
  <c r="AA65" i="11"/>
  <c r="I74" i="11"/>
  <c r="AA88" i="10"/>
  <c r="I90" i="11"/>
  <c r="I57" i="11"/>
  <c r="I88" i="10"/>
  <c r="AA76" i="10"/>
  <c r="R93" i="10"/>
  <c r="R71" i="10"/>
  <c r="I76" i="10"/>
  <c r="I66" i="11"/>
  <c r="I80" i="10"/>
  <c r="R83" i="10"/>
  <c r="AA90" i="10"/>
  <c r="R87" i="10"/>
  <c r="AA85" i="10"/>
  <c r="I71" i="11"/>
  <c r="R88" i="11"/>
  <c r="I89" i="10"/>
  <c r="R80" i="11"/>
  <c r="R92" i="11"/>
  <c r="AA80" i="11"/>
  <c r="I70" i="11"/>
  <c r="R78" i="11"/>
  <c r="I75" i="11"/>
  <c r="R85" i="10"/>
  <c r="AA87" i="10"/>
  <c r="R79" i="10"/>
  <c r="AA91" i="10"/>
  <c r="R76" i="10"/>
  <c r="I77" i="11"/>
  <c r="AA79" i="11"/>
  <c r="R76" i="11"/>
  <c r="R65" i="11"/>
  <c r="I81" i="10"/>
  <c r="I49" i="11"/>
  <c r="R79" i="11"/>
  <c r="I91" i="11"/>
  <c r="R83" i="11"/>
  <c r="R63" i="11"/>
  <c r="R84" i="11"/>
  <c r="AA64" i="11"/>
  <c r="R70" i="10"/>
  <c r="I67" i="11"/>
  <c r="R71" i="11"/>
  <c r="I78" i="10"/>
  <c r="AA81" i="11"/>
  <c r="I51" i="11"/>
  <c r="R74" i="11"/>
  <c r="R68" i="11"/>
  <c r="R90" i="11"/>
  <c r="R88" i="10"/>
  <c r="R93" i="11"/>
  <c r="AA76" i="11"/>
  <c r="I61" i="11"/>
  <c r="R85" i="11"/>
  <c r="AA71" i="11"/>
  <c r="AA78" i="11"/>
  <c r="R61" i="11"/>
  <c r="AA83" i="11"/>
  <c r="I83" i="10"/>
  <c r="AA73" i="10"/>
  <c r="R64" i="11"/>
  <c r="R70" i="11"/>
  <c r="I52" i="11"/>
  <c r="I75" i="10"/>
  <c r="R84" i="10"/>
  <c r="I53" i="11"/>
  <c r="I56" i="11"/>
  <c r="R89" i="10"/>
  <c r="R74" i="10"/>
  <c r="I50" i="11"/>
  <c r="AA80" i="10"/>
  <c r="I93" i="11"/>
  <c r="AA79" i="10"/>
  <c r="R72" i="11"/>
  <c r="I47" i="11"/>
  <c r="I87" i="10"/>
  <c r="I90" i="10"/>
  <c r="I92" i="10"/>
  <c r="R73" i="11"/>
  <c r="R78" i="10"/>
  <c r="R89" i="11"/>
  <c r="I60" i="11"/>
  <c r="R90" i="10"/>
  <c r="R91" i="11"/>
  <c r="AA86" i="10"/>
  <c r="R77" i="10"/>
  <c r="AA91" i="11"/>
  <c r="I82" i="10"/>
  <c r="I71" i="10"/>
  <c r="I68" i="10"/>
  <c r="AA75" i="10"/>
  <c r="AA73" i="11"/>
  <c r="AA78" i="10"/>
  <c r="R87" i="11"/>
  <c r="AA72" i="11"/>
  <c r="R75" i="10"/>
  <c r="I83" i="11"/>
  <c r="AA77" i="10"/>
  <c r="I48" i="11"/>
  <c r="I88" i="11"/>
  <c r="I69" i="11"/>
  <c r="I93" i="10"/>
  <c r="R67" i="11"/>
  <c r="R91" i="10"/>
  <c r="I55" i="11"/>
  <c r="I58" i="11"/>
  <c r="AA74" i="10"/>
  <c r="R69" i="11"/>
  <c r="R86" i="10"/>
  <c r="R72" i="10"/>
  <c r="AA72" i="10"/>
  <c r="I79" i="11"/>
  <c r="R69" i="10"/>
  <c r="AA92" i="11"/>
  <c r="AA82" i="11"/>
  <c r="R82" i="11"/>
  <c r="R92" i="10"/>
  <c r="R77" i="11"/>
  <c r="I72" i="11"/>
  <c r="I78" i="11"/>
  <c r="I45" i="11"/>
  <c r="I72" i="10"/>
  <c r="R73" i="10"/>
  <c r="AA84" i="11"/>
  <c r="AA66" i="11"/>
  <c r="AA88" i="11"/>
  <c r="I74" i="10"/>
  <c r="AA93" i="10"/>
  <c r="I79" i="10"/>
  <c r="I89" i="11"/>
  <c r="R80" i="10"/>
  <c r="I73" i="10"/>
  <c r="AA62" i="11"/>
  <c r="I80" i="11"/>
  <c r="AA82" i="10"/>
  <c r="AA69" i="10"/>
  <c r="AA83" i="10"/>
  <c r="AA87" i="11"/>
  <c r="AA75" i="11"/>
  <c r="AA69" i="11"/>
  <c r="I85" i="10"/>
  <c r="I82" i="11"/>
  <c r="AA74" i="11"/>
  <c r="I73" i="11"/>
  <c r="AA67" i="11"/>
  <c r="AA70" i="11"/>
  <c r="I54" i="11"/>
  <c r="I91" i="10"/>
  <c r="I64" i="11"/>
  <c r="R86" i="11"/>
  <c r="I43" i="11"/>
  <c r="AA84" i="10"/>
  <c r="I92" i="11"/>
  <c r="AA89" i="10"/>
  <c r="AA68" i="11"/>
  <c r="AA60" i="11"/>
  <c r="AA77" i="11"/>
  <c r="I86" i="10"/>
  <c r="I85" i="11"/>
  <c r="U15" i="11"/>
  <c r="C15" i="11"/>
  <c r="U15" i="10"/>
  <c r="AI13" i="44"/>
  <c r="C15" i="10"/>
  <c r="L15" i="10"/>
  <c r="L15" i="11"/>
  <c r="AP33" i="27" l="1"/>
  <c r="AM34" i="27"/>
  <c r="AN34" i="27" s="1"/>
  <c r="AO34" i="27" s="1" a="1"/>
  <c r="AP34" i="27" s="1"/>
  <c r="AL35" i="27"/>
  <c r="P31" i="27"/>
  <c r="R31" i="27" s="1"/>
  <c r="O32" i="27"/>
  <c r="AI16" i="44"/>
  <c r="AI14" i="44"/>
  <c r="AI15" i="44"/>
  <c r="AO34" i="27" l="1"/>
  <c r="P32" i="27"/>
  <c r="R32" i="27" s="1"/>
  <c r="O33" i="27"/>
  <c r="AL36" i="27"/>
  <c r="AM35" i="27"/>
  <c r="AN35" i="27" s="1"/>
  <c r="AO35" i="27" s="1" a="1"/>
  <c r="AP35" i="27" s="1"/>
  <c r="AI17" i="44"/>
  <c r="AI18" i="44"/>
  <c r="I3" i="44" l="1" a="1"/>
  <c r="AO35" i="27"/>
  <c r="AM36" i="27"/>
  <c r="AN36" i="27" s="1"/>
  <c r="AO36" i="27" s="1" a="1"/>
  <c r="AP36" i="27" s="1"/>
  <c r="AL37" i="27"/>
  <c r="P33" i="27"/>
  <c r="R33" i="27" s="1"/>
  <c r="O34" i="27"/>
  <c r="I4" i="44" l="1"/>
  <c r="I3" i="44"/>
  <c r="AO36" i="27"/>
  <c r="O35" i="27"/>
  <c r="P34" i="27"/>
  <c r="R34" i="27" s="1"/>
  <c r="AL38" i="27"/>
  <c r="AM37" i="27"/>
  <c r="AN37" i="27" s="1"/>
  <c r="AO37" i="27" s="1" a="1"/>
  <c r="AP37" i="27" s="1"/>
  <c r="L3" i="44" l="1"/>
  <c r="S3" i="44" s="1"/>
  <c r="AI19" i="44"/>
  <c r="L4" i="44"/>
  <c r="S4" i="44" s="1"/>
  <c r="AI20" i="44"/>
  <c r="AO37" i="27"/>
  <c r="AM38" i="27"/>
  <c r="AN38" i="27" s="1"/>
  <c r="AO38" i="27" s="1" a="1"/>
  <c r="AO38" i="27" s="1"/>
  <c r="AL39" i="27"/>
  <c r="P35" i="27"/>
  <c r="R35" i="27" s="1"/>
  <c r="O36" i="27"/>
  <c r="U3" i="44" a="1"/>
  <c r="V79" i="44" l="1"/>
  <c r="V75" i="44"/>
  <c r="V71" i="44"/>
  <c r="V67" i="44"/>
  <c r="V63" i="44"/>
  <c r="V59" i="44"/>
  <c r="V55" i="44"/>
  <c r="V51" i="44"/>
  <c r="V47" i="44"/>
  <c r="V43" i="44"/>
  <c r="V39" i="44"/>
  <c r="V35" i="44"/>
  <c r="V31" i="44"/>
  <c r="V27" i="44"/>
  <c r="V23" i="44"/>
  <c r="V19" i="44"/>
  <c r="V15" i="44"/>
  <c r="V11" i="44"/>
  <c r="V7" i="44"/>
  <c r="V3" i="44"/>
  <c r="V76" i="44"/>
  <c r="U72" i="44"/>
  <c r="U67" i="44"/>
  <c r="V62" i="44"/>
  <c r="U58" i="44"/>
  <c r="V53" i="44"/>
  <c r="U49" i="44"/>
  <c r="V44" i="44"/>
  <c r="U40" i="44"/>
  <c r="U35" i="44"/>
  <c r="V30" i="44"/>
  <c r="U26" i="44"/>
  <c r="V21" i="44"/>
  <c r="U17" i="44"/>
  <c r="V12" i="44"/>
  <c r="U8" i="44"/>
  <c r="U3" i="44"/>
  <c r="U62" i="44"/>
  <c r="V48" i="44"/>
  <c r="U39" i="44"/>
  <c r="U30" i="44"/>
  <c r="V25" i="44"/>
  <c r="V16" i="44"/>
  <c r="U7" i="44"/>
  <c r="U75" i="44"/>
  <c r="V70" i="44"/>
  <c r="U66" i="44"/>
  <c r="V61" i="44"/>
  <c r="U57" i="44"/>
  <c r="V52" i="44"/>
  <c r="U48" i="44"/>
  <c r="U43" i="44"/>
  <c r="V38" i="44"/>
  <c r="U34" i="44"/>
  <c r="U25" i="44"/>
  <c r="U16" i="44"/>
  <c r="U11" i="44"/>
  <c r="V6" i="44"/>
  <c r="U61" i="44"/>
  <c r="U76" i="44"/>
  <c r="U71" i="44"/>
  <c r="V66" i="44"/>
  <c r="V57" i="44"/>
  <c r="U53" i="44"/>
  <c r="U44" i="44"/>
  <c r="V34" i="44"/>
  <c r="U21" i="44"/>
  <c r="U12" i="44"/>
  <c r="V20" i="44"/>
  <c r="U79" i="44"/>
  <c r="V74" i="44"/>
  <c r="V65" i="44"/>
  <c r="U52" i="44"/>
  <c r="U38" i="44"/>
  <c r="U29" i="44"/>
  <c r="U20" i="44"/>
  <c r="U6" i="44"/>
  <c r="V29" i="44"/>
  <c r="U70" i="44"/>
  <c r="V56" i="44"/>
  <c r="U47" i="44"/>
  <c r="V42" i="44"/>
  <c r="V33" i="44"/>
  <c r="V24" i="44"/>
  <c r="V10" i="44"/>
  <c r="V72" i="44"/>
  <c r="U63" i="44"/>
  <c r="U54" i="44"/>
  <c r="U45" i="44"/>
  <c r="U36" i="44"/>
  <c r="V26" i="44"/>
  <c r="V17" i="44"/>
  <c r="U9" i="44"/>
  <c r="V78" i="44"/>
  <c r="V69" i="44"/>
  <c r="V60" i="44"/>
  <c r="U51" i="44"/>
  <c r="U42" i="44"/>
  <c r="U33" i="44"/>
  <c r="U24" i="44"/>
  <c r="U15" i="44"/>
  <c r="V8" i="44"/>
  <c r="U60" i="44"/>
  <c r="V50" i="44"/>
  <c r="V41" i="44"/>
  <c r="U23" i="44"/>
  <c r="V14" i="44"/>
  <c r="V5" i="44"/>
  <c r="V68" i="44"/>
  <c r="U59" i="44"/>
  <c r="U50" i="44"/>
  <c r="U41" i="44"/>
  <c r="U32" i="44"/>
  <c r="U14" i="44"/>
  <c r="U5" i="44"/>
  <c r="U68" i="44"/>
  <c r="V58" i="44"/>
  <c r="V49" i="44"/>
  <c r="V40" i="44"/>
  <c r="U31" i="44"/>
  <c r="U22" i="44"/>
  <c r="V13" i="44"/>
  <c r="V4" i="44"/>
  <c r="V37" i="44"/>
  <c r="U13" i="44"/>
  <c r="V73" i="44"/>
  <c r="V64" i="44"/>
  <c r="U55" i="44"/>
  <c r="U46" i="44"/>
  <c r="U37" i="44"/>
  <c r="U28" i="44"/>
  <c r="V18" i="44"/>
  <c r="U10" i="44"/>
  <c r="V36" i="44"/>
  <c r="V9" i="44"/>
  <c r="U69" i="44"/>
  <c r="V32" i="44"/>
  <c r="V77" i="44"/>
  <c r="V22" i="44"/>
  <c r="U77" i="44"/>
  <c r="V28" i="44"/>
  <c r="U73" i="44"/>
  <c r="V45" i="44"/>
  <c r="U18" i="44"/>
  <c r="U78" i="44"/>
  <c r="U74" i="44"/>
  <c r="U65" i="44"/>
  <c r="U56" i="44"/>
  <c r="V46" i="44"/>
  <c r="U19" i="44"/>
  <c r="U4" i="44"/>
  <c r="U64" i="44"/>
  <c r="U27" i="44"/>
  <c r="V54" i="44"/>
  <c r="F38" i="39"/>
  <c r="F69" i="39"/>
  <c r="E62" i="39"/>
  <c r="F65" i="39"/>
  <c r="F83" i="39"/>
  <c r="F57" i="39"/>
  <c r="E89" i="39"/>
  <c r="F24" i="39"/>
  <c r="F25" i="39"/>
  <c r="E68" i="39"/>
  <c r="F53" i="39"/>
  <c r="E87" i="39"/>
  <c r="E13" i="39"/>
  <c r="E77" i="39"/>
  <c r="E15" i="39"/>
  <c r="F41" i="39"/>
  <c r="F78" i="39"/>
  <c r="E30" i="39"/>
  <c r="F13" i="39"/>
  <c r="E43" i="39"/>
  <c r="E45" i="39"/>
  <c r="E50" i="39"/>
  <c r="F19" i="39"/>
  <c r="F70" i="39"/>
  <c r="E16" i="39"/>
  <c r="F61" i="39"/>
  <c r="E41" i="39"/>
  <c r="F79" i="39"/>
  <c r="F72" i="39"/>
  <c r="F67" i="39"/>
  <c r="E31" i="39"/>
  <c r="F60" i="39"/>
  <c r="F49" i="39"/>
  <c r="E42" i="39"/>
  <c r="F68" i="39"/>
  <c r="E36" i="39"/>
  <c r="E75" i="39"/>
  <c r="E21" i="39"/>
  <c r="E74" i="39"/>
  <c r="E46" i="39"/>
  <c r="E64" i="39"/>
  <c r="E76" i="39"/>
  <c r="E35" i="39"/>
  <c r="E26" i="39"/>
  <c r="F29" i="39"/>
  <c r="F73" i="39"/>
  <c r="E18" i="39"/>
  <c r="F21" i="39"/>
  <c r="F62" i="39"/>
  <c r="E39" i="39"/>
  <c r="E17" i="39"/>
  <c r="E32" i="39"/>
  <c r="F50" i="39"/>
  <c r="E72" i="39"/>
  <c r="E80" i="39"/>
  <c r="F86" i="39"/>
  <c r="E34" i="39"/>
  <c r="E69" i="39"/>
  <c r="E40" i="39"/>
  <c r="F56" i="39"/>
  <c r="F28" i="39"/>
  <c r="F84" i="39"/>
  <c r="E52" i="39"/>
  <c r="F76" i="39"/>
  <c r="E86" i="39"/>
  <c r="F51" i="39"/>
  <c r="E51" i="39"/>
  <c r="F87" i="39"/>
  <c r="F32" i="39"/>
  <c r="F40" i="39"/>
  <c r="E83" i="39"/>
  <c r="E85" i="39"/>
  <c r="F81" i="39"/>
  <c r="F17" i="39"/>
  <c r="F71" i="39"/>
  <c r="F55" i="39"/>
  <c r="F85" i="39"/>
  <c r="E60" i="39"/>
  <c r="F30" i="39"/>
  <c r="F64" i="39"/>
  <c r="F66" i="39"/>
  <c r="F43" i="39"/>
  <c r="E24" i="39"/>
  <c r="E78" i="39"/>
  <c r="F89" i="39"/>
  <c r="F34" i="39"/>
  <c r="E49" i="39"/>
  <c r="F44" i="39"/>
  <c r="E88" i="39"/>
  <c r="E53" i="39"/>
  <c r="E66" i="39"/>
  <c r="E55" i="39"/>
  <c r="F15" i="39"/>
  <c r="F26" i="39"/>
  <c r="F48" i="39"/>
  <c r="E67" i="39"/>
  <c r="E48" i="39"/>
  <c r="E73" i="39"/>
  <c r="E20" i="39"/>
  <c r="F45" i="39"/>
  <c r="F35" i="39"/>
  <c r="F23" i="39"/>
  <c r="E56" i="39"/>
  <c r="E82" i="39"/>
  <c r="F58" i="39"/>
  <c r="E47" i="39"/>
  <c r="F82" i="39"/>
  <c r="E54" i="39"/>
  <c r="F20" i="39"/>
  <c r="F42" i="39"/>
  <c r="E25" i="39"/>
  <c r="F31" i="39"/>
  <c r="E23" i="39"/>
  <c r="F59" i="39"/>
  <c r="E65" i="39"/>
  <c r="E37" i="39"/>
  <c r="F16" i="39"/>
  <c r="E61" i="39"/>
  <c r="F27" i="39"/>
  <c r="E14" i="39"/>
  <c r="F36" i="39"/>
  <c r="E57" i="39"/>
  <c r="E71" i="39"/>
  <c r="F80" i="39"/>
  <c r="E38" i="39"/>
  <c r="F77" i="39"/>
  <c r="E44" i="39"/>
  <c r="E63" i="39"/>
  <c r="F74" i="39"/>
  <c r="F54" i="39"/>
  <c r="E58" i="39"/>
  <c r="E28" i="39"/>
  <c r="F47" i="39"/>
  <c r="E70" i="39"/>
  <c r="F75" i="39"/>
  <c r="E22" i="39"/>
  <c r="F37" i="39"/>
  <c r="F22" i="39"/>
  <c r="E27" i="39"/>
  <c r="F39" i="39"/>
  <c r="E79" i="39"/>
  <c r="F14" i="39"/>
  <c r="F88" i="39"/>
  <c r="E59" i="39"/>
  <c r="F63" i="39"/>
  <c r="E19" i="39"/>
  <c r="F52" i="39"/>
  <c r="E81" i="39"/>
  <c r="F18" i="39"/>
  <c r="E84" i="39"/>
  <c r="F33" i="39"/>
  <c r="E33" i="39"/>
  <c r="F46" i="39"/>
  <c r="E29" i="39"/>
  <c r="AP38" i="27"/>
  <c r="P36" i="27"/>
  <c r="R36" i="27" s="1"/>
  <c r="O37" i="27"/>
  <c r="AM39" i="27"/>
  <c r="AN39" i="27" s="1"/>
  <c r="AO39" i="27" s="1" a="1"/>
  <c r="AO39" i="27" s="1"/>
  <c r="AL40" i="27"/>
  <c r="C50" i="48" l="1"/>
  <c r="B50" i="48"/>
  <c r="B25" i="48"/>
  <c r="C25" i="48"/>
  <c r="B35" i="48"/>
  <c r="C35" i="48"/>
  <c r="B13" i="48"/>
  <c r="C13" i="48"/>
  <c r="C34" i="48"/>
  <c r="B34" i="48"/>
  <c r="B28" i="48"/>
  <c r="C28" i="48"/>
  <c r="B43" i="48"/>
  <c r="C43" i="48"/>
  <c r="B44" i="48"/>
  <c r="C44" i="48"/>
  <c r="B40" i="48"/>
  <c r="C40" i="48"/>
  <c r="B19" i="48"/>
  <c r="C19" i="48"/>
  <c r="B22" i="48"/>
  <c r="C22" i="48"/>
  <c r="B24" i="48"/>
  <c r="C24" i="48"/>
  <c r="C18" i="48"/>
  <c r="B18" i="48"/>
  <c r="B15" i="48"/>
  <c r="C15" i="48"/>
  <c r="B49" i="48"/>
  <c r="C49" i="48"/>
  <c r="B33" i="48"/>
  <c r="C33" i="48"/>
  <c r="B29" i="48"/>
  <c r="C29" i="48"/>
  <c r="B21" i="48"/>
  <c r="C21" i="48"/>
  <c r="B16" i="48"/>
  <c r="C16" i="48"/>
  <c r="B17" i="48"/>
  <c r="C17" i="48"/>
  <c r="B27" i="48"/>
  <c r="C27" i="48"/>
  <c r="B37" i="48"/>
  <c r="C37" i="48"/>
  <c r="B14" i="48"/>
  <c r="C14" i="48"/>
  <c r="C42" i="48"/>
  <c r="B42" i="48"/>
  <c r="B38" i="48"/>
  <c r="C38" i="48"/>
  <c r="B30" i="48"/>
  <c r="C30" i="48"/>
  <c r="B48" i="48"/>
  <c r="C48" i="48"/>
  <c r="B46" i="48"/>
  <c r="C46" i="48"/>
  <c r="C23" i="48"/>
  <c r="B23" i="48"/>
  <c r="B32" i="48"/>
  <c r="C32" i="48"/>
  <c r="B51" i="48"/>
  <c r="C51" i="48"/>
  <c r="B45" i="48"/>
  <c r="C45" i="48"/>
  <c r="B47" i="48"/>
  <c r="C47" i="48"/>
  <c r="C26" i="48"/>
  <c r="B26" i="48"/>
  <c r="C36" i="48"/>
  <c r="B36" i="48"/>
  <c r="B31" i="48"/>
  <c r="C31" i="48"/>
  <c r="B41" i="48"/>
  <c r="C41" i="48"/>
  <c r="C20" i="48"/>
  <c r="B20" i="48"/>
  <c r="B39" i="48"/>
  <c r="C39" i="48"/>
  <c r="B12" i="48"/>
  <c r="C12" i="48"/>
  <c r="F3" i="39"/>
  <c r="AP39" i="27"/>
  <c r="AM40" i="27"/>
  <c r="AN40" i="27" s="1"/>
  <c r="AO40" i="27" s="1" a="1"/>
  <c r="AO40" i="27" s="1"/>
  <c r="AL41" i="27"/>
  <c r="P37" i="27"/>
  <c r="R37" i="27" s="1"/>
  <c r="O38" i="27"/>
  <c r="F9" i="39"/>
  <c r="P38" i="27" l="1"/>
  <c r="R38" i="27" s="1"/>
  <c r="O39" i="27"/>
  <c r="AP40" i="27"/>
  <c r="AM41" i="27"/>
  <c r="AN41" i="27" s="1"/>
  <c r="AO41" i="27" s="1" a="1"/>
  <c r="AO41" i="27" s="1"/>
  <c r="AL42" i="27"/>
  <c r="AP41" i="27" l="1"/>
  <c r="AM42" i="27"/>
  <c r="AN42" i="27" s="1"/>
  <c r="AO42" i="27" s="1" a="1"/>
  <c r="AP42" i="27" s="1"/>
  <c r="AL43" i="27"/>
  <c r="P39" i="27"/>
  <c r="R39" i="27" s="1"/>
  <c r="O40" i="27"/>
  <c r="AO42" i="27" l="1"/>
  <c r="P40" i="27"/>
  <c r="R40" i="27" s="1"/>
  <c r="O41" i="27"/>
  <c r="AM43" i="27"/>
  <c r="AN43" i="27" s="1"/>
  <c r="AO43" i="27" s="1" a="1"/>
  <c r="AP43" i="27" s="1"/>
  <c r="AL44" i="27"/>
  <c r="AM44" i="27" l="1"/>
  <c r="AN44" i="27" s="1"/>
  <c r="AO44" i="27" s="1" a="1"/>
  <c r="AO44" i="27" s="1"/>
  <c r="AL45" i="27"/>
  <c r="AO43" i="27"/>
  <c r="P41" i="27"/>
  <c r="R41" i="27" s="1"/>
  <c r="O42" i="27"/>
  <c r="AR31" i="27" a="1"/>
  <c r="AP44" i="27" l="1"/>
  <c r="AR31" i="27"/>
  <c r="AR47" i="27"/>
  <c r="AR38" i="27"/>
  <c r="AR52" i="27"/>
  <c r="AR50" i="27"/>
  <c r="AR36" i="27"/>
  <c r="AR56" i="27"/>
  <c r="AR33" i="27"/>
  <c r="AR63" i="27"/>
  <c r="AR61" i="27"/>
  <c r="AR45" i="27"/>
  <c r="AR39" i="27"/>
  <c r="AR55" i="27"/>
  <c r="AR37" i="27"/>
  <c r="AR34" i="27"/>
  <c r="AR42" i="27"/>
  <c r="AR57" i="27"/>
  <c r="AR48" i="27"/>
  <c r="AR58" i="27"/>
  <c r="AR51" i="27"/>
  <c r="AR49" i="27"/>
  <c r="AR54" i="27"/>
  <c r="AR53" i="27"/>
  <c r="AR43" i="27"/>
  <c r="AR40" i="27"/>
  <c r="AR64" i="27"/>
  <c r="AR41" i="27"/>
  <c r="AR46" i="27"/>
  <c r="AR60" i="27"/>
  <c r="AR35" i="27"/>
  <c r="AR59" i="27"/>
  <c r="AR32" i="27"/>
  <c r="AR62" i="27"/>
  <c r="AR44" i="27"/>
  <c r="P42" i="27"/>
  <c r="R42" i="27" s="1"/>
  <c r="O43" i="27"/>
  <c r="AM45" i="27"/>
  <c r="AL46" i="27"/>
  <c r="I32" i="27"/>
  <c r="L32" i="27" s="1"/>
  <c r="S32" i="27" s="1"/>
  <c r="I40" i="27"/>
  <c r="L40" i="27" s="1"/>
  <c r="S40" i="27" s="1"/>
  <c r="I48" i="27"/>
  <c r="L48" i="27" s="1"/>
  <c r="I33" i="27"/>
  <c r="L33" i="27" s="1"/>
  <c r="I41" i="27"/>
  <c r="L41" i="27" s="1"/>
  <c r="S41" i="27" s="1"/>
  <c r="I49" i="27"/>
  <c r="L49" i="27" s="1"/>
  <c r="I28" i="27"/>
  <c r="L28" i="27" s="1"/>
  <c r="I44" i="27"/>
  <c r="L44" i="27" s="1"/>
  <c r="I37" i="27"/>
  <c r="L37" i="27" s="1"/>
  <c r="S37" i="27" s="1"/>
  <c r="I53" i="27"/>
  <c r="L53" i="27" s="1"/>
  <c r="I38" i="27"/>
  <c r="L38" i="27" s="1"/>
  <c r="S38" i="27" s="1"/>
  <c r="I46" i="27"/>
  <c r="L46" i="27" s="1"/>
  <c r="I54" i="27"/>
  <c r="L54" i="27" s="1"/>
  <c r="I31" i="27"/>
  <c r="L31" i="27" s="1"/>
  <c r="S31" i="27" s="1"/>
  <c r="I39" i="27"/>
  <c r="L39" i="27" s="1"/>
  <c r="S39" i="27" s="1"/>
  <c r="I47" i="27"/>
  <c r="L47" i="27" s="1"/>
  <c r="I55" i="27"/>
  <c r="L55" i="27" s="1"/>
  <c r="I26" i="27"/>
  <c r="L26" i="27" s="1"/>
  <c r="I34" i="27"/>
  <c r="L34" i="27" s="1"/>
  <c r="I42" i="27"/>
  <c r="L42" i="27" s="1"/>
  <c r="I50" i="27"/>
  <c r="L50" i="27" s="1"/>
  <c r="I36" i="27"/>
  <c r="L36" i="27" s="1"/>
  <c r="I29" i="27"/>
  <c r="L29" i="27" s="1"/>
  <c r="S29" i="27" s="1"/>
  <c r="I45" i="27"/>
  <c r="L45" i="27" s="1"/>
  <c r="I30" i="27"/>
  <c r="L30" i="27" s="1"/>
  <c r="S30" i="27" s="1"/>
  <c r="I27" i="27"/>
  <c r="L27" i="27" s="1"/>
  <c r="S27" i="27" s="1"/>
  <c r="I35" i="27"/>
  <c r="L35" i="27" s="1"/>
  <c r="I43" i="27"/>
  <c r="L43" i="27" s="1"/>
  <c r="I51" i="27"/>
  <c r="L51" i="27" s="1"/>
  <c r="I52" i="27"/>
  <c r="L52" i="27" s="1"/>
  <c r="S26" i="27" l="1"/>
  <c r="S28" i="27"/>
  <c r="S33" i="27"/>
  <c r="S34" i="27"/>
  <c r="S36" i="27"/>
  <c r="S35" i="27"/>
  <c r="S42" i="27"/>
  <c r="AO45" i="27" a="1"/>
  <c r="AN45" i="27"/>
  <c r="P43" i="27"/>
  <c r="R43" i="27" s="1"/>
  <c r="O44" i="27"/>
  <c r="AM46" i="27"/>
  <c r="AL47" i="27"/>
  <c r="P44" i="27" l="1"/>
  <c r="O45" i="27"/>
  <c r="AO45" i="27"/>
  <c r="AP45" i="27"/>
  <c r="AO46" i="27" a="1"/>
  <c r="AN46" i="27"/>
  <c r="AL48" i="27"/>
  <c r="AM47" i="27"/>
  <c r="S43" i="27"/>
  <c r="AO46" i="27" l="1"/>
  <c r="AP46" i="27"/>
  <c r="AN47" i="27"/>
  <c r="AO47" i="27" a="1"/>
  <c r="P45" i="27"/>
  <c r="O46" i="27"/>
  <c r="AM48" i="27"/>
  <c r="AL49" i="27"/>
  <c r="R44" i="27"/>
  <c r="S44" i="27"/>
  <c r="AM49" i="27" l="1"/>
  <c r="AL50" i="27"/>
  <c r="P46" i="27"/>
  <c r="O47" i="27"/>
  <c r="AN48" i="27"/>
  <c r="AO48" i="27" a="1"/>
  <c r="R45" i="27"/>
  <c r="S45" i="27"/>
  <c r="AO47" i="27"/>
  <c r="AP47" i="27"/>
  <c r="R46" i="27" l="1"/>
  <c r="S46" i="27"/>
  <c r="AO48" i="27"/>
  <c r="AP48" i="27"/>
  <c r="P47" i="27"/>
  <c r="O48" i="27"/>
  <c r="AL51" i="27"/>
  <c r="AM50" i="27"/>
  <c r="AN49" i="27"/>
  <c r="AO49" i="27" a="1"/>
  <c r="O49" i="27" l="1"/>
  <c r="P48" i="27"/>
  <c r="AN50" i="27"/>
  <c r="AO50" i="27" a="1"/>
  <c r="AO49" i="27"/>
  <c r="AP49" i="27"/>
  <c r="AM51" i="27"/>
  <c r="AL52" i="27"/>
  <c r="R47" i="27"/>
  <c r="S47" i="27"/>
  <c r="AO50" i="27" l="1"/>
  <c r="AP50" i="27"/>
  <c r="AO51" i="27" a="1"/>
  <c r="AN51" i="27"/>
  <c r="R48" i="27"/>
  <c r="S48" i="27"/>
  <c r="AM52" i="27"/>
  <c r="AL53" i="27"/>
  <c r="P49" i="27"/>
  <c r="O50" i="27"/>
  <c r="AN52" i="27" l="1"/>
  <c r="AO52" i="27" a="1"/>
  <c r="AP51" i="27"/>
  <c r="AO51" i="27"/>
  <c r="O51" i="27"/>
  <c r="P50" i="27"/>
  <c r="AL54" i="27"/>
  <c r="AM53" i="27"/>
  <c r="R49" i="27"/>
  <c r="S49" i="27"/>
  <c r="AM54" i="27" l="1"/>
  <c r="AL55" i="27"/>
  <c r="O52" i="27"/>
  <c r="P51" i="27"/>
  <c r="AO53" i="27" a="1"/>
  <c r="AN53" i="27"/>
  <c r="AO52" i="27"/>
  <c r="AP52" i="27"/>
  <c r="S50" i="27"/>
  <c r="R50" i="27"/>
  <c r="AO53" i="27" l="1"/>
  <c r="AP53" i="27"/>
  <c r="P52" i="27"/>
  <c r="O53" i="27"/>
  <c r="AM55" i="27"/>
  <c r="AL56" i="27"/>
  <c r="S51" i="27"/>
  <c r="R51" i="27"/>
  <c r="AN54" i="27"/>
  <c r="AO54" i="27" a="1"/>
  <c r="AO55" i="27" l="1" a="1"/>
  <c r="AN55" i="27"/>
  <c r="R52" i="27"/>
  <c r="S52" i="27"/>
  <c r="AP54" i="27"/>
  <c r="AO54" i="27"/>
  <c r="AM56" i="27"/>
  <c r="AL57" i="27"/>
  <c r="P53" i="27"/>
  <c r="O54" i="27"/>
  <c r="AO56" i="27" l="1" a="1"/>
  <c r="AN56" i="27"/>
  <c r="AM57" i="27"/>
  <c r="AL58" i="27"/>
  <c r="O55" i="27"/>
  <c r="P54" i="27"/>
  <c r="S53" i="27"/>
  <c r="R53" i="27"/>
  <c r="AO55" i="27"/>
  <c r="AP55" i="27"/>
  <c r="R54" i="27" l="1"/>
  <c r="S54" i="27"/>
  <c r="AN57" i="27"/>
  <c r="AO57" i="27" a="1"/>
  <c r="AM58" i="27"/>
  <c r="AL59" i="27"/>
  <c r="P55" i="27"/>
  <c r="O56" i="27"/>
  <c r="AO56" i="27"/>
  <c r="AP56" i="27"/>
  <c r="P56" i="27" l="1"/>
  <c r="O57" i="27"/>
  <c r="AM59" i="27"/>
  <c r="AL60" i="27"/>
  <c r="R55" i="27"/>
  <c r="S55" i="27"/>
  <c r="AN58" i="27"/>
  <c r="AO58" i="27" a="1"/>
  <c r="AO57" i="27"/>
  <c r="AP57" i="27"/>
  <c r="AP58" i="27" l="1"/>
  <c r="AO58" i="27"/>
  <c r="AN59" i="27"/>
  <c r="AO59" i="27" a="1"/>
  <c r="P57" i="27"/>
  <c r="O58" i="27"/>
  <c r="AM60" i="27"/>
  <c r="AL61" i="27"/>
  <c r="R56" i="27"/>
  <c r="S56" i="27"/>
  <c r="AL62" i="27" l="1"/>
  <c r="AM61" i="27"/>
  <c r="AN61" i="27" s="1"/>
  <c r="P58" i="27"/>
  <c r="O59" i="27"/>
  <c r="R57" i="27"/>
  <c r="S57" i="27"/>
  <c r="AN60" i="27"/>
  <c r="AO60" i="27" a="1"/>
  <c r="AP59" i="27"/>
  <c r="AO59" i="27"/>
  <c r="R58" i="27" l="1"/>
  <c r="S58" i="27"/>
  <c r="AO60" i="27"/>
  <c r="AP60" i="27"/>
  <c r="P59" i="27"/>
  <c r="O60" i="27"/>
  <c r="AL63" i="27"/>
  <c r="AM62" i="27"/>
  <c r="AN62" i="27" s="1"/>
  <c r="AM63" i="27" l="1"/>
  <c r="AL64" i="27"/>
  <c r="P60" i="27"/>
  <c r="O61" i="27"/>
  <c r="S59" i="27"/>
  <c r="R59" i="27"/>
  <c r="S60" i="27" l="1"/>
  <c r="R60" i="27"/>
  <c r="AM64" i="27"/>
  <c r="AL65" i="27"/>
  <c r="P61" i="27"/>
  <c r="O62" i="27"/>
  <c r="AN63" i="27"/>
  <c r="AO63" i="27" a="1"/>
  <c r="AM65" i="27" l="1"/>
  <c r="AL66" i="27"/>
  <c r="AO64" i="27" a="1"/>
  <c r="AN64" i="27"/>
  <c r="P62" i="27"/>
  <c r="O63" i="27"/>
  <c r="AP63" i="27"/>
  <c r="AO63" i="27"/>
  <c r="R61" i="27"/>
  <c r="S61" i="27"/>
  <c r="AP64" i="27" l="1"/>
  <c r="AO64" i="27"/>
  <c r="R62" i="27"/>
  <c r="S62" i="27"/>
  <c r="AL67" i="27"/>
  <c r="AM66" i="27"/>
  <c r="P63" i="27"/>
  <c r="O64" i="27"/>
  <c r="AN65" i="27"/>
  <c r="AO65" i="27" a="1"/>
  <c r="R63" i="27" l="1"/>
  <c r="S63" i="27"/>
  <c r="AN66" i="27"/>
  <c r="AO66" i="27" a="1"/>
  <c r="P64" i="27"/>
  <c r="O65" i="27"/>
  <c r="AM67" i="27"/>
  <c r="AL68" i="27"/>
  <c r="AP65" i="27"/>
  <c r="AO65" i="27"/>
  <c r="AL69" i="27" l="1"/>
  <c r="AM68" i="27"/>
  <c r="P65" i="27"/>
  <c r="O66" i="27"/>
  <c r="AP66" i="27"/>
  <c r="AO66" i="27"/>
  <c r="AO67" i="27" a="1"/>
  <c r="AN67" i="27"/>
  <c r="S64" i="27"/>
  <c r="R64" i="27"/>
  <c r="R65" i="27" l="1"/>
  <c r="S65" i="27"/>
  <c r="P66" i="27"/>
  <c r="O67" i="27"/>
  <c r="P67" i="27" s="1"/>
  <c r="AO68" i="27" a="1"/>
  <c r="AN68" i="27"/>
  <c r="AO67" i="27"/>
  <c r="AP67" i="27"/>
  <c r="AM69" i="27"/>
  <c r="AL70" i="27"/>
  <c r="S67" i="27" l="1"/>
  <c r="R67" i="27"/>
  <c r="AL71" i="27"/>
  <c r="AM70" i="27"/>
  <c r="AP68" i="27"/>
  <c r="AO68" i="27"/>
  <c r="S66" i="27"/>
  <c r="R66" i="27"/>
  <c r="AN69" i="27"/>
  <c r="AO69" i="27" a="1"/>
  <c r="AN70" i="27" l="1"/>
  <c r="AO70" i="27" a="1"/>
  <c r="AL72" i="27"/>
  <c r="AM72" i="27" s="1"/>
  <c r="AM71" i="27"/>
  <c r="AP69" i="27"/>
  <c r="AO69" i="27"/>
  <c r="AO72" i="27" l="1" a="1"/>
  <c r="AN72" i="27"/>
  <c r="AO70" i="27"/>
  <c r="AP70" i="27"/>
  <c r="AN71" i="27"/>
  <c r="AO71" i="27" a="1"/>
  <c r="AP71" i="27" l="1"/>
  <c r="AO71" i="27"/>
  <c r="AO72" i="27"/>
  <c r="AP72" i="27"/>
  <c r="AI7" i="27" a="1"/>
  <c r="AI8" i="27" l="1"/>
  <c r="AI7" i="27"/>
  <c r="AI9" i="27"/>
  <c r="AI13" i="27"/>
  <c r="I3" i="27" l="1" a="1"/>
  <c r="AI16" i="27"/>
  <c r="U3" i="27" a="1"/>
  <c r="AI15" i="27"/>
  <c r="AI14" i="27"/>
  <c r="U7" i="27" l="1"/>
  <c r="B17" i="39" s="1"/>
  <c r="U66" i="27"/>
  <c r="B76" i="39" s="1"/>
  <c r="U28" i="27"/>
  <c r="B38" i="39" s="1"/>
  <c r="V7" i="27"/>
  <c r="C17" i="39" s="1"/>
  <c r="U24" i="27"/>
  <c r="B34" i="39" s="1"/>
  <c r="V23" i="27"/>
  <c r="C33" i="39" s="1"/>
  <c r="V35" i="27"/>
  <c r="C45" i="39" s="1"/>
  <c r="U49" i="27"/>
  <c r="B59" i="39" s="1"/>
  <c r="V44" i="27"/>
  <c r="C54" i="39" s="1"/>
  <c r="U46" i="27"/>
  <c r="B56" i="39" s="1"/>
  <c r="U25" i="27"/>
  <c r="B35" i="39" s="1"/>
  <c r="V29" i="27"/>
  <c r="C39" i="39" s="1"/>
  <c r="V63" i="27"/>
  <c r="C73" i="39" s="1"/>
  <c r="U40" i="27"/>
  <c r="B50" i="39" s="1"/>
  <c r="U23" i="27"/>
  <c r="B33" i="39" s="1"/>
  <c r="U59" i="27"/>
  <c r="B69" i="39" s="1"/>
  <c r="V62" i="27"/>
  <c r="C72" i="39" s="1"/>
  <c r="V21" i="27"/>
  <c r="C31" i="39" s="1"/>
  <c r="V15" i="27"/>
  <c r="C25" i="39" s="1"/>
  <c r="V6" i="27"/>
  <c r="C16" i="39" s="1"/>
  <c r="V46" i="27"/>
  <c r="C56" i="39" s="1"/>
  <c r="U47" i="27"/>
  <c r="B57" i="39" s="1"/>
  <c r="V77" i="27"/>
  <c r="C87" i="39" s="1"/>
  <c r="U60" i="27"/>
  <c r="B70" i="39" s="1"/>
  <c r="V48" i="27"/>
  <c r="C58" i="39" s="1"/>
  <c r="U5" i="27"/>
  <c r="B15" i="39" s="1"/>
  <c r="U79" i="27"/>
  <c r="B89" i="39" s="1"/>
  <c r="U9" i="27"/>
  <c r="B19" i="39" s="1"/>
  <c r="U16" i="27"/>
  <c r="B26" i="39" s="1"/>
  <c r="V13" i="27"/>
  <c r="C23" i="39" s="1"/>
  <c r="U34" i="27"/>
  <c r="B44" i="39" s="1"/>
  <c r="V76" i="27"/>
  <c r="C86" i="39" s="1"/>
  <c r="U14" i="27"/>
  <c r="B24" i="39" s="1"/>
  <c r="V66" i="27"/>
  <c r="C76" i="39" s="1"/>
  <c r="U11" i="27"/>
  <c r="B21" i="39" s="1"/>
  <c r="U61" i="27"/>
  <c r="B71" i="39" s="1"/>
  <c r="U77" i="27"/>
  <c r="B87" i="39" s="1"/>
  <c r="U10" i="27"/>
  <c r="B20" i="39" s="1"/>
  <c r="U15" i="27"/>
  <c r="B25" i="39" s="1"/>
  <c r="V50" i="27"/>
  <c r="C60" i="39" s="1"/>
  <c r="U37" i="27"/>
  <c r="B47" i="39" s="1"/>
  <c r="V65" i="27"/>
  <c r="C75" i="39" s="1"/>
  <c r="V11" i="27"/>
  <c r="C21" i="39" s="1"/>
  <c r="V25" i="27"/>
  <c r="C35" i="39" s="1"/>
  <c r="V22" i="27"/>
  <c r="C32" i="39" s="1"/>
  <c r="U67" i="27"/>
  <c r="B77" i="39" s="1"/>
  <c r="U54" i="27"/>
  <c r="B64" i="39" s="1"/>
  <c r="U63" i="27"/>
  <c r="B73" i="39" s="1"/>
  <c r="V9" i="27"/>
  <c r="C19" i="39" s="1"/>
  <c r="U20" i="27"/>
  <c r="B30" i="39" s="1"/>
  <c r="V19" i="27"/>
  <c r="C29" i="39" s="1"/>
  <c r="V10" i="27"/>
  <c r="C20" i="39" s="1"/>
  <c r="U64" i="27"/>
  <c r="B74" i="39" s="1"/>
  <c r="V51" i="27"/>
  <c r="C61" i="39" s="1"/>
  <c r="V68" i="27"/>
  <c r="C78" i="39" s="1"/>
  <c r="V28" i="27"/>
  <c r="C38" i="39" s="1"/>
  <c r="U65" i="27"/>
  <c r="B75" i="39" s="1"/>
  <c r="V14" i="27"/>
  <c r="C24" i="39" s="1"/>
  <c r="U71" i="27"/>
  <c r="B81" i="39" s="1"/>
  <c r="V5" i="27"/>
  <c r="C15" i="39" s="1"/>
  <c r="U48" i="27"/>
  <c r="B58" i="39" s="1"/>
  <c r="V70" i="27"/>
  <c r="C80" i="39" s="1"/>
  <c r="U33" i="27"/>
  <c r="B43" i="39" s="1"/>
  <c r="U41" i="27"/>
  <c r="B51" i="39" s="1"/>
  <c r="U27" i="27"/>
  <c r="B37" i="39" s="1"/>
  <c r="V49" i="27"/>
  <c r="C59" i="39" s="1"/>
  <c r="V16" i="27"/>
  <c r="C26" i="39" s="1"/>
  <c r="V69" i="27"/>
  <c r="C79" i="39" s="1"/>
  <c r="V79" i="27"/>
  <c r="C89" i="39" s="1"/>
  <c r="U68" i="27"/>
  <c r="B78" i="39" s="1"/>
  <c r="U44" i="27"/>
  <c r="B54" i="39" s="1"/>
  <c r="V26" i="27"/>
  <c r="C36" i="39" s="1"/>
  <c r="U75" i="27"/>
  <c r="B85" i="39" s="1"/>
  <c r="U57" i="27"/>
  <c r="B67" i="39" s="1"/>
  <c r="U76" i="27"/>
  <c r="B86" i="39" s="1"/>
  <c r="U18" i="27"/>
  <c r="B28" i="39" s="1"/>
  <c r="U19" i="27"/>
  <c r="B29" i="39" s="1"/>
  <c r="V73" i="27"/>
  <c r="C83" i="39" s="1"/>
  <c r="V27" i="27"/>
  <c r="C37" i="39" s="1"/>
  <c r="V52" i="27"/>
  <c r="C62" i="39" s="1"/>
  <c r="U13" i="27"/>
  <c r="B23" i="39" s="1"/>
  <c r="V30" i="27"/>
  <c r="C40" i="39" s="1"/>
  <c r="U52" i="27"/>
  <c r="B62" i="39" s="1"/>
  <c r="U22" i="27"/>
  <c r="B32" i="39" s="1"/>
  <c r="V56" i="27"/>
  <c r="C66" i="39" s="1"/>
  <c r="U43" i="27"/>
  <c r="B53" i="39" s="1"/>
  <c r="U17" i="27"/>
  <c r="B27" i="39" s="1"/>
  <c r="U29" i="27"/>
  <c r="B39" i="39" s="1"/>
  <c r="U78" i="27"/>
  <c r="B88" i="39" s="1"/>
  <c r="V72" i="27"/>
  <c r="C82" i="39" s="1"/>
  <c r="V57" i="27"/>
  <c r="C67" i="39" s="1"/>
  <c r="U45" i="27"/>
  <c r="B55" i="39" s="1"/>
  <c r="V45" i="27"/>
  <c r="C55" i="39" s="1"/>
  <c r="V71" i="27"/>
  <c r="C81" i="39" s="1"/>
  <c r="U32" i="27"/>
  <c r="B42" i="39" s="1"/>
  <c r="U31" i="27"/>
  <c r="B41" i="39" s="1"/>
  <c r="V37" i="27"/>
  <c r="C47" i="39" s="1"/>
  <c r="V33" i="27"/>
  <c r="C43" i="39" s="1"/>
  <c r="V20" i="27"/>
  <c r="C30" i="39" s="1"/>
  <c r="V41" i="27"/>
  <c r="C51" i="39" s="1"/>
  <c r="V31" i="27"/>
  <c r="C41" i="39" s="1"/>
  <c r="V12" i="27"/>
  <c r="C22" i="39" s="1"/>
  <c r="U72" i="27"/>
  <c r="B82" i="39" s="1"/>
  <c r="U3" i="27"/>
  <c r="B13" i="39" s="1"/>
  <c r="V40" i="27"/>
  <c r="C50" i="39" s="1"/>
  <c r="U38" i="27"/>
  <c r="B48" i="39" s="1"/>
  <c r="V43" i="27"/>
  <c r="C53" i="39" s="1"/>
  <c r="V17" i="27"/>
  <c r="C27" i="39" s="1"/>
  <c r="V78" i="27"/>
  <c r="C88" i="39" s="1"/>
  <c r="U50" i="27"/>
  <c r="B60" i="39" s="1"/>
  <c r="U74" i="27"/>
  <c r="B84" i="39" s="1"/>
  <c r="V3" i="27"/>
  <c r="C13" i="39" s="1"/>
  <c r="U69" i="27"/>
  <c r="B79" i="39" s="1"/>
  <c r="U62" i="27"/>
  <c r="B72" i="39" s="1"/>
  <c r="V34" i="27"/>
  <c r="C44" i="39" s="1"/>
  <c r="V59" i="27"/>
  <c r="C69" i="39" s="1"/>
  <c r="V32" i="27"/>
  <c r="C42" i="39" s="1"/>
  <c r="U30" i="27"/>
  <c r="B40" i="39" s="1"/>
  <c r="V53" i="27"/>
  <c r="C63" i="39" s="1"/>
  <c r="U70" i="27"/>
  <c r="B80" i="39" s="1"/>
  <c r="U56" i="27"/>
  <c r="B66" i="39" s="1"/>
  <c r="V47" i="27"/>
  <c r="C57" i="39" s="1"/>
  <c r="U39" i="27"/>
  <c r="B49" i="39" s="1"/>
  <c r="V8" i="27"/>
  <c r="C18" i="39" s="1"/>
  <c r="V61" i="27"/>
  <c r="C71" i="39" s="1"/>
  <c r="V67" i="27"/>
  <c r="C77" i="39" s="1"/>
  <c r="V58" i="27"/>
  <c r="C68" i="39" s="1"/>
  <c r="U36" i="27"/>
  <c r="B46" i="39" s="1"/>
  <c r="V24" i="27"/>
  <c r="C34" i="39" s="1"/>
  <c r="V4" i="27"/>
  <c r="C14" i="39" s="1"/>
  <c r="U51" i="27"/>
  <c r="B61" i="39" s="1"/>
  <c r="V54" i="27"/>
  <c r="C64" i="39" s="1"/>
  <c r="U12" i="27"/>
  <c r="B22" i="39" s="1"/>
  <c r="U35" i="27"/>
  <c r="B45" i="39" s="1"/>
  <c r="U26" i="27"/>
  <c r="B36" i="39" s="1"/>
  <c r="U6" i="27"/>
  <c r="B16" i="39" s="1"/>
  <c r="U8" i="27"/>
  <c r="B18" i="39" s="1"/>
  <c r="V75" i="27"/>
  <c r="C85" i="39" s="1"/>
  <c r="V18" i="27"/>
  <c r="C28" i="39" s="1"/>
  <c r="U42" i="27"/>
  <c r="B52" i="39" s="1"/>
  <c r="V74" i="27"/>
  <c r="C84" i="39" s="1"/>
  <c r="U4" i="27"/>
  <c r="B14" i="39" s="1"/>
  <c r="U53" i="27"/>
  <c r="B63" i="39" s="1"/>
  <c r="U58" i="27"/>
  <c r="B68" i="39" s="1"/>
  <c r="V60" i="27"/>
  <c r="C70" i="39" s="1"/>
  <c r="V36" i="27"/>
  <c r="C46" i="39" s="1"/>
  <c r="V39" i="27"/>
  <c r="C49" i="39" s="1"/>
  <c r="V55" i="27"/>
  <c r="C65" i="39" s="1"/>
  <c r="U21" i="27"/>
  <c r="B31" i="39" s="1"/>
  <c r="V42" i="27"/>
  <c r="C52" i="39" s="1"/>
  <c r="U55" i="27"/>
  <c r="B65" i="39" s="1"/>
  <c r="V64" i="27"/>
  <c r="C74" i="39" s="1"/>
  <c r="U73" i="27"/>
  <c r="B83" i="39" s="1"/>
  <c r="V38" i="27"/>
  <c r="C48" i="39" s="1"/>
  <c r="AI18" i="27"/>
  <c r="AI17" i="27"/>
  <c r="I4" i="27" l="1"/>
  <c r="L4" i="27" s="1"/>
  <c r="S4" i="27" s="1"/>
  <c r="I3" i="27"/>
  <c r="L3" i="27" s="1"/>
  <c r="S3" i="27" s="1"/>
  <c r="AI20" i="27"/>
  <c r="C3" i="39"/>
  <c r="C9" i="39"/>
  <c r="AI19" i="27" l="1"/>
</calcChain>
</file>

<file path=xl/sharedStrings.xml><?xml version="1.0" encoding="utf-8"?>
<sst xmlns="http://schemas.openxmlformats.org/spreadsheetml/2006/main" count="694" uniqueCount="243">
  <si>
    <t>Triggers</t>
  </si>
  <si>
    <t>Manual Trigger</t>
  </si>
  <si>
    <t>EvaluationDate</t>
  </si>
  <si>
    <t>Objects Trigger</t>
  </si>
  <si>
    <t>Currency</t>
  </si>
  <si>
    <t>LiborName</t>
  </si>
  <si>
    <t>InterpType</t>
  </si>
  <si>
    <t>InterpOn</t>
  </si>
  <si>
    <t>Comp</t>
  </si>
  <si>
    <t>DayCount</t>
  </si>
  <si>
    <t>QL Curve Name</t>
  </si>
  <si>
    <t>kruger</t>
  </si>
  <si>
    <t>rt</t>
  </si>
  <si>
    <t>cont</t>
  </si>
  <si>
    <t>Dates</t>
  </si>
  <si>
    <t>Discounts</t>
  </si>
  <si>
    <t>QL Curve Handle</t>
  </si>
  <si>
    <t>Count</t>
  </si>
  <si>
    <t>ShmPush</t>
  </si>
  <si>
    <t>adjusted</t>
  </si>
  <si>
    <t>standard</t>
  </si>
  <si>
    <t>dvFutEndDate</t>
  </si>
  <si>
    <t>Zero Rates</t>
  </si>
  <si>
    <t>off</t>
  </si>
  <si>
    <t>on</t>
  </si>
  <si>
    <t>dvOutputType</t>
  </si>
  <si>
    <t>dvMatCons</t>
  </si>
  <si>
    <t>dates</t>
  </si>
  <si>
    <t>stub</t>
  </si>
  <si>
    <t>months</t>
  </si>
  <si>
    <t>end</t>
  </si>
  <si>
    <t>years</t>
  </si>
  <si>
    <t>start</t>
  </si>
  <si>
    <t>dvSwapMatType</t>
  </si>
  <si>
    <t>dvFutCons</t>
  </si>
  <si>
    <t>ModFollowing</t>
  </si>
  <si>
    <t>simple</t>
  </si>
  <si>
    <t>Forward</t>
  </si>
  <si>
    <t>annual</t>
  </si>
  <si>
    <t>Backward</t>
  </si>
  <si>
    <t>NoAdjust</t>
  </si>
  <si>
    <t>dvCompounding</t>
  </si>
  <si>
    <t>dvFraFutAdjust</t>
  </si>
  <si>
    <t>d</t>
  </si>
  <si>
    <t>One/One</t>
  </si>
  <si>
    <t>30/360</t>
  </si>
  <si>
    <t>r</t>
  </si>
  <si>
    <t>Act/Act</t>
  </si>
  <si>
    <t>dvInterpOn</t>
  </si>
  <si>
    <t>365/365</t>
  </si>
  <si>
    <t>Act/365</t>
  </si>
  <si>
    <t>spline</t>
  </si>
  <si>
    <t>Act/360</t>
  </si>
  <si>
    <t>const</t>
  </si>
  <si>
    <t>30E+360</t>
  </si>
  <si>
    <t>360/360</t>
  </si>
  <si>
    <t>quadra</t>
  </si>
  <si>
    <t>30E/360</t>
  </si>
  <si>
    <t>linear</t>
  </si>
  <si>
    <t>Act/Act AFB</t>
  </si>
  <si>
    <t>dvBool</t>
  </si>
  <si>
    <t>dvInterpType</t>
  </si>
  <si>
    <t>dvDayCount</t>
  </si>
  <si>
    <t>Suffix</t>
  </si>
  <si>
    <t>CustomValue</t>
  </si>
  <si>
    <t>CustomField</t>
  </si>
  <si>
    <t>Prefix</t>
  </si>
  <si>
    <t>IDN</t>
  </si>
  <si>
    <t>Source</t>
  </si>
  <si>
    <t>Interp DayCount</t>
  </si>
  <si>
    <t>ASK</t>
  </si>
  <si>
    <t>BID</t>
  </si>
  <si>
    <t>Swaps</t>
  </si>
  <si>
    <t>Used</t>
  </si>
  <si>
    <t>Spread</t>
  </si>
  <si>
    <t>Override</t>
  </si>
  <si>
    <t>Real Time</t>
  </si>
  <si>
    <t>Enabled</t>
  </si>
  <si>
    <t>Maty Consistency</t>
  </si>
  <si>
    <t>Block Order</t>
  </si>
  <si>
    <t>Optional Parameters</t>
  </si>
  <si>
    <t>m</t>
  </si>
  <si>
    <t>Deposits</t>
  </si>
  <si>
    <t>Output Type</t>
  </si>
  <si>
    <t>Compounding</t>
  </si>
  <si>
    <t>S</t>
  </si>
  <si>
    <t>w</t>
  </si>
  <si>
    <t>Interp On</t>
  </si>
  <si>
    <t>Interp Type</t>
  </si>
  <si>
    <t>SN</t>
  </si>
  <si>
    <t>sn</t>
  </si>
  <si>
    <t>Curve Name</t>
  </si>
  <si>
    <t>TN</t>
  </si>
  <si>
    <t>tn</t>
  </si>
  <si>
    <t>ON</t>
  </si>
  <si>
    <t>Today</t>
  </si>
  <si>
    <t>Maty</t>
  </si>
  <si>
    <t>Parameters</t>
  </si>
  <si>
    <t>Domestic Currency</t>
  </si>
  <si>
    <t>Foreign Currency</t>
  </si>
  <si>
    <t>EUR</t>
  </si>
  <si>
    <t>Trigger</t>
  </si>
  <si>
    <t>DTSIMI1</t>
  </si>
  <si>
    <t>W</t>
  </si>
  <si>
    <t>M</t>
  </si>
  <si>
    <t>=</t>
  </si>
  <si>
    <t>FX</t>
  </si>
  <si>
    <t>Domestic Disc Curve</t>
  </si>
  <si>
    <t>Domestic Fwd Curve</t>
  </si>
  <si>
    <t>Foreign Fwd Curve</t>
  </si>
  <si>
    <t>Depo Value Days</t>
  </si>
  <si>
    <t>Domestic Notional</t>
  </si>
  <si>
    <t>Foreign Notional</t>
  </si>
  <si>
    <t>MtM Currency</t>
  </si>
  <si>
    <t>CCS Maturity Type</t>
  </si>
  <si>
    <t>CCS Domestic Freq</t>
  </si>
  <si>
    <t>CCS Domestic Daycnt</t>
  </si>
  <si>
    <t>CCS Domestic Multiplier</t>
  </si>
  <si>
    <t>CCS Domestic 1st rate</t>
  </si>
  <si>
    <t>CCS Foreign Freq</t>
  </si>
  <si>
    <t>CCS Foreign Daycnt</t>
  </si>
  <si>
    <t>CCS Foreign Multiplier</t>
  </si>
  <si>
    <t>CCS Foreign 1st rate</t>
  </si>
  <si>
    <t>CCS Spread Currency</t>
  </si>
  <si>
    <t>Mid</t>
  </si>
  <si>
    <t>InterpY</t>
  </si>
  <si>
    <t>InterpX</t>
  </si>
  <si>
    <t>Interp CCS Quotes</t>
  </si>
  <si>
    <t>t+1</t>
  </si>
  <si>
    <t>t+2</t>
  </si>
  <si>
    <t>t+2+1w</t>
  </si>
  <si>
    <t>[0,1W] Zero rate spread</t>
  </si>
  <si>
    <t>Factor</t>
  </si>
  <si>
    <t>QL Object Class</t>
  </si>
  <si>
    <t>DateChooser</t>
  </si>
  <si>
    <t>EURSTD</t>
  </si>
  <si>
    <t>EUR3M</t>
  </si>
  <si>
    <t>EURON</t>
  </si>
  <si>
    <t>CCSDom1stRateFixed</t>
  </si>
  <si>
    <t>CCSFor1stRateFixed</t>
  </si>
  <si>
    <t>RTData Trigger</t>
  </si>
  <si>
    <t>QuantLib</t>
  </si>
  <si>
    <t>InUse</t>
  </si>
  <si>
    <t>EURON_</t>
  </si>
  <si>
    <t>EUR3M_</t>
  </si>
  <si>
    <t>Discount</t>
  </si>
  <si>
    <t>ManualEvalDate</t>
  </si>
  <si>
    <t>QLEvaluationDate</t>
  </si>
  <si>
    <t>semiannual</t>
  </si>
  <si>
    <t>quarterly</t>
  </si>
  <si>
    <t>monthly</t>
  </si>
  <si>
    <t>dvPayFreqType</t>
  </si>
  <si>
    <t>D=CKCC</t>
  </si>
  <si>
    <t>GBP</t>
  </si>
  <si>
    <t>ON/TN DEPO SPREADS TO MATCH MX DISCOUNTS</t>
  </si>
  <si>
    <t>USDON</t>
  </si>
  <si>
    <t>USD3M</t>
  </si>
  <si>
    <t>USDSTD</t>
  </si>
  <si>
    <t>USD</t>
  </si>
  <si>
    <t>USDBASIS.EURON</t>
  </si>
  <si>
    <t>USD3M_</t>
  </si>
  <si>
    <t>Disc@t+1, USDON</t>
  </si>
  <si>
    <t>Disc@t+2, USDON</t>
  </si>
  <si>
    <t>Disc@t+2+1w, USDON</t>
  </si>
  <si>
    <t>USD Yrf Code</t>
  </si>
  <si>
    <t>Disc@t+1, MX-USDBasis</t>
  </si>
  <si>
    <t>Disc@t+2, MX-USDBasis</t>
  </si>
  <si>
    <t>Disc@t+2+1w, MX-USDBasis</t>
  </si>
  <si>
    <t>MX-USDBasis simple rate t,t+1</t>
  </si>
  <si>
    <t>MX-USDBasis simple rate t+1,t+2</t>
  </si>
  <si>
    <t>spread BASIS-USDON "on" (%)</t>
  </si>
  <si>
    <t>spread BASIS-USDON "tn" (%)</t>
  </si>
  <si>
    <t>MX ccs curve built as spread curve over</t>
  </si>
  <si>
    <t>USDON_</t>
  </si>
  <si>
    <t>USDBASIS.EURSTD</t>
  </si>
  <si>
    <t>1Y</t>
  </si>
  <si>
    <t>=ICAP</t>
  </si>
  <si>
    <t>2Y</t>
  </si>
  <si>
    <t>3Y</t>
  </si>
  <si>
    <t>4Y</t>
  </si>
  <si>
    <t>5Y</t>
  </si>
  <si>
    <t>7Y</t>
  </si>
  <si>
    <t>10Y</t>
  </si>
  <si>
    <t>15Y</t>
  </si>
  <si>
    <t>3M</t>
  </si>
  <si>
    <t>6M</t>
  </si>
  <si>
    <t>9M</t>
  </si>
  <si>
    <t>20Y</t>
  </si>
  <si>
    <t>30Y</t>
  </si>
  <si>
    <t>MONTHS</t>
  </si>
  <si>
    <t>CCSUSDEUR</t>
  </si>
  <si>
    <t>M=</t>
  </si>
  <si>
    <t>W=</t>
  </si>
  <si>
    <t>Linear Yrf 1W Depo</t>
  </si>
  <si>
    <t>Zero Rate Yrf Code</t>
  </si>
  <si>
    <t>IsBootstrapSheet</t>
  </si>
  <si>
    <t>Calendar</t>
  </si>
  <si>
    <t>Date</t>
  </si>
  <si>
    <t>qlYieldCurve</t>
  </si>
  <si>
    <t>KrugerLogCubic</t>
  </si>
  <si>
    <t>InterpolatorID</t>
  </si>
  <si>
    <t>TraitsID</t>
  </si>
  <si>
    <t>Actual/365 (Fixed)</t>
  </si>
  <si>
    <t>DayCounter</t>
  </si>
  <si>
    <t>TARGET</t>
  </si>
  <si>
    <t>Pillars Count</t>
  </si>
  <si>
    <t>EURCBS</t>
  </si>
  <si>
    <t>GBPON</t>
  </si>
  <si>
    <t>GBP3M</t>
  </si>
  <si>
    <t>GBPSTD</t>
  </si>
  <si>
    <t>GBPBASIS.EURON.USD</t>
  </si>
  <si>
    <t>GBP3M_</t>
  </si>
  <si>
    <t>GBPCBS</t>
  </si>
  <si>
    <t>GBPON_</t>
  </si>
  <si>
    <t>Disc@t+1, GBPON</t>
  </si>
  <si>
    <t>Disc@t+2, GBPON</t>
  </si>
  <si>
    <t>Disc@t+2+1w, GBPON</t>
  </si>
  <si>
    <t>GBP Yrf Code</t>
  </si>
  <si>
    <t>Disc@t+1, MX-GBPBasis</t>
  </si>
  <si>
    <t>Disc@t+2, MX-GBPBasis</t>
  </si>
  <si>
    <t>Disc@t+2+1w, MX-GBPBasis</t>
  </si>
  <si>
    <t>MX-GBPBasis simple rate t,t+1</t>
  </si>
  <si>
    <t>MX-GBPBasis simple rate t+1,t+2</t>
  </si>
  <si>
    <t>spread BASIS-GBPON "on" (%)</t>
  </si>
  <si>
    <t>spread BASIS-GBPON "tn" (%)</t>
  </si>
  <si>
    <t>CCSGBPEUROIS</t>
  </si>
  <si>
    <t>CONTRIBUTION SETTINGS</t>
  </si>
  <si>
    <t>SourceAlias</t>
  </si>
  <si>
    <t>Now</t>
  </si>
  <si>
    <t>PreFix</t>
  </si>
  <si>
    <t>GBPTWEAK</t>
  </si>
  <si>
    <t>Time(Now)</t>
  </si>
  <si>
    <t>FieldLabel</t>
  </si>
  <si>
    <t>Limit</t>
  </si>
  <si>
    <t>RtMode</t>
  </si>
  <si>
    <t>SCOPE:SERVER</t>
  </si>
  <si>
    <t>ALLOW CONTRIBUTION</t>
  </si>
  <si>
    <t>Limit Hour</t>
  </si>
  <si>
    <t>Limit Minute</t>
  </si>
  <si>
    <t>Contribution Data</t>
  </si>
  <si>
    <t>Contribution Result</t>
  </si>
  <si>
    <t>NumDays</t>
  </si>
  <si>
    <t>ISCONTRIBUTING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</si>
</sst>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_(* #,##0_);_(* \(#,##0\);_(* &quot;-&quot;_);_(@_)"/>
    <numFmt numFmtId="165" formatCode="&quot;$&quot;#,##0.00_);[Red]\(&quot;$&quot;#,##0.00\)"/>
    <numFmt numFmtId="166" formatCode="_(&quot;$&quot;* #,##0_);_(&quot;$&quot;* \(#,##0\);_(&quot;$&quot;* &quot;-&quot;_);_(@_)"/>
    <numFmt numFmtId="167" formatCode="ddd\,\ dd\-mmm\-yyyy"/>
    <numFmt numFmtId="168" formatCode="ddd\,\ d\-mmm\-yyyy"/>
    <numFmt numFmtId="169" formatCode="d\ mmm\ yy"/>
    <numFmt numFmtId="170" formatCode="#,##0.00000000"/>
    <numFmt numFmtId="171" formatCode="_-[$€]\ * #,##0.00_-;\-[$€]\ * #,##0.00_-;_-[$€]\ * &quot;-&quot;??_-;_-@_-"/>
    <numFmt numFmtId="172" formatCode="0.0000"/>
    <numFmt numFmtId="173" formatCode="0.000000000"/>
    <numFmt numFmtId="174" formatCode="dd\ mmm\ yy"/>
    <numFmt numFmtId="175" formatCode="0.000%"/>
    <numFmt numFmtId="176" formatCode="mmm\ yy"/>
    <numFmt numFmtId="177" formatCode="0&quot;M&quot;"/>
    <numFmt numFmtId="178" formatCode="0&quot;W&quot;"/>
    <numFmt numFmtId="179" formatCode="#,##0.0;#,##0.0"/>
    <numFmt numFmtId="180" formatCode="ddd\,\ dd/mm/yyyy"/>
    <numFmt numFmtId="181" formatCode="dd/mm/yyyy\,\ hh:mm:ss"/>
  </numFmts>
  <fonts count="40" x14ac:knownFonts="1">
    <font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sz val="8"/>
      <color indexed="23"/>
      <name val="Arial"/>
      <family val="2"/>
    </font>
    <font>
      <b/>
      <i/>
      <sz val="8"/>
      <name val="Arial"/>
      <family val="2"/>
    </font>
    <font>
      <sz val="11"/>
      <color indexed="62"/>
      <name val="Calibri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16"/>
      <name val="MS Sans Serif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8"/>
      <color indexed="62"/>
      <name val="Cambria"/>
      <family val="2"/>
    </font>
    <font>
      <i/>
      <sz val="8"/>
      <color theme="0" tint="-0.14999847407452621"/>
      <name val="Arial"/>
      <family val="2"/>
    </font>
    <font>
      <sz val="8"/>
      <color rgb="FF000000"/>
      <name val="Arial"/>
      <family val="2"/>
    </font>
    <font>
      <b/>
      <i/>
      <sz val="8"/>
      <color theme="0" tint="-0.499984740745262"/>
      <name val="Arial"/>
      <family val="2"/>
    </font>
    <font>
      <sz val="8"/>
      <color theme="0" tint="-0.499984740745262"/>
      <name val="Arial"/>
      <family val="2"/>
    </font>
    <font>
      <b/>
      <sz val="8"/>
      <color theme="1"/>
      <name val="Arial"/>
      <family val="2"/>
    </font>
    <font>
      <sz val="8"/>
      <color theme="0" tint="-0.34998626667073579"/>
      <name val="Arial"/>
      <family val="2"/>
    </font>
    <font>
      <i/>
      <sz val="8"/>
      <color indexed="12"/>
      <name val="Arial"/>
      <family val="2"/>
    </font>
    <font>
      <i/>
      <sz val="8"/>
      <color indexed="8"/>
      <name val="Arial"/>
      <family val="2"/>
    </font>
    <font>
      <sz val="8"/>
      <color theme="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gray0625"/>
    </fill>
    <fill>
      <patternFill patternType="gray0625">
        <bgColor theme="0" tint="-0.24994659260841701"/>
      </patternFill>
    </fill>
    <fill>
      <patternFill patternType="gray125">
        <bgColor rgb="FFFFCCFF"/>
      </patternFill>
    </fill>
    <fill>
      <patternFill patternType="gray125">
        <bgColor rgb="FFCCFFFF"/>
      </patternFill>
    </fill>
    <fill>
      <patternFill patternType="solid">
        <fgColor rgb="FFFF66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23">
    <xf numFmtId="0" fontId="0" fillId="0" borderId="0"/>
    <xf numFmtId="0" fontId="3" fillId="0" borderId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7" fillId="18" borderId="21" applyNumberFormat="0" applyAlignment="0" applyProtection="0"/>
    <xf numFmtId="0" fontId="8" fillId="0" borderId="22" applyNumberFormat="0" applyFill="0" applyAlignment="0" applyProtection="0"/>
    <xf numFmtId="0" fontId="9" fillId="19" borderId="23" applyNumberFormat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23" borderId="0" applyNumberFormat="0" applyBorder="0" applyAlignment="0" applyProtection="0"/>
    <xf numFmtId="171" fontId="10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2" fillId="24" borderId="0" applyNumberFormat="0" applyBorder="0" applyAlignment="0" applyProtection="0"/>
    <xf numFmtId="0" fontId="10" fillId="25" borderId="24" applyNumberFormat="0" applyFon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25" applyNumberFormat="0" applyFill="0" applyAlignment="0" applyProtection="0"/>
    <xf numFmtId="0" fontId="2" fillId="3" borderId="17" applyNumberFormat="0" applyFont="0" applyAlignment="0">
      <protection locked="0"/>
    </xf>
    <xf numFmtId="0" fontId="10" fillId="0" borderId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23" borderId="0" applyNumberFormat="0" applyBorder="0" applyAlignment="0" applyProtection="0"/>
    <xf numFmtId="0" fontId="28" fillId="5" borderId="0" applyNumberFormat="0" applyBorder="0" applyAlignment="0" applyProtection="0"/>
    <xf numFmtId="0" fontId="7" fillId="18" borderId="29" applyNumberFormat="0" applyAlignment="0" applyProtection="0"/>
    <xf numFmtId="0" fontId="7" fillId="18" borderId="29" applyNumberFormat="0" applyAlignment="0" applyProtection="0"/>
    <xf numFmtId="0" fontId="9" fillId="19" borderId="23" applyNumberFormat="0" applyAlignment="0" applyProtection="0"/>
    <xf numFmtId="0" fontId="14" fillId="0" borderId="0" applyNumberFormat="0" applyFill="0" applyBorder="0" applyAlignment="0" applyProtection="0"/>
    <xf numFmtId="0" fontId="29" fillId="6" borderId="0" applyNumberFormat="0" applyBorder="0" applyAlignment="0" applyProtection="0"/>
    <xf numFmtId="0" fontId="16" fillId="0" borderId="25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1" fillId="9" borderId="29" applyNumberFormat="0" applyAlignment="0" applyProtection="0"/>
    <xf numFmtId="0" fontId="8" fillId="0" borderId="22" applyNumberFormat="0" applyFill="0" applyAlignment="0" applyProtection="0"/>
    <xf numFmtId="40" fontId="22" fillId="0" borderId="0" applyFont="0" applyFill="0" applyBorder="0" applyAlignment="0" applyProtection="0"/>
    <xf numFmtId="0" fontId="12" fillId="24" borderId="0" applyNumberFormat="0" applyBorder="0" applyAlignment="0" applyProtection="0"/>
    <xf numFmtId="0" fontId="10" fillId="0" borderId="0"/>
    <xf numFmtId="0" fontId="22" fillId="0" borderId="0"/>
    <xf numFmtId="0" fontId="10" fillId="25" borderId="32" applyNumberFormat="0" applyFont="0" applyAlignment="0" applyProtection="0"/>
    <xf numFmtId="0" fontId="2" fillId="25" borderId="32" applyNumberFormat="0" applyFont="0" applyAlignment="0" applyProtection="0"/>
    <xf numFmtId="0" fontId="23" fillId="18" borderId="33" applyNumberFormat="0" applyAlignment="0" applyProtection="0"/>
    <xf numFmtId="9" fontId="10" fillId="0" borderId="0" applyFont="0" applyFill="0" applyBorder="0" applyAlignment="0" applyProtection="0"/>
    <xf numFmtId="179" fontId="24" fillId="38" borderId="0">
      <alignment horizontal="center" vertical="center"/>
    </xf>
    <xf numFmtId="0" fontId="15" fillId="0" borderId="0" applyNumberFormat="0" applyFill="0" applyBorder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0" borderId="34" applyNumberFormat="0" applyFill="0" applyAlignment="0" applyProtection="0"/>
    <xf numFmtId="0" fontId="27" fillId="0" borderId="34" applyNumberFormat="0" applyFill="0" applyAlignment="0" applyProtection="0"/>
    <xf numFmtId="0" fontId="28" fillId="5" borderId="0" applyNumberFormat="0" applyBorder="0" applyAlignment="0" applyProtection="0"/>
    <xf numFmtId="0" fontId="29" fillId="6" borderId="0" applyNumberFormat="0" applyBorder="0" applyAlignment="0" applyProtection="0"/>
    <xf numFmtId="166" fontId="11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0" fillId="0" borderId="0"/>
    <xf numFmtId="0" fontId="10" fillId="0" borderId="0"/>
    <xf numFmtId="0" fontId="2" fillId="0" borderId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21" fillId="9" borderId="37" applyNumberFormat="0" applyAlignment="0" applyProtection="0"/>
    <xf numFmtId="0" fontId="21" fillId="9" borderId="37" applyNumberForma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2" fillId="25" borderId="38" applyNumberFormat="0" applyFont="0" applyAlignment="0" applyProtection="0"/>
    <xf numFmtId="0" fontId="2" fillId="25" borderId="38" applyNumberFormat="0" applyFont="0" applyAlignment="0" applyProtection="0"/>
    <xf numFmtId="0" fontId="23" fillId="18" borderId="39" applyNumberFormat="0" applyAlignment="0" applyProtection="0"/>
    <xf numFmtId="0" fontId="23" fillId="18" borderId="39" applyNumberFormat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" fillId="3" borderId="35" applyNumberFormat="0" applyFont="0" applyAlignment="0">
      <protection locked="0"/>
    </xf>
    <xf numFmtId="0" fontId="2" fillId="3" borderId="35" applyNumberFormat="0" applyFont="0" applyAlignment="0">
      <protection locked="0"/>
    </xf>
    <xf numFmtId="0" fontId="2" fillId="0" borderId="0"/>
    <xf numFmtId="0" fontId="2" fillId="3" borderId="58" applyNumberFormat="0" applyFont="0" applyAlignment="0">
      <protection locked="0"/>
    </xf>
  </cellStyleXfs>
  <cellXfs count="333">
    <xf numFmtId="0" fontId="0" fillId="0" borderId="0" xfId="0"/>
    <xf numFmtId="0" fontId="2" fillId="2" borderId="4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167" fontId="2" fillId="3" borderId="8" xfId="0" applyNumberFormat="1" applyFont="1" applyFill="1" applyBorder="1" applyAlignment="1" applyProtection="1">
      <alignment horizontal="center"/>
      <protection locked="0"/>
    </xf>
    <xf numFmtId="0" fontId="2" fillId="2" borderId="9" xfId="0" applyFont="1" applyFill="1" applyBorder="1"/>
    <xf numFmtId="168" fontId="2" fillId="2" borderId="11" xfId="0" applyNumberFormat="1" applyFont="1" applyFill="1" applyBorder="1" applyAlignment="1" applyProtection="1">
      <alignment horizontal="center"/>
      <protection locked="0"/>
    </xf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169" fontId="0" fillId="0" borderId="20" xfId="0" applyNumberFormat="1" applyBorder="1"/>
    <xf numFmtId="170" fontId="0" fillId="0" borderId="20" xfId="0" applyNumberFormat="1" applyBorder="1"/>
    <xf numFmtId="169" fontId="0" fillId="0" borderId="19" xfId="0" applyNumberFormat="1" applyBorder="1"/>
    <xf numFmtId="170" fontId="0" fillId="0" borderId="19" xfId="0" applyNumberFormat="1" applyBorder="1"/>
    <xf numFmtId="21" fontId="0" fillId="0" borderId="19" xfId="0" applyNumberFormat="1" applyBorder="1" applyAlignment="1">
      <alignment horizontal="center"/>
    </xf>
    <xf numFmtId="0" fontId="3" fillId="0" borderId="0" xfId="1"/>
    <xf numFmtId="0" fontId="3" fillId="0" borderId="19" xfId="1" applyBorder="1" applyAlignment="1">
      <alignment horizontal="center"/>
    </xf>
    <xf numFmtId="0" fontId="3" fillId="0" borderId="18" xfId="1" applyBorder="1" applyAlignment="1">
      <alignment horizontal="center"/>
    </xf>
    <xf numFmtId="0" fontId="4" fillId="0" borderId="18" xfId="1" applyFont="1" applyBorder="1" applyAlignment="1">
      <alignment horizontal="center"/>
    </xf>
    <xf numFmtId="0" fontId="3" fillId="0" borderId="20" xfId="1" applyBorder="1" applyAlignment="1">
      <alignment horizontal="center"/>
    </xf>
    <xf numFmtId="0" fontId="3" fillId="0" borderId="0" xfId="1" applyBorder="1" applyAlignment="1">
      <alignment horizontal="center"/>
    </xf>
    <xf numFmtId="11" fontId="3" fillId="0" borderId="20" xfId="1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14" xfId="0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6" xfId="0" applyNumberFormat="1" applyBorder="1" applyAlignment="1">
      <alignment horizontal="center"/>
    </xf>
    <xf numFmtId="169" fontId="0" fillId="0" borderId="36" xfId="0" applyNumberFormat="1" applyBorder="1"/>
    <xf numFmtId="0" fontId="2" fillId="2" borderId="13" xfId="0" applyNumberFormat="1" applyFont="1" applyFill="1" applyBorder="1" applyAlignment="1" applyProtection="1">
      <alignment horizontal="center"/>
      <protection locked="0"/>
    </xf>
    <xf numFmtId="21" fontId="2" fillId="2" borderId="11" xfId="0" applyNumberFormat="1" applyFont="1" applyFill="1" applyBorder="1" applyAlignment="1" applyProtection="1">
      <alignment horizontal="center"/>
      <protection locked="0"/>
    </xf>
    <xf numFmtId="170" fontId="0" fillId="31" borderId="36" xfId="0" applyNumberFormat="1" applyFill="1" applyBorder="1"/>
    <xf numFmtId="170" fontId="0" fillId="31" borderId="20" xfId="0" applyNumberFormat="1" applyFill="1" applyBorder="1"/>
    <xf numFmtId="170" fontId="0" fillId="39" borderId="36" xfId="0" applyNumberFormat="1" applyFill="1" applyBorder="1"/>
    <xf numFmtId="170" fontId="0" fillId="39" borderId="20" xfId="0" applyNumberFormat="1" applyFill="1" applyBorder="1"/>
    <xf numFmtId="0" fontId="20" fillId="35" borderId="36" xfId="0" applyFont="1" applyFill="1" applyBorder="1" applyAlignment="1">
      <alignment horizontal="right"/>
    </xf>
    <xf numFmtId="0" fontId="20" fillId="35" borderId="20" xfId="0" applyFont="1" applyFill="1" applyBorder="1" applyAlignment="1">
      <alignment horizontal="right"/>
    </xf>
    <xf numFmtId="0" fontId="20" fillId="35" borderId="19" xfId="0" applyFont="1" applyFill="1" applyBorder="1" applyAlignment="1">
      <alignment horizontal="right"/>
    </xf>
    <xf numFmtId="0" fontId="20" fillId="35" borderId="35" xfId="0" applyFont="1" applyFill="1" applyBorder="1" applyAlignment="1">
      <alignment horizontal="center"/>
    </xf>
    <xf numFmtId="0" fontId="0" fillId="31" borderId="26" xfId="0" applyFill="1" applyBorder="1" applyAlignment="1">
      <alignment horizontal="center"/>
    </xf>
    <xf numFmtId="0" fontId="0" fillId="31" borderId="6" xfId="0" applyFill="1" applyBorder="1" applyAlignment="1">
      <alignment horizontal="center"/>
    </xf>
    <xf numFmtId="0" fontId="0" fillId="31" borderId="14" xfId="0" applyFill="1" applyBorder="1" applyAlignment="1">
      <alignment horizontal="center"/>
    </xf>
    <xf numFmtId="169" fontId="0" fillId="31" borderId="36" xfId="0" applyNumberFormat="1" applyFill="1" applyBorder="1"/>
    <xf numFmtId="169" fontId="0" fillId="31" borderId="20" xfId="0" applyNumberFormat="1" applyFill="1" applyBorder="1"/>
    <xf numFmtId="169" fontId="0" fillId="31" borderId="19" xfId="0" applyNumberFormat="1" applyFill="1" applyBorder="1"/>
    <xf numFmtId="170" fontId="0" fillId="31" borderId="19" xfId="0" applyNumberFormat="1" applyFill="1" applyBorder="1"/>
    <xf numFmtId="169" fontId="0" fillId="40" borderId="36" xfId="0" applyNumberFormat="1" applyFill="1" applyBorder="1"/>
    <xf numFmtId="170" fontId="0" fillId="40" borderId="36" xfId="0" applyNumberFormat="1" applyFill="1" applyBorder="1"/>
    <xf numFmtId="169" fontId="0" fillId="40" borderId="20" xfId="0" applyNumberFormat="1" applyFill="1" applyBorder="1"/>
    <xf numFmtId="170" fontId="0" fillId="40" borderId="20" xfId="0" applyNumberFormat="1" applyFill="1" applyBorder="1"/>
    <xf numFmtId="169" fontId="0" fillId="40" borderId="19" xfId="0" applyNumberFormat="1" applyFill="1" applyBorder="1"/>
    <xf numFmtId="170" fontId="0" fillId="40" borderId="19" xfId="0" applyNumberFormat="1" applyFill="1" applyBorder="1"/>
    <xf numFmtId="0" fontId="31" fillId="2" borderId="9" xfId="0" applyFont="1" applyFill="1" applyBorder="1"/>
    <xf numFmtId="0" fontId="1" fillId="35" borderId="7" xfId="0" applyFont="1" applyFill="1" applyBorder="1" applyAlignment="1">
      <alignment horizontal="right"/>
    </xf>
    <xf numFmtId="0" fontId="1" fillId="35" borderId="10" xfId="0" applyFont="1" applyFill="1" applyBorder="1" applyAlignment="1">
      <alignment horizontal="right"/>
    </xf>
    <xf numFmtId="0" fontId="1" fillId="35" borderId="12" xfId="0" applyFont="1" applyFill="1" applyBorder="1" applyAlignment="1">
      <alignment horizontal="right"/>
    </xf>
    <xf numFmtId="168" fontId="2" fillId="31" borderId="11" xfId="0" applyNumberFormat="1" applyFont="1" applyFill="1" applyBorder="1" applyAlignment="1" applyProtection="1">
      <alignment horizontal="center"/>
      <protection locked="0"/>
    </xf>
    <xf numFmtId="0" fontId="2" fillId="0" borderId="26" xfId="1" applyFont="1" applyBorder="1"/>
    <xf numFmtId="0" fontId="2" fillId="0" borderId="6" xfId="1" applyFont="1" applyBorder="1"/>
    <xf numFmtId="0" fontId="2" fillId="0" borderId="14" xfId="1" applyFont="1" applyBorder="1"/>
    <xf numFmtId="0" fontId="3" fillId="0" borderId="41" xfId="1" applyBorder="1"/>
    <xf numFmtId="0" fontId="3" fillId="0" borderId="20" xfId="1" applyBorder="1"/>
    <xf numFmtId="0" fontId="3" fillId="0" borderId="19" xfId="1" applyBorder="1"/>
    <xf numFmtId="14" fontId="0" fillId="0" borderId="0" xfId="0" applyNumberFormat="1"/>
    <xf numFmtId="172" fontId="0" fillId="0" borderId="0" xfId="0" applyNumberFormat="1"/>
    <xf numFmtId="0" fontId="2" fillId="0" borderId="0" xfId="121" applyProtection="1"/>
    <xf numFmtId="0" fontId="2" fillId="0" borderId="0" xfId="121"/>
    <xf numFmtId="0" fontId="2" fillId="0" borderId="0" xfId="121" applyBorder="1" applyProtection="1"/>
    <xf numFmtId="173" fontId="2" fillId="30" borderId="19" xfId="121" applyNumberFormat="1" applyFont="1" applyFill="1" applyBorder="1" applyProtection="1"/>
    <xf numFmtId="174" fontId="2" fillId="30" borderId="19" xfId="121" applyNumberFormat="1" applyFont="1" applyFill="1" applyBorder="1" applyAlignment="1" applyProtection="1">
      <alignment horizontal="center"/>
    </xf>
    <xf numFmtId="173" fontId="2" fillId="30" borderId="20" xfId="121" applyNumberFormat="1" applyFont="1" applyFill="1" applyBorder="1" applyProtection="1"/>
    <xf numFmtId="174" fontId="2" fillId="30" borderId="20" xfId="121" applyNumberFormat="1" applyFont="1" applyFill="1" applyBorder="1" applyAlignment="1" applyProtection="1">
      <alignment horizontal="center"/>
    </xf>
    <xf numFmtId="0" fontId="2" fillId="0" borderId="42" xfId="121" applyBorder="1" applyAlignment="1" applyProtection="1">
      <alignment horizontal="center"/>
    </xf>
    <xf numFmtId="0" fontId="2" fillId="0" borderId="15" xfId="121" applyBorder="1" applyAlignment="1" applyProtection="1">
      <alignment horizontal="center"/>
    </xf>
    <xf numFmtId="0" fontId="2" fillId="0" borderId="14" xfId="121" applyBorder="1" applyAlignment="1" applyProtection="1">
      <alignment horizontal="center"/>
    </xf>
    <xf numFmtId="0" fontId="2" fillId="0" borderId="16" xfId="121" applyBorder="1" applyAlignment="1" applyProtection="1">
      <alignment horizontal="center"/>
    </xf>
    <xf numFmtId="1" fontId="2" fillId="0" borderId="19" xfId="121" applyNumberFormat="1" applyBorder="1" applyAlignment="1" applyProtection="1">
      <alignment horizontal="center"/>
    </xf>
    <xf numFmtId="0" fontId="2" fillId="0" borderId="9" xfId="121" applyBorder="1" applyAlignment="1" applyProtection="1">
      <alignment horizontal="center"/>
    </xf>
    <xf numFmtId="0" fontId="2" fillId="0" borderId="0" xfId="121" applyBorder="1" applyAlignment="1" applyProtection="1">
      <alignment horizontal="center"/>
    </xf>
    <xf numFmtId="0" fontId="2" fillId="0" borderId="6" xfId="121" applyBorder="1" applyAlignment="1" applyProtection="1">
      <alignment horizontal="center"/>
    </xf>
    <xf numFmtId="1" fontId="2" fillId="0" borderId="20" xfId="121" applyNumberFormat="1" applyBorder="1" applyAlignment="1" applyProtection="1">
      <alignment horizontal="center"/>
    </xf>
    <xf numFmtId="0" fontId="2" fillId="39" borderId="19" xfId="121" applyFill="1" applyBorder="1" applyAlignment="1">
      <alignment horizontal="center"/>
    </xf>
    <xf numFmtId="0" fontId="2" fillId="39" borderId="19" xfId="121" applyFill="1" applyBorder="1"/>
    <xf numFmtId="172" fontId="2" fillId="39" borderId="20" xfId="121" applyNumberFormat="1" applyFill="1" applyBorder="1" applyAlignment="1">
      <alignment horizontal="center"/>
    </xf>
    <xf numFmtId="0" fontId="2" fillId="39" borderId="20" xfId="121" applyFill="1" applyBorder="1"/>
    <xf numFmtId="172" fontId="2" fillId="0" borderId="16" xfId="121" applyNumberFormat="1" applyFill="1" applyBorder="1" applyAlignment="1" applyProtection="1">
      <alignment horizontal="center"/>
    </xf>
    <xf numFmtId="0" fontId="2" fillId="0" borderId="14" xfId="121" applyFill="1" applyBorder="1" applyAlignment="1" applyProtection="1">
      <alignment horizontal="center"/>
    </xf>
    <xf numFmtId="172" fontId="2" fillId="0" borderId="19" xfId="121" applyNumberFormat="1" applyFill="1" applyBorder="1" applyAlignment="1" applyProtection="1">
      <alignment horizontal="center"/>
    </xf>
    <xf numFmtId="172" fontId="2" fillId="26" borderId="19" xfId="121" applyNumberFormat="1" applyFill="1" applyBorder="1" applyAlignment="1" applyProtection="1">
      <alignment horizontal="center"/>
    </xf>
    <xf numFmtId="172" fontId="2" fillId="27" borderId="19" xfId="121" applyNumberFormat="1" applyFill="1" applyBorder="1" applyAlignment="1" applyProtection="1">
      <alignment horizontal="center"/>
    </xf>
    <xf numFmtId="0" fontId="2" fillId="29" borderId="19" xfId="121" applyFill="1" applyBorder="1" applyProtection="1"/>
    <xf numFmtId="0" fontId="2" fillId="39" borderId="20" xfId="121" applyNumberFormat="1" applyFill="1" applyBorder="1" applyAlignment="1">
      <alignment horizontal="center"/>
    </xf>
    <xf numFmtId="172" fontId="2" fillId="0" borderId="9" xfId="121" applyNumberFormat="1" applyFill="1" applyBorder="1" applyAlignment="1" applyProtection="1">
      <alignment horizontal="center"/>
    </xf>
    <xf numFmtId="0" fontId="2" fillId="0" borderId="6" xfId="121" applyFill="1" applyBorder="1" applyAlignment="1" applyProtection="1">
      <alignment horizontal="center"/>
    </xf>
    <xf numFmtId="172" fontId="2" fillId="0" borderId="20" xfId="121" applyNumberFormat="1" applyFill="1" applyBorder="1" applyAlignment="1" applyProtection="1">
      <alignment horizontal="center"/>
    </xf>
    <xf numFmtId="172" fontId="2" fillId="26" borderId="20" xfId="121" applyNumberFormat="1" applyFill="1" applyBorder="1" applyAlignment="1" applyProtection="1">
      <alignment horizontal="center"/>
    </xf>
    <xf numFmtId="172" fontId="2" fillId="27" borderId="20" xfId="121" applyNumberFormat="1" applyFill="1" applyBorder="1" applyAlignment="1" applyProtection="1">
      <alignment horizontal="center"/>
    </xf>
    <xf numFmtId="0" fontId="2" fillId="29" borderId="20" xfId="121" applyFill="1" applyBorder="1" applyProtection="1"/>
    <xf numFmtId="0" fontId="2" fillId="39" borderId="20" xfId="121" applyFill="1" applyBorder="1" applyAlignment="1">
      <alignment horizontal="center"/>
    </xf>
    <xf numFmtId="0" fontId="2" fillId="39" borderId="41" xfId="121" applyNumberFormat="1" applyFill="1" applyBorder="1" applyAlignment="1">
      <alignment horizontal="center"/>
    </xf>
    <xf numFmtId="0" fontId="2" fillId="39" borderId="41" xfId="121" applyFill="1" applyBorder="1"/>
    <xf numFmtId="0" fontId="2" fillId="0" borderId="0" xfId="121" applyBorder="1"/>
    <xf numFmtId="0" fontId="2" fillId="0" borderId="20" xfId="121" applyFill="1" applyBorder="1" applyAlignment="1">
      <alignment horizontal="center"/>
    </xf>
    <xf numFmtId="0" fontId="2" fillId="0" borderId="20" xfId="121" applyFill="1" applyBorder="1"/>
    <xf numFmtId="0" fontId="2" fillId="39" borderId="20" xfId="121" applyFont="1" applyFill="1" applyBorder="1"/>
    <xf numFmtId="0" fontId="4" fillId="0" borderId="42" xfId="121" applyFont="1" applyFill="1" applyBorder="1" applyAlignment="1">
      <alignment horizontal="center"/>
    </xf>
    <xf numFmtId="0" fontId="2" fillId="0" borderId="42" xfId="121" applyBorder="1" applyAlignment="1">
      <alignment horizontal="center"/>
    </xf>
    <xf numFmtId="0" fontId="4" fillId="0" borderId="42" xfId="121" applyFont="1" applyBorder="1"/>
    <xf numFmtId="0" fontId="2" fillId="31" borderId="42" xfId="121" applyFont="1" applyFill="1" applyBorder="1" applyAlignment="1" applyProtection="1">
      <alignment horizontal="center"/>
    </xf>
    <xf numFmtId="0" fontId="2" fillId="27" borderId="19" xfId="121" applyFont="1" applyFill="1" applyBorder="1" applyProtection="1"/>
    <xf numFmtId="172" fontId="2" fillId="31" borderId="19" xfId="121" applyNumberFormat="1" applyFill="1" applyBorder="1" applyAlignment="1">
      <alignment horizontal="center"/>
    </xf>
    <xf numFmtId="0" fontId="2" fillId="32" borderId="19" xfId="121" applyFill="1" applyBorder="1" applyProtection="1"/>
    <xf numFmtId="0" fontId="2" fillId="31" borderId="20" xfId="121" applyFill="1" applyBorder="1" applyAlignment="1">
      <alignment horizontal="center"/>
    </xf>
    <xf numFmtId="0" fontId="2" fillId="32" borderId="20" xfId="121" applyFill="1" applyBorder="1" applyProtection="1"/>
    <xf numFmtId="172" fontId="2" fillId="31" borderId="20" xfId="121" applyNumberFormat="1" applyFont="1" applyFill="1" applyBorder="1" applyAlignment="1" applyProtection="1">
      <alignment horizontal="center"/>
    </xf>
    <xf numFmtId="0" fontId="2" fillId="32" borderId="20" xfId="121" applyFont="1" applyFill="1" applyBorder="1" applyProtection="1"/>
    <xf numFmtId="0" fontId="2" fillId="0" borderId="16" xfId="121" applyFont="1" applyBorder="1" applyProtection="1"/>
    <xf numFmtId="0" fontId="2" fillId="0" borderId="14" xfId="121" applyBorder="1" applyProtection="1"/>
    <xf numFmtId="0" fontId="2" fillId="31" borderId="20" xfId="121" applyFont="1" applyFill="1" applyBorder="1" applyAlignment="1" applyProtection="1">
      <alignment horizontal="center"/>
    </xf>
    <xf numFmtId="0" fontId="2" fillId="0" borderId="9" xfId="121" applyFont="1" applyBorder="1" applyProtection="1"/>
    <xf numFmtId="0" fontId="2" fillId="0" borderId="6" xfId="121" applyBorder="1" applyProtection="1"/>
    <xf numFmtId="0" fontId="2" fillId="0" borderId="0" xfId="121" applyFont="1" applyProtection="1"/>
    <xf numFmtId="0" fontId="2" fillId="0" borderId="5" xfId="121" applyFont="1" applyBorder="1" applyProtection="1"/>
    <xf numFmtId="0" fontId="2" fillId="0" borderId="26" xfId="121" applyBorder="1" applyProtection="1"/>
    <xf numFmtId="0" fontId="2" fillId="31" borderId="20" xfId="121" applyFill="1" applyBorder="1" applyAlignment="1" applyProtection="1">
      <alignment horizontal="center"/>
    </xf>
    <xf numFmtId="0" fontId="2" fillId="0" borderId="5" xfId="121" applyBorder="1" applyProtection="1"/>
    <xf numFmtId="0" fontId="2" fillId="0" borderId="5" xfId="121" applyBorder="1" applyAlignment="1" applyProtection="1">
      <alignment horizontal="center"/>
    </xf>
    <xf numFmtId="0" fontId="2" fillId="0" borderId="45" xfId="121" applyBorder="1" applyAlignment="1" applyProtection="1">
      <alignment horizontal="center"/>
    </xf>
    <xf numFmtId="0" fontId="2" fillId="0" borderId="26" xfId="121" applyBorder="1" applyAlignment="1" applyProtection="1">
      <alignment horizontal="center"/>
    </xf>
    <xf numFmtId="1" fontId="2" fillId="0" borderId="41" xfId="121" applyNumberFormat="1" applyBorder="1" applyAlignment="1" applyProtection="1">
      <alignment horizontal="center"/>
    </xf>
    <xf numFmtId="0" fontId="2" fillId="31" borderId="41" xfId="121" applyFill="1" applyBorder="1" applyAlignment="1" applyProtection="1">
      <alignment horizontal="center"/>
    </xf>
    <xf numFmtId="0" fontId="2" fillId="32" borderId="41" xfId="121" applyFont="1" applyFill="1" applyBorder="1" applyProtection="1"/>
    <xf numFmtId="0" fontId="17" fillId="0" borderId="42" xfId="121" applyFont="1" applyBorder="1" applyAlignment="1" applyProtection="1">
      <alignment horizontal="center"/>
    </xf>
    <xf numFmtId="0" fontId="1" fillId="0" borderId="5" xfId="121" applyFont="1" applyBorder="1" applyAlignment="1" applyProtection="1">
      <alignment horizontal="center"/>
    </xf>
    <xf numFmtId="0" fontId="1" fillId="0" borderId="26" xfId="121" applyFont="1" applyBorder="1" applyAlignment="1" applyProtection="1">
      <alignment horizontal="center"/>
    </xf>
    <xf numFmtId="0" fontId="2" fillId="31" borderId="19" xfId="121" applyFont="1" applyFill="1" applyBorder="1" applyAlignment="1" applyProtection="1">
      <alignment horizontal="center"/>
    </xf>
    <xf numFmtId="0" fontId="2" fillId="35" borderId="19" xfId="121" applyFont="1" applyFill="1" applyBorder="1" applyProtection="1"/>
    <xf numFmtId="0" fontId="2" fillId="0" borderId="0" xfId="121" applyAlignment="1" applyProtection="1">
      <alignment horizontal="center"/>
    </xf>
    <xf numFmtId="0" fontId="2" fillId="31" borderId="20" xfId="121" applyFont="1" applyFill="1" applyBorder="1" applyAlignment="1">
      <alignment horizontal="center"/>
    </xf>
    <xf numFmtId="0" fontId="2" fillId="35" borderId="20" xfId="121" applyFont="1" applyFill="1" applyBorder="1"/>
    <xf numFmtId="0" fontId="2" fillId="31" borderId="41" xfId="121" applyFill="1" applyBorder="1" applyAlignment="1">
      <alignment horizontal="center"/>
    </xf>
    <xf numFmtId="0" fontId="2" fillId="35" borderId="41" xfId="121" applyFont="1" applyFill="1" applyBorder="1"/>
    <xf numFmtId="0" fontId="2" fillId="0" borderId="0" xfId="121" applyFont="1" applyBorder="1" applyProtection="1"/>
    <xf numFmtId="0" fontId="2" fillId="0" borderId="44" xfId="121" applyBorder="1" applyAlignment="1" applyProtection="1">
      <alignment horizontal="center"/>
    </xf>
    <xf numFmtId="0" fontId="2" fillId="0" borderId="43" xfId="121" applyBorder="1" applyAlignment="1" applyProtection="1">
      <alignment horizontal="center"/>
    </xf>
    <xf numFmtId="0" fontId="2" fillId="0" borderId="43" xfId="121" applyFont="1" applyBorder="1" applyAlignment="1" applyProtection="1">
      <alignment horizontal="center"/>
    </xf>
    <xf numFmtId="0" fontId="2" fillId="34" borderId="19" xfId="121" applyFont="1" applyFill="1" applyBorder="1" applyProtection="1"/>
    <xf numFmtId="0" fontId="1" fillId="0" borderId="44" xfId="121" applyFont="1" applyBorder="1" applyAlignment="1" applyProtection="1">
      <alignment horizontal="center"/>
    </xf>
    <xf numFmtId="0" fontId="1" fillId="0" borderId="43" xfId="121" applyFont="1" applyBorder="1" applyAlignment="1" applyProtection="1">
      <alignment horizontal="center"/>
    </xf>
    <xf numFmtId="172" fontId="2" fillId="0" borderId="5" xfId="121" applyNumberFormat="1" applyFill="1" applyBorder="1" applyAlignment="1" applyProtection="1">
      <alignment horizontal="center"/>
    </xf>
    <xf numFmtId="0" fontId="2" fillId="0" borderId="26" xfId="121" applyFill="1" applyBorder="1" applyAlignment="1" applyProtection="1">
      <alignment horizontal="center"/>
    </xf>
    <xf numFmtId="172" fontId="2" fillId="0" borderId="41" xfId="121" applyNumberFormat="1" applyFill="1" applyBorder="1" applyAlignment="1" applyProtection="1">
      <alignment horizontal="center"/>
    </xf>
    <xf numFmtId="172" fontId="2" fillId="26" borderId="41" xfId="121" applyNumberFormat="1" applyFill="1" applyBorder="1" applyAlignment="1" applyProtection="1">
      <alignment horizontal="center"/>
    </xf>
    <xf numFmtId="172" fontId="2" fillId="27" borderId="41" xfId="121" applyNumberFormat="1" applyFill="1" applyBorder="1" applyAlignment="1" applyProtection="1">
      <alignment horizontal="center"/>
    </xf>
    <xf numFmtId="0" fontId="2" fillId="36" borderId="19" xfId="121" applyFont="1" applyFill="1" applyBorder="1" applyProtection="1"/>
    <xf numFmtId="175" fontId="18" fillId="33" borderId="42" xfId="121" applyNumberFormat="1" applyFont="1" applyFill="1" applyBorder="1" applyAlignment="1" applyProtection="1">
      <alignment horizontal="center"/>
    </xf>
    <xf numFmtId="0" fontId="2" fillId="31" borderId="41" xfId="121" applyFont="1" applyFill="1" applyBorder="1" applyAlignment="1" applyProtection="1">
      <alignment horizontal="center"/>
    </xf>
    <xf numFmtId="0" fontId="2" fillId="36" borderId="41" xfId="121" applyFont="1" applyFill="1" applyBorder="1" applyProtection="1"/>
    <xf numFmtId="0" fontId="2" fillId="0" borderId="16" xfId="121" applyFill="1" applyBorder="1" applyAlignment="1" applyProtection="1">
      <alignment horizontal="center"/>
    </xf>
    <xf numFmtId="172" fontId="2" fillId="0" borderId="42" xfId="121" applyNumberFormat="1" applyFill="1" applyBorder="1" applyAlignment="1" applyProtection="1">
      <alignment horizontal="center"/>
    </xf>
    <xf numFmtId="172" fontId="2" fillId="26" borderId="42" xfId="121" applyNumberFormat="1" applyFill="1" applyBorder="1" applyAlignment="1" applyProtection="1">
      <alignment horizontal="center"/>
    </xf>
    <xf numFmtId="172" fontId="2" fillId="27" borderId="42" xfId="121" applyNumberFormat="1" applyFill="1" applyBorder="1" applyAlignment="1" applyProtection="1">
      <alignment horizontal="center"/>
    </xf>
    <xf numFmtId="176" fontId="2" fillId="28" borderId="42" xfId="121" applyNumberFormat="1" applyFill="1" applyBorder="1" applyAlignment="1" applyProtection="1">
      <alignment horizontal="center"/>
    </xf>
    <xf numFmtId="0" fontId="2" fillId="29" borderId="42" xfId="121" applyFill="1" applyBorder="1" applyProtection="1"/>
    <xf numFmtId="172" fontId="19" fillId="26" borderId="19" xfId="121" applyNumberFormat="1" applyFont="1" applyFill="1" applyBorder="1" applyAlignment="1" applyProtection="1">
      <alignment horizontal="center"/>
    </xf>
    <xf numFmtId="177" fontId="2" fillId="28" borderId="19" xfId="121" applyNumberFormat="1" applyFill="1" applyBorder="1" applyAlignment="1" applyProtection="1">
      <alignment horizontal="center"/>
    </xf>
    <xf numFmtId="173" fontId="2" fillId="0" borderId="16" xfId="121" applyNumberFormat="1" applyBorder="1" applyProtection="1"/>
    <xf numFmtId="0" fontId="2" fillId="0" borderId="15" xfId="121" applyBorder="1" applyProtection="1"/>
    <xf numFmtId="177" fontId="2" fillId="28" borderId="20" xfId="121" applyNumberFormat="1" applyFill="1" applyBorder="1" applyAlignment="1" applyProtection="1">
      <alignment horizontal="center"/>
    </xf>
    <xf numFmtId="173" fontId="2" fillId="0" borderId="9" xfId="121" applyNumberFormat="1" applyBorder="1" applyProtection="1"/>
    <xf numFmtId="21" fontId="2" fillId="31" borderId="42" xfId="121" applyNumberFormat="1" applyFill="1" applyBorder="1" applyAlignment="1">
      <alignment horizontal="center"/>
    </xf>
    <xf numFmtId="0" fontId="2" fillId="37" borderId="42" xfId="121" applyFont="1" applyFill="1" applyBorder="1"/>
    <xf numFmtId="0" fontId="4" fillId="0" borderId="0" xfId="121" applyFont="1" applyBorder="1" applyAlignment="1" applyProtection="1">
      <alignment horizontal="center"/>
    </xf>
    <xf numFmtId="0" fontId="2" fillId="36" borderId="20" xfId="121" applyFont="1" applyFill="1" applyBorder="1" applyProtection="1"/>
    <xf numFmtId="0" fontId="2" fillId="0" borderId="14" xfId="121" applyFont="1" applyBorder="1" applyProtection="1"/>
    <xf numFmtId="173" fontId="2" fillId="0" borderId="5" xfId="121" applyNumberFormat="1" applyBorder="1" applyProtection="1"/>
    <xf numFmtId="0" fontId="2" fillId="0" borderId="45" xfId="121" applyBorder="1" applyProtection="1"/>
    <xf numFmtId="0" fontId="2" fillId="0" borderId="26" xfId="121" applyFont="1" applyBorder="1" applyProtection="1"/>
    <xf numFmtId="0" fontId="2" fillId="35" borderId="19" xfId="121" applyFont="1" applyFill="1" applyBorder="1"/>
    <xf numFmtId="0" fontId="2" fillId="0" borderId="26" xfId="121" applyFont="1" applyBorder="1" applyAlignment="1" applyProtection="1">
      <alignment horizontal="center"/>
    </xf>
    <xf numFmtId="180" fontId="2" fillId="0" borderId="16" xfId="121" applyNumberFormat="1" applyBorder="1" applyProtection="1"/>
    <xf numFmtId="0" fontId="2" fillId="29" borderId="41" xfId="121" applyFill="1" applyBorder="1" applyProtection="1"/>
    <xf numFmtId="0" fontId="2" fillId="34" borderId="20" xfId="121" applyFont="1" applyFill="1" applyBorder="1" applyProtection="1"/>
    <xf numFmtId="180" fontId="2" fillId="0" borderId="9" xfId="121" applyNumberFormat="1" applyBorder="1" applyProtection="1"/>
    <xf numFmtId="1" fontId="2" fillId="28" borderId="19" xfId="121" applyNumberFormat="1" applyFill="1" applyBorder="1" applyAlignment="1" applyProtection="1">
      <alignment horizontal="center"/>
    </xf>
    <xf numFmtId="0" fontId="2" fillId="34" borderId="41" xfId="121" applyFont="1" applyFill="1" applyBorder="1" applyProtection="1"/>
    <xf numFmtId="180" fontId="2" fillId="0" borderId="5" xfId="121" applyNumberFormat="1" applyBorder="1" applyProtection="1"/>
    <xf numFmtId="0" fontId="2" fillId="31" borderId="20" xfId="121" applyFont="1" applyFill="1" applyBorder="1" applyAlignment="1" applyProtection="1">
      <alignment horizontal="center"/>
      <protection locked="0"/>
    </xf>
    <xf numFmtId="0" fontId="2" fillId="30" borderId="20" xfId="121" applyFont="1" applyFill="1" applyBorder="1" applyProtection="1"/>
    <xf numFmtId="0" fontId="1" fillId="0" borderId="0" xfId="121" applyFont="1" applyBorder="1" applyProtection="1"/>
    <xf numFmtId="0" fontId="1" fillId="0" borderId="6" xfId="121" applyFont="1" applyBorder="1" applyProtection="1"/>
    <xf numFmtId="173" fontId="2" fillId="30" borderId="41" xfId="121" applyNumberFormat="1" applyFont="1" applyFill="1" applyBorder="1" applyProtection="1"/>
    <xf numFmtId="174" fontId="2" fillId="30" borderId="41" xfId="121" applyNumberFormat="1" applyFont="1" applyFill="1" applyBorder="1" applyAlignment="1" applyProtection="1">
      <alignment horizontal="center"/>
    </xf>
    <xf numFmtId="169" fontId="2" fillId="31" borderId="41" xfId="121" applyNumberFormat="1" applyFont="1" applyFill="1" applyBorder="1" applyAlignment="1" applyProtection="1">
      <alignment horizontal="center"/>
    </xf>
    <xf numFmtId="14" fontId="2" fillId="30" borderId="41" xfId="121" applyNumberFormat="1" applyFont="1" applyFill="1" applyBorder="1" applyProtection="1"/>
    <xf numFmtId="0" fontId="1" fillId="0" borderId="5" xfId="121" applyFont="1" applyBorder="1" applyProtection="1"/>
    <xf numFmtId="0" fontId="1" fillId="0" borderId="45" xfId="121" applyFont="1" applyBorder="1" applyProtection="1"/>
    <xf numFmtId="0" fontId="1" fillId="0" borderId="26" xfId="121" applyFont="1" applyBorder="1" applyProtection="1"/>
    <xf numFmtId="0" fontId="18" fillId="33" borderId="42" xfId="121" applyNumberFormat="1" applyFont="1" applyFill="1" applyBorder="1" applyAlignment="1" applyProtection="1">
      <alignment horizontal="center"/>
    </xf>
    <xf numFmtId="174" fontId="2" fillId="0" borderId="0" xfId="121" applyNumberFormat="1" applyBorder="1" applyProtection="1"/>
    <xf numFmtId="172" fontId="4" fillId="41" borderId="41" xfId="121" applyNumberFormat="1" applyFont="1" applyFill="1" applyBorder="1" applyAlignment="1" applyProtection="1">
      <alignment horizontal="center"/>
    </xf>
    <xf numFmtId="172" fontId="4" fillId="41" borderId="19" xfId="121" applyNumberFormat="1" applyFont="1" applyFill="1" applyBorder="1" applyAlignment="1" applyProtection="1">
      <alignment horizontal="center"/>
    </xf>
    <xf numFmtId="0" fontId="2" fillId="29" borderId="41" xfId="121" applyFont="1" applyFill="1" applyBorder="1" applyProtection="1"/>
    <xf numFmtId="1" fontId="2" fillId="28" borderId="41" xfId="121" applyNumberFormat="1" applyFont="1" applyFill="1" applyBorder="1" applyAlignment="1" applyProtection="1">
      <alignment horizontal="center"/>
    </xf>
    <xf numFmtId="0" fontId="2" fillId="0" borderId="5" xfId="121" applyFont="1" applyBorder="1" applyAlignment="1" applyProtection="1">
      <alignment horizontal="center"/>
    </xf>
    <xf numFmtId="172" fontId="2" fillId="0" borderId="41" xfId="121" applyNumberFormat="1" applyFont="1" applyFill="1" applyBorder="1" applyAlignment="1" applyProtection="1">
      <alignment horizontal="center"/>
    </xf>
    <xf numFmtId="172" fontId="2" fillId="26" borderId="41" xfId="121" applyNumberFormat="1" applyFont="1" applyFill="1" applyBorder="1" applyAlignment="1" applyProtection="1">
      <alignment horizontal="center"/>
    </xf>
    <xf numFmtId="0" fontId="2" fillId="29" borderId="19" xfId="121" applyFont="1" applyFill="1" applyBorder="1" applyProtection="1"/>
    <xf numFmtId="1" fontId="2" fillId="28" borderId="19" xfId="121" applyNumberFormat="1" applyFont="1" applyFill="1" applyBorder="1" applyAlignment="1" applyProtection="1">
      <alignment horizontal="center"/>
    </xf>
    <xf numFmtId="0" fontId="2" fillId="0" borderId="14" xfId="121" applyFont="1" applyBorder="1" applyAlignment="1" applyProtection="1">
      <alignment horizontal="center"/>
    </xf>
    <xf numFmtId="0" fontId="2" fillId="0" borderId="16" xfId="121" applyFont="1" applyBorder="1" applyAlignment="1" applyProtection="1">
      <alignment horizontal="center"/>
    </xf>
    <xf numFmtId="172" fontId="2" fillId="0" borderId="19" xfId="121" applyNumberFormat="1" applyFont="1" applyFill="1" applyBorder="1" applyAlignment="1" applyProtection="1">
      <alignment horizontal="center"/>
    </xf>
    <xf numFmtId="172" fontId="2" fillId="26" borderId="19" xfId="121" applyNumberFormat="1" applyFont="1" applyFill="1" applyBorder="1" applyAlignment="1" applyProtection="1">
      <alignment horizontal="center"/>
    </xf>
    <xf numFmtId="0" fontId="1" fillId="0" borderId="42" xfId="121" applyFont="1" applyBorder="1" applyAlignment="1" applyProtection="1">
      <alignment horizontal="center"/>
    </xf>
    <xf numFmtId="0" fontId="2" fillId="0" borderId="16" xfId="121" quotePrefix="1" applyFont="1" applyBorder="1" applyProtection="1"/>
    <xf numFmtId="177" fontId="2" fillId="28" borderId="41" xfId="121" applyNumberFormat="1" applyFill="1" applyBorder="1" applyAlignment="1" applyProtection="1">
      <alignment horizontal="center"/>
    </xf>
    <xf numFmtId="0" fontId="2" fillId="42" borderId="0" xfId="121" applyFill="1" applyProtection="1"/>
    <xf numFmtId="0" fontId="2" fillId="42" borderId="0" xfId="121" applyFill="1" applyAlignment="1" applyProtection="1">
      <alignment horizontal="center"/>
    </xf>
    <xf numFmtId="0" fontId="0" fillId="42" borderId="0" xfId="0" applyFill="1"/>
    <xf numFmtId="0" fontId="17" fillId="42" borderId="42" xfId="121" applyFont="1" applyFill="1" applyBorder="1" applyAlignment="1" applyProtection="1">
      <alignment horizontal="center"/>
    </xf>
    <xf numFmtId="0" fontId="2" fillId="42" borderId="14" xfId="121" applyFill="1" applyBorder="1" applyAlignment="1" applyProtection="1">
      <alignment horizontal="center"/>
    </xf>
    <xf numFmtId="0" fontId="17" fillId="42" borderId="15" xfId="121" applyFont="1" applyFill="1" applyBorder="1" applyAlignment="1" applyProtection="1">
      <alignment horizontal="center"/>
    </xf>
    <xf numFmtId="0" fontId="0" fillId="42" borderId="42" xfId="0" applyFill="1" applyBorder="1" applyAlignment="1">
      <alignment horizontal="center"/>
    </xf>
    <xf numFmtId="0" fontId="0" fillId="42" borderId="0" xfId="0" applyFill="1" applyBorder="1" applyAlignment="1">
      <alignment horizontal="center"/>
    </xf>
    <xf numFmtId="0" fontId="2" fillId="42" borderId="26" xfId="121" applyFill="1" applyBorder="1" applyAlignment="1" applyProtection="1">
      <alignment horizontal="center"/>
    </xf>
    <xf numFmtId="0" fontId="2" fillId="42" borderId="45" xfId="121" applyFill="1" applyBorder="1" applyAlignment="1" applyProtection="1">
      <alignment horizontal="center"/>
    </xf>
    <xf numFmtId="0" fontId="2" fillId="42" borderId="0" xfId="121" applyFill="1" applyBorder="1" applyAlignment="1" applyProtection="1">
      <alignment horizontal="center"/>
    </xf>
    <xf numFmtId="0" fontId="2" fillId="42" borderId="5" xfId="121" applyFill="1" applyBorder="1" applyAlignment="1" applyProtection="1">
      <alignment horizontal="center"/>
    </xf>
    <xf numFmtId="0" fontId="0" fillId="42" borderId="43" xfId="0" applyFill="1" applyBorder="1" applyAlignment="1">
      <alignment horizontal="center"/>
    </xf>
    <xf numFmtId="0" fontId="0" fillId="42" borderId="26" xfId="0" applyFill="1" applyBorder="1" applyAlignment="1">
      <alignment horizontal="center"/>
    </xf>
    <xf numFmtId="0" fontId="0" fillId="42" borderId="5" xfId="0" applyFill="1" applyBorder="1" applyAlignment="1">
      <alignment horizontal="center"/>
    </xf>
    <xf numFmtId="0" fontId="2" fillId="42" borderId="5" xfId="121" applyFill="1" applyBorder="1" applyProtection="1"/>
    <xf numFmtId="0" fontId="2" fillId="42" borderId="6" xfId="121" applyFill="1" applyBorder="1" applyAlignment="1" applyProtection="1">
      <alignment horizontal="center"/>
    </xf>
    <xf numFmtId="0" fontId="2" fillId="42" borderId="9" xfId="121" applyFill="1" applyBorder="1" applyAlignment="1" applyProtection="1">
      <alignment horizontal="center"/>
    </xf>
    <xf numFmtId="0" fontId="0" fillId="42" borderId="6" xfId="0" applyFill="1" applyBorder="1" applyAlignment="1">
      <alignment horizontal="center"/>
    </xf>
    <xf numFmtId="0" fontId="0" fillId="42" borderId="9" xfId="0" applyFill="1" applyBorder="1" applyAlignment="1">
      <alignment horizontal="center"/>
    </xf>
    <xf numFmtId="0" fontId="2" fillId="42" borderId="9" xfId="121" applyFill="1" applyBorder="1" applyProtection="1"/>
    <xf numFmtId="0" fontId="0" fillId="42" borderId="14" xfId="0" applyFill="1" applyBorder="1" applyAlignment="1">
      <alignment horizontal="center"/>
    </xf>
    <xf numFmtId="0" fontId="0" fillId="42" borderId="6" xfId="0" applyFill="1" applyBorder="1"/>
    <xf numFmtId="0" fontId="0" fillId="42" borderId="9" xfId="0" applyFill="1" applyBorder="1"/>
    <xf numFmtId="0" fontId="2" fillId="42" borderId="16" xfId="121" applyFill="1" applyBorder="1" applyProtection="1"/>
    <xf numFmtId="0" fontId="2" fillId="43" borderId="6" xfId="121" applyFill="1" applyBorder="1" applyProtection="1"/>
    <xf numFmtId="0" fontId="2" fillId="43" borderId="9" xfId="121" applyFill="1" applyBorder="1" applyProtection="1"/>
    <xf numFmtId="0" fontId="2" fillId="42" borderId="15" xfId="121" applyFill="1" applyBorder="1" applyAlignment="1" applyProtection="1">
      <alignment horizontal="center"/>
    </xf>
    <xf numFmtId="0" fontId="2" fillId="42" borderId="42" xfId="121" applyFill="1" applyBorder="1" applyAlignment="1" applyProtection="1">
      <alignment horizontal="center"/>
    </xf>
    <xf numFmtId="0" fontId="0" fillId="42" borderId="15" xfId="0" applyFill="1" applyBorder="1" applyAlignment="1">
      <alignment horizontal="center"/>
    </xf>
    <xf numFmtId="0" fontId="0" fillId="42" borderId="16" xfId="0" applyFill="1" applyBorder="1" applyAlignment="1">
      <alignment horizontal="center"/>
    </xf>
    <xf numFmtId="0" fontId="2" fillId="43" borderId="14" xfId="121" applyFill="1" applyBorder="1" applyProtection="1"/>
    <xf numFmtId="0" fontId="2" fillId="43" borderId="16" xfId="121" applyFill="1" applyBorder="1" applyProtection="1"/>
    <xf numFmtId="0" fontId="33" fillId="44" borderId="42" xfId="121" applyFont="1" applyFill="1" applyBorder="1" applyAlignment="1">
      <alignment horizontal="center"/>
    </xf>
    <xf numFmtId="0" fontId="34" fillId="45" borderId="42" xfId="121" applyFont="1" applyFill="1" applyBorder="1"/>
    <xf numFmtId="0" fontId="2" fillId="0" borderId="16" xfId="121" applyBorder="1" applyProtection="1"/>
    <xf numFmtId="0" fontId="36" fillId="0" borderId="58" xfId="0" applyFont="1" applyBorder="1"/>
    <xf numFmtId="0" fontId="36" fillId="0" borderId="58" xfId="121" applyFont="1" applyBorder="1"/>
    <xf numFmtId="0" fontId="1" fillId="42" borderId="26" xfId="121" applyFont="1" applyFill="1" applyBorder="1" applyAlignment="1" applyProtection="1">
      <alignment horizontal="center"/>
    </xf>
    <xf numFmtId="0" fontId="1" fillId="42" borderId="5" xfId="121" applyFont="1" applyFill="1" applyBorder="1" applyAlignment="1" applyProtection="1">
      <alignment horizontal="center"/>
    </xf>
    <xf numFmtId="0" fontId="2" fillId="42" borderId="26" xfId="121" applyFill="1" applyBorder="1" applyProtection="1"/>
    <xf numFmtId="0" fontId="2" fillId="42" borderId="5" xfId="121" applyFont="1" applyFill="1" applyBorder="1" applyProtection="1"/>
    <xf numFmtId="0" fontId="2" fillId="42" borderId="6" xfId="121" applyFill="1" applyBorder="1" applyProtection="1"/>
    <xf numFmtId="0" fontId="2" fillId="42" borderId="9" xfId="121" applyFont="1" applyFill="1" applyBorder="1" applyProtection="1"/>
    <xf numFmtId="0" fontId="2" fillId="42" borderId="16" xfId="121" applyFill="1" applyBorder="1" applyAlignment="1" applyProtection="1">
      <alignment horizontal="center"/>
    </xf>
    <xf numFmtId="0" fontId="2" fillId="42" borderId="14" xfId="121" applyFill="1" applyBorder="1" applyProtection="1"/>
    <xf numFmtId="0" fontId="2" fillId="42" borderId="16" xfId="121" applyFont="1" applyFill="1" applyBorder="1" applyProtection="1"/>
    <xf numFmtId="178" fontId="2" fillId="28" borderId="41" xfId="121" applyNumberFormat="1" applyFont="1" applyFill="1" applyBorder="1" applyAlignment="1" applyProtection="1">
      <alignment horizontal="center"/>
    </xf>
    <xf numFmtId="178" fontId="2" fillId="28" borderId="20" xfId="121" applyNumberFormat="1" applyFont="1" applyFill="1" applyBorder="1" applyAlignment="1" applyProtection="1">
      <alignment horizontal="center"/>
    </xf>
    <xf numFmtId="178" fontId="2" fillId="28" borderId="19" xfId="121" applyNumberFormat="1" applyFont="1" applyFill="1" applyBorder="1" applyAlignment="1" applyProtection="1">
      <alignment horizontal="center"/>
    </xf>
    <xf numFmtId="177" fontId="2" fillId="28" borderId="20" xfId="121" applyNumberFormat="1" applyFont="1" applyFill="1" applyBorder="1" applyAlignment="1" applyProtection="1">
      <alignment horizontal="center"/>
    </xf>
    <xf numFmtId="0" fontId="18" fillId="33" borderId="58" xfId="121" applyNumberFormat="1" applyFont="1" applyFill="1" applyBorder="1" applyAlignment="1" applyProtection="1">
      <alignment horizontal="center"/>
    </xf>
    <xf numFmtId="173" fontId="2" fillId="30" borderId="41" xfId="121" applyNumberFormat="1" applyFont="1" applyFill="1" applyBorder="1" applyAlignment="1" applyProtection="1"/>
    <xf numFmtId="0" fontId="0" fillId="0" borderId="58" xfId="0" applyBorder="1" applyAlignment="1">
      <alignment horizontal="center"/>
    </xf>
    <xf numFmtId="0" fontId="37" fillId="0" borderId="58" xfId="0" applyFont="1" applyBorder="1" applyAlignment="1">
      <alignment horizontal="right"/>
    </xf>
    <xf numFmtId="0" fontId="38" fillId="0" borderId="20" xfId="0" applyFont="1" applyBorder="1" applyAlignment="1">
      <alignment horizontal="right"/>
    </xf>
    <xf numFmtId="0" fontId="0" fillId="0" borderId="41" xfId="0" applyBorder="1" applyAlignment="1">
      <alignment horizontal="center"/>
    </xf>
    <xf numFmtId="0" fontId="38" fillId="0" borderId="41" xfId="0" applyFont="1" applyBorder="1" applyAlignment="1">
      <alignment horizontal="right"/>
    </xf>
    <xf numFmtId="0" fontId="39" fillId="47" borderId="58" xfId="0" applyFont="1" applyFill="1" applyBorder="1" applyAlignment="1">
      <alignment horizontal="centerContinuous" vertical="center"/>
    </xf>
    <xf numFmtId="0" fontId="2" fillId="35" borderId="47" xfId="121" applyFont="1" applyFill="1" applyBorder="1"/>
    <xf numFmtId="0" fontId="0" fillId="31" borderId="6" xfId="0" applyFill="1" applyBorder="1" applyAlignment="1">
      <alignment horizontal="center"/>
    </xf>
    <xf numFmtId="0" fontId="0" fillId="31" borderId="6" xfId="0" applyFill="1" applyBorder="1" applyAlignment="1">
      <alignment horizontal="center"/>
    </xf>
    <xf numFmtId="0" fontId="0" fillId="31" borderId="48" xfId="0" applyFill="1" applyBorder="1" applyAlignment="1">
      <alignment horizontal="center"/>
    </xf>
    <xf numFmtId="0" fontId="2" fillId="39" borderId="43" xfId="121" applyFont="1" applyFill="1" applyBorder="1" applyAlignment="1" applyProtection="1">
      <alignment horizontal="center"/>
    </xf>
    <xf numFmtId="0" fontId="2" fillId="39" borderId="44" xfId="121" applyFont="1" applyFill="1" applyBorder="1" applyAlignment="1" applyProtection="1">
      <alignment horizontal="center"/>
    </xf>
    <xf numFmtId="0" fontId="35" fillId="35" borderId="54" xfId="0" applyFont="1" applyFill="1" applyBorder="1"/>
    <xf numFmtId="181" fontId="0" fillId="39" borderId="65" xfId="0" applyNumberFormat="1" applyFill="1" applyBorder="1"/>
    <xf numFmtId="0" fontId="35" fillId="35" borderId="61" xfId="0" applyFont="1" applyFill="1" applyBorder="1"/>
    <xf numFmtId="21" fontId="0" fillId="39" borderId="63" xfId="0" applyNumberFormat="1" applyFill="1" applyBorder="1"/>
    <xf numFmtId="0" fontId="35" fillId="35" borderId="57" xfId="0" applyFont="1" applyFill="1" applyBorder="1"/>
    <xf numFmtId="21" fontId="0" fillId="39" borderId="64" xfId="0" applyNumberFormat="1" applyFill="1" applyBorder="1"/>
    <xf numFmtId="0" fontId="2" fillId="35" borderId="50" xfId="121" applyFont="1" applyFill="1" applyBorder="1"/>
    <xf numFmtId="0" fontId="35" fillId="35" borderId="66" xfId="0" applyFont="1" applyFill="1" applyBorder="1" applyAlignment="1">
      <alignment horizontal="center"/>
    </xf>
    <xf numFmtId="0" fontId="0" fillId="31" borderId="56" xfId="0" applyFill="1" applyBorder="1" applyAlignment="1" applyProtection="1">
      <alignment horizontal="center"/>
      <protection locked="0"/>
    </xf>
    <xf numFmtId="0" fontId="1" fillId="35" borderId="47" xfId="121" applyFont="1" applyFill="1" applyBorder="1"/>
    <xf numFmtId="0" fontId="1" fillId="35" borderId="52" xfId="121" applyFont="1" applyFill="1" applyBorder="1"/>
    <xf numFmtId="0" fontId="35" fillId="35" borderId="48" xfId="0" applyFont="1" applyFill="1" applyBorder="1"/>
    <xf numFmtId="0" fontId="35" fillId="46" borderId="66" xfId="0" applyFont="1" applyFill="1" applyBorder="1" applyAlignment="1">
      <alignment horizontal="center"/>
    </xf>
    <xf numFmtId="0" fontId="0" fillId="39" borderId="53" xfId="0" applyFill="1" applyBorder="1"/>
    <xf numFmtId="0" fontId="0" fillId="39" borderId="54" xfId="0" applyFill="1" applyBorder="1"/>
    <xf numFmtId="0" fontId="0" fillId="39" borderId="55" xfId="0" applyFill="1" applyBorder="1"/>
    <xf numFmtId="0" fontId="0" fillId="39" borderId="53" xfId="0" applyFill="1" applyBorder="1" applyAlignment="1"/>
    <xf numFmtId="0" fontId="35" fillId="48" borderId="67" xfId="0" applyFont="1" applyFill="1" applyBorder="1"/>
    <xf numFmtId="0" fontId="0" fillId="39" borderId="68" xfId="0" applyFill="1" applyBorder="1"/>
    <xf numFmtId="0" fontId="0" fillId="39" borderId="61" xfId="0" applyFill="1" applyBorder="1"/>
    <xf numFmtId="0" fontId="0" fillId="39" borderId="48" xfId="0" applyFill="1" applyBorder="1"/>
    <xf numFmtId="0" fontId="0" fillId="39" borderId="68" xfId="0" applyFill="1" applyBorder="1" applyAlignment="1"/>
    <xf numFmtId="0" fontId="0" fillId="0" borderId="0" xfId="0" applyNumberFormat="1"/>
    <xf numFmtId="0" fontId="0" fillId="39" borderId="56" xfId="0" applyFill="1" applyBorder="1"/>
    <xf numFmtId="0" fontId="0" fillId="39" borderId="57" xfId="0" applyFill="1" applyBorder="1"/>
    <xf numFmtId="0" fontId="0" fillId="39" borderId="51" xfId="0" applyFill="1" applyBorder="1"/>
    <xf numFmtId="0" fontId="0" fillId="39" borderId="56" xfId="0" applyFill="1" applyBorder="1" applyAlignment="1"/>
    <xf numFmtId="0" fontId="1" fillId="35" borderId="1" xfId="0" applyFont="1" applyFill="1" applyBorder="1" applyAlignment="1">
      <alignment horizontal="center"/>
    </xf>
    <xf numFmtId="0" fontId="1" fillId="35" borderId="2" xfId="0" applyFont="1" applyFill="1" applyBorder="1" applyAlignment="1">
      <alignment horizontal="center"/>
    </xf>
    <xf numFmtId="0" fontId="1" fillId="35" borderId="3" xfId="0" applyFont="1" applyFill="1" applyBorder="1" applyAlignment="1">
      <alignment horizontal="center"/>
    </xf>
    <xf numFmtId="175" fontId="1" fillId="35" borderId="27" xfId="1" applyNumberFormat="1" applyFont="1" applyFill="1" applyBorder="1" applyAlignment="1" applyProtection="1">
      <alignment horizontal="center"/>
    </xf>
    <xf numFmtId="175" fontId="1" fillId="35" borderId="28" xfId="1" applyNumberFormat="1" applyFont="1" applyFill="1" applyBorder="1" applyAlignment="1" applyProtection="1">
      <alignment horizontal="center"/>
    </xf>
    <xf numFmtId="175" fontId="18" fillId="33" borderId="43" xfId="121" applyNumberFormat="1" applyFont="1" applyFill="1" applyBorder="1" applyAlignment="1" applyProtection="1">
      <alignment horizontal="center"/>
    </xf>
    <xf numFmtId="175" fontId="18" fillId="33" borderId="44" xfId="121" applyNumberFormat="1" applyFont="1" applyFill="1" applyBorder="1" applyAlignment="1" applyProtection="1">
      <alignment horizontal="center"/>
    </xf>
    <xf numFmtId="0" fontId="35" fillId="35" borderId="60" xfId="0" applyFont="1" applyFill="1" applyBorder="1" applyAlignment="1">
      <alignment horizontal="center"/>
    </xf>
    <xf numFmtId="0" fontId="35" fillId="35" borderId="46" xfId="0" applyFont="1" applyFill="1" applyBorder="1" applyAlignment="1">
      <alignment horizontal="center"/>
    </xf>
    <xf numFmtId="0" fontId="35" fillId="35" borderId="53" xfId="0" applyFont="1" applyFill="1" applyBorder="1" applyAlignment="1">
      <alignment horizontal="center" vertical="center" wrapText="1"/>
    </xf>
    <xf numFmtId="0" fontId="35" fillId="35" borderId="56" xfId="0" applyFont="1" applyFill="1" applyBorder="1" applyAlignment="1">
      <alignment horizontal="center" vertical="center" wrapText="1"/>
    </xf>
    <xf numFmtId="175" fontId="18" fillId="33" borderId="60" xfId="121" applyNumberFormat="1" applyFont="1" applyFill="1" applyBorder="1" applyAlignment="1" applyProtection="1">
      <alignment horizontal="center"/>
    </xf>
    <xf numFmtId="175" fontId="18" fillId="33" borderId="59" xfId="121" applyNumberFormat="1" applyFont="1" applyFill="1" applyBorder="1" applyAlignment="1" applyProtection="1">
      <alignment horizontal="center"/>
    </xf>
    <xf numFmtId="175" fontId="18" fillId="33" borderId="46" xfId="121" applyNumberFormat="1" applyFont="1" applyFill="1" applyBorder="1" applyAlignment="1" applyProtection="1">
      <alignment horizontal="center"/>
    </xf>
    <xf numFmtId="0" fontId="0" fillId="31" borderId="6" xfId="0" applyFill="1" applyBorder="1" applyAlignment="1">
      <alignment horizontal="center"/>
    </xf>
    <xf numFmtId="0" fontId="0" fillId="31" borderId="48" xfId="0" applyFill="1" applyBorder="1" applyAlignment="1">
      <alignment horizontal="center"/>
    </xf>
    <xf numFmtId="0" fontId="0" fillId="31" borderId="14" xfId="0" applyFill="1" applyBorder="1" applyAlignment="1">
      <alignment horizontal="center"/>
    </xf>
    <xf numFmtId="0" fontId="0" fillId="31" borderId="49" xfId="0" applyFill="1" applyBorder="1" applyAlignment="1">
      <alignment horizontal="center"/>
    </xf>
    <xf numFmtId="0" fontId="35" fillId="31" borderId="6" xfId="0" applyNumberFormat="1" applyFont="1" applyFill="1" applyBorder="1" applyAlignment="1">
      <alignment horizontal="center"/>
    </xf>
    <xf numFmtId="0" fontId="35" fillId="31" borderId="48" xfId="0" applyNumberFormat="1" applyFont="1" applyFill="1" applyBorder="1" applyAlignment="1">
      <alignment horizontal="center"/>
    </xf>
    <xf numFmtId="0" fontId="35" fillId="31" borderId="62" xfId="0" applyFont="1" applyFill="1" applyBorder="1" applyAlignment="1">
      <alignment horizontal="center"/>
    </xf>
    <xf numFmtId="0" fontId="35" fillId="31" borderId="51" xfId="0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3" xfId="1" applyBorder="1" applyAlignment="1"/>
  </cellXfs>
  <cellStyles count="123">
    <cellStyle name="20% - Accent1 2" xfId="39"/>
    <cellStyle name="20% - Accent2 2" xfId="40"/>
    <cellStyle name="20% - Accent3 2" xfId="41"/>
    <cellStyle name="20% - Accent4 2" xfId="42"/>
    <cellStyle name="20% - Accent5 2" xfId="43"/>
    <cellStyle name="20% - Accent6 2" xfId="44"/>
    <cellStyle name="20% - Colore 1" xfId="2"/>
    <cellStyle name="20% - Colore 2" xfId="3"/>
    <cellStyle name="20% - Colore 3" xfId="4"/>
    <cellStyle name="20% - Colore 4" xfId="5"/>
    <cellStyle name="20% - Colore 5" xfId="6"/>
    <cellStyle name="20% - Colore 6" xfId="7"/>
    <cellStyle name="40% - Accent1 2" xfId="45"/>
    <cellStyle name="40% - Accent2 2" xfId="46"/>
    <cellStyle name="40% - Accent3 2" xfId="47"/>
    <cellStyle name="40% - Accent4 2" xfId="48"/>
    <cellStyle name="40% - Accent5 2" xfId="49"/>
    <cellStyle name="40% - Accent6 2" xfId="50"/>
    <cellStyle name="40% - Colore 1" xfId="8"/>
    <cellStyle name="40% - Colore 2" xfId="9"/>
    <cellStyle name="40% - Colore 3" xfId="10"/>
    <cellStyle name="40% - Colore 4" xfId="11"/>
    <cellStyle name="40% - Colore 5" xfId="12"/>
    <cellStyle name="40% - Colore 6" xfId="13"/>
    <cellStyle name="60% - Accent1 2" xfId="51"/>
    <cellStyle name="60% - Accent2 2" xfId="52"/>
    <cellStyle name="60% - Accent3 2" xfId="53"/>
    <cellStyle name="60% - Accent4 2" xfId="54"/>
    <cellStyle name="60% - Accent5 2" xfId="55"/>
    <cellStyle name="60% - Accent6 2" xfId="56"/>
    <cellStyle name="60% - Colore 1" xfId="14"/>
    <cellStyle name="60% - Colore 2" xfId="15"/>
    <cellStyle name="60% - Colore 3" xfId="16"/>
    <cellStyle name="60% - Colore 4" xfId="17"/>
    <cellStyle name="60% - Colore 5" xfId="18"/>
    <cellStyle name="60% - Colore 6" xfId="19"/>
    <cellStyle name="Accent1 2" xfId="57"/>
    <cellStyle name="Accent2 2" xfId="58"/>
    <cellStyle name="Accent3 2" xfId="59"/>
    <cellStyle name="Accent4 2" xfId="60"/>
    <cellStyle name="Accent5 2" xfId="61"/>
    <cellStyle name="Accent6 2" xfId="62"/>
    <cellStyle name="Bad 2" xfId="63"/>
    <cellStyle name="Calcolo" xfId="20"/>
    <cellStyle name="Calcolo 2" xfId="64"/>
    <cellStyle name="Calcolo 2 2" xfId="99"/>
    <cellStyle name="Calcolo 2 3" xfId="100"/>
    <cellStyle name="Calcolo 3" xfId="101"/>
    <cellStyle name="Calcolo 4" xfId="102"/>
    <cellStyle name="Calculation 2" xfId="65"/>
    <cellStyle name="Calculation 2 2" xfId="103"/>
    <cellStyle name="Calculation 2 3" xfId="104"/>
    <cellStyle name="Cella collegata" xfId="21"/>
    <cellStyle name="Cella da controllare" xfId="22"/>
    <cellStyle name="Check Cell 2" xfId="66"/>
    <cellStyle name="Colore 1" xfId="23"/>
    <cellStyle name="Colore 2" xfId="24"/>
    <cellStyle name="Colore 3" xfId="25"/>
    <cellStyle name="Colore 4" xfId="26"/>
    <cellStyle name="Colore 5" xfId="27"/>
    <cellStyle name="Colore 6" xfId="28"/>
    <cellStyle name="Euro" xfId="29"/>
    <cellStyle name="Explanatory Text 2" xfId="67"/>
    <cellStyle name="Good 2" xfId="68"/>
    <cellStyle name="Heading 1 2" xfId="69"/>
    <cellStyle name="Heading 2 2" xfId="70"/>
    <cellStyle name="Heading 3 2" xfId="71"/>
    <cellStyle name="Heading 4 2" xfId="72"/>
    <cellStyle name="Input 2" xfId="73"/>
    <cellStyle name="Input 2 2" xfId="105"/>
    <cellStyle name="Input 2 3" xfId="106"/>
    <cellStyle name="Linked Cell 2" xfId="74"/>
    <cellStyle name="Migliaia (0)_Anagrafiche Mutui" xfId="30"/>
    <cellStyle name="Migliaia_BENCH2" xfId="75"/>
    <cellStyle name="Neutral 2" xfId="76"/>
    <cellStyle name="Neutrale" xfId="31"/>
    <cellStyle name="Normal" xfId="0" builtinId="0"/>
    <cellStyle name="Normal 2" xfId="1"/>
    <cellStyle name="Normal 2 2" xfId="77"/>
    <cellStyle name="Normal 2 3" xfId="121"/>
    <cellStyle name="Normal 3" xfId="38"/>
    <cellStyle name="Normal 4" xfId="96"/>
    <cellStyle name="Normal 5" xfId="98"/>
    <cellStyle name="Normal 9" xfId="97"/>
    <cellStyle name="Normale_BENCH2" xfId="78"/>
    <cellStyle name="Nota" xfId="32"/>
    <cellStyle name="Nota 2" xfId="79"/>
    <cellStyle name="Nota 2 2" xfId="107"/>
    <cellStyle name="Nota 2 3" xfId="108"/>
    <cellStyle name="Nota 3" xfId="109"/>
    <cellStyle name="Nota 4" xfId="110"/>
    <cellStyle name="Note 2" xfId="80"/>
    <cellStyle name="Note 2 2" xfId="111"/>
    <cellStyle name="Note 2 3" xfId="112"/>
    <cellStyle name="Output 2" xfId="81"/>
    <cellStyle name="Output 2 2" xfId="113"/>
    <cellStyle name="Output 2 3" xfId="114"/>
    <cellStyle name="Percent 2" xfId="82"/>
    <cellStyle name="result" xfId="83"/>
    <cellStyle name="Testo avviso" xfId="33"/>
    <cellStyle name="Testo descrittivo" xfId="34"/>
    <cellStyle name="Title 2" xfId="84"/>
    <cellStyle name="Titolo" xfId="35"/>
    <cellStyle name="Titolo 1" xfId="36"/>
    <cellStyle name="Titolo 2" xfId="85"/>
    <cellStyle name="Titolo 3" xfId="86"/>
    <cellStyle name="Titolo 4" xfId="87"/>
    <cellStyle name="Titolo_ZCurve" xfId="88"/>
    <cellStyle name="Total 2" xfId="89"/>
    <cellStyle name="Total 2 2" xfId="115"/>
    <cellStyle name="Total 2 3" xfId="116"/>
    <cellStyle name="Totale" xfId="90"/>
    <cellStyle name="Totale 2" xfId="117"/>
    <cellStyle name="Totale 3" xfId="118"/>
    <cellStyle name="Trigger" xfId="37"/>
    <cellStyle name="Trigger 2" xfId="119"/>
    <cellStyle name="Trigger 3" xfId="120"/>
    <cellStyle name="Trigger 4" xfId="122"/>
    <cellStyle name="Valore non valido" xfId="91"/>
    <cellStyle name="Valore valido" xfId="92"/>
    <cellStyle name="Valuta (0)_Anagrafiche Mutui" xfId="93"/>
    <cellStyle name="Valuta_BENCH2" xfId="94"/>
    <cellStyle name="Warning Text 2" xfId="95"/>
  </cellStyles>
  <dxfs count="22"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0" tint="-0.14996795556505021"/>
      </font>
    </dxf>
    <dxf>
      <font>
        <b val="0"/>
        <i/>
        <color theme="0" tint="-0.14996795556505021"/>
      </font>
    </dxf>
  </dxfs>
  <tableStyles count="0" defaultTableStyle="TableStyleMedium2" defaultPivotStyle="PivotStyleLight16"/>
  <colors>
    <mruColors>
      <color rgb="FF99CCFF"/>
      <color rgb="FFCCFFCC"/>
      <color rgb="FFFFCCFF"/>
      <color rgb="FFCCFFFF"/>
      <color rgb="FF66FF66"/>
      <color rgb="FFFF66FF"/>
      <color rgb="FFCCCCFF"/>
      <color rgb="FFF9A9AB"/>
      <color rgb="FFCCECF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'USDBASIS(EURON)'!$AR$30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'USDBASIS(EURON)'!$AQ$31:$AQ$60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'USDBASIS(EURON)'!$AR$31:$AR$60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90144"/>
        <c:axId val="218820608"/>
      </c:scatterChart>
      <c:valAx>
        <c:axId val="218790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8820608"/>
        <c:crosses val="autoZero"/>
        <c:crossBetween val="midCat"/>
      </c:valAx>
      <c:valAx>
        <c:axId val="21882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9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'GBPBASIS(EURON,USD)'!$AR$30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'GBPBASIS(EURON,USD)'!$AQ$31:$AQ$60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'GBPBASIS(EURON,USD)'!$AR$31:$AR$60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73312"/>
        <c:axId val="220336128"/>
      </c:scatterChart>
      <c:valAx>
        <c:axId val="22097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0336128"/>
        <c:crosses val="autoZero"/>
        <c:crossBetween val="midCat"/>
      </c:valAx>
      <c:valAx>
        <c:axId val="22033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97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1268083</xdr:colOff>
          <xdr:row>13</xdr:row>
          <xdr:rowOff>17253</xdr:rowOff>
        </xdr:to>
        <xdr:sp macro="" textlink="">
          <xdr:nvSpPr>
            <xdr:cNvPr id="59395" name="btnRunAll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1268083</xdr:colOff>
          <xdr:row>15</xdr:row>
          <xdr:rowOff>17253</xdr:rowOff>
        </xdr:to>
        <xdr:sp macro="" textlink="">
          <xdr:nvSpPr>
            <xdr:cNvPr id="59396" name="btnFreezeAll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77638</xdr:colOff>
          <xdr:row>17</xdr:row>
          <xdr:rowOff>17253</xdr:rowOff>
        </xdr:from>
        <xdr:to>
          <xdr:col>2</xdr:col>
          <xdr:colOff>8626</xdr:colOff>
          <xdr:row>18</xdr:row>
          <xdr:rowOff>120770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60385</xdr:colOff>
          <xdr:row>18</xdr:row>
          <xdr:rowOff>129396</xdr:rowOff>
        </xdr:from>
        <xdr:to>
          <xdr:col>1</xdr:col>
          <xdr:colOff>1009291</xdr:colOff>
          <xdr:row>20</xdr:row>
          <xdr:rowOff>103517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34506</xdr:colOff>
          <xdr:row>17</xdr:row>
          <xdr:rowOff>17253</xdr:rowOff>
        </xdr:from>
        <xdr:to>
          <xdr:col>1</xdr:col>
          <xdr:colOff>948906</xdr:colOff>
          <xdr:row>18</xdr:row>
          <xdr:rowOff>120770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34506</xdr:colOff>
          <xdr:row>18</xdr:row>
          <xdr:rowOff>120770</xdr:rowOff>
        </xdr:from>
        <xdr:to>
          <xdr:col>1</xdr:col>
          <xdr:colOff>948906</xdr:colOff>
          <xdr:row>20</xdr:row>
          <xdr:rowOff>86264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34506</xdr:colOff>
          <xdr:row>17</xdr:row>
          <xdr:rowOff>17253</xdr:rowOff>
        </xdr:from>
        <xdr:to>
          <xdr:col>1</xdr:col>
          <xdr:colOff>948906</xdr:colOff>
          <xdr:row>18</xdr:row>
          <xdr:rowOff>120770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34506</xdr:colOff>
          <xdr:row>18</xdr:row>
          <xdr:rowOff>120770</xdr:rowOff>
        </xdr:from>
        <xdr:to>
          <xdr:col>1</xdr:col>
          <xdr:colOff>948906</xdr:colOff>
          <xdr:row>20</xdr:row>
          <xdr:rowOff>86264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16</xdr:row>
          <xdr:rowOff>129396</xdr:rowOff>
        </xdr:from>
        <xdr:to>
          <xdr:col>1</xdr:col>
          <xdr:colOff>923026</xdr:colOff>
          <xdr:row>18</xdr:row>
          <xdr:rowOff>94891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18</xdr:row>
          <xdr:rowOff>94891</xdr:rowOff>
        </xdr:from>
        <xdr:to>
          <xdr:col>1</xdr:col>
          <xdr:colOff>923026</xdr:colOff>
          <xdr:row>20</xdr:row>
          <xdr:rowOff>60385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16</xdr:row>
          <xdr:rowOff>129396</xdr:rowOff>
        </xdr:from>
        <xdr:to>
          <xdr:col>1</xdr:col>
          <xdr:colOff>923026</xdr:colOff>
          <xdr:row>18</xdr:row>
          <xdr:rowOff>94891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18</xdr:row>
          <xdr:rowOff>94891</xdr:rowOff>
        </xdr:from>
        <xdr:to>
          <xdr:col>1</xdr:col>
          <xdr:colOff>923026</xdr:colOff>
          <xdr:row>20</xdr:row>
          <xdr:rowOff>60385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59999389629810485"/>
  </sheetPr>
  <dimension ref="B2:E15"/>
  <sheetViews>
    <sheetView showGridLines="0" workbookViewId="0">
      <selection activeCell="D4" sqref="D4"/>
    </sheetView>
  </sheetViews>
  <sheetFormatPr defaultRowHeight="10.9" x14ac:dyDescent="0.2"/>
  <cols>
    <col min="1" max="2" width="3.85546875" customWidth="1"/>
    <col min="3" max="4" width="21.85546875" customWidth="1"/>
    <col min="5" max="5" width="3.85546875" customWidth="1"/>
  </cols>
  <sheetData>
    <row r="2" spans="2:5" x14ac:dyDescent="0.2">
      <c r="B2" s="309" t="s">
        <v>0</v>
      </c>
      <c r="C2" s="310"/>
      <c r="D2" s="310"/>
      <c r="E2" s="311"/>
    </row>
    <row r="3" spans="2:5" x14ac:dyDescent="0.2">
      <c r="B3" s="1"/>
      <c r="C3" s="2"/>
      <c r="D3" s="2"/>
      <c r="E3" s="3"/>
    </row>
    <row r="4" spans="2:5" x14ac:dyDescent="0.2">
      <c r="B4" s="4"/>
      <c r="C4" s="54" t="s">
        <v>1</v>
      </c>
      <c r="D4" s="5"/>
      <c r="E4" s="6"/>
    </row>
    <row r="5" spans="2:5" x14ac:dyDescent="0.2">
      <c r="B5" s="4"/>
      <c r="C5" s="55" t="s">
        <v>2</v>
      </c>
      <c r="D5" s="7" t="e">
        <f ca="1">IF(ISBLANK(D7),D6,D7)+0*TYPE(ManualTrigger)</f>
        <v>#NAME?</v>
      </c>
      <c r="E5" s="6"/>
    </row>
    <row r="6" spans="2:5" x14ac:dyDescent="0.2">
      <c r="B6" s="4"/>
      <c r="C6" s="55" t="s">
        <v>147</v>
      </c>
      <c r="D6" s="7" t="e">
        <f ca="1">_xll.qlSettingsEvaluationDate(ManualTrigger)</f>
        <v>#NAME?</v>
      </c>
      <c r="E6" s="6"/>
    </row>
    <row r="7" spans="2:5" x14ac:dyDescent="0.2">
      <c r="B7" s="4"/>
      <c r="C7" s="55" t="s">
        <v>146</v>
      </c>
      <c r="D7" s="57"/>
      <c r="E7" s="6"/>
    </row>
    <row r="8" spans="2:5" x14ac:dyDescent="0.2">
      <c r="B8" s="4"/>
      <c r="C8" s="55" t="s">
        <v>140</v>
      </c>
      <c r="D8" s="31" t="e">
        <f ca="1">_xll.RtNow("frq:"&amp;E8&amp;"s")</f>
        <v>#NAME?</v>
      </c>
      <c r="E8" s="53">
        <v>30</v>
      </c>
    </row>
    <row r="9" spans="2:5" x14ac:dyDescent="0.2">
      <c r="B9" s="4"/>
      <c r="C9" s="56" t="s">
        <v>3</v>
      </c>
      <c r="D9" s="30" t="e">
        <f ca="1">_xll.ohTrigger(EvaluationDate,TYPE(ManualTrigger))</f>
        <v>#NAME?</v>
      </c>
      <c r="E9" s="6"/>
    </row>
    <row r="10" spans="2:5" x14ac:dyDescent="0.2">
      <c r="B10" s="8"/>
      <c r="C10" s="9"/>
      <c r="D10" s="9"/>
      <c r="E10" s="10"/>
    </row>
    <row r="15" spans="2:5" x14ac:dyDescent="0.2">
      <c r="C15" s="253" t="b">
        <v>0</v>
      </c>
    </row>
  </sheetData>
  <dataConsolidate/>
  <mergeCells count="1">
    <mergeCell ref="B2:E2"/>
  </mergeCells>
  <conditionalFormatting sqref="D6">
    <cfRule type="expression" dxfId="21" priority="2">
      <formula>NOT(ISBLANK($D$7))</formula>
    </cfRule>
  </conditionalFormatting>
  <conditionalFormatting sqref="D7">
    <cfRule type="expression" dxfId="20" priority="1">
      <formula>ISBLANK($D$7)</formula>
    </cfRule>
  </conditionalFormatting>
  <pageMargins left="0.7" right="0.7" top="0.75" bottom="0.75" header="0.3" footer="0.3"/>
  <pageSetup paperSize="9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59396" r:id="rId4" name="btnFreezeAll">
          <controlPr defaultSize="0" autoLine="0" r:id="rId5">
            <anchor moveWithCells="1">
              <from>
                <xdr:col>2</xdr:col>
                <xdr:colOff>0</xdr:colOff>
                <xdr:row>13</xdr:row>
                <xdr:rowOff>0</xdr:rowOff>
              </from>
              <to>
                <xdr:col>2</xdr:col>
                <xdr:colOff>1268083</xdr:colOff>
                <xdr:row>15</xdr:row>
                <xdr:rowOff>17253</xdr:rowOff>
              </to>
            </anchor>
          </controlPr>
        </control>
      </mc:Choice>
      <mc:Fallback>
        <control shapeId="59396" r:id="rId4" name="btnFreezeAll"/>
      </mc:Fallback>
    </mc:AlternateContent>
    <mc:AlternateContent xmlns:mc="http://schemas.openxmlformats.org/markup-compatibility/2006">
      <mc:Choice Requires="x14">
        <control shapeId="59395" r:id="rId6" name="btnRunAll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2</xdr:col>
                <xdr:colOff>1268083</xdr:colOff>
                <xdr:row>13</xdr:row>
                <xdr:rowOff>17253</xdr:rowOff>
              </to>
            </anchor>
          </controlPr>
        </control>
      </mc:Choice>
      <mc:Fallback>
        <control shapeId="59395" r:id="rId6" name="btnRun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B2:AA93"/>
  <sheetViews>
    <sheetView showGridLines="0" workbookViewId="0">
      <selection activeCell="K24" sqref="K24"/>
    </sheetView>
  </sheetViews>
  <sheetFormatPr defaultRowHeight="10.9" outlineLevelCol="1" x14ac:dyDescent="0.2"/>
  <cols>
    <col min="1" max="1" width="3.85546875" customWidth="1"/>
    <col min="2" max="2" width="16.85546875" customWidth="1"/>
    <col min="3" max="3" width="20.85546875" customWidth="1"/>
    <col min="4" max="7" width="10.85546875" hidden="1" customWidth="1" outlineLevel="1"/>
    <col min="8" max="8" width="10.85546875" customWidth="1" collapsed="1"/>
    <col min="9" max="9" width="10.85546875" customWidth="1"/>
    <col min="10" max="10" width="6.140625" customWidth="1"/>
    <col min="11" max="11" width="16.85546875" customWidth="1"/>
    <col min="12" max="12" width="20.85546875" customWidth="1"/>
    <col min="13" max="16" width="10.85546875" hidden="1" customWidth="1" outlineLevel="1"/>
    <col min="17" max="17" width="10.85546875" customWidth="1" collapsed="1"/>
    <col min="18" max="18" width="10.85546875" customWidth="1"/>
    <col min="20" max="20" width="16.85546875" customWidth="1"/>
    <col min="21" max="21" width="20.85546875" customWidth="1"/>
    <col min="22" max="25" width="10.85546875" hidden="1" customWidth="1" outlineLevel="1"/>
    <col min="26" max="26" width="10.85546875" customWidth="1" collapsed="1"/>
    <col min="27" max="27" width="10.85546875" customWidth="1"/>
  </cols>
  <sheetData>
    <row r="2" spans="2:27" x14ac:dyDescent="0.2">
      <c r="D2" s="312" t="s">
        <v>141</v>
      </c>
      <c r="E2" s="313"/>
      <c r="F2" s="312" t="s">
        <v>75</v>
      </c>
      <c r="G2" s="313"/>
      <c r="H2" s="312" t="s">
        <v>142</v>
      </c>
      <c r="I2" s="313"/>
      <c r="M2" s="312" t="s">
        <v>141</v>
      </c>
      <c r="N2" s="313"/>
      <c r="O2" s="312" t="s">
        <v>75</v>
      </c>
      <c r="P2" s="313"/>
      <c r="Q2" s="312" t="s">
        <v>142</v>
      </c>
      <c r="R2" s="313"/>
      <c r="V2" s="312" t="s">
        <v>141</v>
      </c>
      <c r="W2" s="313"/>
      <c r="X2" s="312" t="s">
        <v>75</v>
      </c>
      <c r="Y2" s="313"/>
      <c r="Z2" s="312" t="s">
        <v>142</v>
      </c>
      <c r="AA2" s="313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137</v>
      </c>
      <c r="D4" s="29" t="e">
        <f t="array" aca="1" ref="D4:D93" ca="1">CHOOSE(C7,_xll.qlPiecewiseYieldCurveDates(C5),_xll.qlInterpolatedYieldCurveDates(C5))</f>
        <v>#NAME?</v>
      </c>
      <c r="E4" s="34" t="e">
        <f ca="1">_xll.qlYieldTSDiscount(C$4,D4,,Triggers!RTDataTrigger)</f>
        <v>#NAME?</v>
      </c>
      <c r="F4" s="43"/>
      <c r="G4" s="32"/>
      <c r="H4" s="47" t="e">
        <f ca="1">IF(ISBLANK(F4),D4,F4)</f>
        <v>#NAME?</v>
      </c>
      <c r="I4" s="48" t="e">
        <f t="shared" ref="I4:I67" ca="1" si="0">IF(ISBLANK(G4),E4,G4)</f>
        <v>#NAME?</v>
      </c>
      <c r="J4" s="65"/>
      <c r="K4" s="36" t="s">
        <v>10</v>
      </c>
      <c r="L4" s="40" t="s">
        <v>136</v>
      </c>
      <c r="M4" s="29" t="e">
        <f t="array" aca="1" ref="M4:M93" ca="1">CHOOSE(L7,_xll.qlPiecewiseYieldCurveDates(L5),_xll.qlInterpolatedYieldCurveDates(L5))</f>
        <v>#NAME?</v>
      </c>
      <c r="N4" s="34" t="e">
        <f ca="1">_xll.qlYieldTSDiscount(L$4,M4,,Triggers!RTDataTrigger)</f>
        <v>#NAME?</v>
      </c>
      <c r="O4" s="43"/>
      <c r="P4" s="32"/>
      <c r="Q4" s="47" t="e">
        <f ca="1">IF(ISBLANK(O4),M4,O4)</f>
        <v>#NAME?</v>
      </c>
      <c r="R4" s="48" t="e">
        <f t="shared" ref="R4:R67" ca="1" si="1">IF(ISBLANK(P4),N4,P4)</f>
        <v>#NAME?</v>
      </c>
      <c r="T4" s="36" t="s">
        <v>10</v>
      </c>
      <c r="U4" s="40" t="s">
        <v>135</v>
      </c>
      <c r="V4" s="29" t="e">
        <f t="array" aca="1" ref="V4:V93" ca="1">CHOOSE(U7,_xll.qlPiecewiseYieldCurveDates(U5),_xll.qlInterpolatedYieldCurveDates(U5))</f>
        <v>#NAME?</v>
      </c>
      <c r="W4" s="34" t="e">
        <f ca="1">_xll.qlYieldTSDiscount(U$4,V4,,Triggers!RTDataTrigger)</f>
        <v>#NAME?</v>
      </c>
      <c r="X4" s="43"/>
      <c r="Y4" s="32"/>
      <c r="Z4" s="47" t="e">
        <f ca="1">IF(ISBLANK(X4),V4,X4)</f>
        <v>#NAME?</v>
      </c>
      <c r="AA4" s="48" t="e">
        <f t="shared" ref="AA4:AA67" ca="1" si="2">IF(ISBLANK(Y4),W4,Y4)</f>
        <v>#NAME?</v>
      </c>
    </row>
    <row r="5" spans="2:27" x14ac:dyDescent="0.2">
      <c r="B5" s="37" t="s">
        <v>16</v>
      </c>
      <c r="C5" s="23" t="e">
        <f ca="1">_xll.qlHandleCurrentLink(C4,ObjectsTrigger)</f>
        <v>#NAME?</v>
      </c>
      <c r="D5" s="11" t="e">
        <f ca="1"/>
        <v>#NAME?</v>
      </c>
      <c r="E5" s="35" t="e">
        <f ca="1">_xll.qlYieldTSDiscount(C$4,D5,,Triggers!RTDataTrigger)</f>
        <v>#NAME?</v>
      </c>
      <c r="F5" s="44"/>
      <c r="G5" s="33"/>
      <c r="H5" s="49" t="e">
        <f t="shared" ref="H5:I68" ca="1" si="3">IF(ISBLANK(F5),D5,F5)</f>
        <v>#NAME?</v>
      </c>
      <c r="I5" s="50" t="e">
        <f t="shared" ca="1" si="0"/>
        <v>#NAME?</v>
      </c>
      <c r="J5" s="65"/>
      <c r="K5" s="37" t="s">
        <v>16</v>
      </c>
      <c r="L5" s="23" t="e">
        <f ca="1">_xll.qlHandleCurrentLink(L4,ObjectsTrigger)</f>
        <v>#NAME?</v>
      </c>
      <c r="M5" s="11" t="e">
        <f ca="1"/>
        <v>#NAME?</v>
      </c>
      <c r="N5" s="35" t="e">
        <f ca="1">_xll.qlYieldTSDiscount(L$4,M5,,Triggers!RTDataTrigger)</f>
        <v>#NAME?</v>
      </c>
      <c r="O5" s="44"/>
      <c r="P5" s="33"/>
      <c r="Q5" s="49" t="e">
        <f t="shared" ref="Q5:R68" ca="1" si="4">IF(ISBLANK(O5),M5,O5)</f>
        <v>#NAME?</v>
      </c>
      <c r="R5" s="50" t="e">
        <f t="shared" ca="1" si="1"/>
        <v>#NAME?</v>
      </c>
      <c r="T5" s="37" t="s">
        <v>16</v>
      </c>
      <c r="U5" s="23" t="e">
        <f ca="1">_xll.qlHandleCurrentLink(U4,ObjectsTrigger)</f>
        <v>#NAME?</v>
      </c>
      <c r="V5" s="11" t="e">
        <f ca="1"/>
        <v>#NAME?</v>
      </c>
      <c r="W5" s="35" t="e">
        <f ca="1">_xll.qlYieldTSDiscount(U$4,V5,,Triggers!RTDataTrigger)</f>
        <v>#NAME?</v>
      </c>
      <c r="X5" s="44"/>
      <c r="Y5" s="33"/>
      <c r="Z5" s="49" t="e">
        <f t="shared" ref="Z5:AA68" ca="1" si="5">IF(ISBLANK(X5),V5,X5)</f>
        <v>#NAME?</v>
      </c>
      <c r="AA5" s="50" t="e">
        <f t="shared" ca="1" si="2"/>
        <v>#NAME?</v>
      </c>
    </row>
    <row r="6" spans="2:27" x14ac:dyDescent="0.2">
      <c r="B6" s="37" t="s">
        <v>133</v>
      </c>
      <c r="C6" s="27" t="e">
        <f ca="1">_xll.ohObjectClassName(C5)</f>
        <v>#NAME?</v>
      </c>
      <c r="D6" s="11" t="e">
        <f ca="1"/>
        <v>#NAME?</v>
      </c>
      <c r="E6" s="35" t="e">
        <f ca="1">_xll.qlYieldTSDiscount(C$4,D6,,Triggers!RTDataTrigger)</f>
        <v>#NAME?</v>
      </c>
      <c r="F6" s="44"/>
      <c r="G6" s="33"/>
      <c r="H6" s="49" t="e">
        <f t="shared" ca="1" si="3"/>
        <v>#NAME?</v>
      </c>
      <c r="I6" s="50" t="e">
        <f t="shared" ca="1" si="0"/>
        <v>#NAME?</v>
      </c>
      <c r="J6" s="65"/>
      <c r="K6" s="37" t="s">
        <v>133</v>
      </c>
      <c r="L6" s="27" t="e">
        <f ca="1">_xll.ohObjectClassName(L5)</f>
        <v>#NAME?</v>
      </c>
      <c r="M6" s="11" t="e">
        <f ca="1"/>
        <v>#NAME?</v>
      </c>
      <c r="N6" s="35" t="e">
        <f ca="1">_xll.qlYieldTSDiscount(L$4,M6,,Triggers!RTDataTrigger)</f>
        <v>#NAME?</v>
      </c>
      <c r="O6" s="44"/>
      <c r="P6" s="33"/>
      <c r="Q6" s="49" t="e">
        <f t="shared" ca="1" si="4"/>
        <v>#NAME?</v>
      </c>
      <c r="R6" s="50" t="e">
        <f t="shared" ca="1" si="1"/>
        <v>#NAME?</v>
      </c>
      <c r="T6" s="37" t="s">
        <v>133</v>
      </c>
      <c r="U6" s="27" t="e">
        <f ca="1">_xll.ohObjectClassName(U5)</f>
        <v>#NAME?</v>
      </c>
      <c r="V6" s="11" t="e">
        <f ca="1"/>
        <v>#NAME?</v>
      </c>
      <c r="W6" s="35" t="e">
        <f ca="1">_xll.qlYieldTSDiscount(U$4,V6,,Triggers!RTDataTrigger)</f>
        <v>#NAME?</v>
      </c>
      <c r="X6" s="44"/>
      <c r="Y6" s="33"/>
      <c r="Z6" s="49" t="e">
        <f t="shared" ca="1" si="5"/>
        <v>#NAME?</v>
      </c>
      <c r="AA6" s="50" t="e">
        <f t="shared" ca="1" si="2"/>
        <v>#NAME?</v>
      </c>
    </row>
    <row r="7" spans="2:27" x14ac:dyDescent="0.2">
      <c r="B7" s="38" t="s">
        <v>134</v>
      </c>
      <c r="C7" s="26" t="e">
        <f ca="1">MATCH(C6,{"qlPiecewiseYieldCurve","qlInterpolatedYieldCurve"})</f>
        <v>#NAME?</v>
      </c>
      <c r="D7" s="11" t="e">
        <f ca="1"/>
        <v>#NAME?</v>
      </c>
      <c r="E7" s="35" t="e">
        <f ca="1">_xll.qlYieldTSDiscount(C$4,D7,,Triggers!RTDataTrigger)</f>
        <v>#NAME?</v>
      </c>
      <c r="F7" s="44"/>
      <c r="G7" s="33"/>
      <c r="H7" s="49" t="e">
        <f t="shared" ca="1" si="3"/>
        <v>#NAME?</v>
      </c>
      <c r="I7" s="50" t="e">
        <f t="shared" ca="1" si="0"/>
        <v>#NAME?</v>
      </c>
      <c r="J7" s="65"/>
      <c r="K7" s="38" t="s">
        <v>134</v>
      </c>
      <c r="L7" s="26" t="e">
        <f ca="1">MATCH(L6,{"qlPiecewiseYieldCurve","qlInterpolatedYieldCurve"})</f>
        <v>#NAME?</v>
      </c>
      <c r="M7" s="11" t="e">
        <f ca="1"/>
        <v>#NAME?</v>
      </c>
      <c r="N7" s="35" t="e">
        <f ca="1">_xll.qlYieldTSDiscount(L$4,M7,,Triggers!RTDataTrigger)</f>
        <v>#NAME?</v>
      </c>
      <c r="O7" s="44"/>
      <c r="P7" s="33"/>
      <c r="Q7" s="49" t="e">
        <f t="shared" ca="1" si="4"/>
        <v>#NAME?</v>
      </c>
      <c r="R7" s="50" t="e">
        <f t="shared" ca="1" si="1"/>
        <v>#NAME?</v>
      </c>
      <c r="T7" s="38" t="s">
        <v>134</v>
      </c>
      <c r="U7" s="26" t="e">
        <f ca="1">MATCH(U6,{"qlPiecewiseYieldCurve","qlInterpolatedYieldCurve"})</f>
        <v>#NAME?</v>
      </c>
      <c r="V7" s="11" t="e">
        <f ca="1"/>
        <v>#NAME?</v>
      </c>
      <c r="W7" s="35" t="e">
        <f ca="1">_xll.qlYieldTSDiscount(U$4,V7,,Triggers!RTDataTrigger)</f>
        <v>#NAME?</v>
      </c>
      <c r="X7" s="44"/>
      <c r="Y7" s="33"/>
      <c r="Z7" s="49" t="e">
        <f t="shared" ca="1" si="5"/>
        <v>#NAME?</v>
      </c>
      <c r="AA7" s="50" t="e">
        <f t="shared" ca="1" si="2"/>
        <v>#NAME?</v>
      </c>
    </row>
    <row r="8" spans="2:27" x14ac:dyDescent="0.2">
      <c r="B8" s="36" t="s">
        <v>4</v>
      </c>
      <c r="C8" s="40" t="s">
        <v>100</v>
      </c>
      <c r="D8" s="11" t="e">
        <f ca="1"/>
        <v>#NAME?</v>
      </c>
      <c r="E8" s="35" t="e">
        <f ca="1">_xll.qlYieldTSDiscount(C$4,D8,,Triggers!RTDataTrigger)</f>
        <v>#NAME?</v>
      </c>
      <c r="F8" s="44"/>
      <c r="G8" s="33"/>
      <c r="H8" s="49" t="e">
        <f t="shared" ca="1" si="3"/>
        <v>#NAME?</v>
      </c>
      <c r="I8" s="50" t="e">
        <f t="shared" ca="1" si="0"/>
        <v>#NAME?</v>
      </c>
      <c r="J8" s="65"/>
      <c r="K8" s="36" t="s">
        <v>4</v>
      </c>
      <c r="L8" s="40" t="s">
        <v>100</v>
      </c>
      <c r="M8" s="11" t="e">
        <f ca="1"/>
        <v>#NAME?</v>
      </c>
      <c r="N8" s="35" t="e">
        <f ca="1">_xll.qlYieldTSDiscount(L$4,M8,,Triggers!RTDataTrigger)</f>
        <v>#NAME?</v>
      </c>
      <c r="O8" s="44"/>
      <c r="P8" s="33"/>
      <c r="Q8" s="49" t="e">
        <f t="shared" ca="1" si="4"/>
        <v>#NAME?</v>
      </c>
      <c r="R8" s="50" t="e">
        <f t="shared" ca="1" si="1"/>
        <v>#NAME?</v>
      </c>
      <c r="T8" s="36" t="s">
        <v>4</v>
      </c>
      <c r="U8" s="40" t="s">
        <v>100</v>
      </c>
      <c r="V8" s="11" t="e">
        <f ca="1"/>
        <v>#NAME?</v>
      </c>
      <c r="W8" s="35" t="e">
        <f ca="1">_xll.qlYieldTSDiscount(U$4,V8,,Triggers!RTDataTrigger)</f>
        <v>#NAME?</v>
      </c>
      <c r="X8" s="44"/>
      <c r="Y8" s="33"/>
      <c r="Z8" s="49" t="e">
        <f t="shared" ca="1" si="5"/>
        <v>#NAME?</v>
      </c>
      <c r="AA8" s="50" t="e">
        <f t="shared" ca="1" si="2"/>
        <v>#NAME?</v>
      </c>
    </row>
    <row r="9" spans="2:27" x14ac:dyDescent="0.2">
      <c r="B9" s="37" t="s">
        <v>5</v>
      </c>
      <c r="C9" s="41" t="str">
        <f>C4&amp;"_"</f>
        <v>EURON_</v>
      </c>
      <c r="D9" s="11" t="e">
        <f ca="1"/>
        <v>#NAME?</v>
      </c>
      <c r="E9" s="35" t="e">
        <f ca="1">_xll.qlYieldTSDiscount(C$4,D9,,Triggers!RTDataTrigger)</f>
        <v>#NAME?</v>
      </c>
      <c r="F9" s="44"/>
      <c r="G9" s="33"/>
      <c r="H9" s="49" t="e">
        <f t="shared" ca="1" si="3"/>
        <v>#NAME?</v>
      </c>
      <c r="I9" s="50" t="e">
        <f t="shared" ca="1" si="0"/>
        <v>#NAME?</v>
      </c>
      <c r="J9" s="65"/>
      <c r="K9" s="37" t="s">
        <v>5</v>
      </c>
      <c r="L9" s="41" t="str">
        <f>L4&amp;"_"</f>
        <v>EUR3M_</v>
      </c>
      <c r="M9" s="11" t="e">
        <f ca="1"/>
        <v>#NAME?</v>
      </c>
      <c r="N9" s="35" t="e">
        <f ca="1">_xll.qlYieldTSDiscount(L$4,M9,,Triggers!RTDataTrigger)</f>
        <v>#NAME?</v>
      </c>
      <c r="O9" s="44"/>
      <c r="P9" s="33"/>
      <c r="Q9" s="49" t="e">
        <f t="shared" ca="1" si="4"/>
        <v>#NAME?</v>
      </c>
      <c r="R9" s="50" t="e">
        <f t="shared" ca="1" si="1"/>
        <v>#NAME?</v>
      </c>
      <c r="T9" s="37" t="s">
        <v>5</v>
      </c>
      <c r="U9" s="41" t="str">
        <f>U4&amp;"_"</f>
        <v>EURSTD_</v>
      </c>
      <c r="V9" s="11" t="e">
        <f ca="1"/>
        <v>#NAME?</v>
      </c>
      <c r="W9" s="35" t="e">
        <f ca="1">_xll.qlYieldTSDiscount(U$4,V9,,Triggers!RTDataTrigger)</f>
        <v>#NAME?</v>
      </c>
      <c r="X9" s="44"/>
      <c r="Y9" s="33"/>
      <c r="Z9" s="49" t="e">
        <f t="shared" ca="1" si="5"/>
        <v>#NAME?</v>
      </c>
      <c r="AA9" s="50" t="e">
        <f t="shared" ca="1" si="2"/>
        <v>#NAME?</v>
      </c>
    </row>
    <row r="10" spans="2:27" x14ac:dyDescent="0.2">
      <c r="B10" s="37" t="s">
        <v>6</v>
      </c>
      <c r="C10" s="41" t="s">
        <v>11</v>
      </c>
      <c r="D10" s="11" t="e">
        <f ca="1"/>
        <v>#NAME?</v>
      </c>
      <c r="E10" s="35" t="e">
        <f ca="1">_xll.qlYieldTSDiscount(C$4,D10,,Triggers!RTDataTrigger)</f>
        <v>#NAME?</v>
      </c>
      <c r="F10" s="44"/>
      <c r="G10" s="33"/>
      <c r="H10" s="49" t="e">
        <f t="shared" ca="1" si="3"/>
        <v>#NAME?</v>
      </c>
      <c r="I10" s="50" t="e">
        <f t="shared" ca="1" si="0"/>
        <v>#NAME?</v>
      </c>
      <c r="J10" s="65"/>
      <c r="K10" s="37" t="s">
        <v>6</v>
      </c>
      <c r="L10" s="41" t="s">
        <v>11</v>
      </c>
      <c r="M10" s="11" t="e">
        <f ca="1"/>
        <v>#NAME?</v>
      </c>
      <c r="N10" s="35" t="e">
        <f ca="1">_xll.qlYieldTSDiscount(L$4,M10,,Triggers!RTDataTrigger)</f>
        <v>#NAME?</v>
      </c>
      <c r="O10" s="44"/>
      <c r="P10" s="33"/>
      <c r="Q10" s="49" t="e">
        <f t="shared" ca="1" si="4"/>
        <v>#NAME?</v>
      </c>
      <c r="R10" s="50" t="e">
        <f t="shared" ca="1" si="1"/>
        <v>#NAME?</v>
      </c>
      <c r="T10" s="37" t="s">
        <v>6</v>
      </c>
      <c r="U10" s="41" t="s">
        <v>58</v>
      </c>
      <c r="V10" s="11" t="e">
        <f ca="1"/>
        <v>#NAME?</v>
      </c>
      <c r="W10" s="35" t="e">
        <f ca="1">_xll.qlYieldTSDiscount(U$4,V10,,Triggers!RTDataTrigger)</f>
        <v>#NAME?</v>
      </c>
      <c r="X10" s="44"/>
      <c r="Y10" s="33"/>
      <c r="Z10" s="49" t="e">
        <f t="shared" ca="1" si="5"/>
        <v>#NAME?</v>
      </c>
      <c r="AA10" s="50" t="e">
        <f t="shared" ca="1" si="2"/>
        <v>#NAME?</v>
      </c>
    </row>
    <row r="11" spans="2:27" x14ac:dyDescent="0.2">
      <c r="B11" s="37" t="s">
        <v>7</v>
      </c>
      <c r="C11" s="41" t="s">
        <v>12</v>
      </c>
      <c r="D11" s="11" t="e">
        <f ca="1"/>
        <v>#NAME?</v>
      </c>
      <c r="E11" s="35" t="e">
        <f ca="1">_xll.qlYieldTSDiscount(C$4,D11,,Triggers!RTDataTrigger)</f>
        <v>#NAME?</v>
      </c>
      <c r="F11" s="44"/>
      <c r="G11" s="33"/>
      <c r="H11" s="49" t="e">
        <f t="shared" ca="1" si="3"/>
        <v>#NAME?</v>
      </c>
      <c r="I11" s="50" t="e">
        <f t="shared" ca="1" si="0"/>
        <v>#NAME?</v>
      </c>
      <c r="J11" s="65"/>
      <c r="K11" s="37" t="s">
        <v>7</v>
      </c>
      <c r="L11" s="41" t="s">
        <v>12</v>
      </c>
      <c r="M11" s="11" t="e">
        <f ca="1"/>
        <v>#NAME?</v>
      </c>
      <c r="N11" s="35" t="e">
        <f ca="1">_xll.qlYieldTSDiscount(L$4,M11,,Triggers!RTDataTrigger)</f>
        <v>#NAME?</v>
      </c>
      <c r="O11" s="44"/>
      <c r="P11" s="33"/>
      <c r="Q11" s="49" t="e">
        <f t="shared" ca="1" si="4"/>
        <v>#NAME?</v>
      </c>
      <c r="R11" s="50" t="e">
        <f t="shared" ca="1" si="1"/>
        <v>#NAME?</v>
      </c>
      <c r="T11" s="37" t="s">
        <v>7</v>
      </c>
      <c r="U11" s="41" t="s">
        <v>46</v>
      </c>
      <c r="V11" s="11" t="e">
        <f ca="1"/>
        <v>#NAME?</v>
      </c>
      <c r="W11" s="35" t="e">
        <f ca="1">_xll.qlYieldTSDiscount(U$4,V11,,Triggers!RTDataTrigger)</f>
        <v>#NAME?</v>
      </c>
      <c r="X11" s="44"/>
      <c r="Y11" s="33"/>
      <c r="Z11" s="49" t="e">
        <f t="shared" ca="1" si="5"/>
        <v>#NAME?</v>
      </c>
      <c r="AA11" s="50" t="e">
        <f t="shared" ca="1" si="2"/>
        <v>#NAME?</v>
      </c>
    </row>
    <row r="12" spans="2:27" x14ac:dyDescent="0.2">
      <c r="B12" s="37" t="s">
        <v>8</v>
      </c>
      <c r="C12" s="41" t="s">
        <v>13</v>
      </c>
      <c r="D12" s="11" t="e">
        <f ca="1"/>
        <v>#NAME?</v>
      </c>
      <c r="E12" s="35" t="e">
        <f ca="1">_xll.qlYieldTSDiscount(C$4,D12,,Triggers!RTDataTrigger)</f>
        <v>#NAME?</v>
      </c>
      <c r="F12" s="44"/>
      <c r="G12" s="33"/>
      <c r="H12" s="49" t="e">
        <f t="shared" ca="1" si="3"/>
        <v>#NAME?</v>
      </c>
      <c r="I12" s="50" t="e">
        <f t="shared" ca="1" si="0"/>
        <v>#NAME?</v>
      </c>
      <c r="J12" s="65"/>
      <c r="K12" s="37" t="s">
        <v>8</v>
      </c>
      <c r="L12" s="41" t="s">
        <v>13</v>
      </c>
      <c r="M12" s="11" t="e">
        <f ca="1"/>
        <v>#NAME?</v>
      </c>
      <c r="N12" s="35" t="e">
        <f ca="1">_xll.qlYieldTSDiscount(L$4,M12,,Triggers!RTDataTrigger)</f>
        <v>#NAME?</v>
      </c>
      <c r="O12" s="44"/>
      <c r="P12" s="33"/>
      <c r="Q12" s="49" t="e">
        <f t="shared" ca="1" si="4"/>
        <v>#NAME?</v>
      </c>
      <c r="R12" s="50" t="e">
        <f t="shared" ca="1" si="1"/>
        <v>#NAME?</v>
      </c>
      <c r="T12" s="37" t="s">
        <v>8</v>
      </c>
      <c r="U12" s="41" t="s">
        <v>13</v>
      </c>
      <c r="V12" s="11" t="e">
        <f ca="1"/>
        <v>#NAME?</v>
      </c>
      <c r="W12" s="35" t="e">
        <f ca="1">_xll.qlYieldTSDiscount(U$4,V12,,Triggers!RTDataTrigger)</f>
        <v>#NAME?</v>
      </c>
      <c r="X12" s="44"/>
      <c r="Y12" s="33"/>
      <c r="Z12" s="49" t="e">
        <f t="shared" ca="1" si="5"/>
        <v>#NAME?</v>
      </c>
      <c r="AA12" s="50" t="e">
        <f t="shared" ca="1" si="2"/>
        <v>#NAME?</v>
      </c>
    </row>
    <row r="13" spans="2:27" x14ac:dyDescent="0.2">
      <c r="B13" s="38" t="s">
        <v>9</v>
      </c>
      <c r="C13" s="42">
        <v>5</v>
      </c>
      <c r="D13" s="11" t="e">
        <f ca="1"/>
        <v>#NAME?</v>
      </c>
      <c r="E13" s="35" t="e">
        <f ca="1">_xll.qlYieldTSDiscount(C$4,D13,,Triggers!RTDataTrigger)</f>
        <v>#NAME?</v>
      </c>
      <c r="F13" s="44"/>
      <c r="G13" s="33"/>
      <c r="H13" s="49" t="e">
        <f t="shared" ca="1" si="3"/>
        <v>#NAME?</v>
      </c>
      <c r="I13" s="50" t="e">
        <f t="shared" ca="1" si="0"/>
        <v>#NAME?</v>
      </c>
      <c r="J13" s="65"/>
      <c r="K13" s="38" t="s">
        <v>9</v>
      </c>
      <c r="L13" s="42">
        <v>5</v>
      </c>
      <c r="M13" s="11" t="e">
        <f ca="1"/>
        <v>#NAME?</v>
      </c>
      <c r="N13" s="35" t="e">
        <f ca="1">_xll.qlYieldTSDiscount(L$4,M13,,Triggers!RTDataTrigger)</f>
        <v>#NAME?</v>
      </c>
      <c r="O13" s="44"/>
      <c r="P13" s="33"/>
      <c r="Q13" s="49" t="e">
        <f t="shared" ca="1" si="4"/>
        <v>#NAME?</v>
      </c>
      <c r="R13" s="50" t="e">
        <f t="shared" ca="1" si="1"/>
        <v>#NAME?</v>
      </c>
      <c r="T13" s="38" t="s">
        <v>9</v>
      </c>
      <c r="U13" s="42">
        <v>5</v>
      </c>
      <c r="V13" s="11" t="e">
        <f ca="1"/>
        <v>#NAME?</v>
      </c>
      <c r="W13" s="35" t="e">
        <f ca="1">_xll.qlYieldTSDiscount(U$4,V13,,Triggers!RTDataTrigger)</f>
        <v>#NAME?</v>
      </c>
      <c r="X13" s="44"/>
      <c r="Y13" s="33"/>
      <c r="Z13" s="49" t="e">
        <f t="shared" ca="1" si="5"/>
        <v>#NAME?</v>
      </c>
      <c r="AA13" s="50" t="e">
        <f t="shared" ca="1" si="2"/>
        <v>#NAME?</v>
      </c>
    </row>
    <row r="14" spans="2:27" x14ac:dyDescent="0.2">
      <c r="B14" s="37" t="s">
        <v>17</v>
      </c>
      <c r="C14" s="28">
        <f ca="1">COUNT(H4:H93)</f>
        <v>0</v>
      </c>
      <c r="D14" s="11" t="e">
        <f ca="1"/>
        <v>#NAME?</v>
      </c>
      <c r="E14" s="35" t="e">
        <f ca="1">_xll.qlYieldTSDiscount(C$4,D14,,Triggers!RTDataTrigger)</f>
        <v>#NAME?</v>
      </c>
      <c r="F14" s="44"/>
      <c r="G14" s="33"/>
      <c r="H14" s="49" t="e">
        <f t="shared" ca="1" si="3"/>
        <v>#NAME?</v>
      </c>
      <c r="I14" s="50" t="e">
        <f t="shared" ca="1" si="0"/>
        <v>#NAME?</v>
      </c>
      <c r="J14" s="65"/>
      <c r="K14" s="37" t="s">
        <v>17</v>
      </c>
      <c r="L14" s="28">
        <f ca="1">COUNT(Q4:Q93)</f>
        <v>0</v>
      </c>
      <c r="M14" s="11" t="e">
        <f ca="1"/>
        <v>#NAME?</v>
      </c>
      <c r="N14" s="35" t="e">
        <f ca="1">_xll.qlYieldTSDiscount(L$4,M14,,Triggers!RTDataTrigger)</f>
        <v>#NAME?</v>
      </c>
      <c r="O14" s="44"/>
      <c r="P14" s="33"/>
      <c r="Q14" s="49" t="e">
        <f t="shared" ca="1" si="4"/>
        <v>#NAME?</v>
      </c>
      <c r="R14" s="50" t="e">
        <f t="shared" ca="1" si="1"/>
        <v>#NAME?</v>
      </c>
      <c r="T14" s="37" t="s">
        <v>17</v>
      </c>
      <c r="U14" s="28">
        <f ca="1">COUNT(Z4:Z93)</f>
        <v>0</v>
      </c>
      <c r="V14" s="11" t="e">
        <f ca="1"/>
        <v>#NAME?</v>
      </c>
      <c r="W14" s="35" t="e">
        <f ca="1">_xll.qlYieldTSDiscount(U$4,V14,,Triggers!RTDataTrigger)</f>
        <v>#NAME?</v>
      </c>
      <c r="X14" s="44"/>
      <c r="Y14" s="33"/>
      <c r="Z14" s="49" t="e">
        <f t="shared" ca="1" si="5"/>
        <v>#NAME?</v>
      </c>
      <c r="AA14" s="50" t="e">
        <f t="shared" ca="1" si="2"/>
        <v>#NAME?</v>
      </c>
    </row>
    <row r="15" spans="2:27" x14ac:dyDescent="0.2">
      <c r="B15" s="38" t="s">
        <v>18</v>
      </c>
      <c r="C15" s="15" t="e">
        <f ca="1">GetNow(_xll.xlPushShmLiborCurveName(C8,C9,H4:INDEX(H4:H93,C14),I4:INDEX(I4:I93,C14),C10,C11,C12,C13+0*TYPE(ManualTrigger)))</f>
        <v>#NAME?</v>
      </c>
      <c r="D15" s="11" t="e">
        <f ca="1"/>
        <v>#NAME?</v>
      </c>
      <c r="E15" s="35" t="e">
        <f ca="1">_xll.qlYieldTSDiscount(C$4,D15,,Triggers!RTDataTrigger)</f>
        <v>#NAME?</v>
      </c>
      <c r="F15" s="44"/>
      <c r="G15" s="33"/>
      <c r="H15" s="49" t="e">
        <f t="shared" ca="1" si="3"/>
        <v>#NAME?</v>
      </c>
      <c r="I15" s="50" t="e">
        <f t="shared" ca="1" si="0"/>
        <v>#NAME?</v>
      </c>
      <c r="J15" s="65"/>
      <c r="K15" s="38" t="s">
        <v>18</v>
      </c>
      <c r="L15" s="15" t="e">
        <f ca="1">GetNow(_xll.xlPushShmLiborCurveName(L8,L9,Q4:INDEX(Q4:Q93,L14),R4:INDEX(R4:R93,L14),L10,L11,L12,L13+0*TYPE(ManualTrigger)))</f>
        <v>#NAME?</v>
      </c>
      <c r="M15" s="11" t="e">
        <f ca="1"/>
        <v>#NAME?</v>
      </c>
      <c r="N15" s="35" t="e">
        <f ca="1">_xll.qlYieldTSDiscount(L$4,M15,,Triggers!RTDataTrigger)</f>
        <v>#NAME?</v>
      </c>
      <c r="O15" s="44"/>
      <c r="P15" s="33"/>
      <c r="Q15" s="49" t="e">
        <f t="shared" ca="1" si="4"/>
        <v>#NAME?</v>
      </c>
      <c r="R15" s="50" t="e">
        <f t="shared" ca="1" si="1"/>
        <v>#NAME?</v>
      </c>
      <c r="T15" s="38" t="s">
        <v>18</v>
      </c>
      <c r="U15" s="15" t="e">
        <f ca="1">GetNow(_xll.xlPushShmLiborCurveName(U8,U9,Z4:INDEX(Z4:Z93,U14),AA4:INDEX(AA4:AA93,U14),U10,U11,U12,U13+0*TYPE(ManualTrigger)))</f>
        <v>#NAME?</v>
      </c>
      <c r="V15" s="11" t="e">
        <f ca="1"/>
        <v>#NAME?</v>
      </c>
      <c r="W15" s="35" t="e">
        <f ca="1">_xll.qlYieldTSDiscount(U$4,V15,,Triggers!RTDataTrigger)</f>
        <v>#NAME?</v>
      </c>
      <c r="X15" s="44"/>
      <c r="Y15" s="33"/>
      <c r="Z15" s="49" t="e">
        <f t="shared" ca="1" si="5"/>
        <v>#NAME?</v>
      </c>
      <c r="AA15" s="50" t="e">
        <f t="shared" ca="1" si="2"/>
        <v>#NAME?</v>
      </c>
    </row>
    <row r="16" spans="2:27" x14ac:dyDescent="0.2">
      <c r="D16" s="11" t="e">
        <f ca="1"/>
        <v>#NAME?</v>
      </c>
      <c r="E16" s="35" t="e">
        <f ca="1">_xll.qlYieldTSDiscount(C$4,D16,,Triggers!RTDataTrigger)</f>
        <v>#NAME?</v>
      </c>
      <c r="F16" s="44"/>
      <c r="G16" s="33"/>
      <c r="H16" s="49" t="e">
        <f t="shared" ca="1" si="3"/>
        <v>#NAME?</v>
      </c>
      <c r="I16" s="50" t="e">
        <f t="shared" ca="1" si="0"/>
        <v>#NAME?</v>
      </c>
      <c r="J16" s="65"/>
      <c r="M16" s="11" t="e">
        <f ca="1"/>
        <v>#NAME?</v>
      </c>
      <c r="N16" s="35" t="e">
        <f ca="1">_xll.qlYieldTSDiscount(L$4,M16,,Triggers!RTDataTrigger)</f>
        <v>#NAME?</v>
      </c>
      <c r="O16" s="44"/>
      <c r="P16" s="33"/>
      <c r="Q16" s="49" t="e">
        <f t="shared" ca="1" si="4"/>
        <v>#NAME?</v>
      </c>
      <c r="R16" s="50" t="e">
        <f t="shared" ca="1" si="1"/>
        <v>#NAME?</v>
      </c>
      <c r="V16" s="11" t="e">
        <f ca="1"/>
        <v>#NAME?</v>
      </c>
      <c r="W16" s="35" t="e">
        <f ca="1">_xll.qlYieldTSDiscount(U$4,V16,,Triggers!RTDataTrigger)</f>
        <v>#NAME?</v>
      </c>
      <c r="X16" s="44"/>
      <c r="Y16" s="33"/>
      <c r="Z16" s="49" t="e">
        <f t="shared" ca="1" si="5"/>
        <v>#NAME?</v>
      </c>
      <c r="AA16" s="50" t="e">
        <f t="shared" ca="1" si="2"/>
        <v>#NAME?</v>
      </c>
    </row>
    <row r="17" spans="2:27" x14ac:dyDescent="0.2">
      <c r="D17" s="11" t="e">
        <f ca="1"/>
        <v>#NAME?</v>
      </c>
      <c r="E17" s="35" t="e">
        <f ca="1">_xll.qlYieldTSDiscount(C$4,D17,,Triggers!RTDataTrigger)</f>
        <v>#NAME?</v>
      </c>
      <c r="F17" s="44"/>
      <c r="G17" s="33"/>
      <c r="H17" s="49" t="e">
        <f t="shared" ca="1" si="3"/>
        <v>#NAME?</v>
      </c>
      <c r="I17" s="50" t="e">
        <f t="shared" ca="1" si="0"/>
        <v>#NAME?</v>
      </c>
      <c r="J17" s="65"/>
      <c r="M17" s="11" t="e">
        <f ca="1"/>
        <v>#NAME?</v>
      </c>
      <c r="N17" s="35" t="e">
        <f ca="1">_xll.qlYieldTSDiscount(L$4,M17,,Triggers!RTDataTrigger)</f>
        <v>#NAME?</v>
      </c>
      <c r="O17" s="44"/>
      <c r="P17" s="33"/>
      <c r="Q17" s="49" t="e">
        <f t="shared" ca="1" si="4"/>
        <v>#NAME?</v>
      </c>
      <c r="R17" s="50" t="e">
        <f t="shared" ca="1" si="1"/>
        <v>#NAME?</v>
      </c>
      <c r="V17" s="11" t="e">
        <f ca="1"/>
        <v>#NAME?</v>
      </c>
      <c r="W17" s="35" t="e">
        <f ca="1">_xll.qlYieldTSDiscount(U$4,V17,,Triggers!RTDataTrigger)</f>
        <v>#NAME?</v>
      </c>
      <c r="X17" s="44"/>
      <c r="Y17" s="33"/>
      <c r="Z17" s="49" t="e">
        <f t="shared" ca="1" si="5"/>
        <v>#NAME?</v>
      </c>
      <c r="AA17" s="50" t="e">
        <f t="shared" ca="1" si="2"/>
        <v>#NAME?</v>
      </c>
    </row>
    <row r="18" spans="2:27" x14ac:dyDescent="0.2">
      <c r="D18" s="11" t="e">
        <f ca="1"/>
        <v>#NAME?</v>
      </c>
      <c r="E18" s="35" t="e">
        <f ca="1">_xll.qlYieldTSDiscount(C$4,D18,,Triggers!RTDataTrigger)</f>
        <v>#NAME?</v>
      </c>
      <c r="F18" s="44"/>
      <c r="G18" s="33"/>
      <c r="H18" s="49" t="e">
        <f t="shared" ca="1" si="3"/>
        <v>#NAME?</v>
      </c>
      <c r="I18" s="50" t="e">
        <f t="shared" ca="1" si="0"/>
        <v>#NAME?</v>
      </c>
      <c r="J18" s="65"/>
      <c r="M18" s="11" t="e">
        <f ca="1"/>
        <v>#NAME?</v>
      </c>
      <c r="N18" s="35" t="e">
        <f ca="1">_xll.qlYieldTSDiscount(L$4,M18,,Triggers!RTDataTrigger)</f>
        <v>#NAME?</v>
      </c>
      <c r="O18" s="44"/>
      <c r="P18" s="33"/>
      <c r="Q18" s="49" t="e">
        <f t="shared" ca="1" si="4"/>
        <v>#NAME?</v>
      </c>
      <c r="R18" s="50" t="e">
        <f t="shared" ca="1" si="1"/>
        <v>#NAME?</v>
      </c>
      <c r="V18" s="11" t="e">
        <f ca="1"/>
        <v>#NAME?</v>
      </c>
      <c r="W18" s="35" t="e">
        <f ca="1">_xll.qlYieldTSDiscount(U$4,V18,,Triggers!RTDataTrigger)</f>
        <v>#NAME?</v>
      </c>
      <c r="X18" s="44"/>
      <c r="Y18" s="33"/>
      <c r="Z18" s="49" t="e">
        <f t="shared" ca="1" si="5"/>
        <v>#NAME?</v>
      </c>
      <c r="AA18" s="50" t="e">
        <f t="shared" ca="1" si="2"/>
        <v>#NAME?</v>
      </c>
    </row>
    <row r="19" spans="2:27" x14ac:dyDescent="0.2">
      <c r="D19" s="11" t="e">
        <f ca="1"/>
        <v>#NAME?</v>
      </c>
      <c r="E19" s="35" t="e">
        <f ca="1">_xll.qlYieldTSDiscount(C$4,D19,,Triggers!RTDataTrigger)</f>
        <v>#NAME?</v>
      </c>
      <c r="F19" s="44"/>
      <c r="G19" s="33"/>
      <c r="H19" s="49" t="e">
        <f t="shared" ca="1" si="3"/>
        <v>#NAME?</v>
      </c>
      <c r="I19" s="50" t="e">
        <f t="shared" ca="1" si="0"/>
        <v>#NAME?</v>
      </c>
      <c r="J19" s="65"/>
      <c r="M19" s="11" t="e">
        <f ca="1"/>
        <v>#NAME?</v>
      </c>
      <c r="N19" s="35" t="e">
        <f ca="1">_xll.qlYieldTSDiscount(L$4,M19,,Triggers!RTDataTrigger)</f>
        <v>#NAME?</v>
      </c>
      <c r="O19" s="44"/>
      <c r="P19" s="33"/>
      <c r="Q19" s="49" t="e">
        <f t="shared" ca="1" si="4"/>
        <v>#NAME?</v>
      </c>
      <c r="R19" s="50" t="e">
        <f t="shared" ca="1" si="1"/>
        <v>#NAME?</v>
      </c>
      <c r="V19" s="11" t="e">
        <f ca="1"/>
        <v>#NAME?</v>
      </c>
      <c r="W19" s="35" t="e">
        <f ca="1">_xll.qlYieldTSDiscount(U$4,V19,,Triggers!RTDataTrigger)</f>
        <v>#NAME?</v>
      </c>
      <c r="X19" s="44"/>
      <c r="Y19" s="33"/>
      <c r="Z19" s="49" t="e">
        <f t="shared" ca="1" si="5"/>
        <v>#NAME?</v>
      </c>
      <c r="AA19" s="50" t="e">
        <f t="shared" ca="1" si="2"/>
        <v>#NAME?</v>
      </c>
    </row>
    <row r="20" spans="2:27" x14ac:dyDescent="0.2">
      <c r="B20" t="b">
        <v>1</v>
      </c>
      <c r="D20" s="11" t="e">
        <f ca="1"/>
        <v>#NAME?</v>
      </c>
      <c r="E20" s="35" t="e">
        <f ca="1">_xll.qlYieldTSDiscount(C$4,D20,,Triggers!RTDataTrigger)</f>
        <v>#NAME?</v>
      </c>
      <c r="F20" s="44"/>
      <c r="G20" s="33"/>
      <c r="H20" s="49" t="e">
        <f t="shared" ca="1" si="3"/>
        <v>#NAME?</v>
      </c>
      <c r="I20" s="50" t="e">
        <f t="shared" ca="1" si="0"/>
        <v>#NAME?</v>
      </c>
      <c r="J20" s="65"/>
      <c r="M20" s="11" t="e">
        <f ca="1"/>
        <v>#NAME?</v>
      </c>
      <c r="N20" s="35" t="e">
        <f ca="1">_xll.qlYieldTSDiscount(L$4,M20,,Triggers!RTDataTrigger)</f>
        <v>#NAME?</v>
      </c>
      <c r="O20" s="44"/>
      <c r="P20" s="33"/>
      <c r="Q20" s="49" t="e">
        <f t="shared" ca="1" si="4"/>
        <v>#NAME?</v>
      </c>
      <c r="R20" s="50" t="e">
        <f t="shared" ca="1" si="1"/>
        <v>#NAME?</v>
      </c>
      <c r="T20" s="64"/>
      <c r="V20" s="11" t="e">
        <f ca="1"/>
        <v>#NAME?</v>
      </c>
      <c r="W20" s="35" t="e">
        <f ca="1">_xll.qlYieldTSDiscount(U$4,V20,,Triggers!RTDataTrigger)</f>
        <v>#NAME?</v>
      </c>
      <c r="X20" s="44"/>
      <c r="Y20" s="33"/>
      <c r="Z20" s="49" t="e">
        <f t="shared" ca="1" si="5"/>
        <v>#NAME?</v>
      </c>
      <c r="AA20" s="50" t="e">
        <f t="shared" ca="1" si="2"/>
        <v>#NAME?</v>
      </c>
    </row>
    <row r="21" spans="2:27" x14ac:dyDescent="0.2">
      <c r="D21" s="11" t="e">
        <f ca="1"/>
        <v>#NAME?</v>
      </c>
      <c r="E21" s="35" t="e">
        <f ca="1">_xll.qlYieldTSDiscount(C$4,D21,,Triggers!RTDataTrigger)</f>
        <v>#NAME?</v>
      </c>
      <c r="F21" s="44"/>
      <c r="G21" s="33"/>
      <c r="H21" s="49" t="e">
        <f t="shared" ca="1" si="3"/>
        <v>#NAME?</v>
      </c>
      <c r="I21" s="50" t="e">
        <f t="shared" ca="1" si="0"/>
        <v>#NAME?</v>
      </c>
      <c r="J21" s="65"/>
      <c r="M21" s="11" t="e">
        <f ca="1"/>
        <v>#NAME?</v>
      </c>
      <c r="N21" s="35" t="e">
        <f ca="1">_xll.qlYieldTSDiscount(L$4,M21,,Triggers!RTDataTrigger)</f>
        <v>#NAME?</v>
      </c>
      <c r="O21" s="44"/>
      <c r="P21" s="33"/>
      <c r="Q21" s="49" t="e">
        <f t="shared" ca="1" si="4"/>
        <v>#NAME?</v>
      </c>
      <c r="R21" s="50" t="e">
        <f t="shared" ca="1" si="1"/>
        <v>#NAME?</v>
      </c>
      <c r="T21" s="64"/>
      <c r="V21" s="11" t="e">
        <f ca="1"/>
        <v>#NAME?</v>
      </c>
      <c r="W21" s="35" t="e">
        <f ca="1">_xll.qlYieldTSDiscount(U$4,V21,,Triggers!RTDataTrigger)</f>
        <v>#NAME?</v>
      </c>
      <c r="X21" s="44"/>
      <c r="Y21" s="33"/>
      <c r="Z21" s="49" t="e">
        <f t="shared" ca="1" si="5"/>
        <v>#NAME?</v>
      </c>
      <c r="AA21" s="50" t="e">
        <f t="shared" ca="1" si="2"/>
        <v>#NAME?</v>
      </c>
    </row>
    <row r="22" spans="2:27" x14ac:dyDescent="0.2">
      <c r="D22" s="11" t="e">
        <f ca="1"/>
        <v>#NAME?</v>
      </c>
      <c r="E22" s="35" t="e">
        <f ca="1">_xll.qlYieldTSDiscount(C$4,D22,,Triggers!RTDataTrigger)</f>
        <v>#NAME?</v>
      </c>
      <c r="F22" s="44"/>
      <c r="G22" s="33"/>
      <c r="H22" s="49" t="e">
        <f t="shared" ca="1" si="3"/>
        <v>#NAME?</v>
      </c>
      <c r="I22" s="50" t="e">
        <f t="shared" ca="1" si="0"/>
        <v>#NAME?</v>
      </c>
      <c r="J22" s="65"/>
      <c r="M22" s="11" t="e">
        <f ca="1"/>
        <v>#NAME?</v>
      </c>
      <c r="N22" s="35" t="e">
        <f ca="1">_xll.qlYieldTSDiscount(L$4,M22,,Triggers!RTDataTrigger)</f>
        <v>#NAME?</v>
      </c>
      <c r="O22" s="44"/>
      <c r="P22" s="33"/>
      <c r="Q22" s="49" t="e">
        <f t="shared" ca="1" si="4"/>
        <v>#NAME?</v>
      </c>
      <c r="R22" s="50" t="e">
        <f t="shared" ca="1" si="1"/>
        <v>#NAME?</v>
      </c>
      <c r="T22" s="64"/>
      <c r="V22" s="11" t="e">
        <f ca="1"/>
        <v>#NAME?</v>
      </c>
      <c r="W22" s="35" t="e">
        <f ca="1">_xll.qlYieldTSDiscount(U$4,V22,,Triggers!RTDataTrigger)</f>
        <v>#NAME?</v>
      </c>
      <c r="X22" s="44"/>
      <c r="Y22" s="33"/>
      <c r="Z22" s="49" t="e">
        <f t="shared" ca="1" si="5"/>
        <v>#NAME?</v>
      </c>
      <c r="AA22" s="50" t="e">
        <f t="shared" ca="1" si="2"/>
        <v>#NAME?</v>
      </c>
    </row>
    <row r="23" spans="2:27" x14ac:dyDescent="0.2">
      <c r="D23" s="11" t="e">
        <f ca="1"/>
        <v>#NAME?</v>
      </c>
      <c r="E23" s="35" t="e">
        <f ca="1">_xll.qlYieldTSDiscount(C$4,D23,,Triggers!RTDataTrigger)</f>
        <v>#NAME?</v>
      </c>
      <c r="F23" s="44"/>
      <c r="G23" s="33"/>
      <c r="H23" s="49" t="e">
        <f t="shared" ca="1" si="3"/>
        <v>#NAME?</v>
      </c>
      <c r="I23" s="50" t="e">
        <f t="shared" ca="1" si="0"/>
        <v>#NAME?</v>
      </c>
      <c r="J23" s="65"/>
      <c r="M23" s="11" t="e">
        <f ca="1"/>
        <v>#NAME?</v>
      </c>
      <c r="N23" s="35" t="e">
        <f ca="1">_xll.qlYieldTSDiscount(L$4,M23,,Triggers!RTDataTrigger)</f>
        <v>#NAME?</v>
      </c>
      <c r="O23" s="44"/>
      <c r="P23" s="33"/>
      <c r="Q23" s="49" t="e">
        <f t="shared" ca="1" si="4"/>
        <v>#NAME?</v>
      </c>
      <c r="R23" s="50" t="e">
        <f t="shared" ca="1" si="1"/>
        <v>#NAME?</v>
      </c>
      <c r="T23" s="64"/>
      <c r="V23" s="11" t="e">
        <f ca="1"/>
        <v>#NAME?</v>
      </c>
      <c r="W23" s="35" t="e">
        <f ca="1">_xll.qlYieldTSDiscount(U$4,V23,,Triggers!RTDataTrigger)</f>
        <v>#NAME?</v>
      </c>
      <c r="X23" s="44"/>
      <c r="Y23" s="33"/>
      <c r="Z23" s="49" t="e">
        <f t="shared" ca="1" si="5"/>
        <v>#NAME?</v>
      </c>
      <c r="AA23" s="50" t="e">
        <f t="shared" ca="1" si="2"/>
        <v>#NAME?</v>
      </c>
    </row>
    <row r="24" spans="2:27" x14ac:dyDescent="0.2">
      <c r="D24" s="11" t="e">
        <f ca="1"/>
        <v>#NAME?</v>
      </c>
      <c r="E24" s="35" t="e">
        <f ca="1">_xll.qlYieldTSDiscount(C$4,D24,,Triggers!RTDataTrigger)</f>
        <v>#NAME?</v>
      </c>
      <c r="F24" s="44"/>
      <c r="G24" s="33"/>
      <c r="H24" s="49" t="e">
        <f t="shared" ca="1" si="3"/>
        <v>#NAME?</v>
      </c>
      <c r="I24" s="50" t="e">
        <f t="shared" ca="1" si="0"/>
        <v>#NAME?</v>
      </c>
      <c r="J24" s="65"/>
      <c r="M24" s="11" t="e">
        <f ca="1"/>
        <v>#NAME?</v>
      </c>
      <c r="N24" s="35" t="e">
        <f ca="1">_xll.qlYieldTSDiscount(L$4,M24,,Triggers!RTDataTrigger)</f>
        <v>#NAME?</v>
      </c>
      <c r="O24" s="44"/>
      <c r="P24" s="33"/>
      <c r="Q24" s="49" t="e">
        <f t="shared" ca="1" si="4"/>
        <v>#NAME?</v>
      </c>
      <c r="R24" s="50" t="e">
        <f t="shared" ca="1" si="1"/>
        <v>#NAME?</v>
      </c>
      <c r="T24" s="64"/>
      <c r="V24" s="11" t="e">
        <f ca="1"/>
        <v>#NAME?</v>
      </c>
      <c r="W24" s="35" t="e">
        <f ca="1">_xll.qlYieldTSDiscount(U$4,V24,,Triggers!RTDataTrigger)</f>
        <v>#NAME?</v>
      </c>
      <c r="X24" s="44"/>
      <c r="Y24" s="33"/>
      <c r="Z24" s="49" t="e">
        <f t="shared" ca="1" si="5"/>
        <v>#NAME?</v>
      </c>
      <c r="AA24" s="50" t="e">
        <f t="shared" ca="1" si="2"/>
        <v>#NAME?</v>
      </c>
    </row>
    <row r="25" spans="2:27" x14ac:dyDescent="0.2">
      <c r="D25" s="11" t="e">
        <f ca="1"/>
        <v>#NAME?</v>
      </c>
      <c r="E25" s="35" t="e">
        <f ca="1">_xll.qlYieldTSDiscount(C$4,D25,,Triggers!RTDataTrigger)</f>
        <v>#NAME?</v>
      </c>
      <c r="F25" s="44"/>
      <c r="G25" s="33"/>
      <c r="H25" s="49" t="e">
        <f t="shared" ca="1" si="3"/>
        <v>#NAME?</v>
      </c>
      <c r="I25" s="50" t="e">
        <f t="shared" ca="1" si="0"/>
        <v>#NAME?</v>
      </c>
      <c r="J25" s="65"/>
      <c r="M25" s="11" t="e">
        <f ca="1"/>
        <v>#NAME?</v>
      </c>
      <c r="N25" s="35" t="e">
        <f ca="1">_xll.qlYieldTSDiscount(L$4,M25,,Triggers!RTDataTrigger)</f>
        <v>#NAME?</v>
      </c>
      <c r="O25" s="44"/>
      <c r="P25" s="33"/>
      <c r="Q25" s="49" t="e">
        <f t="shared" ca="1" si="4"/>
        <v>#NAME?</v>
      </c>
      <c r="R25" s="50" t="e">
        <f t="shared" ca="1" si="1"/>
        <v>#NAME?</v>
      </c>
      <c r="T25" s="64"/>
      <c r="V25" s="11" t="e">
        <f ca="1"/>
        <v>#NAME?</v>
      </c>
      <c r="W25" s="35" t="e">
        <f ca="1">_xll.qlYieldTSDiscount(U$4,V25,,Triggers!RTDataTrigger)</f>
        <v>#NAME?</v>
      </c>
      <c r="X25" s="44"/>
      <c r="Y25" s="33"/>
      <c r="Z25" s="49" t="e">
        <f t="shared" ca="1" si="5"/>
        <v>#NAME?</v>
      </c>
      <c r="AA25" s="50" t="e">
        <f t="shared" ca="1" si="2"/>
        <v>#NAME?</v>
      </c>
    </row>
    <row r="26" spans="2:27" x14ac:dyDescent="0.2">
      <c r="D26" s="11" t="e">
        <f ca="1"/>
        <v>#NAME?</v>
      </c>
      <c r="E26" s="35" t="e">
        <f ca="1">_xll.qlYieldTSDiscount(C$4,D26,,Triggers!RTDataTrigger)</f>
        <v>#NAME?</v>
      </c>
      <c r="F26" s="44"/>
      <c r="G26" s="33"/>
      <c r="H26" s="49" t="e">
        <f t="shared" ca="1" si="3"/>
        <v>#NAME?</v>
      </c>
      <c r="I26" s="50" t="e">
        <f t="shared" ca="1" si="0"/>
        <v>#NAME?</v>
      </c>
      <c r="J26" s="65"/>
      <c r="M26" s="11" t="e">
        <f ca="1"/>
        <v>#NAME?</v>
      </c>
      <c r="N26" s="35" t="e">
        <f ca="1">_xll.qlYieldTSDiscount(L$4,M26,,Triggers!RTDataTrigger)</f>
        <v>#NAME?</v>
      </c>
      <c r="O26" s="44"/>
      <c r="P26" s="33"/>
      <c r="Q26" s="49" t="e">
        <f t="shared" ca="1" si="4"/>
        <v>#NAME?</v>
      </c>
      <c r="R26" s="50" t="e">
        <f t="shared" ca="1" si="1"/>
        <v>#NAME?</v>
      </c>
      <c r="T26" s="64"/>
      <c r="V26" s="11" t="e">
        <f ca="1"/>
        <v>#NAME?</v>
      </c>
      <c r="W26" s="35" t="e">
        <f ca="1">_xll.qlYieldTSDiscount(U$4,V26,,Triggers!RTDataTrigger)</f>
        <v>#NAME?</v>
      </c>
      <c r="X26" s="44"/>
      <c r="Y26" s="33"/>
      <c r="Z26" s="49" t="e">
        <f t="shared" ca="1" si="5"/>
        <v>#NAME?</v>
      </c>
      <c r="AA26" s="50" t="e">
        <f t="shared" ca="1" si="2"/>
        <v>#NAME?</v>
      </c>
    </row>
    <row r="27" spans="2:27" x14ac:dyDescent="0.2">
      <c r="D27" s="11" t="e">
        <f ca="1"/>
        <v>#NAME?</v>
      </c>
      <c r="E27" s="35" t="e">
        <f ca="1">_xll.qlYieldTSDiscount(C$4,D27,,Triggers!RTDataTrigger)</f>
        <v>#NAME?</v>
      </c>
      <c r="F27" s="44"/>
      <c r="G27" s="33"/>
      <c r="H27" s="49" t="e">
        <f t="shared" ca="1" si="3"/>
        <v>#NAME?</v>
      </c>
      <c r="I27" s="50" t="e">
        <f t="shared" ca="1" si="0"/>
        <v>#NAME?</v>
      </c>
      <c r="J27" s="65"/>
      <c r="M27" s="11" t="e">
        <f ca="1"/>
        <v>#NAME?</v>
      </c>
      <c r="N27" s="35" t="e">
        <f ca="1">_xll.qlYieldTSDiscount(L$4,M27,,Triggers!RTDataTrigger)</f>
        <v>#NAME?</v>
      </c>
      <c r="O27" s="44"/>
      <c r="P27" s="33"/>
      <c r="Q27" s="49" t="e">
        <f t="shared" ca="1" si="4"/>
        <v>#NAME?</v>
      </c>
      <c r="R27" s="50" t="e">
        <f t="shared" ca="1" si="1"/>
        <v>#NAME?</v>
      </c>
      <c r="T27" s="64"/>
      <c r="V27" s="11" t="e">
        <f ca="1"/>
        <v>#NAME?</v>
      </c>
      <c r="W27" s="35" t="e">
        <f ca="1">_xll.qlYieldTSDiscount(U$4,V27,,Triggers!RTDataTrigger)</f>
        <v>#NAME?</v>
      </c>
      <c r="X27" s="44"/>
      <c r="Y27" s="33"/>
      <c r="Z27" s="49" t="e">
        <f t="shared" ca="1" si="5"/>
        <v>#NAME?</v>
      </c>
      <c r="AA27" s="50" t="e">
        <f t="shared" ca="1" si="2"/>
        <v>#NAME?</v>
      </c>
    </row>
    <row r="28" spans="2:27" x14ac:dyDescent="0.2">
      <c r="D28" s="11" t="e">
        <f ca="1"/>
        <v>#NAME?</v>
      </c>
      <c r="E28" s="35" t="e">
        <f ca="1">_xll.qlYieldTSDiscount(C$4,D28,,Triggers!RTDataTrigger)</f>
        <v>#NAME?</v>
      </c>
      <c r="F28" s="44"/>
      <c r="G28" s="33"/>
      <c r="H28" s="49" t="e">
        <f t="shared" ca="1" si="3"/>
        <v>#NAME?</v>
      </c>
      <c r="I28" s="50" t="e">
        <f t="shared" ca="1" si="0"/>
        <v>#NAME?</v>
      </c>
      <c r="J28" s="65"/>
      <c r="M28" s="11" t="e">
        <f ca="1"/>
        <v>#NAME?</v>
      </c>
      <c r="N28" s="35" t="e">
        <f ca="1">_xll.qlYieldTSDiscount(L$4,M28,,Triggers!RTDataTrigger)</f>
        <v>#NAME?</v>
      </c>
      <c r="O28" s="44"/>
      <c r="P28" s="33"/>
      <c r="Q28" s="49" t="e">
        <f t="shared" ca="1" si="4"/>
        <v>#NAME?</v>
      </c>
      <c r="R28" s="50" t="e">
        <f t="shared" ca="1" si="1"/>
        <v>#NAME?</v>
      </c>
      <c r="T28" s="64"/>
      <c r="V28" s="11" t="e">
        <f ca="1"/>
        <v>#NAME?</v>
      </c>
      <c r="W28" s="35" t="e">
        <f ca="1">_xll.qlYieldTSDiscount(U$4,V28,,Triggers!RTDataTrigger)</f>
        <v>#NAME?</v>
      </c>
      <c r="X28" s="44"/>
      <c r="Y28" s="33"/>
      <c r="Z28" s="49" t="e">
        <f t="shared" ca="1" si="5"/>
        <v>#NAME?</v>
      </c>
      <c r="AA28" s="50" t="e">
        <f t="shared" ca="1" si="2"/>
        <v>#NAME?</v>
      </c>
    </row>
    <row r="29" spans="2:27" x14ac:dyDescent="0.2">
      <c r="D29" s="11" t="e">
        <f ca="1"/>
        <v>#NAME?</v>
      </c>
      <c r="E29" s="35" t="e">
        <f ca="1">_xll.qlYieldTSDiscount(C$4,D29,,Triggers!RTDataTrigger)</f>
        <v>#NAME?</v>
      </c>
      <c r="F29" s="44"/>
      <c r="G29" s="33"/>
      <c r="H29" s="49" t="e">
        <f t="shared" ca="1" si="3"/>
        <v>#NAME?</v>
      </c>
      <c r="I29" s="50" t="e">
        <f t="shared" ca="1" si="0"/>
        <v>#NAME?</v>
      </c>
      <c r="J29" s="65"/>
      <c r="M29" s="11" t="e">
        <f ca="1"/>
        <v>#NAME?</v>
      </c>
      <c r="N29" s="35" t="e">
        <f ca="1">_xll.qlYieldTSDiscount(L$4,M29,,Triggers!RTDataTrigger)</f>
        <v>#NAME?</v>
      </c>
      <c r="O29" s="44"/>
      <c r="P29" s="33"/>
      <c r="Q29" s="49" t="e">
        <f t="shared" ca="1" si="4"/>
        <v>#NAME?</v>
      </c>
      <c r="R29" s="50" t="e">
        <f t="shared" ca="1" si="1"/>
        <v>#NAME?</v>
      </c>
      <c r="T29" s="64"/>
      <c r="V29" s="11" t="e">
        <f ca="1"/>
        <v>#NAME?</v>
      </c>
      <c r="W29" s="35" t="e">
        <f ca="1">_xll.qlYieldTSDiscount(U$4,V29,,Triggers!RTDataTrigger)</f>
        <v>#NAME?</v>
      </c>
      <c r="X29" s="44"/>
      <c r="Y29" s="33"/>
      <c r="Z29" s="49" t="e">
        <f t="shared" ca="1" si="5"/>
        <v>#NAME?</v>
      </c>
      <c r="AA29" s="50" t="e">
        <f t="shared" ca="1" si="2"/>
        <v>#NAME?</v>
      </c>
    </row>
    <row r="30" spans="2:27" x14ac:dyDescent="0.2">
      <c r="D30" s="11" t="e">
        <f ca="1"/>
        <v>#NAME?</v>
      </c>
      <c r="E30" s="35" t="e">
        <f ca="1">_xll.qlYieldTSDiscount(C$4,D30,,Triggers!RTDataTrigger)</f>
        <v>#NAME?</v>
      </c>
      <c r="F30" s="44"/>
      <c r="G30" s="33"/>
      <c r="H30" s="49" t="e">
        <f t="shared" ca="1" si="3"/>
        <v>#NAME?</v>
      </c>
      <c r="I30" s="50" t="e">
        <f t="shared" ca="1" si="0"/>
        <v>#NAME?</v>
      </c>
      <c r="J30" s="65"/>
      <c r="M30" s="11" t="e">
        <f ca="1"/>
        <v>#NAME?</v>
      </c>
      <c r="N30" s="35" t="e">
        <f ca="1">_xll.qlYieldTSDiscount(L$4,M30,,Triggers!RTDataTrigger)</f>
        <v>#NAME?</v>
      </c>
      <c r="O30" s="44"/>
      <c r="P30" s="33"/>
      <c r="Q30" s="49" t="e">
        <f t="shared" ca="1" si="4"/>
        <v>#NAME?</v>
      </c>
      <c r="R30" s="50" t="e">
        <f t="shared" ca="1" si="1"/>
        <v>#NAME?</v>
      </c>
      <c r="T30" s="64"/>
      <c r="V30" s="11" t="e">
        <f ca="1"/>
        <v>#NAME?</v>
      </c>
      <c r="W30" s="35" t="e">
        <f ca="1">_xll.qlYieldTSDiscount(U$4,V30,,Triggers!RTDataTrigger)</f>
        <v>#NAME?</v>
      </c>
      <c r="X30" s="44"/>
      <c r="Y30" s="33"/>
      <c r="Z30" s="49" t="e">
        <f t="shared" ca="1" si="5"/>
        <v>#NAME?</v>
      </c>
      <c r="AA30" s="50" t="e">
        <f t="shared" ca="1" si="2"/>
        <v>#NAME?</v>
      </c>
    </row>
    <row r="31" spans="2:27" x14ac:dyDescent="0.2">
      <c r="D31" s="11" t="e">
        <f ca="1"/>
        <v>#NAME?</v>
      </c>
      <c r="E31" s="35" t="e">
        <f ca="1">_xll.qlYieldTSDiscount(C$4,D31,,Triggers!RTDataTrigger)</f>
        <v>#NAME?</v>
      </c>
      <c r="F31" s="44"/>
      <c r="G31" s="33"/>
      <c r="H31" s="49" t="e">
        <f t="shared" ca="1" si="3"/>
        <v>#NAME?</v>
      </c>
      <c r="I31" s="50" t="e">
        <f t="shared" ca="1" si="0"/>
        <v>#NAME?</v>
      </c>
      <c r="J31" s="65"/>
      <c r="M31" s="11" t="e">
        <f ca="1"/>
        <v>#NAME?</v>
      </c>
      <c r="N31" s="35" t="e">
        <f ca="1">_xll.qlYieldTSDiscount(L$4,M31,,Triggers!RTDataTrigger)</f>
        <v>#NAME?</v>
      </c>
      <c r="O31" s="44"/>
      <c r="P31" s="33"/>
      <c r="Q31" s="49" t="e">
        <f t="shared" ca="1" si="4"/>
        <v>#NAME?</v>
      </c>
      <c r="R31" s="50" t="e">
        <f t="shared" ca="1" si="1"/>
        <v>#NAME?</v>
      </c>
      <c r="T31" s="64"/>
      <c r="V31" s="11" t="e">
        <f ca="1"/>
        <v>#NAME?</v>
      </c>
      <c r="W31" s="35" t="e">
        <f ca="1">_xll.qlYieldTSDiscount(U$4,V31,,Triggers!RTDataTrigger)</f>
        <v>#NAME?</v>
      </c>
      <c r="X31" s="44"/>
      <c r="Y31" s="33"/>
      <c r="Z31" s="49" t="e">
        <f t="shared" ca="1" si="5"/>
        <v>#NAME?</v>
      </c>
      <c r="AA31" s="50" t="e">
        <f t="shared" ca="1" si="2"/>
        <v>#NAME?</v>
      </c>
    </row>
    <row r="32" spans="2:27" x14ac:dyDescent="0.2">
      <c r="D32" s="11" t="e">
        <f ca="1"/>
        <v>#NAME?</v>
      </c>
      <c r="E32" s="35" t="e">
        <f ca="1">_xll.qlYieldTSDiscount(C$4,D32,,Triggers!RTDataTrigger)</f>
        <v>#NAME?</v>
      </c>
      <c r="F32" s="44"/>
      <c r="G32" s="33"/>
      <c r="H32" s="49" t="e">
        <f t="shared" ca="1" si="3"/>
        <v>#NAME?</v>
      </c>
      <c r="I32" s="50" t="e">
        <f t="shared" ca="1" si="0"/>
        <v>#NAME?</v>
      </c>
      <c r="J32" s="65"/>
      <c r="M32" s="11" t="e">
        <f ca="1"/>
        <v>#NAME?</v>
      </c>
      <c r="N32" s="35" t="e">
        <f ca="1">_xll.qlYieldTSDiscount(L$4,M32,,Triggers!RTDataTrigger)</f>
        <v>#NAME?</v>
      </c>
      <c r="O32" s="44"/>
      <c r="P32" s="33"/>
      <c r="Q32" s="49" t="e">
        <f t="shared" ca="1" si="4"/>
        <v>#NAME?</v>
      </c>
      <c r="R32" s="50" t="e">
        <f t="shared" ca="1" si="1"/>
        <v>#NAME?</v>
      </c>
      <c r="T32" s="64"/>
      <c r="V32" s="11" t="e">
        <f ca="1"/>
        <v>#NAME?</v>
      </c>
      <c r="W32" s="35" t="e">
        <f ca="1">_xll.qlYieldTSDiscount(U$4,V32,,Triggers!RTDataTrigger)</f>
        <v>#NAME?</v>
      </c>
      <c r="X32" s="44"/>
      <c r="Y32" s="33"/>
      <c r="Z32" s="49" t="e">
        <f t="shared" ca="1" si="5"/>
        <v>#NAME?</v>
      </c>
      <c r="AA32" s="50" t="e">
        <f t="shared" ca="1" si="2"/>
        <v>#NAME?</v>
      </c>
    </row>
    <row r="33" spans="4:27" x14ac:dyDescent="0.2">
      <c r="D33" s="11" t="e">
        <f ca="1"/>
        <v>#NAME?</v>
      </c>
      <c r="E33" s="35" t="e">
        <f ca="1">_xll.qlYieldTSDiscount(C$4,D33,,Triggers!RTDataTrigger)</f>
        <v>#NAME?</v>
      </c>
      <c r="F33" s="44"/>
      <c r="G33" s="33"/>
      <c r="H33" s="49" t="e">
        <f t="shared" ca="1" si="3"/>
        <v>#NAME?</v>
      </c>
      <c r="I33" s="50" t="e">
        <f t="shared" ca="1" si="0"/>
        <v>#NAME?</v>
      </c>
      <c r="J33" s="65"/>
      <c r="M33" s="11" t="e">
        <f ca="1"/>
        <v>#NAME?</v>
      </c>
      <c r="N33" s="35" t="e">
        <f ca="1">_xll.qlYieldTSDiscount(L$4,M33,,Triggers!RTDataTrigger)</f>
        <v>#NAME?</v>
      </c>
      <c r="O33" s="44"/>
      <c r="P33" s="33"/>
      <c r="Q33" s="49" t="e">
        <f t="shared" ca="1" si="4"/>
        <v>#NAME?</v>
      </c>
      <c r="R33" s="50" t="e">
        <f t="shared" ca="1" si="1"/>
        <v>#NAME?</v>
      </c>
      <c r="T33" s="64"/>
      <c r="V33" s="11" t="e">
        <f ca="1"/>
        <v>#NAME?</v>
      </c>
      <c r="W33" s="35" t="e">
        <f ca="1">_xll.qlYieldTSDiscount(U$4,V33,,Triggers!RTDataTrigger)</f>
        <v>#NAME?</v>
      </c>
      <c r="X33" s="44"/>
      <c r="Y33" s="33"/>
      <c r="Z33" s="49" t="e">
        <f t="shared" ca="1" si="5"/>
        <v>#NAME?</v>
      </c>
      <c r="AA33" s="50" t="e">
        <f t="shared" ca="1" si="2"/>
        <v>#NAME?</v>
      </c>
    </row>
    <row r="34" spans="4:27" x14ac:dyDescent="0.2">
      <c r="D34" s="11" t="e">
        <f ca="1"/>
        <v>#NAME?</v>
      </c>
      <c r="E34" s="35" t="e">
        <f ca="1">_xll.qlYieldTSDiscount(C$4,D34,,Triggers!RTDataTrigger)</f>
        <v>#NAME?</v>
      </c>
      <c r="F34" s="44"/>
      <c r="G34" s="33"/>
      <c r="H34" s="49" t="e">
        <f t="shared" ca="1" si="3"/>
        <v>#NAME?</v>
      </c>
      <c r="I34" s="50" t="e">
        <f t="shared" ca="1" si="0"/>
        <v>#NAME?</v>
      </c>
      <c r="J34" s="65"/>
      <c r="M34" s="11" t="e">
        <f ca="1"/>
        <v>#NAME?</v>
      </c>
      <c r="N34" s="35" t="e">
        <f ca="1">_xll.qlYieldTSDiscount(L$4,M34,,Triggers!RTDataTrigger)</f>
        <v>#NAME?</v>
      </c>
      <c r="O34" s="44"/>
      <c r="P34" s="33"/>
      <c r="Q34" s="49" t="e">
        <f t="shared" ca="1" si="4"/>
        <v>#NAME?</v>
      </c>
      <c r="R34" s="50" t="e">
        <f t="shared" ca="1" si="1"/>
        <v>#NAME?</v>
      </c>
      <c r="T34" s="64"/>
      <c r="V34" s="11" t="e">
        <f ca="1"/>
        <v>#NAME?</v>
      </c>
      <c r="W34" s="35" t="e">
        <f ca="1">_xll.qlYieldTSDiscount(U$4,V34,,Triggers!RTDataTrigger)</f>
        <v>#NAME?</v>
      </c>
      <c r="X34" s="44"/>
      <c r="Y34" s="33"/>
      <c r="Z34" s="49" t="e">
        <f t="shared" ca="1" si="5"/>
        <v>#NAME?</v>
      </c>
      <c r="AA34" s="50" t="e">
        <f t="shared" ca="1" si="2"/>
        <v>#NAME?</v>
      </c>
    </row>
    <row r="35" spans="4:27" x14ac:dyDescent="0.2">
      <c r="D35" s="11" t="e">
        <f ca="1"/>
        <v>#NAME?</v>
      </c>
      <c r="E35" s="35" t="e">
        <f ca="1">_xll.qlYieldTSDiscount(C$4,D35,,Triggers!RTDataTrigger)</f>
        <v>#NAME?</v>
      </c>
      <c r="F35" s="44"/>
      <c r="G35" s="33"/>
      <c r="H35" s="49" t="e">
        <f t="shared" ca="1" si="3"/>
        <v>#NAME?</v>
      </c>
      <c r="I35" s="50" t="e">
        <f t="shared" ca="1" si="0"/>
        <v>#NAME?</v>
      </c>
      <c r="J35" s="65"/>
      <c r="M35" s="11" t="e">
        <f ca="1"/>
        <v>#NAME?</v>
      </c>
      <c r="N35" s="35" t="e">
        <f ca="1">_xll.qlYieldTSDiscount(L$4,M35,,Triggers!RTDataTrigger)</f>
        <v>#NAME?</v>
      </c>
      <c r="O35" s="44"/>
      <c r="P35" s="33"/>
      <c r="Q35" s="49" t="e">
        <f t="shared" ca="1" si="4"/>
        <v>#NAME?</v>
      </c>
      <c r="R35" s="50" t="e">
        <f t="shared" ca="1" si="1"/>
        <v>#NAME?</v>
      </c>
      <c r="T35" s="64"/>
      <c r="V35" s="11" t="e">
        <f ca="1"/>
        <v>#NAME?</v>
      </c>
      <c r="W35" s="35" t="e">
        <f ca="1">_xll.qlYieldTSDiscount(U$4,V35,,Triggers!RTDataTrigger)</f>
        <v>#NAME?</v>
      </c>
      <c r="X35" s="44"/>
      <c r="Y35" s="33"/>
      <c r="Z35" s="49" t="e">
        <f t="shared" ca="1" si="5"/>
        <v>#NAME?</v>
      </c>
      <c r="AA35" s="50" t="e">
        <f t="shared" ca="1" si="2"/>
        <v>#NAME?</v>
      </c>
    </row>
    <row r="36" spans="4:27" x14ac:dyDescent="0.2">
      <c r="D36" s="11" t="e">
        <f ca="1"/>
        <v>#NAME?</v>
      </c>
      <c r="E36" s="35" t="e">
        <f ca="1">_xll.qlYieldTSDiscount(C$4,D36,,Triggers!RTDataTrigger)</f>
        <v>#NAME?</v>
      </c>
      <c r="F36" s="44"/>
      <c r="G36" s="33"/>
      <c r="H36" s="49" t="e">
        <f t="shared" ca="1" si="3"/>
        <v>#NAME?</v>
      </c>
      <c r="I36" s="50" t="e">
        <f t="shared" ca="1" si="0"/>
        <v>#NAME?</v>
      </c>
      <c r="J36" s="65"/>
      <c r="M36" s="11" t="e">
        <f ca="1"/>
        <v>#NAME?</v>
      </c>
      <c r="N36" s="35" t="e">
        <f ca="1">_xll.qlYieldTSDiscount(L$4,M36,,Triggers!RTDataTrigger)</f>
        <v>#NAME?</v>
      </c>
      <c r="O36" s="44"/>
      <c r="P36" s="33"/>
      <c r="Q36" s="49" t="e">
        <f t="shared" ca="1" si="4"/>
        <v>#NAME?</v>
      </c>
      <c r="R36" s="50" t="e">
        <f t="shared" ca="1" si="1"/>
        <v>#NAME?</v>
      </c>
      <c r="T36" s="64"/>
      <c r="V36" s="11" t="e">
        <f ca="1"/>
        <v>#NAME?</v>
      </c>
      <c r="W36" s="35" t="e">
        <f ca="1">_xll.qlYieldTSDiscount(U$4,V36,,Triggers!RTDataTrigger)</f>
        <v>#NAME?</v>
      </c>
      <c r="X36" s="44"/>
      <c r="Y36" s="33"/>
      <c r="Z36" s="49" t="e">
        <f t="shared" ca="1" si="5"/>
        <v>#NAME?</v>
      </c>
      <c r="AA36" s="50" t="e">
        <f t="shared" ca="1" si="2"/>
        <v>#NAME?</v>
      </c>
    </row>
    <row r="37" spans="4:27" x14ac:dyDescent="0.2">
      <c r="D37" s="11" t="e">
        <f ca="1"/>
        <v>#NAME?</v>
      </c>
      <c r="E37" s="35" t="e">
        <f ca="1">_xll.qlYieldTSDiscount(C$4,D37,,Triggers!RTDataTrigger)</f>
        <v>#NAME?</v>
      </c>
      <c r="F37" s="44"/>
      <c r="G37" s="33"/>
      <c r="H37" s="49" t="e">
        <f t="shared" ca="1" si="3"/>
        <v>#NAME?</v>
      </c>
      <c r="I37" s="50" t="e">
        <f t="shared" ca="1" si="0"/>
        <v>#NAME?</v>
      </c>
      <c r="J37" s="65"/>
      <c r="M37" s="11" t="e">
        <f ca="1"/>
        <v>#NAME?</v>
      </c>
      <c r="N37" s="35" t="e">
        <f ca="1">_xll.qlYieldTSDiscount(L$4,M37,,Triggers!RTDataTrigger)</f>
        <v>#NAME?</v>
      </c>
      <c r="O37" s="44"/>
      <c r="P37" s="33"/>
      <c r="Q37" s="49" t="e">
        <f t="shared" ca="1" si="4"/>
        <v>#NAME?</v>
      </c>
      <c r="R37" s="50" t="e">
        <f t="shared" ca="1" si="1"/>
        <v>#NAME?</v>
      </c>
      <c r="T37" s="64"/>
      <c r="V37" s="11" t="e">
        <f ca="1"/>
        <v>#NAME?</v>
      </c>
      <c r="W37" s="35" t="e">
        <f ca="1">_xll.qlYieldTSDiscount(U$4,V37,,Triggers!RTDataTrigger)</f>
        <v>#NAME?</v>
      </c>
      <c r="X37" s="44"/>
      <c r="Y37" s="33"/>
      <c r="Z37" s="49" t="e">
        <f t="shared" ca="1" si="5"/>
        <v>#NAME?</v>
      </c>
      <c r="AA37" s="50" t="e">
        <f t="shared" ca="1" si="2"/>
        <v>#NAME?</v>
      </c>
    </row>
    <row r="38" spans="4:27" x14ac:dyDescent="0.2">
      <c r="D38" s="11" t="e">
        <f ca="1"/>
        <v>#NAME?</v>
      </c>
      <c r="E38" s="35" t="e">
        <f ca="1">_xll.qlYieldTSDiscount(C$4,D38,,Triggers!RTDataTrigger)</f>
        <v>#NAME?</v>
      </c>
      <c r="F38" s="44"/>
      <c r="G38" s="33"/>
      <c r="H38" s="49" t="e">
        <f t="shared" ca="1" si="3"/>
        <v>#NAME?</v>
      </c>
      <c r="I38" s="50" t="e">
        <f t="shared" ca="1" si="0"/>
        <v>#NAME?</v>
      </c>
      <c r="J38" s="65"/>
      <c r="M38" s="11" t="e">
        <f ca="1"/>
        <v>#NAME?</v>
      </c>
      <c r="N38" s="35" t="e">
        <f ca="1">_xll.qlYieldTSDiscount(L$4,M38,,Triggers!RTDataTrigger)</f>
        <v>#NAME?</v>
      </c>
      <c r="O38" s="44"/>
      <c r="P38" s="33"/>
      <c r="Q38" s="49" t="e">
        <f t="shared" ca="1" si="4"/>
        <v>#NAME?</v>
      </c>
      <c r="R38" s="50" t="e">
        <f t="shared" ca="1" si="1"/>
        <v>#NAME?</v>
      </c>
      <c r="T38" s="64"/>
      <c r="V38" s="11" t="e">
        <f ca="1"/>
        <v>#NAME?</v>
      </c>
      <c r="W38" s="35" t="e">
        <f ca="1">_xll.qlYieldTSDiscount(U$4,V38,,Triggers!RTDataTrigger)</f>
        <v>#NAME?</v>
      </c>
      <c r="X38" s="44"/>
      <c r="Y38" s="33"/>
      <c r="Z38" s="49" t="e">
        <f t="shared" ca="1" si="5"/>
        <v>#NAME?</v>
      </c>
      <c r="AA38" s="50" t="e">
        <f t="shared" ca="1" si="2"/>
        <v>#NAME?</v>
      </c>
    </row>
    <row r="39" spans="4:27" x14ac:dyDescent="0.2">
      <c r="D39" s="11" t="e">
        <f ca="1"/>
        <v>#NAME?</v>
      </c>
      <c r="E39" s="35" t="e">
        <f ca="1">_xll.qlYieldTSDiscount(C$4,D39,,Triggers!RTDataTrigger)</f>
        <v>#NAME?</v>
      </c>
      <c r="F39" s="44"/>
      <c r="G39" s="33"/>
      <c r="H39" s="49" t="e">
        <f t="shared" ca="1" si="3"/>
        <v>#NAME?</v>
      </c>
      <c r="I39" s="50" t="e">
        <f t="shared" ca="1" si="0"/>
        <v>#NAME?</v>
      </c>
      <c r="J39" s="65"/>
      <c r="M39" s="11" t="e">
        <f ca="1"/>
        <v>#NAME?</v>
      </c>
      <c r="N39" s="35" t="e">
        <f ca="1">_xll.qlYieldTSDiscount(L$4,M39,,Triggers!RTDataTrigger)</f>
        <v>#NAME?</v>
      </c>
      <c r="O39" s="44"/>
      <c r="P39" s="33"/>
      <c r="Q39" s="49" t="e">
        <f t="shared" ca="1" si="4"/>
        <v>#NAME?</v>
      </c>
      <c r="R39" s="50" t="e">
        <f t="shared" ca="1" si="1"/>
        <v>#NAME?</v>
      </c>
      <c r="T39" s="64"/>
      <c r="V39" s="11" t="e">
        <f ca="1"/>
        <v>#NAME?</v>
      </c>
      <c r="W39" s="35" t="e">
        <f ca="1">_xll.qlYieldTSDiscount(U$4,V39,,Triggers!RTDataTrigger)</f>
        <v>#NAME?</v>
      </c>
      <c r="X39" s="44"/>
      <c r="Y39" s="33"/>
      <c r="Z39" s="49" t="e">
        <f t="shared" ca="1" si="5"/>
        <v>#NAME?</v>
      </c>
      <c r="AA39" s="50" t="e">
        <f t="shared" ca="1" si="2"/>
        <v>#NAME?</v>
      </c>
    </row>
    <row r="40" spans="4:27" x14ac:dyDescent="0.2">
      <c r="D40" s="11" t="e">
        <f ca="1"/>
        <v>#NAME?</v>
      </c>
      <c r="E40" s="35" t="e">
        <f ca="1">_xll.qlYieldTSDiscount(C$4,D40,,Triggers!RTDataTrigger)</f>
        <v>#NAME?</v>
      </c>
      <c r="F40" s="44"/>
      <c r="G40" s="33"/>
      <c r="H40" s="49" t="e">
        <f t="shared" ca="1" si="3"/>
        <v>#NAME?</v>
      </c>
      <c r="I40" s="50" t="e">
        <f t="shared" ca="1" si="0"/>
        <v>#NAME?</v>
      </c>
      <c r="J40" s="65"/>
      <c r="M40" s="11" t="e">
        <f ca="1"/>
        <v>#NAME?</v>
      </c>
      <c r="N40" s="35" t="e">
        <f ca="1">_xll.qlYieldTSDiscount(L$4,M40,,Triggers!RTDataTrigger)</f>
        <v>#NAME?</v>
      </c>
      <c r="O40" s="44"/>
      <c r="P40" s="33"/>
      <c r="Q40" s="49" t="e">
        <f t="shared" ca="1" si="4"/>
        <v>#NAME?</v>
      </c>
      <c r="R40" s="50" t="e">
        <f t="shared" ca="1" si="1"/>
        <v>#NAME?</v>
      </c>
      <c r="T40" s="64"/>
      <c r="V40" s="11" t="e">
        <f ca="1"/>
        <v>#NAME?</v>
      </c>
      <c r="W40" s="35" t="e">
        <f ca="1">_xll.qlYieldTSDiscount(U$4,V40,,Triggers!RTDataTrigger)</f>
        <v>#NAME?</v>
      </c>
      <c r="X40" s="44"/>
      <c r="Y40" s="33"/>
      <c r="Z40" s="49" t="e">
        <f t="shared" ca="1" si="5"/>
        <v>#NAME?</v>
      </c>
      <c r="AA40" s="50" t="e">
        <f t="shared" ca="1" si="2"/>
        <v>#NAME?</v>
      </c>
    </row>
    <row r="41" spans="4:27" x14ac:dyDescent="0.2">
      <c r="D41" s="11" t="e">
        <f ca="1"/>
        <v>#NAME?</v>
      </c>
      <c r="E41" s="35" t="e">
        <f ca="1">_xll.qlYieldTSDiscount(C$4,D41,,Triggers!RTDataTrigger)</f>
        <v>#NAME?</v>
      </c>
      <c r="F41" s="44"/>
      <c r="G41" s="33"/>
      <c r="H41" s="49" t="e">
        <f t="shared" ca="1" si="3"/>
        <v>#NAME?</v>
      </c>
      <c r="I41" s="50" t="e">
        <f t="shared" ca="1" si="0"/>
        <v>#NAME?</v>
      </c>
      <c r="J41" s="65"/>
      <c r="M41" s="11" t="e">
        <f ca="1"/>
        <v>#NAME?</v>
      </c>
      <c r="N41" s="35" t="e">
        <f ca="1">_xll.qlYieldTSDiscount(L$4,M41,,Triggers!RTDataTrigger)</f>
        <v>#NAME?</v>
      </c>
      <c r="O41" s="44"/>
      <c r="P41" s="33"/>
      <c r="Q41" s="49" t="e">
        <f t="shared" ca="1" si="4"/>
        <v>#NAME?</v>
      </c>
      <c r="R41" s="50" t="e">
        <f t="shared" ca="1" si="1"/>
        <v>#NAME?</v>
      </c>
      <c r="T41" s="64"/>
      <c r="V41" s="11" t="e">
        <f ca="1"/>
        <v>#NAME?</v>
      </c>
      <c r="W41" s="35" t="e">
        <f ca="1">_xll.qlYieldTSDiscount(U$4,V41,,Triggers!RTDataTrigger)</f>
        <v>#NAME?</v>
      </c>
      <c r="X41" s="44"/>
      <c r="Y41" s="33"/>
      <c r="Z41" s="49" t="e">
        <f t="shared" ca="1" si="5"/>
        <v>#NAME?</v>
      </c>
      <c r="AA41" s="50" t="e">
        <f t="shared" ca="1" si="2"/>
        <v>#NAME?</v>
      </c>
    </row>
    <row r="42" spans="4:27" x14ac:dyDescent="0.2">
      <c r="D42" s="11" t="e">
        <f ca="1"/>
        <v>#NAME?</v>
      </c>
      <c r="E42" s="35" t="e">
        <f ca="1">_xll.qlYieldTSDiscount(C$4,D42,,Triggers!RTDataTrigger)</f>
        <v>#NAME?</v>
      </c>
      <c r="F42" s="44"/>
      <c r="G42" s="33"/>
      <c r="H42" s="49" t="e">
        <f t="shared" ca="1" si="3"/>
        <v>#NAME?</v>
      </c>
      <c r="I42" s="50" t="e">
        <f t="shared" ca="1" si="0"/>
        <v>#NAME?</v>
      </c>
      <c r="J42" s="65"/>
      <c r="M42" s="11" t="e">
        <f ca="1"/>
        <v>#NAME?</v>
      </c>
      <c r="N42" s="35" t="e">
        <f ca="1">_xll.qlYieldTSDiscount(L$4,M42,,Triggers!RTDataTrigger)</f>
        <v>#NAME?</v>
      </c>
      <c r="O42" s="44"/>
      <c r="P42" s="33"/>
      <c r="Q42" s="49" t="e">
        <f t="shared" ca="1" si="4"/>
        <v>#NAME?</v>
      </c>
      <c r="R42" s="50" t="e">
        <f t="shared" ca="1" si="1"/>
        <v>#NAME?</v>
      </c>
      <c r="T42" s="64"/>
      <c r="V42" s="11" t="e">
        <f ca="1"/>
        <v>#NAME?</v>
      </c>
      <c r="W42" s="35" t="e">
        <f ca="1">_xll.qlYieldTSDiscount(U$4,V42,,Triggers!RTDataTrigger)</f>
        <v>#NAME?</v>
      </c>
      <c r="X42" s="44"/>
      <c r="Y42" s="33"/>
      <c r="Z42" s="49" t="e">
        <f t="shared" ca="1" si="5"/>
        <v>#NAME?</v>
      </c>
      <c r="AA42" s="50" t="e">
        <f t="shared" ca="1" si="2"/>
        <v>#NAME?</v>
      </c>
    </row>
    <row r="43" spans="4:27" x14ac:dyDescent="0.2">
      <c r="D43" s="11" t="e">
        <f ca="1"/>
        <v>#NAME?</v>
      </c>
      <c r="E43" s="35" t="e">
        <f ca="1">_xll.qlYieldTSDiscount(C$4,D43,,Triggers!RTDataTrigger)</f>
        <v>#NAME?</v>
      </c>
      <c r="F43" s="44"/>
      <c r="G43" s="33"/>
      <c r="H43" s="49" t="e">
        <f t="shared" ca="1" si="3"/>
        <v>#NAME?</v>
      </c>
      <c r="I43" s="50" t="e">
        <f t="shared" ca="1" si="0"/>
        <v>#NAME?</v>
      </c>
      <c r="J43" s="65"/>
      <c r="M43" s="11" t="e">
        <f ca="1"/>
        <v>#NAME?</v>
      </c>
      <c r="N43" s="35" t="e">
        <f ca="1">_xll.qlYieldTSDiscount(L$4,M43,,Triggers!RTDataTrigger)</f>
        <v>#NAME?</v>
      </c>
      <c r="O43" s="44"/>
      <c r="P43" s="33"/>
      <c r="Q43" s="49" t="e">
        <f t="shared" ca="1" si="4"/>
        <v>#NAME?</v>
      </c>
      <c r="R43" s="50" t="e">
        <f t="shared" ca="1" si="1"/>
        <v>#NAME?</v>
      </c>
      <c r="T43" s="64"/>
      <c r="V43" s="11" t="e">
        <f ca="1"/>
        <v>#NAME?</v>
      </c>
      <c r="W43" s="35" t="e">
        <f ca="1">_xll.qlYieldTSDiscount(U$4,V43,,Triggers!RTDataTrigger)</f>
        <v>#NAME?</v>
      </c>
      <c r="X43" s="44"/>
      <c r="Y43" s="33"/>
      <c r="Z43" s="49" t="e">
        <f t="shared" ca="1" si="5"/>
        <v>#NAME?</v>
      </c>
      <c r="AA43" s="50" t="e">
        <f t="shared" ca="1" si="2"/>
        <v>#NAME?</v>
      </c>
    </row>
    <row r="44" spans="4:27" x14ac:dyDescent="0.2">
      <c r="D44" s="11" t="e">
        <f ca="1"/>
        <v>#NAME?</v>
      </c>
      <c r="E44" s="35" t="e">
        <f ca="1">_xll.qlYieldTSDiscount(C$4,D44,,Triggers!RTDataTrigger)</f>
        <v>#NAME?</v>
      </c>
      <c r="F44" s="44"/>
      <c r="G44" s="33"/>
      <c r="H44" s="49" t="e">
        <f t="shared" ca="1" si="3"/>
        <v>#NAME?</v>
      </c>
      <c r="I44" s="50" t="e">
        <f t="shared" ca="1" si="0"/>
        <v>#NAME?</v>
      </c>
      <c r="J44" s="65"/>
      <c r="M44" s="11" t="e">
        <f ca="1"/>
        <v>#NAME?</v>
      </c>
      <c r="N44" s="35" t="e">
        <f ca="1">_xll.qlYieldTSDiscount(L$4,M44,,Triggers!RTDataTrigger)</f>
        <v>#NAME?</v>
      </c>
      <c r="O44" s="44"/>
      <c r="P44" s="33"/>
      <c r="Q44" s="49" t="e">
        <f t="shared" ca="1" si="4"/>
        <v>#NAME?</v>
      </c>
      <c r="R44" s="50" t="e">
        <f t="shared" ca="1" si="1"/>
        <v>#NAME?</v>
      </c>
      <c r="T44" s="64"/>
      <c r="V44" s="11" t="e">
        <f ca="1"/>
        <v>#NAME?</v>
      </c>
      <c r="W44" s="35" t="e">
        <f ca="1">_xll.qlYieldTSDiscount(U$4,V44,,Triggers!RTDataTrigger)</f>
        <v>#NAME?</v>
      </c>
      <c r="X44" s="44"/>
      <c r="Y44" s="33"/>
      <c r="Z44" s="49" t="e">
        <f t="shared" ca="1" si="5"/>
        <v>#NAME?</v>
      </c>
      <c r="AA44" s="50" t="e">
        <f t="shared" ca="1" si="2"/>
        <v>#NAME?</v>
      </c>
    </row>
    <row r="45" spans="4:27" x14ac:dyDescent="0.2">
      <c r="D45" s="11" t="e">
        <f ca="1"/>
        <v>#NAME?</v>
      </c>
      <c r="E45" s="35" t="e">
        <f ca="1">_xll.qlYieldTSDiscount(C$4,D45,,Triggers!RTDataTrigger)</f>
        <v>#NAME?</v>
      </c>
      <c r="F45" s="44"/>
      <c r="G45" s="33"/>
      <c r="H45" s="49" t="e">
        <f t="shared" ca="1" si="3"/>
        <v>#NAME?</v>
      </c>
      <c r="I45" s="50" t="e">
        <f t="shared" ca="1" si="0"/>
        <v>#NAME?</v>
      </c>
      <c r="J45" s="65"/>
      <c r="M45" s="11" t="e">
        <f ca="1"/>
        <v>#NAME?</v>
      </c>
      <c r="N45" s="35" t="e">
        <f ca="1">_xll.qlYieldTSDiscount(L$4,M45,,Triggers!RTDataTrigger)</f>
        <v>#NAME?</v>
      </c>
      <c r="O45" s="44"/>
      <c r="P45" s="33"/>
      <c r="Q45" s="49" t="e">
        <f t="shared" ca="1" si="4"/>
        <v>#NAME?</v>
      </c>
      <c r="R45" s="50" t="e">
        <f t="shared" ca="1" si="1"/>
        <v>#NAME?</v>
      </c>
      <c r="T45" s="64"/>
      <c r="V45" s="11" t="e">
        <f ca="1"/>
        <v>#NAME?</v>
      </c>
      <c r="W45" s="35" t="e">
        <f ca="1">_xll.qlYieldTSDiscount(U$4,V45,,Triggers!RTDataTrigger)</f>
        <v>#NAME?</v>
      </c>
      <c r="X45" s="44"/>
      <c r="Y45" s="33"/>
      <c r="Z45" s="49" t="e">
        <f t="shared" ca="1" si="5"/>
        <v>#NAME?</v>
      </c>
      <c r="AA45" s="50" t="e">
        <f t="shared" ca="1" si="2"/>
        <v>#NAME?</v>
      </c>
    </row>
    <row r="46" spans="4:27" x14ac:dyDescent="0.2">
      <c r="D46" s="11" t="e">
        <f ca="1"/>
        <v>#NAME?</v>
      </c>
      <c r="E46" s="12" t="e">
        <f ca="1">_xll.qlYieldTSDiscount(C$4,D46,,Triggers!RTDataTrigger)</f>
        <v>#NAME?</v>
      </c>
      <c r="F46" s="44"/>
      <c r="G46" s="33"/>
      <c r="H46" s="49" t="e">
        <f t="shared" ca="1" si="3"/>
        <v>#NAME?</v>
      </c>
      <c r="I46" s="50" t="e">
        <f t="shared" ca="1" si="0"/>
        <v>#NAME?</v>
      </c>
      <c r="J46" s="65"/>
      <c r="M46" s="11" t="e">
        <f ca="1"/>
        <v>#NAME?</v>
      </c>
      <c r="N46" s="12" t="e">
        <f ca="1">_xll.qlYieldTSDiscount(L$4,M46,,Triggers!RTDataTrigger)</f>
        <v>#NAME?</v>
      </c>
      <c r="O46" s="44"/>
      <c r="P46" s="33"/>
      <c r="Q46" s="49" t="e">
        <f t="shared" ca="1" si="4"/>
        <v>#NAME?</v>
      </c>
      <c r="R46" s="50" t="e">
        <f t="shared" ca="1" si="1"/>
        <v>#NAME?</v>
      </c>
      <c r="T46" s="64"/>
      <c r="V46" s="11" t="e">
        <f ca="1"/>
        <v>#NAME?</v>
      </c>
      <c r="W46" s="12" t="e">
        <f ca="1">_xll.qlYieldTSDiscount(U$4,V46,,Triggers!RTDataTrigger)</f>
        <v>#NAME?</v>
      </c>
      <c r="X46" s="44"/>
      <c r="Y46" s="33"/>
      <c r="Z46" s="49" t="e">
        <f t="shared" ca="1" si="5"/>
        <v>#NAME?</v>
      </c>
      <c r="AA46" s="50" t="e">
        <f t="shared" ca="1" si="2"/>
        <v>#NAME?</v>
      </c>
    </row>
    <row r="47" spans="4:27" x14ac:dyDescent="0.2">
      <c r="D47" s="11" t="e">
        <f ca="1"/>
        <v>#NAME?</v>
      </c>
      <c r="E47" s="12" t="e">
        <f ca="1">_xll.qlYieldTSDiscount(C$4,D47,,Triggers!RTDataTrigger)</f>
        <v>#NAME?</v>
      </c>
      <c r="F47" s="44"/>
      <c r="G47" s="33"/>
      <c r="H47" s="49" t="e">
        <f t="shared" ca="1" si="3"/>
        <v>#NAME?</v>
      </c>
      <c r="I47" s="50" t="e">
        <f t="shared" ca="1" si="0"/>
        <v>#NAME?</v>
      </c>
      <c r="J47" s="65"/>
      <c r="M47" s="11" t="e">
        <f ca="1"/>
        <v>#NAME?</v>
      </c>
      <c r="N47" s="12" t="e">
        <f ca="1">_xll.qlYieldTSDiscount(L$4,M47,,Triggers!RTDataTrigger)</f>
        <v>#NAME?</v>
      </c>
      <c r="O47" s="44"/>
      <c r="P47" s="33"/>
      <c r="Q47" s="49" t="e">
        <f t="shared" ca="1" si="4"/>
        <v>#NAME?</v>
      </c>
      <c r="R47" s="50" t="e">
        <f t="shared" ca="1" si="1"/>
        <v>#NAME?</v>
      </c>
      <c r="T47" s="64"/>
      <c r="V47" s="11" t="e">
        <f ca="1"/>
        <v>#NAME?</v>
      </c>
      <c r="W47" s="12" t="e">
        <f ca="1">_xll.qlYieldTSDiscount(U$4,V47,,Triggers!RTDataTrigger)</f>
        <v>#NAME?</v>
      </c>
      <c r="X47" s="44"/>
      <c r="Y47" s="33"/>
      <c r="Z47" s="49" t="e">
        <f t="shared" ca="1" si="5"/>
        <v>#NAME?</v>
      </c>
      <c r="AA47" s="50" t="e">
        <f t="shared" ca="1" si="2"/>
        <v>#NAME?</v>
      </c>
    </row>
    <row r="48" spans="4:27" x14ac:dyDescent="0.2">
      <c r="D48" s="11" t="e">
        <f ca="1"/>
        <v>#NAME?</v>
      </c>
      <c r="E48" s="12" t="e">
        <f ca="1">_xll.qlYieldTSDiscount(C$4,D48,,Triggers!RTDataTrigger)</f>
        <v>#NAME?</v>
      </c>
      <c r="F48" s="44"/>
      <c r="G48" s="33"/>
      <c r="H48" s="49" t="e">
        <f t="shared" ca="1" si="3"/>
        <v>#NAME?</v>
      </c>
      <c r="I48" s="50" t="e">
        <f t="shared" ca="1" si="0"/>
        <v>#NAME?</v>
      </c>
      <c r="J48" s="65"/>
      <c r="M48" s="11" t="e">
        <f ca="1"/>
        <v>#NAME?</v>
      </c>
      <c r="N48" s="12" t="e">
        <f ca="1">_xll.qlYieldTSDiscount(L$4,M48,,Triggers!RTDataTrigger)</f>
        <v>#NAME?</v>
      </c>
      <c r="O48" s="44"/>
      <c r="P48" s="33"/>
      <c r="Q48" s="49" t="e">
        <f t="shared" ca="1" si="4"/>
        <v>#NAME?</v>
      </c>
      <c r="R48" s="50" t="e">
        <f t="shared" ca="1" si="1"/>
        <v>#NAME?</v>
      </c>
      <c r="T48" s="64"/>
      <c r="V48" s="11" t="e">
        <f ca="1"/>
        <v>#NAME?</v>
      </c>
      <c r="W48" s="12" t="e">
        <f ca="1">_xll.qlYieldTSDiscount(U$4,V48,,Triggers!RTDataTrigger)</f>
        <v>#NAME?</v>
      </c>
      <c r="X48" s="44"/>
      <c r="Y48" s="33"/>
      <c r="Z48" s="49" t="e">
        <f t="shared" ca="1" si="5"/>
        <v>#NAME?</v>
      </c>
      <c r="AA48" s="50" t="e">
        <f t="shared" ca="1" si="2"/>
        <v>#NAME?</v>
      </c>
    </row>
    <row r="49" spans="4:27" x14ac:dyDescent="0.2">
      <c r="D49" s="11" t="e">
        <f ca="1"/>
        <v>#NAME?</v>
      </c>
      <c r="E49" s="12" t="e">
        <f ca="1">_xll.qlYieldTSDiscount(C$4,D49,,Triggers!RTDataTrigger)</f>
        <v>#NAME?</v>
      </c>
      <c r="F49" s="44"/>
      <c r="G49" s="33"/>
      <c r="H49" s="49" t="e">
        <f t="shared" ca="1" si="3"/>
        <v>#NAME?</v>
      </c>
      <c r="I49" s="50" t="e">
        <f t="shared" ca="1" si="0"/>
        <v>#NAME?</v>
      </c>
      <c r="J49" s="65"/>
      <c r="M49" s="11" t="e">
        <f ca="1"/>
        <v>#NAME?</v>
      </c>
      <c r="N49" s="12" t="e">
        <f ca="1">_xll.qlYieldTSDiscount(L$4,M49,,Triggers!RTDataTrigger)</f>
        <v>#NAME?</v>
      </c>
      <c r="O49" s="44"/>
      <c r="P49" s="33"/>
      <c r="Q49" s="49" t="e">
        <f t="shared" ca="1" si="4"/>
        <v>#NAME?</v>
      </c>
      <c r="R49" s="50" t="e">
        <f t="shared" ca="1" si="1"/>
        <v>#NAME?</v>
      </c>
      <c r="T49" s="64"/>
      <c r="V49" s="11" t="e">
        <f ca="1"/>
        <v>#NAME?</v>
      </c>
      <c r="W49" s="12" t="e">
        <f ca="1">_xll.qlYieldTSDiscount(U$4,V49,,Triggers!RTDataTrigger)</f>
        <v>#NAME?</v>
      </c>
      <c r="X49" s="44"/>
      <c r="Y49" s="33"/>
      <c r="Z49" s="49" t="e">
        <f t="shared" ca="1" si="5"/>
        <v>#NAME?</v>
      </c>
      <c r="AA49" s="50" t="e">
        <f t="shared" ca="1" si="2"/>
        <v>#NAME?</v>
      </c>
    </row>
    <row r="50" spans="4:27" x14ac:dyDescent="0.2">
      <c r="D50" s="11" t="e">
        <f ca="1"/>
        <v>#NAME?</v>
      </c>
      <c r="E50" s="12" t="e">
        <f ca="1">_xll.qlYieldTSDiscount(C$4,D50,,Triggers!RTDataTrigger)</f>
        <v>#NAME?</v>
      </c>
      <c r="F50" s="44"/>
      <c r="G50" s="33"/>
      <c r="H50" s="49" t="e">
        <f t="shared" ca="1" si="3"/>
        <v>#NAME?</v>
      </c>
      <c r="I50" s="50" t="e">
        <f t="shared" ca="1" si="0"/>
        <v>#NAME?</v>
      </c>
      <c r="J50" s="65"/>
      <c r="M50" s="11" t="e">
        <f ca="1"/>
        <v>#NAME?</v>
      </c>
      <c r="N50" s="12" t="e">
        <f ca="1">_xll.qlYieldTSDiscount(L$4,M50,,Triggers!RTDataTrigger)</f>
        <v>#NAME?</v>
      </c>
      <c r="O50" s="44"/>
      <c r="P50" s="33"/>
      <c r="Q50" s="49" t="e">
        <f t="shared" ca="1" si="4"/>
        <v>#NAME?</v>
      </c>
      <c r="R50" s="50" t="e">
        <f t="shared" ca="1" si="1"/>
        <v>#NAME?</v>
      </c>
      <c r="T50" s="64"/>
      <c r="V50" s="11" t="e">
        <f ca="1"/>
        <v>#NAME?</v>
      </c>
      <c r="W50" s="12" t="e">
        <f ca="1">_xll.qlYieldTSDiscount(U$4,V50,,Triggers!RTDataTrigger)</f>
        <v>#NAME?</v>
      </c>
      <c r="X50" s="44"/>
      <c r="Y50" s="33"/>
      <c r="Z50" s="49" t="e">
        <f t="shared" ca="1" si="5"/>
        <v>#NAME?</v>
      </c>
      <c r="AA50" s="50" t="e">
        <f t="shared" ca="1" si="2"/>
        <v>#NAME?</v>
      </c>
    </row>
    <row r="51" spans="4:27" x14ac:dyDescent="0.2">
      <c r="D51" s="11" t="e">
        <f ca="1"/>
        <v>#NAME?</v>
      </c>
      <c r="E51" s="12" t="e">
        <f ca="1">_xll.qlYieldTSDiscount(C$4,D51,,Triggers!RTDataTrigger)</f>
        <v>#NAME?</v>
      </c>
      <c r="F51" s="44"/>
      <c r="G51" s="33"/>
      <c r="H51" s="49" t="e">
        <f t="shared" ca="1" si="3"/>
        <v>#NAME?</v>
      </c>
      <c r="I51" s="50" t="e">
        <f t="shared" ca="1" si="0"/>
        <v>#NAME?</v>
      </c>
      <c r="J51" s="65"/>
      <c r="M51" s="11" t="e">
        <f ca="1"/>
        <v>#NAME?</v>
      </c>
      <c r="N51" s="12" t="e">
        <f ca="1">_xll.qlYieldTSDiscount(L$4,M51,,Triggers!RTDataTrigger)</f>
        <v>#NAME?</v>
      </c>
      <c r="O51" s="44"/>
      <c r="P51" s="33"/>
      <c r="Q51" s="49" t="e">
        <f t="shared" ca="1" si="4"/>
        <v>#NAME?</v>
      </c>
      <c r="R51" s="50" t="e">
        <f t="shared" ca="1" si="1"/>
        <v>#NAME?</v>
      </c>
      <c r="T51" s="64"/>
      <c r="V51" s="11" t="e">
        <f ca="1"/>
        <v>#NAME?</v>
      </c>
      <c r="W51" s="12" t="e">
        <f ca="1">_xll.qlYieldTSDiscount(U$4,V51,,Triggers!RTDataTrigger)</f>
        <v>#NAME?</v>
      </c>
      <c r="X51" s="44"/>
      <c r="Y51" s="33"/>
      <c r="Z51" s="49" t="e">
        <f t="shared" ca="1" si="5"/>
        <v>#NAME?</v>
      </c>
      <c r="AA51" s="50" t="e">
        <f t="shared" ca="1" si="2"/>
        <v>#NAME?</v>
      </c>
    </row>
    <row r="52" spans="4:27" x14ac:dyDescent="0.2">
      <c r="D52" s="11" t="e">
        <f ca="1"/>
        <v>#NAME?</v>
      </c>
      <c r="E52" s="12" t="e">
        <f ca="1">_xll.qlYieldTSDiscount(C$4,D52,,Triggers!RTDataTrigger)</f>
        <v>#NAME?</v>
      </c>
      <c r="F52" s="44"/>
      <c r="G52" s="33"/>
      <c r="H52" s="49" t="e">
        <f t="shared" ca="1" si="3"/>
        <v>#NAME?</v>
      </c>
      <c r="I52" s="50" t="e">
        <f t="shared" ca="1" si="0"/>
        <v>#NAME?</v>
      </c>
      <c r="J52" s="65"/>
      <c r="M52" s="11" t="e">
        <f ca="1"/>
        <v>#NAME?</v>
      </c>
      <c r="N52" s="12" t="e">
        <f ca="1">_xll.qlYieldTSDiscount(L$4,M52,,Triggers!RTDataTrigger)</f>
        <v>#NAME?</v>
      </c>
      <c r="O52" s="44"/>
      <c r="P52" s="33"/>
      <c r="Q52" s="49" t="e">
        <f t="shared" ca="1" si="4"/>
        <v>#NAME?</v>
      </c>
      <c r="R52" s="50" t="e">
        <f t="shared" ca="1" si="1"/>
        <v>#NAME?</v>
      </c>
      <c r="T52" s="64"/>
      <c r="V52" s="11" t="e">
        <f ca="1"/>
        <v>#NAME?</v>
      </c>
      <c r="W52" s="12" t="e">
        <f ca="1">_xll.qlYieldTSDiscount(U$4,V52,,Triggers!RTDataTrigger)</f>
        <v>#NAME?</v>
      </c>
      <c r="X52" s="44"/>
      <c r="Y52" s="33"/>
      <c r="Z52" s="49" t="e">
        <f t="shared" ca="1" si="5"/>
        <v>#NAME?</v>
      </c>
      <c r="AA52" s="50" t="e">
        <f t="shared" ca="1" si="2"/>
        <v>#NAME?</v>
      </c>
    </row>
    <row r="53" spans="4:27" x14ac:dyDescent="0.2">
      <c r="D53" s="11" t="e">
        <f ca="1"/>
        <v>#NAME?</v>
      </c>
      <c r="E53" s="12" t="e">
        <f ca="1">_xll.qlYieldTSDiscount(C$4,D53,,Triggers!RTDataTrigger)</f>
        <v>#NAME?</v>
      </c>
      <c r="F53" s="44"/>
      <c r="G53" s="33"/>
      <c r="H53" s="49" t="e">
        <f t="shared" ca="1" si="3"/>
        <v>#NAME?</v>
      </c>
      <c r="I53" s="50" t="e">
        <f t="shared" ca="1" si="0"/>
        <v>#NAME?</v>
      </c>
      <c r="J53" s="65"/>
      <c r="M53" s="11" t="e">
        <f ca="1"/>
        <v>#NAME?</v>
      </c>
      <c r="N53" s="12" t="e">
        <f ca="1">_xll.qlYieldTSDiscount(L$4,M53,,Triggers!RTDataTrigger)</f>
        <v>#NAME?</v>
      </c>
      <c r="O53" s="44"/>
      <c r="P53" s="33"/>
      <c r="Q53" s="49" t="e">
        <f t="shared" ca="1" si="4"/>
        <v>#NAME?</v>
      </c>
      <c r="R53" s="50" t="e">
        <f t="shared" ca="1" si="1"/>
        <v>#NAME?</v>
      </c>
      <c r="T53" s="64"/>
      <c r="V53" s="11" t="e">
        <f ca="1"/>
        <v>#NAME?</v>
      </c>
      <c r="W53" s="12" t="e">
        <f ca="1">_xll.qlYieldTSDiscount(U$4,V53,,Triggers!RTDataTrigger)</f>
        <v>#NAME?</v>
      </c>
      <c r="X53" s="44"/>
      <c r="Y53" s="33"/>
      <c r="Z53" s="49" t="e">
        <f t="shared" ca="1" si="5"/>
        <v>#NAME?</v>
      </c>
      <c r="AA53" s="50" t="e">
        <f t="shared" ca="1" si="2"/>
        <v>#NAME?</v>
      </c>
    </row>
    <row r="54" spans="4:27" x14ac:dyDescent="0.2">
      <c r="D54" s="11" t="e">
        <f ca="1"/>
        <v>#NAME?</v>
      </c>
      <c r="E54" s="12" t="e">
        <f ca="1">_xll.qlYieldTSDiscount(C$4,D54,,Triggers!RTDataTrigger)</f>
        <v>#NAME?</v>
      </c>
      <c r="F54" s="44"/>
      <c r="G54" s="33"/>
      <c r="H54" s="49" t="e">
        <f t="shared" ca="1" si="3"/>
        <v>#NAME?</v>
      </c>
      <c r="I54" s="50" t="e">
        <f t="shared" ca="1" si="0"/>
        <v>#NAME?</v>
      </c>
      <c r="J54" s="65"/>
      <c r="M54" s="11" t="e">
        <f ca="1"/>
        <v>#NAME?</v>
      </c>
      <c r="N54" s="12" t="e">
        <f ca="1">_xll.qlYieldTSDiscount(L$4,M54,,Triggers!RTDataTrigger)</f>
        <v>#NAME?</v>
      </c>
      <c r="O54" s="44"/>
      <c r="P54" s="33"/>
      <c r="Q54" s="49" t="e">
        <f t="shared" ca="1" si="4"/>
        <v>#NAME?</v>
      </c>
      <c r="R54" s="50" t="e">
        <f t="shared" ca="1" si="1"/>
        <v>#NAME?</v>
      </c>
      <c r="T54" s="64"/>
      <c r="V54" s="11" t="e">
        <f ca="1"/>
        <v>#NAME?</v>
      </c>
      <c r="W54" s="12" t="e">
        <f ca="1">_xll.qlYieldTSDiscount(U$4,V54,,Triggers!RTDataTrigger)</f>
        <v>#NAME?</v>
      </c>
      <c r="X54" s="44"/>
      <c r="Y54" s="33"/>
      <c r="Z54" s="49" t="e">
        <f t="shared" ca="1" si="5"/>
        <v>#NAME?</v>
      </c>
      <c r="AA54" s="50" t="e">
        <f t="shared" ca="1" si="2"/>
        <v>#NAME?</v>
      </c>
    </row>
    <row r="55" spans="4:27" x14ac:dyDescent="0.2">
      <c r="D55" s="11" t="e">
        <f ca="1"/>
        <v>#NAME?</v>
      </c>
      <c r="E55" s="12" t="e">
        <f ca="1">_xll.qlYieldTSDiscount(C$4,D55,,Triggers!RTDataTrigger)</f>
        <v>#NAME?</v>
      </c>
      <c r="F55" s="44"/>
      <c r="G55" s="33"/>
      <c r="H55" s="49" t="e">
        <f t="shared" ca="1" si="3"/>
        <v>#NAME?</v>
      </c>
      <c r="I55" s="50" t="e">
        <f t="shared" ca="1" si="0"/>
        <v>#NAME?</v>
      </c>
      <c r="J55" s="65"/>
      <c r="M55" s="11" t="e">
        <f ca="1"/>
        <v>#NAME?</v>
      </c>
      <c r="N55" s="12" t="e">
        <f ca="1">_xll.qlYieldTSDiscount(L$4,M55,,Triggers!RTDataTrigger)</f>
        <v>#NAME?</v>
      </c>
      <c r="O55" s="44"/>
      <c r="P55" s="33"/>
      <c r="Q55" s="49" t="e">
        <f t="shared" ca="1" si="4"/>
        <v>#NAME?</v>
      </c>
      <c r="R55" s="50" t="e">
        <f t="shared" ca="1" si="1"/>
        <v>#NAME?</v>
      </c>
      <c r="T55" s="64"/>
      <c r="V55" s="11" t="e">
        <f ca="1"/>
        <v>#NAME?</v>
      </c>
      <c r="W55" s="12" t="e">
        <f ca="1">_xll.qlYieldTSDiscount(U$4,V55,,Triggers!RTDataTrigger)</f>
        <v>#NAME?</v>
      </c>
      <c r="X55" s="44"/>
      <c r="Y55" s="33"/>
      <c r="Z55" s="49" t="e">
        <f t="shared" ca="1" si="5"/>
        <v>#NAME?</v>
      </c>
      <c r="AA55" s="50" t="e">
        <f t="shared" ca="1" si="2"/>
        <v>#NAME?</v>
      </c>
    </row>
    <row r="56" spans="4:27" x14ac:dyDescent="0.2">
      <c r="D56" s="11" t="e">
        <f ca="1"/>
        <v>#NAME?</v>
      </c>
      <c r="E56" s="12" t="e">
        <f ca="1">_xll.qlYieldTSDiscount(C$4,D56,,Triggers!RTDataTrigger)</f>
        <v>#NAME?</v>
      </c>
      <c r="F56" s="44"/>
      <c r="G56" s="33"/>
      <c r="H56" s="49" t="e">
        <f t="shared" ca="1" si="3"/>
        <v>#NAME?</v>
      </c>
      <c r="I56" s="50" t="e">
        <f t="shared" ca="1" si="0"/>
        <v>#NAME?</v>
      </c>
      <c r="J56" s="65"/>
      <c r="M56" s="11" t="e">
        <f ca="1"/>
        <v>#NAME?</v>
      </c>
      <c r="N56" s="12" t="e">
        <f ca="1">_xll.qlYieldTSDiscount(L$4,M56,,Triggers!RTDataTrigger)</f>
        <v>#NAME?</v>
      </c>
      <c r="O56" s="44"/>
      <c r="P56" s="33"/>
      <c r="Q56" s="49" t="e">
        <f t="shared" ca="1" si="4"/>
        <v>#NAME?</v>
      </c>
      <c r="R56" s="50" t="e">
        <f t="shared" ca="1" si="1"/>
        <v>#NAME?</v>
      </c>
      <c r="T56" s="64"/>
      <c r="V56" s="11" t="e">
        <f ca="1"/>
        <v>#NAME?</v>
      </c>
      <c r="W56" s="12" t="e">
        <f ca="1">_xll.qlYieldTSDiscount(U$4,V56,,Triggers!RTDataTrigger)</f>
        <v>#NAME?</v>
      </c>
      <c r="X56" s="44"/>
      <c r="Y56" s="33"/>
      <c r="Z56" s="49" t="e">
        <f t="shared" ca="1" si="5"/>
        <v>#NAME?</v>
      </c>
      <c r="AA56" s="50" t="e">
        <f t="shared" ca="1" si="2"/>
        <v>#NAME?</v>
      </c>
    </row>
    <row r="57" spans="4:27" x14ac:dyDescent="0.2">
      <c r="D57" s="11" t="e">
        <f ca="1"/>
        <v>#NAME?</v>
      </c>
      <c r="E57" s="12" t="e">
        <f ca="1">_xll.qlYieldTSDiscount(C$4,D57,,Triggers!RTDataTrigger)</f>
        <v>#NAME?</v>
      </c>
      <c r="F57" s="44"/>
      <c r="G57" s="33"/>
      <c r="H57" s="49" t="e">
        <f t="shared" ca="1" si="3"/>
        <v>#NAME?</v>
      </c>
      <c r="I57" s="50" t="e">
        <f t="shared" ca="1" si="0"/>
        <v>#NAME?</v>
      </c>
      <c r="J57" s="65"/>
      <c r="M57" s="11" t="e">
        <f ca="1"/>
        <v>#NAME?</v>
      </c>
      <c r="N57" s="12" t="e">
        <f ca="1">_xll.qlYieldTSDiscount(L$4,M57,,Triggers!RTDataTrigger)</f>
        <v>#NAME?</v>
      </c>
      <c r="O57" s="44"/>
      <c r="P57" s="33"/>
      <c r="Q57" s="49" t="e">
        <f t="shared" ca="1" si="4"/>
        <v>#NAME?</v>
      </c>
      <c r="R57" s="50" t="e">
        <f t="shared" ca="1" si="1"/>
        <v>#NAME?</v>
      </c>
      <c r="T57" s="64"/>
      <c r="V57" s="11" t="e">
        <f ca="1"/>
        <v>#NAME?</v>
      </c>
      <c r="W57" s="12" t="e">
        <f ca="1">_xll.qlYieldTSDiscount(U$4,V57,,Triggers!RTDataTrigger)</f>
        <v>#NAME?</v>
      </c>
      <c r="X57" s="44"/>
      <c r="Y57" s="33"/>
      <c r="Z57" s="49" t="e">
        <f t="shared" ca="1" si="5"/>
        <v>#NAME?</v>
      </c>
      <c r="AA57" s="50" t="e">
        <f t="shared" ca="1" si="2"/>
        <v>#NAME?</v>
      </c>
    </row>
    <row r="58" spans="4:27" x14ac:dyDescent="0.2">
      <c r="D58" s="11" t="e">
        <f ca="1"/>
        <v>#NAME?</v>
      </c>
      <c r="E58" s="12" t="e">
        <f ca="1">_xll.qlYieldTSDiscount(C$4,D58,,Triggers!RTDataTrigger)</f>
        <v>#NAME?</v>
      </c>
      <c r="F58" s="44"/>
      <c r="G58" s="33"/>
      <c r="H58" s="49" t="e">
        <f t="shared" ca="1" si="3"/>
        <v>#NAME?</v>
      </c>
      <c r="I58" s="50" t="e">
        <f t="shared" ca="1" si="0"/>
        <v>#NAME?</v>
      </c>
      <c r="J58" s="65"/>
      <c r="M58" s="11" t="e">
        <f ca="1"/>
        <v>#NAME?</v>
      </c>
      <c r="N58" s="12" t="e">
        <f ca="1">_xll.qlYieldTSDiscount(L$4,M58,,Triggers!RTDataTrigger)</f>
        <v>#NAME?</v>
      </c>
      <c r="O58" s="44"/>
      <c r="P58" s="33"/>
      <c r="Q58" s="49" t="e">
        <f t="shared" ca="1" si="4"/>
        <v>#NAME?</v>
      </c>
      <c r="R58" s="50" t="e">
        <f t="shared" ca="1" si="1"/>
        <v>#NAME?</v>
      </c>
      <c r="T58" s="64"/>
      <c r="V58" s="11" t="e">
        <f ca="1"/>
        <v>#NAME?</v>
      </c>
      <c r="W58" s="12" t="e">
        <f ca="1">_xll.qlYieldTSDiscount(U$4,V58,,Triggers!RTDataTrigger)</f>
        <v>#NAME?</v>
      </c>
      <c r="X58" s="44"/>
      <c r="Y58" s="33"/>
      <c r="Z58" s="49" t="e">
        <f t="shared" ca="1" si="5"/>
        <v>#NAME?</v>
      </c>
      <c r="AA58" s="50" t="e">
        <f t="shared" ca="1" si="2"/>
        <v>#NAME?</v>
      </c>
    </row>
    <row r="59" spans="4:27" x14ac:dyDescent="0.2">
      <c r="D59" s="11" t="e">
        <f ca="1"/>
        <v>#NAME?</v>
      </c>
      <c r="E59" s="12" t="e">
        <f ca="1">_xll.qlYieldTSDiscount(C$4,D59,,Triggers!RTDataTrigger)</f>
        <v>#NAME?</v>
      </c>
      <c r="F59" s="44"/>
      <c r="G59" s="33"/>
      <c r="H59" s="49" t="e">
        <f t="shared" ca="1" si="3"/>
        <v>#NAME?</v>
      </c>
      <c r="I59" s="50" t="e">
        <f t="shared" ca="1" si="0"/>
        <v>#NAME?</v>
      </c>
      <c r="J59" s="65"/>
      <c r="M59" s="11" t="e">
        <f ca="1"/>
        <v>#NAME?</v>
      </c>
      <c r="N59" s="12" t="e">
        <f ca="1">_xll.qlYieldTSDiscount(L$4,M59,,Triggers!RTDataTrigger)</f>
        <v>#NAME?</v>
      </c>
      <c r="O59" s="44"/>
      <c r="P59" s="33"/>
      <c r="Q59" s="49" t="e">
        <f t="shared" ca="1" si="4"/>
        <v>#NAME?</v>
      </c>
      <c r="R59" s="50" t="e">
        <f t="shared" ca="1" si="1"/>
        <v>#NAME?</v>
      </c>
      <c r="T59" s="64"/>
      <c r="V59" s="11" t="e">
        <f ca="1"/>
        <v>#NAME?</v>
      </c>
      <c r="W59" s="12" t="e">
        <f ca="1">_xll.qlYieldTSDiscount(U$4,V59,,Triggers!RTDataTrigger)</f>
        <v>#NAME?</v>
      </c>
      <c r="X59" s="44"/>
      <c r="Y59" s="33"/>
      <c r="Z59" s="49" t="e">
        <f t="shared" ca="1" si="5"/>
        <v>#NAME?</v>
      </c>
      <c r="AA59" s="50" t="e">
        <f t="shared" ca="1" si="2"/>
        <v>#NAME?</v>
      </c>
    </row>
    <row r="60" spans="4:27" x14ac:dyDescent="0.2">
      <c r="D60" s="11" t="e">
        <f ca="1"/>
        <v>#NAME?</v>
      </c>
      <c r="E60" s="12" t="e">
        <f ca="1">_xll.qlYieldTSDiscount(C$4,D60,,Triggers!RTDataTrigger)</f>
        <v>#NAME?</v>
      </c>
      <c r="F60" s="44"/>
      <c r="G60" s="33"/>
      <c r="H60" s="49" t="e">
        <f t="shared" ca="1" si="3"/>
        <v>#NAME?</v>
      </c>
      <c r="I60" s="50" t="e">
        <f t="shared" ca="1" si="0"/>
        <v>#NAME?</v>
      </c>
      <c r="J60" s="65"/>
      <c r="M60" s="11" t="e">
        <f ca="1"/>
        <v>#NAME?</v>
      </c>
      <c r="N60" s="12" t="e">
        <f ca="1">_xll.qlYieldTSDiscount(L$4,M60,,Triggers!RTDataTrigger)</f>
        <v>#NAME?</v>
      </c>
      <c r="O60" s="44"/>
      <c r="P60" s="33"/>
      <c r="Q60" s="49" t="e">
        <f t="shared" ca="1" si="4"/>
        <v>#NAME?</v>
      </c>
      <c r="R60" s="50" t="e">
        <f t="shared" ca="1" si="1"/>
        <v>#NAME?</v>
      </c>
      <c r="T60" s="64"/>
      <c r="V60" s="11" t="e">
        <f ca="1"/>
        <v>#NAME?</v>
      </c>
      <c r="W60" s="12" t="e">
        <f ca="1">_xll.qlYieldTSDiscount(U$4,V60,,Triggers!RTDataTrigger)</f>
        <v>#NAME?</v>
      </c>
      <c r="X60" s="44"/>
      <c r="Y60" s="33"/>
      <c r="Z60" s="49" t="e">
        <f t="shared" ca="1" si="5"/>
        <v>#NAME?</v>
      </c>
      <c r="AA60" s="50" t="e">
        <f t="shared" ca="1" si="2"/>
        <v>#NAME?</v>
      </c>
    </row>
    <row r="61" spans="4:27" x14ac:dyDescent="0.2">
      <c r="D61" s="11" t="e">
        <f ca="1"/>
        <v>#NAME?</v>
      </c>
      <c r="E61" s="12" t="e">
        <f ca="1">_xll.qlYieldTSDiscount(C$4,D61,,Triggers!RTDataTrigger)</f>
        <v>#NAME?</v>
      </c>
      <c r="F61" s="44"/>
      <c r="G61" s="33"/>
      <c r="H61" s="49" t="e">
        <f t="shared" ca="1" si="3"/>
        <v>#NAME?</v>
      </c>
      <c r="I61" s="50" t="e">
        <f t="shared" ca="1" si="0"/>
        <v>#NAME?</v>
      </c>
      <c r="J61" s="65"/>
      <c r="M61" s="11" t="e">
        <f ca="1"/>
        <v>#NAME?</v>
      </c>
      <c r="N61" s="12" t="e">
        <f ca="1">_xll.qlYieldTSDiscount(L$4,M61,,Triggers!RTDataTrigger)</f>
        <v>#NAME?</v>
      </c>
      <c r="O61" s="44"/>
      <c r="P61" s="33"/>
      <c r="Q61" s="49" t="e">
        <f t="shared" ca="1" si="4"/>
        <v>#NAME?</v>
      </c>
      <c r="R61" s="50" t="e">
        <f t="shared" ca="1" si="1"/>
        <v>#NAME?</v>
      </c>
      <c r="T61" s="64"/>
      <c r="V61" s="11" t="e">
        <f ca="1"/>
        <v>#NAME?</v>
      </c>
      <c r="W61" s="12" t="e">
        <f ca="1">_xll.qlYieldTSDiscount(U$4,V61,,Triggers!RTDataTrigger)</f>
        <v>#NAME?</v>
      </c>
      <c r="X61" s="44"/>
      <c r="Y61" s="33"/>
      <c r="Z61" s="49" t="e">
        <f t="shared" ca="1" si="5"/>
        <v>#NAME?</v>
      </c>
      <c r="AA61" s="50" t="e">
        <f t="shared" ca="1" si="2"/>
        <v>#NAME?</v>
      </c>
    </row>
    <row r="62" spans="4:27" x14ac:dyDescent="0.2">
      <c r="D62" s="11" t="e">
        <f ca="1"/>
        <v>#NAME?</v>
      </c>
      <c r="E62" s="12" t="e">
        <f ca="1">_xll.qlYieldTSDiscount(C$4,D62,,Triggers!RTDataTrigger)</f>
        <v>#NAME?</v>
      </c>
      <c r="F62" s="44"/>
      <c r="G62" s="33"/>
      <c r="H62" s="49" t="e">
        <f t="shared" ca="1" si="3"/>
        <v>#NAME?</v>
      </c>
      <c r="I62" s="50" t="e">
        <f t="shared" ca="1" si="0"/>
        <v>#NAME?</v>
      </c>
      <c r="J62" s="65"/>
      <c r="M62" s="11" t="e">
        <f ca="1"/>
        <v>#NAME?</v>
      </c>
      <c r="N62" s="12" t="e">
        <f ca="1">_xll.qlYieldTSDiscount(L$4,M62,,Triggers!RTDataTrigger)</f>
        <v>#NAME?</v>
      </c>
      <c r="O62" s="44"/>
      <c r="P62" s="33"/>
      <c r="Q62" s="49" t="e">
        <f t="shared" ca="1" si="4"/>
        <v>#NAME?</v>
      </c>
      <c r="R62" s="50" t="e">
        <f t="shared" ca="1" si="1"/>
        <v>#NAME?</v>
      </c>
      <c r="T62" s="64"/>
      <c r="V62" s="11" t="e">
        <f ca="1"/>
        <v>#NAME?</v>
      </c>
      <c r="W62" s="12" t="e">
        <f ca="1">_xll.qlYieldTSDiscount(U$4,V62,,Triggers!RTDataTrigger)</f>
        <v>#NAME?</v>
      </c>
      <c r="X62" s="44"/>
      <c r="Y62" s="33"/>
      <c r="Z62" s="49" t="e">
        <f t="shared" ca="1" si="5"/>
        <v>#NAME?</v>
      </c>
      <c r="AA62" s="50" t="e">
        <f t="shared" ca="1" si="2"/>
        <v>#NAME?</v>
      </c>
    </row>
    <row r="63" spans="4:27" x14ac:dyDescent="0.2">
      <c r="D63" s="11" t="e">
        <f ca="1"/>
        <v>#NAME?</v>
      </c>
      <c r="E63" s="12" t="e">
        <f ca="1">_xll.qlYieldTSDiscount(C$4,D63,,Triggers!RTDataTrigger)</f>
        <v>#NAME?</v>
      </c>
      <c r="F63" s="44"/>
      <c r="G63" s="33"/>
      <c r="H63" s="49" t="e">
        <f t="shared" ca="1" si="3"/>
        <v>#NAME?</v>
      </c>
      <c r="I63" s="50" t="e">
        <f t="shared" ca="1" si="0"/>
        <v>#NAME?</v>
      </c>
      <c r="J63" s="65"/>
      <c r="M63" s="11" t="e">
        <f ca="1"/>
        <v>#NAME?</v>
      </c>
      <c r="N63" s="12" t="e">
        <f ca="1">_xll.qlYieldTSDiscount(L$4,M63,,Triggers!RTDataTrigger)</f>
        <v>#NAME?</v>
      </c>
      <c r="O63" s="44"/>
      <c r="P63" s="33"/>
      <c r="Q63" s="49" t="e">
        <f t="shared" ca="1" si="4"/>
        <v>#NAME?</v>
      </c>
      <c r="R63" s="50" t="e">
        <f t="shared" ca="1" si="1"/>
        <v>#NAME?</v>
      </c>
      <c r="T63" s="64"/>
      <c r="V63" s="11" t="e">
        <f ca="1"/>
        <v>#NAME?</v>
      </c>
      <c r="W63" s="12" t="e">
        <f ca="1">_xll.qlYieldTSDiscount(U$4,V63,,Triggers!RTDataTrigger)</f>
        <v>#NAME?</v>
      </c>
      <c r="X63" s="44"/>
      <c r="Y63" s="33"/>
      <c r="Z63" s="49" t="e">
        <f t="shared" ca="1" si="5"/>
        <v>#NAME?</v>
      </c>
      <c r="AA63" s="50" t="e">
        <f t="shared" ca="1" si="2"/>
        <v>#NAME?</v>
      </c>
    </row>
    <row r="64" spans="4:27" x14ac:dyDescent="0.2">
      <c r="D64" s="11" t="e">
        <f ca="1"/>
        <v>#NAME?</v>
      </c>
      <c r="E64" s="12" t="e">
        <f ca="1">_xll.qlYieldTSDiscount(C$4,D64,,Triggers!RTDataTrigger)</f>
        <v>#NAME?</v>
      </c>
      <c r="F64" s="44"/>
      <c r="G64" s="33"/>
      <c r="H64" s="49" t="e">
        <f t="shared" ca="1" si="3"/>
        <v>#NAME?</v>
      </c>
      <c r="I64" s="50" t="e">
        <f t="shared" ca="1" si="0"/>
        <v>#NAME?</v>
      </c>
      <c r="J64" s="65"/>
      <c r="M64" s="11" t="e">
        <f ca="1"/>
        <v>#NAME?</v>
      </c>
      <c r="N64" s="12" t="e">
        <f ca="1">_xll.qlYieldTSDiscount(L$4,M64,,Triggers!RTDataTrigger)</f>
        <v>#NAME?</v>
      </c>
      <c r="O64" s="44"/>
      <c r="P64" s="33"/>
      <c r="Q64" s="49" t="e">
        <f t="shared" ca="1" si="4"/>
        <v>#NAME?</v>
      </c>
      <c r="R64" s="50" t="e">
        <f t="shared" ca="1" si="1"/>
        <v>#NAME?</v>
      </c>
      <c r="T64" s="64"/>
      <c r="V64" s="11" t="e">
        <f ca="1"/>
        <v>#NAME?</v>
      </c>
      <c r="W64" s="12" t="e">
        <f ca="1">_xll.qlYieldTSDiscount(U$4,V64,,Triggers!RTDataTrigger)</f>
        <v>#NAME?</v>
      </c>
      <c r="X64" s="44"/>
      <c r="Y64" s="33"/>
      <c r="Z64" s="49" t="e">
        <f t="shared" ca="1" si="5"/>
        <v>#NAME?</v>
      </c>
      <c r="AA64" s="50" t="e">
        <f t="shared" ca="1" si="2"/>
        <v>#NAME?</v>
      </c>
    </row>
    <row r="65" spans="4:27" x14ac:dyDescent="0.2">
      <c r="D65" s="11" t="e">
        <f ca="1"/>
        <v>#NAME?</v>
      </c>
      <c r="E65" s="12" t="e">
        <f ca="1">_xll.qlYieldTSDiscount(C$4,D65,,Triggers!RTDataTrigger)</f>
        <v>#NAME?</v>
      </c>
      <c r="F65" s="44"/>
      <c r="G65" s="33"/>
      <c r="H65" s="49" t="e">
        <f t="shared" ca="1" si="3"/>
        <v>#NAME?</v>
      </c>
      <c r="I65" s="50" t="e">
        <f t="shared" ca="1" si="0"/>
        <v>#NAME?</v>
      </c>
      <c r="J65" s="65"/>
      <c r="M65" s="11" t="e">
        <f ca="1"/>
        <v>#NAME?</v>
      </c>
      <c r="N65" s="12" t="e">
        <f ca="1">_xll.qlYieldTSDiscount(L$4,M65,,Triggers!RTDataTrigger)</f>
        <v>#NAME?</v>
      </c>
      <c r="O65" s="44"/>
      <c r="P65" s="33"/>
      <c r="Q65" s="49" t="e">
        <f t="shared" ca="1" si="4"/>
        <v>#NAME?</v>
      </c>
      <c r="R65" s="50" t="e">
        <f t="shared" ca="1" si="1"/>
        <v>#NAME?</v>
      </c>
      <c r="T65" s="64"/>
      <c r="V65" s="11" t="e">
        <f ca="1"/>
        <v>#NAME?</v>
      </c>
      <c r="W65" s="12" t="e">
        <f ca="1">_xll.qlYieldTSDiscount(U$4,V65,,Triggers!RTDataTrigger)</f>
        <v>#NAME?</v>
      </c>
      <c r="X65" s="44"/>
      <c r="Y65" s="33"/>
      <c r="Z65" s="49" t="e">
        <f t="shared" ca="1" si="5"/>
        <v>#NAME?</v>
      </c>
      <c r="AA65" s="50" t="e">
        <f t="shared" ca="1" si="2"/>
        <v>#NAME?</v>
      </c>
    </row>
    <row r="66" spans="4:27" x14ac:dyDescent="0.2">
      <c r="D66" s="11" t="e">
        <f ca="1"/>
        <v>#NAME?</v>
      </c>
      <c r="E66" s="12" t="e">
        <f ca="1">_xll.qlYieldTSDiscount(C$4,D66,,Triggers!RTDataTrigger)</f>
        <v>#NAME?</v>
      </c>
      <c r="F66" s="44"/>
      <c r="G66" s="33"/>
      <c r="H66" s="49" t="e">
        <f t="shared" ca="1" si="3"/>
        <v>#NAME?</v>
      </c>
      <c r="I66" s="50" t="e">
        <f t="shared" ca="1" si="0"/>
        <v>#NAME?</v>
      </c>
      <c r="J66" s="65"/>
      <c r="M66" s="11" t="e">
        <f ca="1"/>
        <v>#NAME?</v>
      </c>
      <c r="N66" s="12" t="e">
        <f ca="1">_xll.qlYieldTSDiscount(L$4,M66,,Triggers!RTDataTrigger)</f>
        <v>#NAME?</v>
      </c>
      <c r="O66" s="44"/>
      <c r="P66" s="33"/>
      <c r="Q66" s="49" t="e">
        <f t="shared" ca="1" si="4"/>
        <v>#NAME?</v>
      </c>
      <c r="R66" s="50" t="e">
        <f t="shared" ca="1" si="1"/>
        <v>#NAME?</v>
      </c>
      <c r="T66" s="64"/>
      <c r="V66" s="11" t="e">
        <f ca="1"/>
        <v>#NAME?</v>
      </c>
      <c r="W66" s="12" t="e">
        <f ca="1">_xll.qlYieldTSDiscount(U$4,V66,,Triggers!RTDataTrigger)</f>
        <v>#NAME?</v>
      </c>
      <c r="X66" s="44"/>
      <c r="Y66" s="33"/>
      <c r="Z66" s="49" t="e">
        <f t="shared" ca="1" si="5"/>
        <v>#NAME?</v>
      </c>
      <c r="AA66" s="50" t="e">
        <f t="shared" ca="1" si="2"/>
        <v>#NAME?</v>
      </c>
    </row>
    <row r="67" spans="4:27" x14ac:dyDescent="0.2">
      <c r="D67" s="11" t="e">
        <f ca="1"/>
        <v>#NAME?</v>
      </c>
      <c r="E67" s="12" t="e">
        <f ca="1">_xll.qlYieldTSDiscount(C$4,D67,,Triggers!RTDataTrigger)</f>
        <v>#NAME?</v>
      </c>
      <c r="F67" s="44"/>
      <c r="G67" s="33"/>
      <c r="H67" s="49" t="e">
        <f t="shared" ca="1" si="3"/>
        <v>#NAME?</v>
      </c>
      <c r="I67" s="50" t="e">
        <f t="shared" ca="1" si="0"/>
        <v>#NAME?</v>
      </c>
      <c r="J67" s="65"/>
      <c r="M67" s="11" t="e">
        <f ca="1"/>
        <v>#NAME?</v>
      </c>
      <c r="N67" s="12" t="e">
        <f ca="1">_xll.qlYieldTSDiscount(L$4,M67,,Triggers!RTDataTrigger)</f>
        <v>#NAME?</v>
      </c>
      <c r="O67" s="44"/>
      <c r="P67" s="33"/>
      <c r="Q67" s="49" t="e">
        <f t="shared" ca="1" si="4"/>
        <v>#NAME?</v>
      </c>
      <c r="R67" s="50" t="e">
        <f t="shared" ca="1" si="1"/>
        <v>#NAME?</v>
      </c>
      <c r="T67" s="64"/>
      <c r="V67" s="11" t="e">
        <f ca="1"/>
        <v>#NAME?</v>
      </c>
      <c r="W67" s="12" t="e">
        <f ca="1">_xll.qlYieldTSDiscount(U$4,V67,,Triggers!RTDataTrigger)</f>
        <v>#NAME?</v>
      </c>
      <c r="X67" s="44"/>
      <c r="Y67" s="33"/>
      <c r="Z67" s="49" t="e">
        <f t="shared" ca="1" si="5"/>
        <v>#NAME?</v>
      </c>
      <c r="AA67" s="50" t="e">
        <f t="shared" ca="1" si="2"/>
        <v>#NAME?</v>
      </c>
    </row>
    <row r="68" spans="4:27" x14ac:dyDescent="0.2">
      <c r="D68" s="11" t="e">
        <f ca="1"/>
        <v>#NAME?</v>
      </c>
      <c r="E68" s="12" t="e">
        <f ca="1">_xll.qlYieldTSDiscount(C$4,D68,,Triggers!RTDataTrigger)</f>
        <v>#NAME?</v>
      </c>
      <c r="F68" s="44"/>
      <c r="G68" s="33"/>
      <c r="H68" s="49" t="e">
        <f t="shared" ca="1" si="3"/>
        <v>#NAME?</v>
      </c>
      <c r="I68" s="50" t="e">
        <f t="shared" ca="1" si="3"/>
        <v>#NAME?</v>
      </c>
      <c r="J68" s="65"/>
      <c r="M68" s="11" t="e">
        <f ca="1"/>
        <v>#NAME?</v>
      </c>
      <c r="N68" s="12" t="e">
        <f ca="1">_xll.qlYieldTSDiscount(L$4,M68,,Triggers!RTDataTrigger)</f>
        <v>#NAME?</v>
      </c>
      <c r="O68" s="44"/>
      <c r="P68" s="33"/>
      <c r="Q68" s="49" t="e">
        <f t="shared" ca="1" si="4"/>
        <v>#NAME?</v>
      </c>
      <c r="R68" s="50" t="e">
        <f t="shared" ca="1" si="4"/>
        <v>#NAME?</v>
      </c>
      <c r="T68" s="64"/>
      <c r="V68" s="11" t="e">
        <f ca="1"/>
        <v>#NAME?</v>
      </c>
      <c r="W68" s="12" t="e">
        <f ca="1">_xll.qlYieldTSDiscount(U$4,V68,,Triggers!RTDataTrigger)</f>
        <v>#NAME?</v>
      </c>
      <c r="X68" s="44"/>
      <c r="Y68" s="33"/>
      <c r="Z68" s="49" t="e">
        <f t="shared" ca="1" si="5"/>
        <v>#NAME?</v>
      </c>
      <c r="AA68" s="50" t="e">
        <f t="shared" ca="1" si="5"/>
        <v>#NAME?</v>
      </c>
    </row>
    <row r="69" spans="4:27" x14ac:dyDescent="0.2">
      <c r="D69" s="11" t="e">
        <f ca="1"/>
        <v>#NAME?</v>
      </c>
      <c r="E69" s="12" t="e">
        <f ca="1">_xll.qlYieldTSDiscount(C$4,D69,,Triggers!RTDataTrigger)</f>
        <v>#NAME?</v>
      </c>
      <c r="F69" s="44"/>
      <c r="G69" s="33"/>
      <c r="H69" s="49" t="e">
        <f t="shared" ref="H69:I93" ca="1" si="6">IF(ISBLANK(F69),D69,F69)</f>
        <v>#NAME?</v>
      </c>
      <c r="I69" s="50" t="e">
        <f t="shared" ca="1" si="6"/>
        <v>#NAME?</v>
      </c>
      <c r="J69" s="65"/>
      <c r="M69" s="11" t="e">
        <f ca="1"/>
        <v>#NAME?</v>
      </c>
      <c r="N69" s="12" t="e">
        <f ca="1">_xll.qlYieldTSDiscount(L$4,M69,,Triggers!RTDataTrigger)</f>
        <v>#NAME?</v>
      </c>
      <c r="O69" s="44"/>
      <c r="P69" s="33"/>
      <c r="Q69" s="49" t="e">
        <f t="shared" ref="Q69:R93" ca="1" si="7">IF(ISBLANK(O69),M69,O69)</f>
        <v>#NAME?</v>
      </c>
      <c r="R69" s="50" t="e">
        <f t="shared" ca="1" si="7"/>
        <v>#NAME?</v>
      </c>
      <c r="T69" s="64"/>
      <c r="V69" s="11" t="e">
        <f ca="1"/>
        <v>#NAME?</v>
      </c>
      <c r="W69" s="12" t="e">
        <f ca="1">_xll.qlYieldTSDiscount(U$4,V69,,Triggers!RTDataTrigger)</f>
        <v>#NAME?</v>
      </c>
      <c r="X69" s="44"/>
      <c r="Y69" s="33"/>
      <c r="Z69" s="49" t="e">
        <f t="shared" ref="Z69:AA93" ca="1" si="8">IF(ISBLANK(X69),V69,X69)</f>
        <v>#NAME?</v>
      </c>
      <c r="AA69" s="50" t="e">
        <f t="shared" ca="1" si="8"/>
        <v>#NAME?</v>
      </c>
    </row>
    <row r="70" spans="4:27" x14ac:dyDescent="0.2">
      <c r="D70" s="11" t="e">
        <f ca="1"/>
        <v>#NAME?</v>
      </c>
      <c r="E70" s="12" t="e">
        <f ca="1">_xll.qlYieldTSDiscount(C$4,D70,,Triggers!RTDataTrigger)</f>
        <v>#NAME?</v>
      </c>
      <c r="F70" s="44"/>
      <c r="G70" s="33"/>
      <c r="H70" s="49" t="e">
        <f t="shared" ca="1" si="6"/>
        <v>#NAME?</v>
      </c>
      <c r="I70" s="50" t="e">
        <f t="shared" ca="1" si="6"/>
        <v>#NAME?</v>
      </c>
      <c r="J70" s="65"/>
      <c r="M70" s="11" t="e">
        <f ca="1"/>
        <v>#NAME?</v>
      </c>
      <c r="N70" s="12" t="e">
        <f ca="1">_xll.qlYieldTSDiscount(L$4,M70,,Triggers!RTDataTrigger)</f>
        <v>#NAME?</v>
      </c>
      <c r="O70" s="44"/>
      <c r="P70" s="33"/>
      <c r="Q70" s="49" t="e">
        <f t="shared" ca="1" si="7"/>
        <v>#NAME?</v>
      </c>
      <c r="R70" s="50" t="e">
        <f t="shared" ca="1" si="7"/>
        <v>#NAME?</v>
      </c>
      <c r="T70" s="64"/>
      <c r="V70" s="11" t="e">
        <f ca="1"/>
        <v>#NAME?</v>
      </c>
      <c r="W70" s="12" t="e">
        <f ca="1">_xll.qlYieldTSDiscount(U$4,V70,,Triggers!RTDataTrigger)</f>
        <v>#NAME?</v>
      </c>
      <c r="X70" s="44"/>
      <c r="Y70" s="33"/>
      <c r="Z70" s="49" t="e">
        <f t="shared" ca="1" si="8"/>
        <v>#NAME?</v>
      </c>
      <c r="AA70" s="50" t="e">
        <f t="shared" ca="1" si="8"/>
        <v>#NAME?</v>
      </c>
    </row>
    <row r="71" spans="4:27" x14ac:dyDescent="0.2">
      <c r="D71" s="11" t="e">
        <f ca="1"/>
        <v>#NAME?</v>
      </c>
      <c r="E71" s="12" t="e">
        <f ca="1">_xll.qlYieldTSDiscount(C$4,D71,,Triggers!RTDataTrigger)</f>
        <v>#NAME?</v>
      </c>
      <c r="F71" s="44"/>
      <c r="G71" s="33"/>
      <c r="H71" s="49" t="e">
        <f t="shared" ca="1" si="6"/>
        <v>#NAME?</v>
      </c>
      <c r="I71" s="50" t="e">
        <f t="shared" ca="1" si="6"/>
        <v>#NAME?</v>
      </c>
      <c r="J71" s="65"/>
      <c r="M71" s="11" t="e">
        <f ca="1"/>
        <v>#NAME?</v>
      </c>
      <c r="N71" s="12" t="e">
        <f ca="1">_xll.qlYieldTSDiscount(L$4,M71,,Triggers!RTDataTrigger)</f>
        <v>#NAME?</v>
      </c>
      <c r="O71" s="44"/>
      <c r="P71" s="33"/>
      <c r="Q71" s="49" t="e">
        <f t="shared" ca="1" si="7"/>
        <v>#NAME?</v>
      </c>
      <c r="R71" s="50" t="e">
        <f t="shared" ca="1" si="7"/>
        <v>#NAME?</v>
      </c>
      <c r="T71" s="64"/>
      <c r="V71" s="11" t="e">
        <f ca="1"/>
        <v>#NAME?</v>
      </c>
      <c r="W71" s="12" t="e">
        <f ca="1">_xll.qlYieldTSDiscount(U$4,V71,,Triggers!RTDataTrigger)</f>
        <v>#NAME?</v>
      </c>
      <c r="X71" s="44"/>
      <c r="Y71" s="33"/>
      <c r="Z71" s="49" t="e">
        <f t="shared" ca="1" si="8"/>
        <v>#NAME?</v>
      </c>
      <c r="AA71" s="50" t="e">
        <f t="shared" ca="1" si="8"/>
        <v>#NAME?</v>
      </c>
    </row>
    <row r="72" spans="4:27" x14ac:dyDescent="0.2">
      <c r="D72" s="11" t="e">
        <f ca="1"/>
        <v>#NAME?</v>
      </c>
      <c r="E72" s="12" t="e">
        <f ca="1">_xll.qlYieldTSDiscount(C$4,D72,,Triggers!RTDataTrigger)</f>
        <v>#NAME?</v>
      </c>
      <c r="F72" s="44"/>
      <c r="G72" s="33"/>
      <c r="H72" s="49" t="e">
        <f t="shared" ca="1" si="6"/>
        <v>#NAME?</v>
      </c>
      <c r="I72" s="50" t="e">
        <f t="shared" ca="1" si="6"/>
        <v>#NAME?</v>
      </c>
      <c r="J72" s="65"/>
      <c r="M72" s="11" t="e">
        <f ca="1"/>
        <v>#NAME?</v>
      </c>
      <c r="N72" s="12" t="e">
        <f ca="1">_xll.qlYieldTSDiscount(L$4,M72,,Triggers!RTDataTrigger)</f>
        <v>#NAME?</v>
      </c>
      <c r="O72" s="44"/>
      <c r="P72" s="33"/>
      <c r="Q72" s="49" t="e">
        <f t="shared" ca="1" si="7"/>
        <v>#NAME?</v>
      </c>
      <c r="R72" s="50" t="e">
        <f t="shared" ca="1" si="7"/>
        <v>#NAME?</v>
      </c>
      <c r="T72" s="64"/>
      <c r="V72" s="11" t="e">
        <f ca="1"/>
        <v>#NAME?</v>
      </c>
      <c r="W72" s="12" t="e">
        <f ca="1">_xll.qlYieldTSDiscount(U$4,V72,,Triggers!RTDataTrigger)</f>
        <v>#NAME?</v>
      </c>
      <c r="X72" s="44"/>
      <c r="Y72" s="33"/>
      <c r="Z72" s="49" t="e">
        <f t="shared" ca="1" si="8"/>
        <v>#NAME?</v>
      </c>
      <c r="AA72" s="50" t="e">
        <f t="shared" ca="1" si="8"/>
        <v>#NAME?</v>
      </c>
    </row>
    <row r="73" spans="4:27" x14ac:dyDescent="0.2">
      <c r="D73" s="11" t="e">
        <f ca="1"/>
        <v>#NAME?</v>
      </c>
      <c r="E73" s="12" t="e">
        <f ca="1">_xll.qlYieldTSDiscount(C$4,D73,,Triggers!RTDataTrigger)</f>
        <v>#NAME?</v>
      </c>
      <c r="F73" s="44"/>
      <c r="G73" s="33"/>
      <c r="H73" s="49" t="e">
        <f t="shared" ca="1" si="6"/>
        <v>#NAME?</v>
      </c>
      <c r="I73" s="50" t="e">
        <f t="shared" ca="1" si="6"/>
        <v>#NAME?</v>
      </c>
      <c r="J73" s="65"/>
      <c r="M73" s="11" t="e">
        <f ca="1"/>
        <v>#NAME?</v>
      </c>
      <c r="N73" s="12" t="e">
        <f ca="1">_xll.qlYieldTSDiscount(L$4,M73,,Triggers!RTDataTrigger)</f>
        <v>#NAME?</v>
      </c>
      <c r="O73" s="44"/>
      <c r="P73" s="33"/>
      <c r="Q73" s="49" t="e">
        <f t="shared" ca="1" si="7"/>
        <v>#NAME?</v>
      </c>
      <c r="R73" s="50" t="e">
        <f t="shared" ca="1" si="7"/>
        <v>#NAME?</v>
      </c>
      <c r="T73" s="64"/>
      <c r="V73" s="11" t="e">
        <f ca="1"/>
        <v>#NAME?</v>
      </c>
      <c r="W73" s="12" t="e">
        <f ca="1">_xll.qlYieldTSDiscount(U$4,V73,,Triggers!RTDataTrigger)</f>
        <v>#NAME?</v>
      </c>
      <c r="X73" s="44"/>
      <c r="Y73" s="33"/>
      <c r="Z73" s="49" t="e">
        <f t="shared" ca="1" si="8"/>
        <v>#NAME?</v>
      </c>
      <c r="AA73" s="50" t="e">
        <f t="shared" ca="1" si="8"/>
        <v>#NAME?</v>
      </c>
    </row>
    <row r="74" spans="4:27" x14ac:dyDescent="0.2">
      <c r="D74" s="11" t="e">
        <f ca="1"/>
        <v>#NAME?</v>
      </c>
      <c r="E74" s="12" t="e">
        <f ca="1">_xll.qlYieldTSDiscount(C$4,D74,,Triggers!RTDataTrigger)</f>
        <v>#NAME?</v>
      </c>
      <c r="F74" s="44"/>
      <c r="G74" s="33"/>
      <c r="H74" s="49" t="e">
        <f t="shared" ca="1" si="6"/>
        <v>#NAME?</v>
      </c>
      <c r="I74" s="50" t="e">
        <f t="shared" ca="1" si="6"/>
        <v>#NAME?</v>
      </c>
      <c r="J74" s="65"/>
      <c r="M74" s="11" t="e">
        <f ca="1"/>
        <v>#NAME?</v>
      </c>
      <c r="N74" s="12" t="e">
        <f ca="1">_xll.qlYieldTSDiscount(L$4,M74,,Triggers!RTDataTrigger)</f>
        <v>#NAME?</v>
      </c>
      <c r="O74" s="44"/>
      <c r="P74" s="33"/>
      <c r="Q74" s="49" t="e">
        <f t="shared" ca="1" si="7"/>
        <v>#NAME?</v>
      </c>
      <c r="R74" s="50" t="e">
        <f t="shared" ca="1" si="7"/>
        <v>#NAME?</v>
      </c>
      <c r="T74" s="64"/>
      <c r="V74" s="11" t="e">
        <f ca="1"/>
        <v>#NAME?</v>
      </c>
      <c r="W74" s="12" t="e">
        <f ca="1">_xll.qlYieldTSDiscount(U$4,V74,,Triggers!RTDataTrigger)</f>
        <v>#NAME?</v>
      </c>
      <c r="X74" s="44"/>
      <c r="Y74" s="33"/>
      <c r="Z74" s="49" t="e">
        <f t="shared" ca="1" si="8"/>
        <v>#NAME?</v>
      </c>
      <c r="AA74" s="50" t="e">
        <f t="shared" ca="1" si="8"/>
        <v>#NAME?</v>
      </c>
    </row>
    <row r="75" spans="4:27" x14ac:dyDescent="0.2">
      <c r="D75" s="11" t="e">
        <f ca="1"/>
        <v>#NAME?</v>
      </c>
      <c r="E75" s="12" t="e">
        <f ca="1">_xll.qlYieldTSDiscount(C$4,D75,,Triggers!RTDataTrigger)</f>
        <v>#NAME?</v>
      </c>
      <c r="F75" s="44"/>
      <c r="G75" s="33"/>
      <c r="H75" s="49" t="e">
        <f t="shared" ca="1" si="6"/>
        <v>#NAME?</v>
      </c>
      <c r="I75" s="50" t="e">
        <f t="shared" ca="1" si="6"/>
        <v>#NAME?</v>
      </c>
      <c r="J75" s="65"/>
      <c r="M75" s="11" t="e">
        <f ca="1"/>
        <v>#NAME?</v>
      </c>
      <c r="N75" s="12" t="e">
        <f ca="1">_xll.qlYieldTSDiscount(L$4,M75,,Triggers!RTDataTrigger)</f>
        <v>#NAME?</v>
      </c>
      <c r="O75" s="44"/>
      <c r="P75" s="33"/>
      <c r="Q75" s="49" t="e">
        <f t="shared" ca="1" si="7"/>
        <v>#NAME?</v>
      </c>
      <c r="R75" s="50" t="e">
        <f t="shared" ca="1" si="7"/>
        <v>#NAME?</v>
      </c>
      <c r="T75" s="64"/>
      <c r="V75" s="11" t="e">
        <f ca="1"/>
        <v>#NAME?</v>
      </c>
      <c r="W75" s="12" t="e">
        <f ca="1">_xll.qlYieldTSDiscount(U$4,V75,,Triggers!RTDataTrigger)</f>
        <v>#NAME?</v>
      </c>
      <c r="X75" s="44"/>
      <c r="Y75" s="33"/>
      <c r="Z75" s="49" t="e">
        <f t="shared" ca="1" si="8"/>
        <v>#NAME?</v>
      </c>
      <c r="AA75" s="50" t="e">
        <f t="shared" ca="1" si="8"/>
        <v>#NAME?</v>
      </c>
    </row>
    <row r="76" spans="4:27" x14ac:dyDescent="0.2">
      <c r="D76" s="11" t="e">
        <f ca="1"/>
        <v>#NAME?</v>
      </c>
      <c r="E76" s="12" t="e">
        <f ca="1">_xll.qlYieldTSDiscount(C$4,D76,,Triggers!RTDataTrigger)</f>
        <v>#NAME?</v>
      </c>
      <c r="F76" s="44"/>
      <c r="G76" s="33"/>
      <c r="H76" s="49" t="e">
        <f t="shared" ca="1" si="6"/>
        <v>#NAME?</v>
      </c>
      <c r="I76" s="50" t="e">
        <f t="shared" ca="1" si="6"/>
        <v>#NAME?</v>
      </c>
      <c r="J76" s="65"/>
      <c r="M76" s="11" t="e">
        <f ca="1"/>
        <v>#NAME?</v>
      </c>
      <c r="N76" s="12" t="e">
        <f ca="1">_xll.qlYieldTSDiscount(L$4,M76,,Triggers!RTDataTrigger)</f>
        <v>#NAME?</v>
      </c>
      <c r="O76" s="44"/>
      <c r="P76" s="33"/>
      <c r="Q76" s="49" t="e">
        <f t="shared" ca="1" si="7"/>
        <v>#NAME?</v>
      </c>
      <c r="R76" s="50" t="e">
        <f t="shared" ca="1" si="7"/>
        <v>#NAME?</v>
      </c>
      <c r="T76" s="64"/>
      <c r="V76" s="11" t="e">
        <f ca="1"/>
        <v>#NAME?</v>
      </c>
      <c r="W76" s="12" t="e">
        <f ca="1">_xll.qlYieldTSDiscount(U$4,V76,,Triggers!RTDataTrigger)</f>
        <v>#NAME?</v>
      </c>
      <c r="X76" s="44"/>
      <c r="Y76" s="33"/>
      <c r="Z76" s="49" t="e">
        <f t="shared" ca="1" si="8"/>
        <v>#NAME?</v>
      </c>
      <c r="AA76" s="50" t="e">
        <f t="shared" ca="1" si="8"/>
        <v>#NAME?</v>
      </c>
    </row>
    <row r="77" spans="4:27" x14ac:dyDescent="0.2">
      <c r="D77" s="11" t="e">
        <f ca="1"/>
        <v>#NAME?</v>
      </c>
      <c r="E77" s="12" t="e">
        <f ca="1">_xll.qlYieldTSDiscount(C$4,D77,,Triggers!RTDataTrigger)</f>
        <v>#NAME?</v>
      </c>
      <c r="F77" s="44"/>
      <c r="G77" s="33"/>
      <c r="H77" s="49" t="e">
        <f t="shared" ca="1" si="6"/>
        <v>#NAME?</v>
      </c>
      <c r="I77" s="50" t="e">
        <f t="shared" ca="1" si="6"/>
        <v>#NAME?</v>
      </c>
      <c r="J77" s="65"/>
      <c r="M77" s="11" t="e">
        <f ca="1"/>
        <v>#NAME?</v>
      </c>
      <c r="N77" s="12" t="e">
        <f ca="1">_xll.qlYieldTSDiscount(L$4,M77,,Triggers!RTDataTrigger)</f>
        <v>#NAME?</v>
      </c>
      <c r="O77" s="44"/>
      <c r="P77" s="33"/>
      <c r="Q77" s="49" t="e">
        <f t="shared" ca="1" si="7"/>
        <v>#NAME?</v>
      </c>
      <c r="R77" s="50" t="e">
        <f t="shared" ca="1" si="7"/>
        <v>#NAME?</v>
      </c>
      <c r="T77" s="64"/>
      <c r="V77" s="11" t="e">
        <f ca="1"/>
        <v>#NAME?</v>
      </c>
      <c r="W77" s="12" t="e">
        <f ca="1">_xll.qlYieldTSDiscount(U$4,V77,,Triggers!RTDataTrigger)</f>
        <v>#NAME?</v>
      </c>
      <c r="X77" s="44"/>
      <c r="Y77" s="33"/>
      <c r="Z77" s="49" t="e">
        <f t="shared" ca="1" si="8"/>
        <v>#NAME?</v>
      </c>
      <c r="AA77" s="50" t="e">
        <f t="shared" ca="1" si="8"/>
        <v>#NAME?</v>
      </c>
    </row>
    <row r="78" spans="4:27" x14ac:dyDescent="0.2">
      <c r="D78" s="11" t="e">
        <f ca="1"/>
        <v>#NAME?</v>
      </c>
      <c r="E78" s="12" t="e">
        <f ca="1">_xll.qlYieldTSDiscount(C$4,D78,,Triggers!RTDataTrigger)</f>
        <v>#NAME?</v>
      </c>
      <c r="F78" s="44"/>
      <c r="G78" s="33"/>
      <c r="H78" s="49" t="e">
        <f t="shared" ca="1" si="6"/>
        <v>#NAME?</v>
      </c>
      <c r="I78" s="50" t="e">
        <f t="shared" ca="1" si="6"/>
        <v>#NAME?</v>
      </c>
      <c r="J78" s="65"/>
      <c r="M78" s="11" t="e">
        <f ca="1"/>
        <v>#NAME?</v>
      </c>
      <c r="N78" s="12" t="e">
        <f ca="1">_xll.qlYieldTSDiscount(L$4,M78,,Triggers!RTDataTrigger)</f>
        <v>#NAME?</v>
      </c>
      <c r="O78" s="44"/>
      <c r="P78" s="33"/>
      <c r="Q78" s="49" t="e">
        <f t="shared" ca="1" si="7"/>
        <v>#NAME?</v>
      </c>
      <c r="R78" s="50" t="e">
        <f t="shared" ca="1" si="7"/>
        <v>#NAME?</v>
      </c>
      <c r="T78" s="64"/>
      <c r="V78" s="11" t="e">
        <f ca="1"/>
        <v>#NAME?</v>
      </c>
      <c r="W78" s="12" t="e">
        <f ca="1">_xll.qlYieldTSDiscount(U$4,V78,,Triggers!RTDataTrigger)</f>
        <v>#NAME?</v>
      </c>
      <c r="X78" s="44"/>
      <c r="Y78" s="33"/>
      <c r="Z78" s="49" t="e">
        <f t="shared" ca="1" si="8"/>
        <v>#NAME?</v>
      </c>
      <c r="AA78" s="50" t="e">
        <f t="shared" ca="1" si="8"/>
        <v>#NAME?</v>
      </c>
    </row>
    <row r="79" spans="4:27" x14ac:dyDescent="0.2">
      <c r="D79" s="11" t="e">
        <f ca="1"/>
        <v>#NAME?</v>
      </c>
      <c r="E79" s="12" t="e">
        <f ca="1">_xll.qlYieldTSDiscount(C$4,D79,,Triggers!RTDataTrigger)</f>
        <v>#NAME?</v>
      </c>
      <c r="F79" s="44"/>
      <c r="G79" s="33"/>
      <c r="H79" s="49" t="e">
        <f t="shared" ca="1" si="6"/>
        <v>#NAME?</v>
      </c>
      <c r="I79" s="50" t="e">
        <f t="shared" ca="1" si="6"/>
        <v>#NAME?</v>
      </c>
      <c r="J79" s="65"/>
      <c r="M79" s="11" t="e">
        <f ca="1"/>
        <v>#NAME?</v>
      </c>
      <c r="N79" s="12" t="e">
        <f ca="1">_xll.qlYieldTSDiscount(L$4,M79,,Triggers!RTDataTrigger)</f>
        <v>#NAME?</v>
      </c>
      <c r="O79" s="44"/>
      <c r="P79" s="33"/>
      <c r="Q79" s="49" t="e">
        <f t="shared" ca="1" si="7"/>
        <v>#NAME?</v>
      </c>
      <c r="R79" s="50" t="e">
        <f t="shared" ca="1" si="7"/>
        <v>#NAME?</v>
      </c>
      <c r="T79" s="64"/>
      <c r="V79" s="11" t="e">
        <f ca="1"/>
        <v>#NAME?</v>
      </c>
      <c r="W79" s="12" t="e">
        <f ca="1">_xll.qlYieldTSDiscount(U$4,V79,,Triggers!RTDataTrigger)</f>
        <v>#NAME?</v>
      </c>
      <c r="X79" s="44"/>
      <c r="Y79" s="33"/>
      <c r="Z79" s="49" t="e">
        <f t="shared" ca="1" si="8"/>
        <v>#NAME?</v>
      </c>
      <c r="AA79" s="50" t="e">
        <f t="shared" ca="1" si="8"/>
        <v>#NAME?</v>
      </c>
    </row>
    <row r="80" spans="4:27" x14ac:dyDescent="0.2">
      <c r="D80" s="11" t="e">
        <f ca="1"/>
        <v>#NAME?</v>
      </c>
      <c r="E80" s="12" t="e">
        <f ca="1">_xll.qlYieldTSDiscount(C$4,D80,,Triggers!RTDataTrigger)</f>
        <v>#NAME?</v>
      </c>
      <c r="F80" s="44"/>
      <c r="G80" s="33"/>
      <c r="H80" s="49" t="e">
        <f t="shared" ca="1" si="6"/>
        <v>#NAME?</v>
      </c>
      <c r="I80" s="50" t="e">
        <f t="shared" ca="1" si="6"/>
        <v>#NAME?</v>
      </c>
      <c r="J80" s="65"/>
      <c r="M80" s="11" t="e">
        <f ca="1"/>
        <v>#NAME?</v>
      </c>
      <c r="N80" s="12" t="e">
        <f ca="1">_xll.qlYieldTSDiscount(L$4,M80,,Triggers!RTDataTrigger)</f>
        <v>#NAME?</v>
      </c>
      <c r="O80" s="44"/>
      <c r="P80" s="33"/>
      <c r="Q80" s="49" t="e">
        <f t="shared" ca="1" si="7"/>
        <v>#NAME?</v>
      </c>
      <c r="R80" s="50" t="e">
        <f t="shared" ca="1" si="7"/>
        <v>#NAME?</v>
      </c>
      <c r="T80" s="64"/>
      <c r="V80" s="11" t="e">
        <f ca="1"/>
        <v>#NAME?</v>
      </c>
      <c r="W80" s="12" t="e">
        <f ca="1">_xll.qlYieldTSDiscount(U$4,V80,,Triggers!RTDataTrigger)</f>
        <v>#NAME?</v>
      </c>
      <c r="X80" s="44"/>
      <c r="Y80" s="33"/>
      <c r="Z80" s="49" t="e">
        <f t="shared" ca="1" si="8"/>
        <v>#NAME?</v>
      </c>
      <c r="AA80" s="50" t="e">
        <f t="shared" ca="1" si="8"/>
        <v>#NAME?</v>
      </c>
    </row>
    <row r="81" spans="4:27" x14ac:dyDescent="0.2">
      <c r="D81" s="11" t="e">
        <f ca="1"/>
        <v>#NAME?</v>
      </c>
      <c r="E81" s="12" t="e">
        <f ca="1">_xll.qlYieldTSDiscount(C$4,D81,,Triggers!RTDataTrigger)</f>
        <v>#NAME?</v>
      </c>
      <c r="F81" s="44"/>
      <c r="G81" s="33"/>
      <c r="H81" s="49" t="e">
        <f t="shared" ca="1" si="6"/>
        <v>#NAME?</v>
      </c>
      <c r="I81" s="50" t="e">
        <f t="shared" ca="1" si="6"/>
        <v>#NAME?</v>
      </c>
      <c r="J81" s="65"/>
      <c r="M81" s="11" t="e">
        <f ca="1"/>
        <v>#NAME?</v>
      </c>
      <c r="N81" s="12" t="e">
        <f ca="1">_xll.qlYieldTSDiscount(L$4,M81,,Triggers!RTDataTrigger)</f>
        <v>#NAME?</v>
      </c>
      <c r="O81" s="44"/>
      <c r="P81" s="33"/>
      <c r="Q81" s="49" t="e">
        <f t="shared" ca="1" si="7"/>
        <v>#NAME?</v>
      </c>
      <c r="R81" s="50" t="e">
        <f t="shared" ca="1" si="7"/>
        <v>#NAME?</v>
      </c>
      <c r="V81" s="11" t="e">
        <f ca="1"/>
        <v>#NAME?</v>
      </c>
      <c r="W81" s="12" t="e">
        <f ca="1">_xll.qlYieldTSDiscount(U$4,V81,,Triggers!RTDataTrigger)</f>
        <v>#NAME?</v>
      </c>
      <c r="X81" s="44"/>
      <c r="Y81" s="33"/>
      <c r="Z81" s="49" t="e">
        <f t="shared" ca="1" si="8"/>
        <v>#NAME?</v>
      </c>
      <c r="AA81" s="50" t="e">
        <f t="shared" ca="1" si="8"/>
        <v>#NAME?</v>
      </c>
    </row>
    <row r="82" spans="4:27" x14ac:dyDescent="0.2">
      <c r="D82" s="11" t="e">
        <f ca="1"/>
        <v>#NAME?</v>
      </c>
      <c r="E82" s="12" t="e">
        <f ca="1">_xll.qlYieldTSDiscount(C$4,D82,,Triggers!RTDataTrigger)</f>
        <v>#NAME?</v>
      </c>
      <c r="F82" s="44"/>
      <c r="G82" s="33"/>
      <c r="H82" s="49" t="e">
        <f t="shared" ca="1" si="6"/>
        <v>#NAME?</v>
      </c>
      <c r="I82" s="50" t="e">
        <f t="shared" ca="1" si="6"/>
        <v>#NAME?</v>
      </c>
      <c r="J82" s="65"/>
      <c r="M82" s="11" t="e">
        <f ca="1"/>
        <v>#NAME?</v>
      </c>
      <c r="N82" s="12" t="e">
        <f ca="1">_xll.qlYieldTSDiscount(L$4,M82,,Triggers!RTDataTrigger)</f>
        <v>#NAME?</v>
      </c>
      <c r="O82" s="44"/>
      <c r="P82" s="33"/>
      <c r="Q82" s="49" t="e">
        <f t="shared" ca="1" si="7"/>
        <v>#NAME?</v>
      </c>
      <c r="R82" s="50" t="e">
        <f t="shared" ca="1" si="7"/>
        <v>#NAME?</v>
      </c>
      <c r="V82" s="11" t="e">
        <f ca="1"/>
        <v>#NAME?</v>
      </c>
      <c r="W82" s="12" t="e">
        <f ca="1">_xll.qlYieldTSDiscount(U$4,V82,,Triggers!RTDataTrigger)</f>
        <v>#NAME?</v>
      </c>
      <c r="X82" s="44"/>
      <c r="Y82" s="33"/>
      <c r="Z82" s="49" t="e">
        <f t="shared" ca="1" si="8"/>
        <v>#NAME?</v>
      </c>
      <c r="AA82" s="50" t="e">
        <f t="shared" ca="1" si="8"/>
        <v>#NAME?</v>
      </c>
    </row>
    <row r="83" spans="4:27" x14ac:dyDescent="0.2">
      <c r="D83" s="11" t="e">
        <f ca="1"/>
        <v>#NAME?</v>
      </c>
      <c r="E83" s="12" t="e">
        <f ca="1">_xll.qlYieldTSDiscount(C$4,D83,,Triggers!RTDataTrigger)</f>
        <v>#NAME?</v>
      </c>
      <c r="F83" s="44"/>
      <c r="G83" s="33"/>
      <c r="H83" s="49" t="e">
        <f t="shared" ca="1" si="6"/>
        <v>#NAME?</v>
      </c>
      <c r="I83" s="50" t="e">
        <f t="shared" ca="1" si="6"/>
        <v>#NAME?</v>
      </c>
      <c r="J83" s="65"/>
      <c r="M83" s="11" t="e">
        <f ca="1"/>
        <v>#NAME?</v>
      </c>
      <c r="N83" s="12" t="e">
        <f ca="1">_xll.qlYieldTSDiscount(L$4,M83,,Triggers!RTDataTrigger)</f>
        <v>#NAME?</v>
      </c>
      <c r="O83" s="44"/>
      <c r="P83" s="33"/>
      <c r="Q83" s="49" t="e">
        <f t="shared" ca="1" si="7"/>
        <v>#NAME?</v>
      </c>
      <c r="R83" s="50" t="e">
        <f t="shared" ca="1" si="7"/>
        <v>#NAME?</v>
      </c>
      <c r="V83" s="11" t="e">
        <f ca="1"/>
        <v>#NAME?</v>
      </c>
      <c r="W83" s="12" t="e">
        <f ca="1">_xll.qlYieldTSDiscount(U$4,V83,,Triggers!RTDataTrigger)</f>
        <v>#NAME?</v>
      </c>
      <c r="X83" s="44"/>
      <c r="Y83" s="33"/>
      <c r="Z83" s="49" t="e">
        <f t="shared" ca="1" si="8"/>
        <v>#NAME?</v>
      </c>
      <c r="AA83" s="50" t="e">
        <f t="shared" ca="1" si="8"/>
        <v>#NAME?</v>
      </c>
    </row>
    <row r="84" spans="4:27" x14ac:dyDescent="0.2">
      <c r="D84" s="11" t="e">
        <f ca="1"/>
        <v>#NAME?</v>
      </c>
      <c r="E84" s="12" t="e">
        <f ca="1">_xll.qlYieldTSDiscount(C$4,D84,,Triggers!RTDataTrigger)</f>
        <v>#NAME?</v>
      </c>
      <c r="F84" s="44"/>
      <c r="G84" s="33"/>
      <c r="H84" s="49" t="e">
        <f t="shared" ca="1" si="6"/>
        <v>#NAME?</v>
      </c>
      <c r="I84" s="50" t="e">
        <f t="shared" ca="1" si="6"/>
        <v>#NAME?</v>
      </c>
      <c r="J84" s="65"/>
      <c r="M84" s="11" t="e">
        <f ca="1"/>
        <v>#NAME?</v>
      </c>
      <c r="N84" s="12" t="e">
        <f ca="1">_xll.qlYieldTSDiscount(L$4,M84,,Triggers!RTDataTrigger)</f>
        <v>#NAME?</v>
      </c>
      <c r="O84" s="44"/>
      <c r="P84" s="33"/>
      <c r="Q84" s="49" t="e">
        <f t="shared" ca="1" si="7"/>
        <v>#NAME?</v>
      </c>
      <c r="R84" s="50" t="e">
        <f t="shared" ca="1" si="7"/>
        <v>#NAME?</v>
      </c>
      <c r="V84" s="11" t="e">
        <f ca="1"/>
        <v>#NAME?</v>
      </c>
      <c r="W84" s="12" t="e">
        <f ca="1">_xll.qlYieldTSDiscount(U$4,V84,,Triggers!RTDataTrigger)</f>
        <v>#NAME?</v>
      </c>
      <c r="X84" s="44"/>
      <c r="Y84" s="33"/>
      <c r="Z84" s="49" t="e">
        <f t="shared" ca="1" si="8"/>
        <v>#NAME?</v>
      </c>
      <c r="AA84" s="50" t="e">
        <f t="shared" ca="1" si="8"/>
        <v>#NAME?</v>
      </c>
    </row>
    <row r="85" spans="4:27" x14ac:dyDescent="0.2">
      <c r="D85" s="11" t="e">
        <f ca="1"/>
        <v>#NAME?</v>
      </c>
      <c r="E85" s="12" t="e">
        <f ca="1">_xll.qlYieldTSDiscount(C$4,D85,,Triggers!RTDataTrigger)</f>
        <v>#NAME?</v>
      </c>
      <c r="F85" s="44"/>
      <c r="G85" s="33"/>
      <c r="H85" s="49" t="e">
        <f t="shared" ca="1" si="6"/>
        <v>#NAME?</v>
      </c>
      <c r="I85" s="50" t="e">
        <f t="shared" ca="1" si="6"/>
        <v>#NAME?</v>
      </c>
      <c r="J85" s="65"/>
      <c r="M85" s="11" t="e">
        <f ca="1"/>
        <v>#NAME?</v>
      </c>
      <c r="N85" s="12" t="e">
        <f ca="1">_xll.qlYieldTSDiscount(L$4,M85,,Triggers!RTDataTrigger)</f>
        <v>#NAME?</v>
      </c>
      <c r="O85" s="44"/>
      <c r="P85" s="33"/>
      <c r="Q85" s="49" t="e">
        <f t="shared" ca="1" si="7"/>
        <v>#NAME?</v>
      </c>
      <c r="R85" s="50" t="e">
        <f t="shared" ca="1" si="7"/>
        <v>#NAME?</v>
      </c>
      <c r="V85" s="11" t="e">
        <f ca="1"/>
        <v>#NAME?</v>
      </c>
      <c r="W85" s="12" t="e">
        <f ca="1">_xll.qlYieldTSDiscount(U$4,V85,,Triggers!RTDataTrigger)</f>
        <v>#NAME?</v>
      </c>
      <c r="X85" s="44"/>
      <c r="Y85" s="33"/>
      <c r="Z85" s="49" t="e">
        <f t="shared" ca="1" si="8"/>
        <v>#NAME?</v>
      </c>
      <c r="AA85" s="50" t="e">
        <f t="shared" ca="1" si="8"/>
        <v>#NAME?</v>
      </c>
    </row>
    <row r="86" spans="4:27" x14ac:dyDescent="0.2">
      <c r="D86" s="11" t="e">
        <f ca="1"/>
        <v>#NAME?</v>
      </c>
      <c r="E86" s="12" t="e">
        <f ca="1">_xll.qlYieldTSDiscount(C$4,D86,,Triggers!RTDataTrigger)</f>
        <v>#NAME?</v>
      </c>
      <c r="F86" s="44"/>
      <c r="G86" s="33"/>
      <c r="H86" s="49" t="e">
        <f t="shared" ca="1" si="6"/>
        <v>#NAME?</v>
      </c>
      <c r="I86" s="50" t="e">
        <f t="shared" ca="1" si="6"/>
        <v>#NAME?</v>
      </c>
      <c r="J86" s="65"/>
      <c r="M86" s="11" t="e">
        <f ca="1"/>
        <v>#NAME?</v>
      </c>
      <c r="N86" s="12" t="e">
        <f ca="1">_xll.qlYieldTSDiscount(L$4,M86,,Triggers!RTDataTrigger)</f>
        <v>#NAME?</v>
      </c>
      <c r="O86" s="44"/>
      <c r="P86" s="33"/>
      <c r="Q86" s="49" t="e">
        <f t="shared" ca="1" si="7"/>
        <v>#NAME?</v>
      </c>
      <c r="R86" s="50" t="e">
        <f t="shared" ca="1" si="7"/>
        <v>#NAME?</v>
      </c>
      <c r="V86" s="11" t="e">
        <f ca="1"/>
        <v>#NAME?</v>
      </c>
      <c r="W86" s="12" t="e">
        <f ca="1">_xll.qlYieldTSDiscount(U$4,V86,,Triggers!RTDataTrigger)</f>
        <v>#NAME?</v>
      </c>
      <c r="X86" s="44"/>
      <c r="Y86" s="33"/>
      <c r="Z86" s="49" t="e">
        <f t="shared" ca="1" si="8"/>
        <v>#NAME?</v>
      </c>
      <c r="AA86" s="50" t="e">
        <f t="shared" ca="1" si="8"/>
        <v>#NAME?</v>
      </c>
    </row>
    <row r="87" spans="4:27" x14ac:dyDescent="0.2">
      <c r="D87" s="11" t="e">
        <f ca="1"/>
        <v>#NAME?</v>
      </c>
      <c r="E87" s="12" t="e">
        <f ca="1">_xll.qlYieldTSDiscount(C$4,D87,,Triggers!RTDataTrigger)</f>
        <v>#NAME?</v>
      </c>
      <c r="F87" s="44"/>
      <c r="G87" s="33"/>
      <c r="H87" s="49" t="e">
        <f t="shared" ca="1" si="6"/>
        <v>#NAME?</v>
      </c>
      <c r="I87" s="50" t="e">
        <f t="shared" ca="1" si="6"/>
        <v>#NAME?</v>
      </c>
      <c r="J87" s="65"/>
      <c r="M87" s="11" t="e">
        <f ca="1"/>
        <v>#NAME?</v>
      </c>
      <c r="N87" s="12" t="e">
        <f ca="1">_xll.qlYieldTSDiscount(L$4,M87,,Triggers!RTDataTrigger)</f>
        <v>#NAME?</v>
      </c>
      <c r="O87" s="44"/>
      <c r="P87" s="33"/>
      <c r="Q87" s="49" t="e">
        <f t="shared" ca="1" si="7"/>
        <v>#NAME?</v>
      </c>
      <c r="R87" s="50" t="e">
        <f t="shared" ca="1" si="7"/>
        <v>#NAME?</v>
      </c>
      <c r="V87" s="11" t="e">
        <f ca="1"/>
        <v>#NAME?</v>
      </c>
      <c r="W87" s="12" t="e">
        <f ca="1">_xll.qlYieldTSDiscount(U$4,V87,,Triggers!RTDataTrigger)</f>
        <v>#NAME?</v>
      </c>
      <c r="X87" s="44"/>
      <c r="Y87" s="33"/>
      <c r="Z87" s="49" t="e">
        <f t="shared" ca="1" si="8"/>
        <v>#NAME?</v>
      </c>
      <c r="AA87" s="50" t="e">
        <f t="shared" ca="1" si="8"/>
        <v>#NAME?</v>
      </c>
    </row>
    <row r="88" spans="4:27" x14ac:dyDescent="0.2">
      <c r="D88" s="11" t="e">
        <f ca="1"/>
        <v>#NAME?</v>
      </c>
      <c r="E88" s="12" t="e">
        <f ca="1">_xll.qlYieldTSDiscount(C$4,D88,,Triggers!RTDataTrigger)</f>
        <v>#NAME?</v>
      </c>
      <c r="F88" s="44"/>
      <c r="G88" s="33"/>
      <c r="H88" s="49" t="e">
        <f t="shared" ca="1" si="6"/>
        <v>#NAME?</v>
      </c>
      <c r="I88" s="50" t="e">
        <f t="shared" ca="1" si="6"/>
        <v>#NAME?</v>
      </c>
      <c r="J88" s="65"/>
      <c r="M88" s="11" t="e">
        <f ca="1"/>
        <v>#NAME?</v>
      </c>
      <c r="N88" s="12" t="e">
        <f ca="1">_xll.qlYieldTSDiscount(L$4,M88,,Triggers!RTDataTrigger)</f>
        <v>#NAME?</v>
      </c>
      <c r="O88" s="44"/>
      <c r="P88" s="33"/>
      <c r="Q88" s="49" t="e">
        <f t="shared" ca="1" si="7"/>
        <v>#NAME?</v>
      </c>
      <c r="R88" s="50" t="e">
        <f t="shared" ca="1" si="7"/>
        <v>#NAME?</v>
      </c>
      <c r="V88" s="11" t="e">
        <f ca="1"/>
        <v>#NAME?</v>
      </c>
      <c r="W88" s="12" t="e">
        <f ca="1">_xll.qlYieldTSDiscount(U$4,V88,,Triggers!RTDataTrigger)</f>
        <v>#NAME?</v>
      </c>
      <c r="X88" s="44"/>
      <c r="Y88" s="33"/>
      <c r="Z88" s="49" t="e">
        <f t="shared" ca="1" si="8"/>
        <v>#NAME?</v>
      </c>
      <c r="AA88" s="50" t="e">
        <f t="shared" ca="1" si="8"/>
        <v>#NAME?</v>
      </c>
    </row>
    <row r="89" spans="4:27" x14ac:dyDescent="0.2">
      <c r="D89" s="11" t="e">
        <f ca="1"/>
        <v>#NAME?</v>
      </c>
      <c r="E89" s="12" t="e">
        <f ca="1">_xll.qlYieldTSDiscount(C$4,D89,,Triggers!RTDataTrigger)</f>
        <v>#NAME?</v>
      </c>
      <c r="F89" s="44"/>
      <c r="G89" s="33"/>
      <c r="H89" s="49" t="e">
        <f t="shared" ca="1" si="6"/>
        <v>#NAME?</v>
      </c>
      <c r="I89" s="50" t="e">
        <f t="shared" ca="1" si="6"/>
        <v>#NAME?</v>
      </c>
      <c r="J89" s="65"/>
      <c r="M89" s="11" t="e">
        <f ca="1"/>
        <v>#NAME?</v>
      </c>
      <c r="N89" s="12" t="e">
        <f ca="1">_xll.qlYieldTSDiscount(L$4,M89,,Triggers!RTDataTrigger)</f>
        <v>#NAME?</v>
      </c>
      <c r="O89" s="44"/>
      <c r="P89" s="33"/>
      <c r="Q89" s="49" t="e">
        <f t="shared" ca="1" si="7"/>
        <v>#NAME?</v>
      </c>
      <c r="R89" s="50" t="e">
        <f t="shared" ca="1" si="7"/>
        <v>#NAME?</v>
      </c>
      <c r="V89" s="11" t="e">
        <f ca="1"/>
        <v>#NAME?</v>
      </c>
      <c r="W89" s="12" t="e">
        <f ca="1">_xll.qlYieldTSDiscount(U$4,V89,,Triggers!RTDataTrigger)</f>
        <v>#NAME?</v>
      </c>
      <c r="X89" s="44"/>
      <c r="Y89" s="33"/>
      <c r="Z89" s="49" t="e">
        <f t="shared" ca="1" si="8"/>
        <v>#NAME?</v>
      </c>
      <c r="AA89" s="50" t="e">
        <f t="shared" ca="1" si="8"/>
        <v>#NAME?</v>
      </c>
    </row>
    <row r="90" spans="4:27" x14ac:dyDescent="0.2">
      <c r="D90" s="11" t="e">
        <f ca="1"/>
        <v>#NAME?</v>
      </c>
      <c r="E90" s="12" t="e">
        <f ca="1">_xll.qlYieldTSDiscount(C$4,D90,,Triggers!RTDataTrigger)</f>
        <v>#NAME?</v>
      </c>
      <c r="F90" s="44"/>
      <c r="G90" s="33"/>
      <c r="H90" s="49" t="e">
        <f t="shared" ca="1" si="6"/>
        <v>#NAME?</v>
      </c>
      <c r="I90" s="50" t="e">
        <f t="shared" ca="1" si="6"/>
        <v>#NAME?</v>
      </c>
      <c r="J90" s="65"/>
      <c r="M90" s="11" t="e">
        <f ca="1"/>
        <v>#NAME?</v>
      </c>
      <c r="N90" s="12" t="e">
        <f ca="1">_xll.qlYieldTSDiscount(L$4,M90,,Triggers!RTDataTrigger)</f>
        <v>#NAME?</v>
      </c>
      <c r="O90" s="44"/>
      <c r="P90" s="33"/>
      <c r="Q90" s="49" t="e">
        <f t="shared" ca="1" si="7"/>
        <v>#NAME?</v>
      </c>
      <c r="R90" s="50" t="e">
        <f t="shared" ca="1" si="7"/>
        <v>#NAME?</v>
      </c>
      <c r="V90" s="11" t="e">
        <f ca="1"/>
        <v>#NAME?</v>
      </c>
      <c r="W90" s="12" t="e">
        <f ca="1">_xll.qlYieldTSDiscount(U$4,V90,,Triggers!RTDataTrigger)</f>
        <v>#NAME?</v>
      </c>
      <c r="X90" s="44"/>
      <c r="Y90" s="33"/>
      <c r="Z90" s="49" t="e">
        <f t="shared" ca="1" si="8"/>
        <v>#NAME?</v>
      </c>
      <c r="AA90" s="50" t="e">
        <f t="shared" ca="1" si="8"/>
        <v>#NAME?</v>
      </c>
    </row>
    <row r="91" spans="4:27" x14ac:dyDescent="0.2">
      <c r="D91" s="11" t="e">
        <f ca="1"/>
        <v>#NAME?</v>
      </c>
      <c r="E91" s="12" t="e">
        <f ca="1">_xll.qlYieldTSDiscount(C$4,D91,,Triggers!RTDataTrigger)</f>
        <v>#NAME?</v>
      </c>
      <c r="F91" s="44"/>
      <c r="G91" s="33"/>
      <c r="H91" s="49" t="e">
        <f t="shared" ca="1" si="6"/>
        <v>#NAME?</v>
      </c>
      <c r="I91" s="50" t="e">
        <f t="shared" ca="1" si="6"/>
        <v>#NAME?</v>
      </c>
      <c r="J91" s="65"/>
      <c r="M91" s="11" t="e">
        <f ca="1"/>
        <v>#NAME?</v>
      </c>
      <c r="N91" s="12" t="e">
        <f ca="1">_xll.qlYieldTSDiscount(L$4,M91,,Triggers!RTDataTrigger)</f>
        <v>#NAME?</v>
      </c>
      <c r="O91" s="44"/>
      <c r="P91" s="33"/>
      <c r="Q91" s="49" t="e">
        <f t="shared" ca="1" si="7"/>
        <v>#NAME?</v>
      </c>
      <c r="R91" s="50" t="e">
        <f t="shared" ca="1" si="7"/>
        <v>#NAME?</v>
      </c>
      <c r="V91" s="11" t="e">
        <f ca="1"/>
        <v>#NAME?</v>
      </c>
      <c r="W91" s="12" t="e">
        <f ca="1">_xll.qlYieldTSDiscount(U$4,V91,,Triggers!RTDataTrigger)</f>
        <v>#NAME?</v>
      </c>
      <c r="X91" s="44"/>
      <c r="Y91" s="33"/>
      <c r="Z91" s="49" t="e">
        <f t="shared" ca="1" si="8"/>
        <v>#NAME?</v>
      </c>
      <c r="AA91" s="50" t="e">
        <f t="shared" ca="1" si="8"/>
        <v>#NAME?</v>
      </c>
    </row>
    <row r="92" spans="4:27" x14ac:dyDescent="0.2">
      <c r="D92" s="11" t="e">
        <f ca="1"/>
        <v>#NAME?</v>
      </c>
      <c r="E92" s="12" t="e">
        <f ca="1">_xll.qlYieldTSDiscount(C$4,D92,,Triggers!RTDataTrigger)</f>
        <v>#NAME?</v>
      </c>
      <c r="F92" s="44"/>
      <c r="G92" s="33"/>
      <c r="H92" s="49" t="e">
        <f t="shared" ca="1" si="6"/>
        <v>#NAME?</v>
      </c>
      <c r="I92" s="50" t="e">
        <f t="shared" ca="1" si="6"/>
        <v>#NAME?</v>
      </c>
      <c r="J92" s="65"/>
      <c r="M92" s="11" t="e">
        <f ca="1"/>
        <v>#NAME?</v>
      </c>
      <c r="N92" s="12" t="e">
        <f ca="1">_xll.qlYieldTSDiscount(L$4,M92,,Triggers!RTDataTrigger)</f>
        <v>#NAME?</v>
      </c>
      <c r="O92" s="44"/>
      <c r="P92" s="33"/>
      <c r="Q92" s="49" t="e">
        <f t="shared" ca="1" si="7"/>
        <v>#NAME?</v>
      </c>
      <c r="R92" s="50" t="e">
        <f t="shared" ca="1" si="7"/>
        <v>#NAME?</v>
      </c>
      <c r="V92" s="11" t="e">
        <f ca="1"/>
        <v>#NAME?</v>
      </c>
      <c r="W92" s="12" t="e">
        <f ca="1">_xll.qlYieldTSDiscount(U$4,V92,,Triggers!RTDataTrigger)</f>
        <v>#NAME?</v>
      </c>
      <c r="X92" s="44"/>
      <c r="Y92" s="33"/>
      <c r="Z92" s="49" t="e">
        <f t="shared" ca="1" si="8"/>
        <v>#NAME?</v>
      </c>
      <c r="AA92" s="50" t="e">
        <f t="shared" ca="1" si="8"/>
        <v>#NAME?</v>
      </c>
    </row>
    <row r="93" spans="4:27" x14ac:dyDescent="0.2">
      <c r="D93" s="13" t="e">
        <f ca="1"/>
        <v>#NAME?</v>
      </c>
      <c r="E93" s="14" t="e">
        <f ca="1">_xll.qlYieldTSDiscount(C$4,D93,,Triggers!RTDataTrigger)</f>
        <v>#NAME?</v>
      </c>
      <c r="F93" s="45"/>
      <c r="G93" s="46"/>
      <c r="H93" s="51" t="e">
        <f t="shared" ca="1" si="6"/>
        <v>#NAME?</v>
      </c>
      <c r="I93" s="52" t="e">
        <f t="shared" ca="1" si="6"/>
        <v>#NAME?</v>
      </c>
      <c r="J93" s="65"/>
      <c r="M93" s="13" t="e">
        <f ca="1"/>
        <v>#NAME?</v>
      </c>
      <c r="N93" s="14" t="e">
        <f ca="1">_xll.qlYieldTSDiscount(L$4,M93,,Triggers!RTDataTrigger)</f>
        <v>#NAME?</v>
      </c>
      <c r="O93" s="45"/>
      <c r="P93" s="46"/>
      <c r="Q93" s="51" t="e">
        <f t="shared" ca="1" si="7"/>
        <v>#NAME?</v>
      </c>
      <c r="R93" s="52" t="e">
        <f t="shared" ca="1" si="7"/>
        <v>#NAME?</v>
      </c>
      <c r="V93" s="13" t="e">
        <f ca="1"/>
        <v>#NAME?</v>
      </c>
      <c r="W93" s="14" t="e">
        <f ca="1">_xll.qlYieldTSDiscount(U$4,V93,,Triggers!RTDataTrigger)</f>
        <v>#NAME?</v>
      </c>
      <c r="X93" s="45"/>
      <c r="Y93" s="46"/>
      <c r="Z93" s="51" t="e">
        <f t="shared" ca="1" si="8"/>
        <v>#NAME?</v>
      </c>
      <c r="AA93" s="52" t="e">
        <f t="shared" ca="1" si="8"/>
        <v>#NAME?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9" r:id="rId4" name="Button 3">
              <controlPr defaultSize="0" print="0" autoFill="0" autoPict="0" macro="[0]!rtRun">
                <anchor moveWithCells="1" sizeWithCells="1">
                  <from>
                    <xdr:col>1</xdr:col>
                    <xdr:colOff>77638</xdr:colOff>
                    <xdr:row>17</xdr:row>
                    <xdr:rowOff>17253</xdr:rowOff>
                  </from>
                  <to>
                    <xdr:col>2</xdr:col>
                    <xdr:colOff>8626</xdr:colOff>
                    <xdr:row>18</xdr:row>
                    <xdr:rowOff>120770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5" name="Button 4">
              <controlPr defaultSize="0" print="0" autoFill="0" autoPict="0" macro="[0]!rtFreeze">
                <anchor moveWithCells="1" sizeWithCells="1">
                  <from>
                    <xdr:col>1</xdr:col>
                    <xdr:colOff>60385</xdr:colOff>
                    <xdr:row>18</xdr:row>
                    <xdr:rowOff>129396</xdr:rowOff>
                  </from>
                  <to>
                    <xdr:col>1</xdr:col>
                    <xdr:colOff>1009291</xdr:colOff>
                    <xdr:row>20</xdr:row>
                    <xdr:rowOff>103517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59999389629810485"/>
  </sheetPr>
  <dimension ref="B2:AA93"/>
  <sheetViews>
    <sheetView showGridLines="0" zoomScaleNormal="100" workbookViewId="0">
      <selection activeCell="K21" sqref="K21"/>
    </sheetView>
  </sheetViews>
  <sheetFormatPr defaultRowHeight="10.9" outlineLevelCol="1" x14ac:dyDescent="0.2"/>
  <cols>
    <col min="1" max="1" width="3.85546875" customWidth="1"/>
    <col min="2" max="2" width="16.85546875" customWidth="1"/>
    <col min="3" max="3" width="20.85546875" customWidth="1"/>
    <col min="4" max="7" width="10.85546875" hidden="1" customWidth="1" outlineLevel="1"/>
    <col min="8" max="8" width="10.85546875" customWidth="1" collapsed="1"/>
    <col min="9" max="9" width="10.85546875" customWidth="1"/>
    <col min="10" max="10" width="5.85546875" customWidth="1"/>
    <col min="11" max="11" width="16.85546875" customWidth="1"/>
    <col min="12" max="12" width="20.85546875" customWidth="1"/>
    <col min="13" max="16" width="10.85546875" hidden="1" customWidth="1" outlineLevel="1"/>
    <col min="17" max="17" width="10.85546875" customWidth="1" collapsed="1"/>
    <col min="18" max="18" width="10.85546875" customWidth="1"/>
    <col min="20" max="20" width="16.85546875" customWidth="1"/>
    <col min="21" max="21" width="20.85546875" customWidth="1"/>
    <col min="22" max="25" width="10.85546875" hidden="1" customWidth="1" outlineLevel="1"/>
    <col min="26" max="26" width="10.85546875" customWidth="1" collapsed="1"/>
    <col min="27" max="27" width="10.85546875" customWidth="1"/>
  </cols>
  <sheetData>
    <row r="2" spans="2:27" x14ac:dyDescent="0.2">
      <c r="D2" s="312" t="s">
        <v>141</v>
      </c>
      <c r="E2" s="313"/>
      <c r="F2" s="312" t="s">
        <v>75</v>
      </c>
      <c r="G2" s="313"/>
      <c r="H2" s="312" t="s">
        <v>142</v>
      </c>
      <c r="I2" s="313"/>
      <c r="M2" s="312" t="s">
        <v>141</v>
      </c>
      <c r="N2" s="313"/>
      <c r="O2" s="312" t="s">
        <v>75</v>
      </c>
      <c r="P2" s="313"/>
      <c r="Q2" s="312" t="s">
        <v>142</v>
      </c>
      <c r="R2" s="313"/>
      <c r="V2" s="312" t="s">
        <v>141</v>
      </c>
      <c r="W2" s="313"/>
      <c r="X2" s="312" t="s">
        <v>75</v>
      </c>
      <c r="Y2" s="313"/>
      <c r="Z2" s="312" t="s">
        <v>142</v>
      </c>
      <c r="AA2" s="313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155</v>
      </c>
      <c r="D4" s="29" t="e">
        <f t="array" aca="1" ref="D4:D93" ca="1">CHOOSE(C7,_xll.qlPiecewiseYieldCurveDates(C5),_xll.qlInterpolatedYieldCurveDates(C5))</f>
        <v>#NAME?</v>
      </c>
      <c r="E4" s="34" t="e">
        <f ca="1">_xll.qlYieldTSDiscount(C$4,D4,,Triggers!RTDataTrigger)</f>
        <v>#NAME?</v>
      </c>
      <c r="F4" s="43"/>
      <c r="G4" s="32"/>
      <c r="H4" s="47" t="e">
        <f ca="1">IF(ISBLANK(F4),D4,F4)</f>
        <v>#NAME?</v>
      </c>
      <c r="I4" s="48" t="e">
        <f t="shared" ref="I4:I67" ca="1" si="0">IF(ISBLANK(G4),E4,G4)</f>
        <v>#NAME?</v>
      </c>
      <c r="K4" s="36" t="s">
        <v>10</v>
      </c>
      <c r="L4" s="40" t="s">
        <v>156</v>
      </c>
      <c r="M4" s="29" t="e">
        <f t="array" aca="1" ref="M4:M93" ca="1">CHOOSE(L7,_xll.qlPiecewiseYieldCurveDates(L5),_xll.qlInterpolatedYieldCurveDates(L5))</f>
        <v>#NAME?</v>
      </c>
      <c r="N4" s="34" t="e">
        <f ca="1">_xll.qlYieldTSDiscount(L$4,M4,,Triggers!RTDataTrigger)</f>
        <v>#NAME?</v>
      </c>
      <c r="O4" s="43"/>
      <c r="P4" s="32"/>
      <c r="Q4" s="47" t="e">
        <f ca="1">IF(ISBLANK(O4),M4,O4)</f>
        <v>#NAME?</v>
      </c>
      <c r="R4" s="48" t="e">
        <f t="shared" ref="R4:R67" ca="1" si="1">IF(ISBLANK(P4),N4,P4)</f>
        <v>#NAME?</v>
      </c>
      <c r="T4" s="36" t="s">
        <v>10</v>
      </c>
      <c r="U4" s="40" t="s">
        <v>157</v>
      </c>
      <c r="V4" s="29" t="e">
        <f t="array" aca="1" ref="V4:V93" ca="1">CHOOSE(U7,_xll.qlPiecewiseYieldCurveDates(U5),_xll.qlInterpolatedYieldCurveDates(U5))</f>
        <v>#NAME?</v>
      </c>
      <c r="W4" s="34" t="e">
        <f ca="1">_xll.qlYieldTSDiscount(U$4,V4,,Triggers!RTDataTrigger)</f>
        <v>#NAME?</v>
      </c>
      <c r="X4" s="43"/>
      <c r="Y4" s="32"/>
      <c r="Z4" s="47" t="e">
        <f ca="1">IF(ISBLANK(X4),V4,X4)</f>
        <v>#NAME?</v>
      </c>
      <c r="AA4" s="48" t="e">
        <f t="shared" ref="AA4:AA67" ca="1" si="2">IF(ISBLANK(Y4),W4,Y4)</f>
        <v>#NAME?</v>
      </c>
    </row>
    <row r="5" spans="2:27" x14ac:dyDescent="0.2">
      <c r="B5" s="37" t="s">
        <v>16</v>
      </c>
      <c r="C5" s="23" t="e">
        <f ca="1">_xll.qlHandleCurrentLink(C4,ObjectsTrigger)</f>
        <v>#NAME?</v>
      </c>
      <c r="D5" s="11" t="e">
        <f ca="1"/>
        <v>#NAME?</v>
      </c>
      <c r="E5" s="35" t="e">
        <f ca="1">_xll.qlYieldTSDiscount(C$4,D5,,Triggers!RTDataTrigger)</f>
        <v>#NAME?</v>
      </c>
      <c r="F5" s="44"/>
      <c r="G5" s="33"/>
      <c r="H5" s="49" t="e">
        <f t="shared" ref="H5:I68" ca="1" si="3">IF(ISBLANK(F5),D5,F5)</f>
        <v>#NAME?</v>
      </c>
      <c r="I5" s="50" t="e">
        <f t="shared" ca="1" si="0"/>
        <v>#NAME?</v>
      </c>
      <c r="K5" s="37" t="s">
        <v>16</v>
      </c>
      <c r="L5" s="23" t="e">
        <f ca="1">_xll.qlHandleCurrentLink(L4,ObjectsTrigger)</f>
        <v>#NAME?</v>
      </c>
      <c r="M5" s="11" t="e">
        <f ca="1"/>
        <v>#NAME?</v>
      </c>
      <c r="N5" s="35" t="e">
        <f ca="1">_xll.qlYieldTSDiscount(L$4,M5,,Triggers!RTDataTrigger)</f>
        <v>#NAME?</v>
      </c>
      <c r="O5" s="44"/>
      <c r="P5" s="33"/>
      <c r="Q5" s="49" t="e">
        <f t="shared" ref="Q5:R68" ca="1" si="4">IF(ISBLANK(O5),M5,O5)</f>
        <v>#NAME?</v>
      </c>
      <c r="R5" s="50" t="e">
        <f t="shared" ca="1" si="1"/>
        <v>#NAME?</v>
      </c>
      <c r="T5" s="37" t="s">
        <v>16</v>
      </c>
      <c r="U5" s="23" t="e">
        <f ca="1">_xll.qlHandleCurrentLink(U4,ObjectsTrigger)</f>
        <v>#NAME?</v>
      </c>
      <c r="V5" s="11" t="e">
        <f ca="1"/>
        <v>#NAME?</v>
      </c>
      <c r="W5" s="35" t="e">
        <f ca="1">_xll.qlYieldTSDiscount(U$4,V5,,Triggers!RTDataTrigger)</f>
        <v>#NAME?</v>
      </c>
      <c r="X5" s="44"/>
      <c r="Y5" s="33"/>
      <c r="Z5" s="49" t="e">
        <f t="shared" ref="Z5:AA68" ca="1" si="5">IF(ISBLANK(X5),V5,X5)</f>
        <v>#NAME?</v>
      </c>
      <c r="AA5" s="50" t="e">
        <f t="shared" ca="1" si="2"/>
        <v>#NAME?</v>
      </c>
    </row>
    <row r="6" spans="2:27" x14ac:dyDescent="0.2">
      <c r="B6" s="37" t="s">
        <v>133</v>
      </c>
      <c r="C6" s="27" t="e">
        <f ca="1">_xll.ohObjectClassName(C5)</f>
        <v>#NAME?</v>
      </c>
      <c r="D6" s="11" t="e">
        <f ca="1"/>
        <v>#NAME?</v>
      </c>
      <c r="E6" s="35" t="e">
        <f ca="1">_xll.qlYieldTSDiscount(C$4,D6,,Triggers!RTDataTrigger)</f>
        <v>#NAME?</v>
      </c>
      <c r="F6" s="44"/>
      <c r="G6" s="33"/>
      <c r="H6" s="49" t="e">
        <f t="shared" ca="1" si="3"/>
        <v>#NAME?</v>
      </c>
      <c r="I6" s="50" t="e">
        <f t="shared" ca="1" si="0"/>
        <v>#NAME?</v>
      </c>
      <c r="K6" s="37" t="s">
        <v>133</v>
      </c>
      <c r="L6" s="27" t="e">
        <f ca="1">_xll.ohObjectClassName(L5)</f>
        <v>#NAME?</v>
      </c>
      <c r="M6" s="11" t="e">
        <f ca="1"/>
        <v>#NAME?</v>
      </c>
      <c r="N6" s="35" t="e">
        <f ca="1">_xll.qlYieldTSDiscount(L$4,M6,,Triggers!RTDataTrigger)</f>
        <v>#NAME?</v>
      </c>
      <c r="O6" s="44"/>
      <c r="P6" s="33"/>
      <c r="Q6" s="49" t="e">
        <f t="shared" ca="1" si="4"/>
        <v>#NAME?</v>
      </c>
      <c r="R6" s="50" t="e">
        <f t="shared" ca="1" si="1"/>
        <v>#NAME?</v>
      </c>
      <c r="T6" s="37" t="s">
        <v>133</v>
      </c>
      <c r="U6" s="27" t="e">
        <f ca="1">_xll.ohObjectClassName(U5)</f>
        <v>#NAME?</v>
      </c>
      <c r="V6" s="11" t="e">
        <f ca="1"/>
        <v>#NAME?</v>
      </c>
      <c r="W6" s="35" t="e">
        <f ca="1">_xll.qlYieldTSDiscount(U$4,V6,,Triggers!RTDataTrigger)</f>
        <v>#NAME?</v>
      </c>
      <c r="X6" s="44"/>
      <c r="Y6" s="33"/>
      <c r="Z6" s="49" t="e">
        <f t="shared" ca="1" si="5"/>
        <v>#NAME?</v>
      </c>
      <c r="AA6" s="50" t="e">
        <f t="shared" ca="1" si="2"/>
        <v>#NAME?</v>
      </c>
    </row>
    <row r="7" spans="2:27" x14ac:dyDescent="0.2">
      <c r="B7" s="38" t="s">
        <v>134</v>
      </c>
      <c r="C7" s="26" t="e">
        <f ca="1">MATCH(C6,{"qlPiecewiseYieldCurve","qlInterpolatedYieldCurve"})</f>
        <v>#NAME?</v>
      </c>
      <c r="D7" s="11" t="e">
        <f ca="1"/>
        <v>#NAME?</v>
      </c>
      <c r="E7" s="35" t="e">
        <f ca="1">_xll.qlYieldTSDiscount(C$4,D7,,Triggers!RTDataTrigger)</f>
        <v>#NAME?</v>
      </c>
      <c r="F7" s="44"/>
      <c r="G7" s="33"/>
      <c r="H7" s="49" t="e">
        <f t="shared" ca="1" si="3"/>
        <v>#NAME?</v>
      </c>
      <c r="I7" s="50" t="e">
        <f t="shared" ca="1" si="0"/>
        <v>#NAME?</v>
      </c>
      <c r="K7" s="38" t="s">
        <v>134</v>
      </c>
      <c r="L7" s="26" t="e">
        <f ca="1">MATCH(L6,{"qlPiecewiseYieldCurve","qlInterpolatedYieldCurve"})</f>
        <v>#NAME?</v>
      </c>
      <c r="M7" s="11" t="e">
        <f ca="1"/>
        <v>#NAME?</v>
      </c>
      <c r="N7" s="35" t="e">
        <f ca="1">_xll.qlYieldTSDiscount(L$4,M7,,Triggers!RTDataTrigger)</f>
        <v>#NAME?</v>
      </c>
      <c r="O7" s="44"/>
      <c r="P7" s="33"/>
      <c r="Q7" s="49" t="e">
        <f t="shared" ca="1" si="4"/>
        <v>#NAME?</v>
      </c>
      <c r="R7" s="50" t="e">
        <f t="shared" ca="1" si="1"/>
        <v>#NAME?</v>
      </c>
      <c r="T7" s="38" t="s">
        <v>134</v>
      </c>
      <c r="U7" s="26" t="e">
        <f ca="1">MATCH(U6,{"qlPiecewiseYieldCurve","qlInterpolatedYieldCurve"})</f>
        <v>#NAME?</v>
      </c>
      <c r="V7" s="11" t="e">
        <f ca="1"/>
        <v>#NAME?</v>
      </c>
      <c r="W7" s="35" t="e">
        <f ca="1">_xll.qlYieldTSDiscount(U$4,V7,,Triggers!RTDataTrigger)</f>
        <v>#NAME?</v>
      </c>
      <c r="X7" s="44"/>
      <c r="Y7" s="33"/>
      <c r="Z7" s="49" t="e">
        <f t="shared" ca="1" si="5"/>
        <v>#NAME?</v>
      </c>
      <c r="AA7" s="50" t="e">
        <f t="shared" ca="1" si="2"/>
        <v>#NAME?</v>
      </c>
    </row>
    <row r="8" spans="2:27" x14ac:dyDescent="0.2">
      <c r="B8" s="36" t="s">
        <v>4</v>
      </c>
      <c r="C8" s="40" t="s">
        <v>158</v>
      </c>
      <c r="D8" s="11" t="e">
        <f ca="1"/>
        <v>#NAME?</v>
      </c>
      <c r="E8" s="35" t="e">
        <f ca="1">_xll.qlYieldTSDiscount(C$4,D8,,Triggers!RTDataTrigger)</f>
        <v>#NAME?</v>
      </c>
      <c r="F8" s="44"/>
      <c r="G8" s="33"/>
      <c r="H8" s="49" t="e">
        <f t="shared" ca="1" si="3"/>
        <v>#NAME?</v>
      </c>
      <c r="I8" s="50" t="e">
        <f t="shared" ca="1" si="0"/>
        <v>#NAME?</v>
      </c>
      <c r="K8" s="36" t="s">
        <v>4</v>
      </c>
      <c r="L8" s="40" t="s">
        <v>158</v>
      </c>
      <c r="M8" s="11" t="e">
        <f ca="1"/>
        <v>#NAME?</v>
      </c>
      <c r="N8" s="35" t="e">
        <f ca="1">_xll.qlYieldTSDiscount(L$4,M8,,Triggers!RTDataTrigger)</f>
        <v>#NAME?</v>
      </c>
      <c r="O8" s="44"/>
      <c r="P8" s="33"/>
      <c r="Q8" s="49" t="e">
        <f t="shared" ca="1" si="4"/>
        <v>#NAME?</v>
      </c>
      <c r="R8" s="50" t="e">
        <f t="shared" ca="1" si="1"/>
        <v>#NAME?</v>
      </c>
      <c r="T8" s="36" t="s">
        <v>4</v>
      </c>
      <c r="U8" s="40" t="s">
        <v>158</v>
      </c>
      <c r="V8" s="11" t="e">
        <f ca="1"/>
        <v>#NAME?</v>
      </c>
      <c r="W8" s="35" t="e">
        <f ca="1">_xll.qlYieldTSDiscount(U$4,V8,,Triggers!RTDataTrigger)</f>
        <v>#NAME?</v>
      </c>
      <c r="X8" s="44"/>
      <c r="Y8" s="33"/>
      <c r="Z8" s="49" t="e">
        <f t="shared" ca="1" si="5"/>
        <v>#NAME?</v>
      </c>
      <c r="AA8" s="50" t="e">
        <f t="shared" ca="1" si="2"/>
        <v>#NAME?</v>
      </c>
    </row>
    <row r="9" spans="2:27" x14ac:dyDescent="0.2">
      <c r="B9" s="37" t="s">
        <v>5</v>
      </c>
      <c r="C9" s="41" t="str">
        <f>C4&amp;"_"</f>
        <v>USDON_</v>
      </c>
      <c r="D9" s="11" t="e">
        <f ca="1"/>
        <v>#NAME?</v>
      </c>
      <c r="E9" s="35" t="e">
        <f ca="1">_xll.qlYieldTSDiscount(C$4,D9,,Triggers!RTDataTrigger)</f>
        <v>#NAME?</v>
      </c>
      <c r="F9" s="44"/>
      <c r="G9" s="33"/>
      <c r="H9" s="49" t="e">
        <f t="shared" ca="1" si="3"/>
        <v>#NAME?</v>
      </c>
      <c r="I9" s="50" t="e">
        <f t="shared" ca="1" si="0"/>
        <v>#NAME?</v>
      </c>
      <c r="K9" s="37" t="s">
        <v>5</v>
      </c>
      <c r="L9" s="41" t="str">
        <f>L4&amp;"_"</f>
        <v>USD3M_</v>
      </c>
      <c r="M9" s="11" t="e">
        <f ca="1"/>
        <v>#NAME?</v>
      </c>
      <c r="N9" s="35" t="e">
        <f ca="1">_xll.qlYieldTSDiscount(L$4,M9,,Triggers!RTDataTrigger)</f>
        <v>#NAME?</v>
      </c>
      <c r="O9" s="44"/>
      <c r="P9" s="33"/>
      <c r="Q9" s="49" t="e">
        <f t="shared" ca="1" si="4"/>
        <v>#NAME?</v>
      </c>
      <c r="R9" s="50" t="e">
        <f t="shared" ca="1" si="1"/>
        <v>#NAME?</v>
      </c>
      <c r="T9" s="37" t="s">
        <v>5</v>
      </c>
      <c r="U9" s="41" t="str">
        <f>U4&amp;"_"</f>
        <v>USDSTD_</v>
      </c>
      <c r="V9" s="11" t="e">
        <f ca="1"/>
        <v>#NAME?</v>
      </c>
      <c r="W9" s="35" t="e">
        <f ca="1">_xll.qlYieldTSDiscount(U$4,V9,,Triggers!RTDataTrigger)</f>
        <v>#NAME?</v>
      </c>
      <c r="X9" s="44"/>
      <c r="Y9" s="33"/>
      <c r="Z9" s="49" t="e">
        <f t="shared" ca="1" si="5"/>
        <v>#NAME?</v>
      </c>
      <c r="AA9" s="50" t="e">
        <f t="shared" ca="1" si="2"/>
        <v>#NAME?</v>
      </c>
    </row>
    <row r="10" spans="2:27" x14ac:dyDescent="0.2">
      <c r="B10" s="37" t="s">
        <v>6</v>
      </c>
      <c r="C10" s="41" t="s">
        <v>11</v>
      </c>
      <c r="D10" s="11" t="e">
        <f ca="1"/>
        <v>#NAME?</v>
      </c>
      <c r="E10" s="35" t="e">
        <f ca="1">_xll.qlYieldTSDiscount(C$4,D10,,Triggers!RTDataTrigger)</f>
        <v>#NAME?</v>
      </c>
      <c r="F10" s="44"/>
      <c r="G10" s="33"/>
      <c r="H10" s="49" t="e">
        <f t="shared" ca="1" si="3"/>
        <v>#NAME?</v>
      </c>
      <c r="I10" s="50" t="e">
        <f t="shared" ca="1" si="0"/>
        <v>#NAME?</v>
      </c>
      <c r="K10" s="37" t="s">
        <v>6</v>
      </c>
      <c r="L10" s="41" t="s">
        <v>11</v>
      </c>
      <c r="M10" s="11" t="e">
        <f ca="1"/>
        <v>#NAME?</v>
      </c>
      <c r="N10" s="35" t="e">
        <f ca="1">_xll.qlYieldTSDiscount(L$4,M10,,Triggers!RTDataTrigger)</f>
        <v>#NAME?</v>
      </c>
      <c r="O10" s="44"/>
      <c r="P10" s="33"/>
      <c r="Q10" s="49" t="e">
        <f t="shared" ca="1" si="4"/>
        <v>#NAME?</v>
      </c>
      <c r="R10" s="50" t="e">
        <f t="shared" ca="1" si="1"/>
        <v>#NAME?</v>
      </c>
      <c r="T10" s="37" t="s">
        <v>6</v>
      </c>
      <c r="U10" s="41" t="s">
        <v>58</v>
      </c>
      <c r="V10" s="11" t="e">
        <f ca="1"/>
        <v>#NAME?</v>
      </c>
      <c r="W10" s="35" t="e">
        <f ca="1">_xll.qlYieldTSDiscount(U$4,V10,,Triggers!RTDataTrigger)</f>
        <v>#NAME?</v>
      </c>
      <c r="X10" s="44"/>
      <c r="Y10" s="33"/>
      <c r="Z10" s="49" t="e">
        <f t="shared" ca="1" si="5"/>
        <v>#NAME?</v>
      </c>
      <c r="AA10" s="50" t="e">
        <f t="shared" ca="1" si="2"/>
        <v>#NAME?</v>
      </c>
    </row>
    <row r="11" spans="2:27" x14ac:dyDescent="0.2">
      <c r="B11" s="37" t="s">
        <v>7</v>
      </c>
      <c r="C11" s="41" t="s">
        <v>12</v>
      </c>
      <c r="D11" s="11" t="e">
        <f ca="1"/>
        <v>#NAME?</v>
      </c>
      <c r="E11" s="35" t="e">
        <f ca="1">_xll.qlYieldTSDiscount(C$4,D11,,Triggers!RTDataTrigger)</f>
        <v>#NAME?</v>
      </c>
      <c r="F11" s="44"/>
      <c r="G11" s="33"/>
      <c r="H11" s="49" t="e">
        <f t="shared" ca="1" si="3"/>
        <v>#NAME?</v>
      </c>
      <c r="I11" s="50" t="e">
        <f t="shared" ca="1" si="0"/>
        <v>#NAME?</v>
      </c>
      <c r="K11" s="37" t="s">
        <v>7</v>
      </c>
      <c r="L11" s="41" t="s">
        <v>12</v>
      </c>
      <c r="M11" s="11" t="e">
        <f ca="1"/>
        <v>#NAME?</v>
      </c>
      <c r="N11" s="35" t="e">
        <f ca="1">_xll.qlYieldTSDiscount(L$4,M11,,Triggers!RTDataTrigger)</f>
        <v>#NAME?</v>
      </c>
      <c r="O11" s="44"/>
      <c r="P11" s="33"/>
      <c r="Q11" s="49" t="e">
        <f t="shared" ca="1" si="4"/>
        <v>#NAME?</v>
      </c>
      <c r="R11" s="50" t="e">
        <f t="shared" ca="1" si="1"/>
        <v>#NAME?</v>
      </c>
      <c r="T11" s="37" t="s">
        <v>7</v>
      </c>
      <c r="U11" s="41" t="s">
        <v>46</v>
      </c>
      <c r="V11" s="11" t="e">
        <f ca="1"/>
        <v>#NAME?</v>
      </c>
      <c r="W11" s="35" t="e">
        <f ca="1">_xll.qlYieldTSDiscount(U$4,V11,,Triggers!RTDataTrigger)</f>
        <v>#NAME?</v>
      </c>
      <c r="X11" s="44"/>
      <c r="Y11" s="33"/>
      <c r="Z11" s="49" t="e">
        <f t="shared" ca="1" si="5"/>
        <v>#NAME?</v>
      </c>
      <c r="AA11" s="50" t="e">
        <f t="shared" ca="1" si="2"/>
        <v>#NAME?</v>
      </c>
    </row>
    <row r="12" spans="2:27" x14ac:dyDescent="0.2">
      <c r="B12" s="37" t="s">
        <v>8</v>
      </c>
      <c r="C12" s="41" t="s">
        <v>13</v>
      </c>
      <c r="D12" s="11" t="e">
        <f ca="1"/>
        <v>#NAME?</v>
      </c>
      <c r="E12" s="35" t="e">
        <f ca="1">_xll.qlYieldTSDiscount(C$4,D12,,Triggers!RTDataTrigger)</f>
        <v>#NAME?</v>
      </c>
      <c r="F12" s="44"/>
      <c r="G12" s="33"/>
      <c r="H12" s="49" t="e">
        <f t="shared" ca="1" si="3"/>
        <v>#NAME?</v>
      </c>
      <c r="I12" s="50" t="e">
        <f t="shared" ca="1" si="0"/>
        <v>#NAME?</v>
      </c>
      <c r="K12" s="37" t="s">
        <v>8</v>
      </c>
      <c r="L12" s="41" t="s">
        <v>13</v>
      </c>
      <c r="M12" s="11" t="e">
        <f ca="1"/>
        <v>#NAME?</v>
      </c>
      <c r="N12" s="35" t="e">
        <f ca="1">_xll.qlYieldTSDiscount(L$4,M12,,Triggers!RTDataTrigger)</f>
        <v>#NAME?</v>
      </c>
      <c r="O12" s="44"/>
      <c r="P12" s="33"/>
      <c r="Q12" s="49" t="e">
        <f t="shared" ca="1" si="4"/>
        <v>#NAME?</v>
      </c>
      <c r="R12" s="50" t="e">
        <f t="shared" ca="1" si="1"/>
        <v>#NAME?</v>
      </c>
      <c r="T12" s="37" t="s">
        <v>8</v>
      </c>
      <c r="U12" s="41" t="s">
        <v>13</v>
      </c>
      <c r="V12" s="11" t="e">
        <f ca="1"/>
        <v>#NAME?</v>
      </c>
      <c r="W12" s="35" t="e">
        <f ca="1">_xll.qlYieldTSDiscount(U$4,V12,,Triggers!RTDataTrigger)</f>
        <v>#NAME?</v>
      </c>
      <c r="X12" s="44"/>
      <c r="Y12" s="33"/>
      <c r="Z12" s="49" t="e">
        <f t="shared" ca="1" si="5"/>
        <v>#NAME?</v>
      </c>
      <c r="AA12" s="50" t="e">
        <f t="shared" ca="1" si="2"/>
        <v>#NAME?</v>
      </c>
    </row>
    <row r="13" spans="2:27" x14ac:dyDescent="0.2">
      <c r="B13" s="38" t="s">
        <v>9</v>
      </c>
      <c r="C13" s="42">
        <v>5</v>
      </c>
      <c r="D13" s="11" t="e">
        <f ca="1"/>
        <v>#NAME?</v>
      </c>
      <c r="E13" s="35" t="e">
        <f ca="1">_xll.qlYieldTSDiscount(C$4,D13,,Triggers!RTDataTrigger)</f>
        <v>#NAME?</v>
      </c>
      <c r="F13" s="44"/>
      <c r="G13" s="33"/>
      <c r="H13" s="49" t="e">
        <f t="shared" ca="1" si="3"/>
        <v>#NAME?</v>
      </c>
      <c r="I13" s="50" t="e">
        <f t="shared" ca="1" si="0"/>
        <v>#NAME?</v>
      </c>
      <c r="K13" s="38" t="s">
        <v>9</v>
      </c>
      <c r="L13" s="42">
        <v>5</v>
      </c>
      <c r="M13" s="11" t="e">
        <f ca="1"/>
        <v>#NAME?</v>
      </c>
      <c r="N13" s="35" t="e">
        <f ca="1">_xll.qlYieldTSDiscount(L$4,M13,,Triggers!RTDataTrigger)</f>
        <v>#NAME?</v>
      </c>
      <c r="O13" s="44"/>
      <c r="P13" s="33"/>
      <c r="Q13" s="49" t="e">
        <f t="shared" ca="1" si="4"/>
        <v>#NAME?</v>
      </c>
      <c r="R13" s="50" t="e">
        <f t="shared" ca="1" si="1"/>
        <v>#NAME?</v>
      </c>
      <c r="T13" s="38" t="s">
        <v>9</v>
      </c>
      <c r="U13" s="42">
        <v>5</v>
      </c>
      <c r="V13" s="11" t="e">
        <f ca="1"/>
        <v>#NAME?</v>
      </c>
      <c r="W13" s="35" t="e">
        <f ca="1">_xll.qlYieldTSDiscount(U$4,V13,,Triggers!RTDataTrigger)</f>
        <v>#NAME?</v>
      </c>
      <c r="X13" s="44"/>
      <c r="Y13" s="33"/>
      <c r="Z13" s="49" t="e">
        <f t="shared" ca="1" si="5"/>
        <v>#NAME?</v>
      </c>
      <c r="AA13" s="50" t="e">
        <f t="shared" ca="1" si="2"/>
        <v>#NAME?</v>
      </c>
    </row>
    <row r="14" spans="2:27" x14ac:dyDescent="0.2">
      <c r="B14" s="37" t="s">
        <v>17</v>
      </c>
      <c r="C14" s="28">
        <f ca="1">COUNT(H4:H93)</f>
        <v>0</v>
      </c>
      <c r="D14" s="11" t="e">
        <f ca="1"/>
        <v>#NAME?</v>
      </c>
      <c r="E14" s="35" t="e">
        <f ca="1">_xll.qlYieldTSDiscount(C$4,D14,,Triggers!RTDataTrigger)</f>
        <v>#NAME?</v>
      </c>
      <c r="F14" s="44"/>
      <c r="G14" s="33"/>
      <c r="H14" s="49" t="e">
        <f t="shared" ca="1" si="3"/>
        <v>#NAME?</v>
      </c>
      <c r="I14" s="50" t="e">
        <f t="shared" ca="1" si="0"/>
        <v>#NAME?</v>
      </c>
      <c r="K14" s="37" t="s">
        <v>17</v>
      </c>
      <c r="L14" s="28">
        <f ca="1">COUNT(Q4:Q93)</f>
        <v>0</v>
      </c>
      <c r="M14" s="11" t="e">
        <f ca="1"/>
        <v>#NAME?</v>
      </c>
      <c r="N14" s="35" t="e">
        <f ca="1">_xll.qlYieldTSDiscount(L$4,M14,,Triggers!RTDataTrigger)</f>
        <v>#NAME?</v>
      </c>
      <c r="O14" s="44"/>
      <c r="P14" s="33"/>
      <c r="Q14" s="49" t="e">
        <f t="shared" ca="1" si="4"/>
        <v>#NAME?</v>
      </c>
      <c r="R14" s="50" t="e">
        <f t="shared" ca="1" si="1"/>
        <v>#NAME?</v>
      </c>
      <c r="T14" s="37" t="s">
        <v>17</v>
      </c>
      <c r="U14" s="28">
        <f ca="1">COUNT(Z4:Z93)</f>
        <v>0</v>
      </c>
      <c r="V14" s="11" t="e">
        <f ca="1"/>
        <v>#NAME?</v>
      </c>
      <c r="W14" s="35" t="e">
        <f ca="1">_xll.qlYieldTSDiscount(U$4,V14,,Triggers!RTDataTrigger)</f>
        <v>#NAME?</v>
      </c>
      <c r="X14" s="44"/>
      <c r="Y14" s="33"/>
      <c r="Z14" s="49" t="e">
        <f t="shared" ca="1" si="5"/>
        <v>#NAME?</v>
      </c>
      <c r="AA14" s="50" t="e">
        <f t="shared" ca="1" si="2"/>
        <v>#NAME?</v>
      </c>
    </row>
    <row r="15" spans="2:27" x14ac:dyDescent="0.2">
      <c r="B15" s="38" t="s">
        <v>18</v>
      </c>
      <c r="C15" s="15" t="e">
        <f ca="1">GetNow(_xll.xlPushShmLiborCurveName(C8,C9,H4:INDEX(H4:H93,C14),I4:INDEX(I4:I93,C14),C10,C11,C12,C13+0*TYPE(ManualTrigger)))</f>
        <v>#NAME?</v>
      </c>
      <c r="D15" s="11" t="e">
        <f ca="1"/>
        <v>#NAME?</v>
      </c>
      <c r="E15" s="35" t="e">
        <f ca="1">_xll.qlYieldTSDiscount(C$4,D15,,Triggers!RTDataTrigger)</f>
        <v>#NAME?</v>
      </c>
      <c r="F15" s="44"/>
      <c r="G15" s="33"/>
      <c r="H15" s="49" t="e">
        <f t="shared" ca="1" si="3"/>
        <v>#NAME?</v>
      </c>
      <c r="I15" s="50" t="e">
        <f t="shared" ca="1" si="0"/>
        <v>#NAME?</v>
      </c>
      <c r="K15" s="38" t="s">
        <v>18</v>
      </c>
      <c r="L15" s="15" t="e">
        <f ca="1">GetNow(_xll.xlPushShmLiborCurveName(L8,L9,Q4:INDEX(Q4:Q93,L14),R4:INDEX(R4:R93,L14),L10,L11,L12,L13+0*TYPE(ManualTrigger)))</f>
        <v>#NAME?</v>
      </c>
      <c r="M15" s="11" t="e">
        <f ca="1"/>
        <v>#NAME?</v>
      </c>
      <c r="N15" s="35" t="e">
        <f ca="1">_xll.qlYieldTSDiscount(L$4,M15,,Triggers!RTDataTrigger)</f>
        <v>#NAME?</v>
      </c>
      <c r="O15" s="44"/>
      <c r="P15" s="33"/>
      <c r="Q15" s="49" t="e">
        <f t="shared" ca="1" si="4"/>
        <v>#NAME?</v>
      </c>
      <c r="R15" s="50" t="e">
        <f t="shared" ca="1" si="1"/>
        <v>#NAME?</v>
      </c>
      <c r="T15" s="38" t="s">
        <v>18</v>
      </c>
      <c r="U15" s="15" t="e">
        <f ca="1">GetNow(_xll.xlPushShmLiborCurveName(U8,U9,Z4:INDEX(Z4:Z93,U14),AA4:INDEX(AA4:AA93,U14),U10,U11,U12,U13+0*TYPE(ManualTrigger)))</f>
        <v>#NAME?</v>
      </c>
      <c r="V15" s="11" t="e">
        <f ca="1"/>
        <v>#NAME?</v>
      </c>
      <c r="W15" s="35" t="e">
        <f ca="1">_xll.qlYieldTSDiscount(U$4,V15,,Triggers!RTDataTrigger)</f>
        <v>#NAME?</v>
      </c>
      <c r="X15" s="44"/>
      <c r="Y15" s="33"/>
      <c r="Z15" s="49" t="e">
        <f t="shared" ca="1" si="5"/>
        <v>#NAME?</v>
      </c>
      <c r="AA15" s="50" t="e">
        <f t="shared" ca="1" si="2"/>
        <v>#NAME?</v>
      </c>
    </row>
    <row r="16" spans="2:27" x14ac:dyDescent="0.2">
      <c r="D16" s="11" t="e">
        <f ca="1"/>
        <v>#NAME?</v>
      </c>
      <c r="E16" s="35" t="e">
        <f ca="1">_xll.qlYieldTSDiscount(C$4,D16,,Triggers!RTDataTrigger)</f>
        <v>#NAME?</v>
      </c>
      <c r="F16" s="44"/>
      <c r="G16" s="33"/>
      <c r="H16" s="49" t="e">
        <f t="shared" ca="1" si="3"/>
        <v>#NAME?</v>
      </c>
      <c r="I16" s="50" t="e">
        <f t="shared" ca="1" si="0"/>
        <v>#NAME?</v>
      </c>
      <c r="M16" s="11" t="e">
        <f ca="1"/>
        <v>#NAME?</v>
      </c>
      <c r="N16" s="35" t="e">
        <f ca="1">_xll.qlYieldTSDiscount(L$4,M16,,Triggers!RTDataTrigger)</f>
        <v>#NAME?</v>
      </c>
      <c r="O16" s="44"/>
      <c r="P16" s="33"/>
      <c r="Q16" s="49" t="e">
        <f t="shared" ca="1" si="4"/>
        <v>#NAME?</v>
      </c>
      <c r="R16" s="50" t="e">
        <f t="shared" ca="1" si="1"/>
        <v>#NAME?</v>
      </c>
      <c r="V16" s="11" t="e">
        <f ca="1"/>
        <v>#NAME?</v>
      </c>
      <c r="W16" s="35" t="e">
        <f ca="1">_xll.qlYieldTSDiscount(U$4,V16,,Triggers!RTDataTrigger)</f>
        <v>#NAME?</v>
      </c>
      <c r="X16" s="44"/>
      <c r="Y16" s="33"/>
      <c r="Z16" s="49" t="e">
        <f t="shared" ca="1" si="5"/>
        <v>#NAME?</v>
      </c>
      <c r="AA16" s="50" t="e">
        <f t="shared" ca="1" si="2"/>
        <v>#NAME?</v>
      </c>
    </row>
    <row r="17" spans="2:27" x14ac:dyDescent="0.2">
      <c r="D17" s="11" t="e">
        <f ca="1"/>
        <v>#NAME?</v>
      </c>
      <c r="E17" s="35" t="e">
        <f ca="1">_xll.qlYieldTSDiscount(C$4,D17,,Triggers!RTDataTrigger)</f>
        <v>#NAME?</v>
      </c>
      <c r="F17" s="44"/>
      <c r="G17" s="33"/>
      <c r="H17" s="49" t="e">
        <f t="shared" ca="1" si="3"/>
        <v>#NAME?</v>
      </c>
      <c r="I17" s="50" t="e">
        <f t="shared" ca="1" si="0"/>
        <v>#NAME?</v>
      </c>
      <c r="M17" s="11" t="e">
        <f ca="1"/>
        <v>#NAME?</v>
      </c>
      <c r="N17" s="35" t="e">
        <f ca="1">_xll.qlYieldTSDiscount(L$4,M17,,Triggers!RTDataTrigger)</f>
        <v>#NAME?</v>
      </c>
      <c r="O17" s="44"/>
      <c r="P17" s="33"/>
      <c r="Q17" s="49" t="e">
        <f t="shared" ca="1" si="4"/>
        <v>#NAME?</v>
      </c>
      <c r="R17" s="50" t="e">
        <f t="shared" ca="1" si="1"/>
        <v>#NAME?</v>
      </c>
      <c r="V17" s="11" t="e">
        <f ca="1"/>
        <v>#NAME?</v>
      </c>
      <c r="W17" s="35" t="e">
        <f ca="1">_xll.qlYieldTSDiscount(U$4,V17,,Triggers!RTDataTrigger)</f>
        <v>#NAME?</v>
      </c>
      <c r="X17" s="44"/>
      <c r="Y17" s="33"/>
      <c r="Z17" s="49" t="e">
        <f t="shared" ca="1" si="5"/>
        <v>#NAME?</v>
      </c>
      <c r="AA17" s="50" t="e">
        <f t="shared" ca="1" si="2"/>
        <v>#NAME?</v>
      </c>
    </row>
    <row r="18" spans="2:27" x14ac:dyDescent="0.2">
      <c r="D18" s="11" t="e">
        <f ca="1"/>
        <v>#NAME?</v>
      </c>
      <c r="E18" s="35" t="e">
        <f ca="1">_xll.qlYieldTSDiscount(C$4,D18,,Triggers!RTDataTrigger)</f>
        <v>#NAME?</v>
      </c>
      <c r="F18" s="44"/>
      <c r="G18" s="33"/>
      <c r="H18" s="49" t="e">
        <f t="shared" ca="1" si="3"/>
        <v>#NAME?</v>
      </c>
      <c r="I18" s="50" t="e">
        <f t="shared" ca="1" si="0"/>
        <v>#NAME?</v>
      </c>
      <c r="K18" s="64"/>
      <c r="M18" s="11" t="e">
        <f ca="1"/>
        <v>#NAME?</v>
      </c>
      <c r="N18" s="35" t="e">
        <f ca="1">_xll.qlYieldTSDiscount(L$4,M18,,Triggers!RTDataTrigger)</f>
        <v>#NAME?</v>
      </c>
      <c r="O18" s="44"/>
      <c r="P18" s="33"/>
      <c r="Q18" s="49" t="e">
        <f t="shared" ca="1" si="4"/>
        <v>#NAME?</v>
      </c>
      <c r="R18" s="50" t="e">
        <f t="shared" ca="1" si="1"/>
        <v>#NAME?</v>
      </c>
      <c r="T18" s="64"/>
      <c r="V18" s="11" t="e">
        <f ca="1"/>
        <v>#NAME?</v>
      </c>
      <c r="W18" s="35" t="e">
        <f ca="1">_xll.qlYieldTSDiscount(U$4,V18,,Triggers!RTDataTrigger)</f>
        <v>#NAME?</v>
      </c>
      <c r="X18" s="44"/>
      <c r="Y18" s="33"/>
      <c r="Z18" s="49" t="e">
        <f t="shared" ca="1" si="5"/>
        <v>#NAME?</v>
      </c>
      <c r="AA18" s="50" t="e">
        <f t="shared" ca="1" si="2"/>
        <v>#NAME?</v>
      </c>
    </row>
    <row r="19" spans="2:27" x14ac:dyDescent="0.2">
      <c r="B19" s="64"/>
      <c r="D19" s="11" t="e">
        <f ca="1"/>
        <v>#NAME?</v>
      </c>
      <c r="E19" s="35" t="e">
        <f ca="1">_xll.qlYieldTSDiscount(C$4,D19,,Triggers!RTDataTrigger)</f>
        <v>#NAME?</v>
      </c>
      <c r="F19" s="44"/>
      <c r="G19" s="33"/>
      <c r="H19" s="49" t="e">
        <f t="shared" ca="1" si="3"/>
        <v>#NAME?</v>
      </c>
      <c r="I19" s="50" t="e">
        <f t="shared" ca="1" si="0"/>
        <v>#NAME?</v>
      </c>
      <c r="K19" s="64"/>
      <c r="M19" s="11" t="e">
        <f ca="1"/>
        <v>#NAME?</v>
      </c>
      <c r="N19" s="35" t="e">
        <f ca="1">_xll.qlYieldTSDiscount(L$4,M19,,Triggers!RTDataTrigger)</f>
        <v>#NAME?</v>
      </c>
      <c r="O19" s="44"/>
      <c r="P19" s="33"/>
      <c r="Q19" s="49" t="e">
        <f t="shared" ca="1" si="4"/>
        <v>#NAME?</v>
      </c>
      <c r="R19" s="50" t="e">
        <f t="shared" ca="1" si="1"/>
        <v>#NAME?</v>
      </c>
      <c r="T19" s="64"/>
      <c r="V19" s="11" t="e">
        <f ca="1"/>
        <v>#NAME?</v>
      </c>
      <c r="W19" s="35" t="e">
        <f ca="1">_xll.qlYieldTSDiscount(U$4,V19,,Triggers!RTDataTrigger)</f>
        <v>#NAME?</v>
      </c>
      <c r="X19" s="44"/>
      <c r="Y19" s="33"/>
      <c r="Z19" s="49" t="e">
        <f t="shared" ca="1" si="5"/>
        <v>#NAME?</v>
      </c>
      <c r="AA19" s="50" t="e">
        <f t="shared" ca="1" si="2"/>
        <v>#NAME?</v>
      </c>
    </row>
    <row r="20" spans="2:27" x14ac:dyDescent="0.2">
      <c r="B20" s="64" t="b">
        <v>1</v>
      </c>
      <c r="D20" s="11" t="e">
        <f ca="1"/>
        <v>#NAME?</v>
      </c>
      <c r="E20" s="35" t="e">
        <f ca="1">_xll.qlYieldTSDiscount(C$4,D20,,Triggers!RTDataTrigger)</f>
        <v>#NAME?</v>
      </c>
      <c r="F20" s="44"/>
      <c r="G20" s="33"/>
      <c r="H20" s="49" t="e">
        <f t="shared" ca="1" si="3"/>
        <v>#NAME?</v>
      </c>
      <c r="I20" s="50" t="e">
        <f t="shared" ca="1" si="0"/>
        <v>#NAME?</v>
      </c>
      <c r="K20" s="64"/>
      <c r="M20" s="11" t="e">
        <f ca="1"/>
        <v>#NAME?</v>
      </c>
      <c r="N20" s="35" t="e">
        <f ca="1">_xll.qlYieldTSDiscount(L$4,M20,,Triggers!RTDataTrigger)</f>
        <v>#NAME?</v>
      </c>
      <c r="O20" s="44"/>
      <c r="P20" s="33"/>
      <c r="Q20" s="49" t="e">
        <f t="shared" ca="1" si="4"/>
        <v>#NAME?</v>
      </c>
      <c r="R20" s="50" t="e">
        <f t="shared" ca="1" si="1"/>
        <v>#NAME?</v>
      </c>
      <c r="T20" s="64"/>
      <c r="V20" s="11" t="e">
        <f ca="1"/>
        <v>#NAME?</v>
      </c>
      <c r="W20" s="35" t="e">
        <f ca="1">_xll.qlYieldTSDiscount(U$4,V20,,Triggers!RTDataTrigger)</f>
        <v>#NAME?</v>
      </c>
      <c r="X20" s="44"/>
      <c r="Y20" s="33"/>
      <c r="Z20" s="49" t="e">
        <f t="shared" ca="1" si="5"/>
        <v>#NAME?</v>
      </c>
      <c r="AA20" s="50" t="e">
        <f t="shared" ca="1" si="2"/>
        <v>#NAME?</v>
      </c>
    </row>
    <row r="21" spans="2:27" x14ac:dyDescent="0.2">
      <c r="B21" s="64" t="b">
        <v>1</v>
      </c>
      <c r="D21" s="11" t="e">
        <f ca="1"/>
        <v>#NAME?</v>
      </c>
      <c r="E21" s="35" t="e">
        <f ca="1">_xll.qlYieldTSDiscount(C$4,D21,,Triggers!RTDataTrigger)</f>
        <v>#NAME?</v>
      </c>
      <c r="F21" s="44"/>
      <c r="G21" s="33"/>
      <c r="H21" s="49" t="e">
        <f t="shared" ca="1" si="3"/>
        <v>#NAME?</v>
      </c>
      <c r="I21" s="50" t="e">
        <f t="shared" ca="1" si="0"/>
        <v>#NAME?</v>
      </c>
      <c r="K21" s="64"/>
      <c r="M21" s="11" t="e">
        <f ca="1"/>
        <v>#NAME?</v>
      </c>
      <c r="N21" s="35" t="e">
        <f ca="1">_xll.qlYieldTSDiscount(L$4,M21,,Triggers!RTDataTrigger)</f>
        <v>#NAME?</v>
      </c>
      <c r="O21" s="44"/>
      <c r="P21" s="33"/>
      <c r="Q21" s="49" t="e">
        <f t="shared" ca="1" si="4"/>
        <v>#NAME?</v>
      </c>
      <c r="R21" s="50" t="e">
        <f t="shared" ca="1" si="1"/>
        <v>#NAME?</v>
      </c>
      <c r="T21" s="64"/>
      <c r="V21" s="11" t="e">
        <f ca="1"/>
        <v>#NAME?</v>
      </c>
      <c r="W21" s="35" t="e">
        <f ca="1">_xll.qlYieldTSDiscount(U$4,V21,,Triggers!RTDataTrigger)</f>
        <v>#NAME?</v>
      </c>
      <c r="X21" s="44"/>
      <c r="Y21" s="33"/>
      <c r="Z21" s="49" t="e">
        <f t="shared" ca="1" si="5"/>
        <v>#NAME?</v>
      </c>
      <c r="AA21" s="50" t="e">
        <f t="shared" ca="1" si="2"/>
        <v>#NAME?</v>
      </c>
    </row>
    <row r="22" spans="2:27" x14ac:dyDescent="0.2">
      <c r="B22" s="64"/>
      <c r="D22" s="11" t="e">
        <f ca="1"/>
        <v>#NAME?</v>
      </c>
      <c r="E22" s="35" t="e">
        <f ca="1">_xll.qlYieldTSDiscount(C$4,D22,,Triggers!RTDataTrigger)</f>
        <v>#NAME?</v>
      </c>
      <c r="F22" s="44"/>
      <c r="G22" s="33"/>
      <c r="H22" s="49" t="e">
        <f t="shared" ca="1" si="3"/>
        <v>#NAME?</v>
      </c>
      <c r="I22" s="50" t="e">
        <f t="shared" ca="1" si="0"/>
        <v>#NAME?</v>
      </c>
      <c r="K22" s="64"/>
      <c r="M22" s="11" t="e">
        <f ca="1"/>
        <v>#NAME?</v>
      </c>
      <c r="N22" s="35" t="e">
        <f ca="1">_xll.qlYieldTSDiscount(L$4,M22,,Triggers!RTDataTrigger)</f>
        <v>#NAME?</v>
      </c>
      <c r="O22" s="44"/>
      <c r="P22" s="33"/>
      <c r="Q22" s="49" t="e">
        <f t="shared" ca="1" si="4"/>
        <v>#NAME?</v>
      </c>
      <c r="R22" s="50" t="e">
        <f t="shared" ca="1" si="1"/>
        <v>#NAME?</v>
      </c>
      <c r="T22" s="64"/>
      <c r="V22" s="11" t="e">
        <f ca="1"/>
        <v>#NAME?</v>
      </c>
      <c r="W22" s="35" t="e">
        <f ca="1">_xll.qlYieldTSDiscount(U$4,V22,,Triggers!RTDataTrigger)</f>
        <v>#NAME?</v>
      </c>
      <c r="X22" s="44"/>
      <c r="Y22" s="33"/>
      <c r="Z22" s="49" t="e">
        <f t="shared" ca="1" si="5"/>
        <v>#NAME?</v>
      </c>
      <c r="AA22" s="50" t="e">
        <f t="shared" ca="1" si="2"/>
        <v>#NAME?</v>
      </c>
    </row>
    <row r="23" spans="2:27" x14ac:dyDescent="0.2">
      <c r="B23" s="64"/>
      <c r="D23" s="11" t="e">
        <f ca="1"/>
        <v>#NAME?</v>
      </c>
      <c r="E23" s="35" t="e">
        <f ca="1">_xll.qlYieldTSDiscount(C$4,D23,,Triggers!RTDataTrigger)</f>
        <v>#NAME?</v>
      </c>
      <c r="F23" s="44"/>
      <c r="G23" s="33"/>
      <c r="H23" s="49" t="e">
        <f t="shared" ca="1" si="3"/>
        <v>#NAME?</v>
      </c>
      <c r="I23" s="50" t="e">
        <f t="shared" ca="1" si="0"/>
        <v>#NAME?</v>
      </c>
      <c r="K23" s="64"/>
      <c r="M23" s="11" t="e">
        <f ca="1"/>
        <v>#NAME?</v>
      </c>
      <c r="N23" s="35" t="e">
        <f ca="1">_xll.qlYieldTSDiscount(L$4,M23,,Triggers!RTDataTrigger)</f>
        <v>#NAME?</v>
      </c>
      <c r="O23" s="44"/>
      <c r="P23" s="33"/>
      <c r="Q23" s="49" t="e">
        <f t="shared" ca="1" si="4"/>
        <v>#NAME?</v>
      </c>
      <c r="R23" s="50" t="e">
        <f t="shared" ca="1" si="1"/>
        <v>#NAME?</v>
      </c>
      <c r="T23" s="64"/>
      <c r="V23" s="11" t="e">
        <f ca="1"/>
        <v>#NAME?</v>
      </c>
      <c r="W23" s="35" t="e">
        <f ca="1">_xll.qlYieldTSDiscount(U$4,V23,,Triggers!RTDataTrigger)</f>
        <v>#NAME?</v>
      </c>
      <c r="X23" s="44"/>
      <c r="Y23" s="33"/>
      <c r="Z23" s="49" t="e">
        <f t="shared" ca="1" si="5"/>
        <v>#NAME?</v>
      </c>
      <c r="AA23" s="50" t="e">
        <f t="shared" ca="1" si="2"/>
        <v>#NAME?</v>
      </c>
    </row>
    <row r="24" spans="2:27" x14ac:dyDescent="0.2">
      <c r="B24" s="64"/>
      <c r="D24" s="11" t="e">
        <f ca="1"/>
        <v>#NAME?</v>
      </c>
      <c r="E24" s="35" t="e">
        <f ca="1">_xll.qlYieldTSDiscount(C$4,D24,,Triggers!RTDataTrigger)</f>
        <v>#NAME?</v>
      </c>
      <c r="F24" s="44"/>
      <c r="G24" s="33"/>
      <c r="H24" s="49" t="e">
        <f t="shared" ca="1" si="3"/>
        <v>#NAME?</v>
      </c>
      <c r="I24" s="50" t="e">
        <f t="shared" ca="1" si="0"/>
        <v>#NAME?</v>
      </c>
      <c r="K24" s="64"/>
      <c r="M24" s="11" t="e">
        <f ca="1"/>
        <v>#NAME?</v>
      </c>
      <c r="N24" s="35" t="e">
        <f ca="1">_xll.qlYieldTSDiscount(L$4,M24,,Triggers!RTDataTrigger)</f>
        <v>#NAME?</v>
      </c>
      <c r="O24" s="44"/>
      <c r="P24" s="33"/>
      <c r="Q24" s="49" t="e">
        <f t="shared" ca="1" si="4"/>
        <v>#NAME?</v>
      </c>
      <c r="R24" s="50" t="e">
        <f t="shared" ca="1" si="1"/>
        <v>#NAME?</v>
      </c>
      <c r="T24" s="64"/>
      <c r="V24" s="11" t="e">
        <f ca="1"/>
        <v>#NAME?</v>
      </c>
      <c r="W24" s="35" t="e">
        <f ca="1">_xll.qlYieldTSDiscount(U$4,V24,,Triggers!RTDataTrigger)</f>
        <v>#NAME?</v>
      </c>
      <c r="X24" s="44"/>
      <c r="Y24" s="33"/>
      <c r="Z24" s="49" t="e">
        <f t="shared" ca="1" si="5"/>
        <v>#NAME?</v>
      </c>
      <c r="AA24" s="50" t="e">
        <f t="shared" ca="1" si="2"/>
        <v>#NAME?</v>
      </c>
    </row>
    <row r="25" spans="2:27" x14ac:dyDescent="0.2">
      <c r="B25" s="64"/>
      <c r="D25" s="11" t="e">
        <f ca="1"/>
        <v>#NAME?</v>
      </c>
      <c r="E25" s="35" t="e">
        <f ca="1">_xll.qlYieldTSDiscount(C$4,D25,,Triggers!RTDataTrigger)</f>
        <v>#NAME?</v>
      </c>
      <c r="F25" s="44"/>
      <c r="G25" s="33"/>
      <c r="H25" s="49" t="e">
        <f t="shared" ca="1" si="3"/>
        <v>#NAME?</v>
      </c>
      <c r="I25" s="50" t="e">
        <f t="shared" ca="1" si="0"/>
        <v>#NAME?</v>
      </c>
      <c r="K25" s="64"/>
      <c r="M25" s="11" t="e">
        <f ca="1"/>
        <v>#NAME?</v>
      </c>
      <c r="N25" s="35" t="e">
        <f ca="1">_xll.qlYieldTSDiscount(L$4,M25,,Triggers!RTDataTrigger)</f>
        <v>#NAME?</v>
      </c>
      <c r="O25" s="44"/>
      <c r="P25" s="33"/>
      <c r="Q25" s="49" t="e">
        <f t="shared" ca="1" si="4"/>
        <v>#NAME?</v>
      </c>
      <c r="R25" s="50" t="e">
        <f t="shared" ca="1" si="1"/>
        <v>#NAME?</v>
      </c>
      <c r="T25" s="64"/>
      <c r="V25" s="11" t="e">
        <f ca="1"/>
        <v>#NAME?</v>
      </c>
      <c r="W25" s="35" t="e">
        <f ca="1">_xll.qlYieldTSDiscount(U$4,V25,,Triggers!RTDataTrigger)</f>
        <v>#NAME?</v>
      </c>
      <c r="X25" s="44"/>
      <c r="Y25" s="33"/>
      <c r="Z25" s="49" t="e">
        <f t="shared" ca="1" si="5"/>
        <v>#NAME?</v>
      </c>
      <c r="AA25" s="50" t="e">
        <f t="shared" ca="1" si="2"/>
        <v>#NAME?</v>
      </c>
    </row>
    <row r="26" spans="2:27" x14ac:dyDescent="0.2">
      <c r="B26" s="64"/>
      <c r="D26" s="11" t="e">
        <f ca="1"/>
        <v>#NAME?</v>
      </c>
      <c r="E26" s="35" t="e">
        <f ca="1">_xll.qlYieldTSDiscount(C$4,D26,,Triggers!RTDataTrigger)</f>
        <v>#NAME?</v>
      </c>
      <c r="F26" s="44"/>
      <c r="G26" s="33"/>
      <c r="H26" s="49" t="e">
        <f t="shared" ca="1" si="3"/>
        <v>#NAME?</v>
      </c>
      <c r="I26" s="50" t="e">
        <f t="shared" ca="1" si="0"/>
        <v>#NAME?</v>
      </c>
      <c r="K26" s="64"/>
      <c r="M26" s="11" t="e">
        <f ca="1"/>
        <v>#NAME?</v>
      </c>
      <c r="N26" s="35" t="e">
        <f ca="1">_xll.qlYieldTSDiscount(L$4,M26,,Triggers!RTDataTrigger)</f>
        <v>#NAME?</v>
      </c>
      <c r="O26" s="44"/>
      <c r="P26" s="33"/>
      <c r="Q26" s="49" t="e">
        <f t="shared" ca="1" si="4"/>
        <v>#NAME?</v>
      </c>
      <c r="R26" s="50" t="e">
        <f t="shared" ca="1" si="1"/>
        <v>#NAME?</v>
      </c>
      <c r="T26" s="64"/>
      <c r="V26" s="11" t="e">
        <f ca="1"/>
        <v>#NAME?</v>
      </c>
      <c r="W26" s="35" t="e">
        <f ca="1">_xll.qlYieldTSDiscount(U$4,V26,,Triggers!RTDataTrigger)</f>
        <v>#NAME?</v>
      </c>
      <c r="X26" s="44"/>
      <c r="Y26" s="33"/>
      <c r="Z26" s="49" t="e">
        <f t="shared" ca="1" si="5"/>
        <v>#NAME?</v>
      </c>
      <c r="AA26" s="50" t="e">
        <f t="shared" ca="1" si="2"/>
        <v>#NAME?</v>
      </c>
    </row>
    <row r="27" spans="2:27" x14ac:dyDescent="0.2">
      <c r="B27" s="64"/>
      <c r="D27" s="11" t="e">
        <f ca="1"/>
        <v>#NAME?</v>
      </c>
      <c r="E27" s="35" t="e">
        <f ca="1">_xll.qlYieldTSDiscount(C$4,D27,,Triggers!RTDataTrigger)</f>
        <v>#NAME?</v>
      </c>
      <c r="F27" s="44"/>
      <c r="G27" s="33"/>
      <c r="H27" s="49" t="e">
        <f t="shared" ca="1" si="3"/>
        <v>#NAME?</v>
      </c>
      <c r="I27" s="50" t="e">
        <f t="shared" ca="1" si="0"/>
        <v>#NAME?</v>
      </c>
      <c r="K27" s="64"/>
      <c r="M27" s="11" t="e">
        <f ca="1"/>
        <v>#NAME?</v>
      </c>
      <c r="N27" s="35" t="e">
        <f ca="1">_xll.qlYieldTSDiscount(L$4,M27,,Triggers!RTDataTrigger)</f>
        <v>#NAME?</v>
      </c>
      <c r="O27" s="44"/>
      <c r="P27" s="33"/>
      <c r="Q27" s="49" t="e">
        <f t="shared" ca="1" si="4"/>
        <v>#NAME?</v>
      </c>
      <c r="R27" s="50" t="e">
        <f t="shared" ca="1" si="1"/>
        <v>#NAME?</v>
      </c>
      <c r="T27" s="64"/>
      <c r="V27" s="11" t="e">
        <f ca="1"/>
        <v>#NAME?</v>
      </c>
      <c r="W27" s="35" t="e">
        <f ca="1">_xll.qlYieldTSDiscount(U$4,V27,,Triggers!RTDataTrigger)</f>
        <v>#NAME?</v>
      </c>
      <c r="X27" s="44"/>
      <c r="Y27" s="33"/>
      <c r="Z27" s="49" t="e">
        <f t="shared" ca="1" si="5"/>
        <v>#NAME?</v>
      </c>
      <c r="AA27" s="50" t="e">
        <f t="shared" ca="1" si="2"/>
        <v>#NAME?</v>
      </c>
    </row>
    <row r="28" spans="2:27" x14ac:dyDescent="0.2">
      <c r="B28" s="64"/>
      <c r="D28" s="11" t="e">
        <f ca="1"/>
        <v>#NAME?</v>
      </c>
      <c r="E28" s="35" t="e">
        <f ca="1">_xll.qlYieldTSDiscount(C$4,D28,,Triggers!RTDataTrigger)</f>
        <v>#NAME?</v>
      </c>
      <c r="F28" s="44"/>
      <c r="G28" s="33"/>
      <c r="H28" s="49" t="e">
        <f t="shared" ca="1" si="3"/>
        <v>#NAME?</v>
      </c>
      <c r="I28" s="50" t="e">
        <f t="shared" ca="1" si="0"/>
        <v>#NAME?</v>
      </c>
      <c r="K28" s="64"/>
      <c r="M28" s="11" t="e">
        <f ca="1"/>
        <v>#NAME?</v>
      </c>
      <c r="N28" s="35" t="e">
        <f ca="1">_xll.qlYieldTSDiscount(L$4,M28,,Triggers!RTDataTrigger)</f>
        <v>#NAME?</v>
      </c>
      <c r="O28" s="44"/>
      <c r="P28" s="33"/>
      <c r="Q28" s="49" t="e">
        <f t="shared" ca="1" si="4"/>
        <v>#NAME?</v>
      </c>
      <c r="R28" s="50" t="e">
        <f t="shared" ca="1" si="1"/>
        <v>#NAME?</v>
      </c>
      <c r="T28" s="64"/>
      <c r="V28" s="11" t="e">
        <f ca="1"/>
        <v>#NAME?</v>
      </c>
      <c r="W28" s="35" t="e">
        <f ca="1">_xll.qlYieldTSDiscount(U$4,V28,,Triggers!RTDataTrigger)</f>
        <v>#NAME?</v>
      </c>
      <c r="X28" s="44"/>
      <c r="Y28" s="33"/>
      <c r="Z28" s="49" t="e">
        <f t="shared" ca="1" si="5"/>
        <v>#NAME?</v>
      </c>
      <c r="AA28" s="50" t="e">
        <f t="shared" ca="1" si="2"/>
        <v>#NAME?</v>
      </c>
    </row>
    <row r="29" spans="2:27" x14ac:dyDescent="0.2">
      <c r="B29" s="64"/>
      <c r="D29" s="11" t="e">
        <f ca="1"/>
        <v>#NAME?</v>
      </c>
      <c r="E29" s="35" t="e">
        <f ca="1">_xll.qlYieldTSDiscount(C$4,D29,,Triggers!RTDataTrigger)</f>
        <v>#NAME?</v>
      </c>
      <c r="F29" s="44"/>
      <c r="G29" s="33"/>
      <c r="H29" s="49" t="e">
        <f t="shared" ca="1" si="3"/>
        <v>#NAME?</v>
      </c>
      <c r="I29" s="50" t="e">
        <f t="shared" ca="1" si="0"/>
        <v>#NAME?</v>
      </c>
      <c r="K29" s="64"/>
      <c r="M29" s="11" t="e">
        <f ca="1"/>
        <v>#NAME?</v>
      </c>
      <c r="N29" s="35" t="e">
        <f ca="1">_xll.qlYieldTSDiscount(L$4,M29,,Triggers!RTDataTrigger)</f>
        <v>#NAME?</v>
      </c>
      <c r="O29" s="44"/>
      <c r="P29" s="33"/>
      <c r="Q29" s="49" t="e">
        <f t="shared" ca="1" si="4"/>
        <v>#NAME?</v>
      </c>
      <c r="R29" s="50" t="e">
        <f t="shared" ca="1" si="1"/>
        <v>#NAME?</v>
      </c>
      <c r="T29" s="64"/>
      <c r="V29" s="11" t="e">
        <f ca="1"/>
        <v>#NAME?</v>
      </c>
      <c r="W29" s="35" t="e">
        <f ca="1">_xll.qlYieldTSDiscount(U$4,V29,,Triggers!RTDataTrigger)</f>
        <v>#NAME?</v>
      </c>
      <c r="X29" s="44"/>
      <c r="Y29" s="33"/>
      <c r="Z29" s="49" t="e">
        <f t="shared" ca="1" si="5"/>
        <v>#NAME?</v>
      </c>
      <c r="AA29" s="50" t="e">
        <f t="shared" ca="1" si="2"/>
        <v>#NAME?</v>
      </c>
    </row>
    <row r="30" spans="2:27" x14ac:dyDescent="0.2">
      <c r="B30" s="64"/>
      <c r="D30" s="11" t="e">
        <f ca="1"/>
        <v>#NAME?</v>
      </c>
      <c r="E30" s="35" t="e">
        <f ca="1">_xll.qlYieldTSDiscount(C$4,D30,,Triggers!RTDataTrigger)</f>
        <v>#NAME?</v>
      </c>
      <c r="F30" s="44"/>
      <c r="G30" s="33"/>
      <c r="H30" s="49" t="e">
        <f t="shared" ca="1" si="3"/>
        <v>#NAME?</v>
      </c>
      <c r="I30" s="50" t="e">
        <f t="shared" ca="1" si="0"/>
        <v>#NAME?</v>
      </c>
      <c r="K30" s="64"/>
      <c r="M30" s="11" t="e">
        <f ca="1"/>
        <v>#NAME?</v>
      </c>
      <c r="N30" s="35" t="e">
        <f ca="1">_xll.qlYieldTSDiscount(L$4,M30,,Triggers!RTDataTrigger)</f>
        <v>#NAME?</v>
      </c>
      <c r="O30" s="44"/>
      <c r="P30" s="33"/>
      <c r="Q30" s="49" t="e">
        <f t="shared" ca="1" si="4"/>
        <v>#NAME?</v>
      </c>
      <c r="R30" s="50" t="e">
        <f t="shared" ca="1" si="1"/>
        <v>#NAME?</v>
      </c>
      <c r="T30" s="64"/>
      <c r="V30" s="11" t="e">
        <f ca="1"/>
        <v>#NAME?</v>
      </c>
      <c r="W30" s="35" t="e">
        <f ca="1">_xll.qlYieldTSDiscount(U$4,V30,,Triggers!RTDataTrigger)</f>
        <v>#NAME?</v>
      </c>
      <c r="X30" s="44"/>
      <c r="Y30" s="33"/>
      <c r="Z30" s="49" t="e">
        <f t="shared" ca="1" si="5"/>
        <v>#NAME?</v>
      </c>
      <c r="AA30" s="50" t="e">
        <f t="shared" ca="1" si="2"/>
        <v>#NAME?</v>
      </c>
    </row>
    <row r="31" spans="2:27" x14ac:dyDescent="0.2">
      <c r="B31" s="64"/>
      <c r="D31" s="11" t="e">
        <f ca="1"/>
        <v>#NAME?</v>
      </c>
      <c r="E31" s="35" t="e">
        <f ca="1">_xll.qlYieldTSDiscount(C$4,D31,,Triggers!RTDataTrigger)</f>
        <v>#NAME?</v>
      </c>
      <c r="F31" s="44"/>
      <c r="G31" s="33"/>
      <c r="H31" s="49" t="e">
        <f t="shared" ca="1" si="3"/>
        <v>#NAME?</v>
      </c>
      <c r="I31" s="50" t="e">
        <f t="shared" ca="1" si="0"/>
        <v>#NAME?</v>
      </c>
      <c r="K31" s="64"/>
      <c r="M31" s="11" t="e">
        <f ca="1"/>
        <v>#NAME?</v>
      </c>
      <c r="N31" s="35" t="e">
        <f ca="1">_xll.qlYieldTSDiscount(L$4,M31,,Triggers!RTDataTrigger)</f>
        <v>#NAME?</v>
      </c>
      <c r="O31" s="44"/>
      <c r="P31" s="33"/>
      <c r="Q31" s="49" t="e">
        <f t="shared" ca="1" si="4"/>
        <v>#NAME?</v>
      </c>
      <c r="R31" s="50" t="e">
        <f t="shared" ca="1" si="1"/>
        <v>#NAME?</v>
      </c>
      <c r="T31" s="64"/>
      <c r="V31" s="11" t="e">
        <f ca="1"/>
        <v>#NAME?</v>
      </c>
      <c r="W31" s="35" t="e">
        <f ca="1">_xll.qlYieldTSDiscount(U$4,V31,,Triggers!RTDataTrigger)</f>
        <v>#NAME?</v>
      </c>
      <c r="X31" s="44"/>
      <c r="Y31" s="33"/>
      <c r="Z31" s="49" t="e">
        <f t="shared" ca="1" si="5"/>
        <v>#NAME?</v>
      </c>
      <c r="AA31" s="50" t="e">
        <f t="shared" ca="1" si="2"/>
        <v>#NAME?</v>
      </c>
    </row>
    <row r="32" spans="2:27" x14ac:dyDescent="0.2">
      <c r="B32" s="64"/>
      <c r="D32" s="11" t="e">
        <f ca="1"/>
        <v>#NAME?</v>
      </c>
      <c r="E32" s="35" t="e">
        <f ca="1">_xll.qlYieldTSDiscount(C$4,D32,,Triggers!RTDataTrigger)</f>
        <v>#NAME?</v>
      </c>
      <c r="F32" s="44"/>
      <c r="G32" s="33"/>
      <c r="H32" s="49" t="e">
        <f t="shared" ca="1" si="3"/>
        <v>#NAME?</v>
      </c>
      <c r="I32" s="50" t="e">
        <f t="shared" ca="1" si="0"/>
        <v>#NAME?</v>
      </c>
      <c r="K32" s="64"/>
      <c r="M32" s="11" t="e">
        <f ca="1"/>
        <v>#NAME?</v>
      </c>
      <c r="N32" s="35" t="e">
        <f ca="1">_xll.qlYieldTSDiscount(L$4,M32,,Triggers!RTDataTrigger)</f>
        <v>#NAME?</v>
      </c>
      <c r="O32" s="44"/>
      <c r="P32" s="33"/>
      <c r="Q32" s="49" t="e">
        <f t="shared" ca="1" si="4"/>
        <v>#NAME?</v>
      </c>
      <c r="R32" s="50" t="e">
        <f t="shared" ca="1" si="1"/>
        <v>#NAME?</v>
      </c>
      <c r="T32" s="64"/>
      <c r="V32" s="11" t="e">
        <f ca="1"/>
        <v>#NAME?</v>
      </c>
      <c r="W32" s="35" t="e">
        <f ca="1">_xll.qlYieldTSDiscount(U$4,V32,,Triggers!RTDataTrigger)</f>
        <v>#NAME?</v>
      </c>
      <c r="X32" s="44"/>
      <c r="Y32" s="33"/>
      <c r="Z32" s="49" t="e">
        <f t="shared" ca="1" si="5"/>
        <v>#NAME?</v>
      </c>
      <c r="AA32" s="50" t="e">
        <f t="shared" ca="1" si="2"/>
        <v>#NAME?</v>
      </c>
    </row>
    <row r="33" spans="2:27" x14ac:dyDescent="0.2">
      <c r="B33" s="64"/>
      <c r="D33" s="11" t="e">
        <f ca="1"/>
        <v>#NAME?</v>
      </c>
      <c r="E33" s="35" t="e">
        <f ca="1">_xll.qlYieldTSDiscount(C$4,D33,,Triggers!RTDataTrigger)</f>
        <v>#NAME?</v>
      </c>
      <c r="F33" s="44"/>
      <c r="G33" s="33"/>
      <c r="H33" s="49" t="e">
        <f t="shared" ca="1" si="3"/>
        <v>#NAME?</v>
      </c>
      <c r="I33" s="50" t="e">
        <f t="shared" ca="1" si="0"/>
        <v>#NAME?</v>
      </c>
      <c r="K33" s="64"/>
      <c r="M33" s="11" t="e">
        <f ca="1"/>
        <v>#NAME?</v>
      </c>
      <c r="N33" s="35" t="e">
        <f ca="1">_xll.qlYieldTSDiscount(L$4,M33,,Triggers!RTDataTrigger)</f>
        <v>#NAME?</v>
      </c>
      <c r="O33" s="44"/>
      <c r="P33" s="33"/>
      <c r="Q33" s="49" t="e">
        <f t="shared" ca="1" si="4"/>
        <v>#NAME?</v>
      </c>
      <c r="R33" s="50" t="e">
        <f t="shared" ca="1" si="1"/>
        <v>#NAME?</v>
      </c>
      <c r="T33" s="64"/>
      <c r="V33" s="11" t="e">
        <f ca="1"/>
        <v>#NAME?</v>
      </c>
      <c r="W33" s="35" t="e">
        <f ca="1">_xll.qlYieldTSDiscount(U$4,V33,,Triggers!RTDataTrigger)</f>
        <v>#NAME?</v>
      </c>
      <c r="X33" s="44"/>
      <c r="Y33" s="33"/>
      <c r="Z33" s="49" t="e">
        <f t="shared" ca="1" si="5"/>
        <v>#NAME?</v>
      </c>
      <c r="AA33" s="50" t="e">
        <f t="shared" ca="1" si="2"/>
        <v>#NAME?</v>
      </c>
    </row>
    <row r="34" spans="2:27" x14ac:dyDescent="0.2">
      <c r="B34" s="64"/>
      <c r="D34" s="11" t="e">
        <f ca="1"/>
        <v>#NAME?</v>
      </c>
      <c r="E34" s="35" t="e">
        <f ca="1">_xll.qlYieldTSDiscount(C$4,D34,,Triggers!RTDataTrigger)</f>
        <v>#NAME?</v>
      </c>
      <c r="F34" s="44"/>
      <c r="G34" s="33"/>
      <c r="H34" s="49" t="e">
        <f t="shared" ca="1" si="3"/>
        <v>#NAME?</v>
      </c>
      <c r="I34" s="50" t="e">
        <f t="shared" ca="1" si="0"/>
        <v>#NAME?</v>
      </c>
      <c r="K34" s="64"/>
      <c r="M34" s="11" t="e">
        <f ca="1"/>
        <v>#NAME?</v>
      </c>
      <c r="N34" s="35" t="e">
        <f ca="1">_xll.qlYieldTSDiscount(L$4,M34,,Triggers!RTDataTrigger)</f>
        <v>#NAME?</v>
      </c>
      <c r="O34" s="44"/>
      <c r="P34" s="33"/>
      <c r="Q34" s="49" t="e">
        <f t="shared" ca="1" si="4"/>
        <v>#NAME?</v>
      </c>
      <c r="R34" s="50" t="e">
        <f t="shared" ca="1" si="1"/>
        <v>#NAME?</v>
      </c>
      <c r="T34" s="64"/>
      <c r="V34" s="11" t="e">
        <f ca="1"/>
        <v>#NAME?</v>
      </c>
      <c r="W34" s="35" t="e">
        <f ca="1">_xll.qlYieldTSDiscount(U$4,V34,,Triggers!RTDataTrigger)</f>
        <v>#NAME?</v>
      </c>
      <c r="X34" s="44"/>
      <c r="Y34" s="33"/>
      <c r="Z34" s="49" t="e">
        <f t="shared" ca="1" si="5"/>
        <v>#NAME?</v>
      </c>
      <c r="AA34" s="50" t="e">
        <f t="shared" ca="1" si="2"/>
        <v>#NAME?</v>
      </c>
    </row>
    <row r="35" spans="2:27" x14ac:dyDescent="0.2">
      <c r="B35" s="64"/>
      <c r="D35" s="11" t="e">
        <f ca="1"/>
        <v>#NAME?</v>
      </c>
      <c r="E35" s="35" t="e">
        <f ca="1">_xll.qlYieldTSDiscount(C$4,D35,,Triggers!RTDataTrigger)</f>
        <v>#NAME?</v>
      </c>
      <c r="F35" s="44"/>
      <c r="G35" s="33"/>
      <c r="H35" s="49" t="e">
        <f t="shared" ca="1" si="3"/>
        <v>#NAME?</v>
      </c>
      <c r="I35" s="50" t="e">
        <f t="shared" ca="1" si="0"/>
        <v>#NAME?</v>
      </c>
      <c r="K35" s="64"/>
      <c r="M35" s="11" t="e">
        <f ca="1"/>
        <v>#NAME?</v>
      </c>
      <c r="N35" s="35" t="e">
        <f ca="1">_xll.qlYieldTSDiscount(L$4,M35,,Triggers!RTDataTrigger)</f>
        <v>#NAME?</v>
      </c>
      <c r="O35" s="44"/>
      <c r="P35" s="33"/>
      <c r="Q35" s="49" t="e">
        <f t="shared" ca="1" si="4"/>
        <v>#NAME?</v>
      </c>
      <c r="R35" s="50" t="e">
        <f t="shared" ca="1" si="1"/>
        <v>#NAME?</v>
      </c>
      <c r="T35" s="64"/>
      <c r="V35" s="11" t="e">
        <f ca="1"/>
        <v>#NAME?</v>
      </c>
      <c r="W35" s="35" t="e">
        <f ca="1">_xll.qlYieldTSDiscount(U$4,V35,,Triggers!RTDataTrigger)</f>
        <v>#NAME?</v>
      </c>
      <c r="X35" s="44"/>
      <c r="Y35" s="33"/>
      <c r="Z35" s="49" t="e">
        <f t="shared" ca="1" si="5"/>
        <v>#NAME?</v>
      </c>
      <c r="AA35" s="50" t="e">
        <f t="shared" ca="1" si="2"/>
        <v>#NAME?</v>
      </c>
    </row>
    <row r="36" spans="2:27" x14ac:dyDescent="0.2">
      <c r="B36" s="64"/>
      <c r="D36" s="11" t="e">
        <f ca="1"/>
        <v>#NAME?</v>
      </c>
      <c r="E36" s="35" t="e">
        <f ca="1">_xll.qlYieldTSDiscount(C$4,D36,,Triggers!RTDataTrigger)</f>
        <v>#NAME?</v>
      </c>
      <c r="F36" s="44"/>
      <c r="G36" s="33"/>
      <c r="H36" s="49" t="e">
        <f t="shared" ca="1" si="3"/>
        <v>#NAME?</v>
      </c>
      <c r="I36" s="50" t="e">
        <f t="shared" ca="1" si="0"/>
        <v>#NAME?</v>
      </c>
      <c r="K36" s="64"/>
      <c r="M36" s="11" t="e">
        <f ca="1"/>
        <v>#NAME?</v>
      </c>
      <c r="N36" s="35" t="e">
        <f ca="1">_xll.qlYieldTSDiscount(L$4,M36,,Triggers!RTDataTrigger)</f>
        <v>#NAME?</v>
      </c>
      <c r="O36" s="44"/>
      <c r="P36" s="33"/>
      <c r="Q36" s="49" t="e">
        <f t="shared" ca="1" si="4"/>
        <v>#NAME?</v>
      </c>
      <c r="R36" s="50" t="e">
        <f t="shared" ca="1" si="1"/>
        <v>#NAME?</v>
      </c>
      <c r="T36" s="64"/>
      <c r="V36" s="11" t="e">
        <f ca="1"/>
        <v>#NAME?</v>
      </c>
      <c r="W36" s="35" t="e">
        <f ca="1">_xll.qlYieldTSDiscount(U$4,V36,,Triggers!RTDataTrigger)</f>
        <v>#NAME?</v>
      </c>
      <c r="X36" s="44"/>
      <c r="Y36" s="33"/>
      <c r="Z36" s="49" t="e">
        <f t="shared" ca="1" si="5"/>
        <v>#NAME?</v>
      </c>
      <c r="AA36" s="50" t="e">
        <f t="shared" ca="1" si="2"/>
        <v>#NAME?</v>
      </c>
    </row>
    <row r="37" spans="2:27" x14ac:dyDescent="0.2">
      <c r="B37" s="64"/>
      <c r="D37" s="11" t="e">
        <f ca="1"/>
        <v>#NAME?</v>
      </c>
      <c r="E37" s="35" t="e">
        <f ca="1">_xll.qlYieldTSDiscount(C$4,D37,,Triggers!RTDataTrigger)</f>
        <v>#NAME?</v>
      </c>
      <c r="F37" s="44"/>
      <c r="G37" s="33"/>
      <c r="H37" s="49" t="e">
        <f t="shared" ca="1" si="3"/>
        <v>#NAME?</v>
      </c>
      <c r="I37" s="50" t="e">
        <f t="shared" ca="1" si="0"/>
        <v>#NAME?</v>
      </c>
      <c r="K37" s="64"/>
      <c r="M37" s="11" t="e">
        <f ca="1"/>
        <v>#NAME?</v>
      </c>
      <c r="N37" s="35" t="e">
        <f ca="1">_xll.qlYieldTSDiscount(L$4,M37,,Triggers!RTDataTrigger)</f>
        <v>#NAME?</v>
      </c>
      <c r="O37" s="44"/>
      <c r="P37" s="33"/>
      <c r="Q37" s="49" t="e">
        <f t="shared" ca="1" si="4"/>
        <v>#NAME?</v>
      </c>
      <c r="R37" s="50" t="e">
        <f t="shared" ca="1" si="1"/>
        <v>#NAME?</v>
      </c>
      <c r="T37" s="64"/>
      <c r="V37" s="11" t="e">
        <f ca="1"/>
        <v>#NAME?</v>
      </c>
      <c r="W37" s="35" t="e">
        <f ca="1">_xll.qlYieldTSDiscount(U$4,V37,,Triggers!RTDataTrigger)</f>
        <v>#NAME?</v>
      </c>
      <c r="X37" s="44"/>
      <c r="Y37" s="33"/>
      <c r="Z37" s="49" t="e">
        <f t="shared" ca="1" si="5"/>
        <v>#NAME?</v>
      </c>
      <c r="AA37" s="50" t="e">
        <f t="shared" ca="1" si="2"/>
        <v>#NAME?</v>
      </c>
    </row>
    <row r="38" spans="2:27" x14ac:dyDescent="0.2">
      <c r="B38" s="64"/>
      <c r="D38" s="11" t="e">
        <f ca="1"/>
        <v>#NAME?</v>
      </c>
      <c r="E38" s="35" t="e">
        <f ca="1">_xll.qlYieldTSDiscount(C$4,D38,,Triggers!RTDataTrigger)</f>
        <v>#NAME?</v>
      </c>
      <c r="F38" s="44"/>
      <c r="G38" s="33"/>
      <c r="H38" s="49" t="e">
        <f t="shared" ca="1" si="3"/>
        <v>#NAME?</v>
      </c>
      <c r="I38" s="50" t="e">
        <f t="shared" ca="1" si="0"/>
        <v>#NAME?</v>
      </c>
      <c r="K38" s="64"/>
      <c r="M38" s="11" t="e">
        <f ca="1"/>
        <v>#NAME?</v>
      </c>
      <c r="N38" s="35" t="e">
        <f ca="1">_xll.qlYieldTSDiscount(L$4,M38,,Triggers!RTDataTrigger)</f>
        <v>#NAME?</v>
      </c>
      <c r="O38" s="44"/>
      <c r="P38" s="33"/>
      <c r="Q38" s="49" t="e">
        <f t="shared" ca="1" si="4"/>
        <v>#NAME?</v>
      </c>
      <c r="R38" s="50" t="e">
        <f t="shared" ca="1" si="1"/>
        <v>#NAME?</v>
      </c>
      <c r="T38" s="64"/>
      <c r="V38" s="11" t="e">
        <f ca="1"/>
        <v>#NAME?</v>
      </c>
      <c r="W38" s="35" t="e">
        <f ca="1">_xll.qlYieldTSDiscount(U$4,V38,,Triggers!RTDataTrigger)</f>
        <v>#NAME?</v>
      </c>
      <c r="X38" s="44"/>
      <c r="Y38" s="33"/>
      <c r="Z38" s="49" t="e">
        <f t="shared" ca="1" si="5"/>
        <v>#NAME?</v>
      </c>
      <c r="AA38" s="50" t="e">
        <f t="shared" ca="1" si="2"/>
        <v>#NAME?</v>
      </c>
    </row>
    <row r="39" spans="2:27" x14ac:dyDescent="0.2">
      <c r="B39" s="64"/>
      <c r="D39" s="11" t="e">
        <f ca="1"/>
        <v>#NAME?</v>
      </c>
      <c r="E39" s="35" t="e">
        <f ca="1">_xll.qlYieldTSDiscount(C$4,D39,,Triggers!RTDataTrigger)</f>
        <v>#NAME?</v>
      </c>
      <c r="F39" s="44"/>
      <c r="G39" s="33"/>
      <c r="H39" s="49" t="e">
        <f t="shared" ca="1" si="3"/>
        <v>#NAME?</v>
      </c>
      <c r="I39" s="50" t="e">
        <f t="shared" ca="1" si="0"/>
        <v>#NAME?</v>
      </c>
      <c r="K39" s="64"/>
      <c r="M39" s="11" t="e">
        <f ca="1"/>
        <v>#NAME?</v>
      </c>
      <c r="N39" s="35" t="e">
        <f ca="1">_xll.qlYieldTSDiscount(L$4,M39,,Triggers!RTDataTrigger)</f>
        <v>#NAME?</v>
      </c>
      <c r="O39" s="44"/>
      <c r="P39" s="33"/>
      <c r="Q39" s="49" t="e">
        <f t="shared" ca="1" si="4"/>
        <v>#NAME?</v>
      </c>
      <c r="R39" s="50" t="e">
        <f t="shared" ca="1" si="1"/>
        <v>#NAME?</v>
      </c>
      <c r="T39" s="64"/>
      <c r="V39" s="11" t="e">
        <f ca="1"/>
        <v>#NAME?</v>
      </c>
      <c r="W39" s="35" t="e">
        <f ca="1">_xll.qlYieldTSDiscount(U$4,V39,,Triggers!RTDataTrigger)</f>
        <v>#NAME?</v>
      </c>
      <c r="X39" s="44"/>
      <c r="Y39" s="33"/>
      <c r="Z39" s="49" t="e">
        <f t="shared" ca="1" si="5"/>
        <v>#NAME?</v>
      </c>
      <c r="AA39" s="50" t="e">
        <f t="shared" ca="1" si="2"/>
        <v>#NAME?</v>
      </c>
    </row>
    <row r="40" spans="2:27" x14ac:dyDescent="0.2">
      <c r="B40" s="64"/>
      <c r="D40" s="11" t="e">
        <f ca="1"/>
        <v>#NAME?</v>
      </c>
      <c r="E40" s="35" t="e">
        <f ca="1">_xll.qlYieldTSDiscount(C$4,D40,,Triggers!RTDataTrigger)</f>
        <v>#NAME?</v>
      </c>
      <c r="F40" s="44"/>
      <c r="G40" s="33"/>
      <c r="H40" s="49" t="e">
        <f t="shared" ca="1" si="3"/>
        <v>#NAME?</v>
      </c>
      <c r="I40" s="50" t="e">
        <f t="shared" ca="1" si="0"/>
        <v>#NAME?</v>
      </c>
      <c r="K40" s="64"/>
      <c r="M40" s="11" t="e">
        <f ca="1"/>
        <v>#NAME?</v>
      </c>
      <c r="N40" s="35" t="e">
        <f ca="1">_xll.qlYieldTSDiscount(L$4,M40,,Triggers!RTDataTrigger)</f>
        <v>#NAME?</v>
      </c>
      <c r="O40" s="44"/>
      <c r="P40" s="33"/>
      <c r="Q40" s="49" t="e">
        <f t="shared" ca="1" si="4"/>
        <v>#NAME?</v>
      </c>
      <c r="R40" s="50" t="e">
        <f t="shared" ca="1" si="1"/>
        <v>#NAME?</v>
      </c>
      <c r="T40" s="64"/>
      <c r="V40" s="11" t="e">
        <f ca="1"/>
        <v>#NAME?</v>
      </c>
      <c r="W40" s="35" t="e">
        <f ca="1">_xll.qlYieldTSDiscount(U$4,V40,,Triggers!RTDataTrigger)</f>
        <v>#NAME?</v>
      </c>
      <c r="X40" s="44"/>
      <c r="Y40" s="33"/>
      <c r="Z40" s="49" t="e">
        <f t="shared" ca="1" si="5"/>
        <v>#NAME?</v>
      </c>
      <c r="AA40" s="50" t="e">
        <f t="shared" ca="1" si="2"/>
        <v>#NAME?</v>
      </c>
    </row>
    <row r="41" spans="2:27" x14ac:dyDescent="0.2">
      <c r="B41" s="64"/>
      <c r="D41" s="11" t="e">
        <f ca="1"/>
        <v>#NAME?</v>
      </c>
      <c r="E41" s="35" t="e">
        <f ca="1">_xll.qlYieldTSDiscount(C$4,D41,,Triggers!RTDataTrigger)</f>
        <v>#NAME?</v>
      </c>
      <c r="F41" s="44"/>
      <c r="G41" s="33"/>
      <c r="H41" s="49" t="e">
        <f t="shared" ca="1" si="3"/>
        <v>#NAME?</v>
      </c>
      <c r="I41" s="50" t="e">
        <f t="shared" ca="1" si="0"/>
        <v>#NAME?</v>
      </c>
      <c r="K41" s="64"/>
      <c r="M41" s="11" t="e">
        <f ca="1"/>
        <v>#NAME?</v>
      </c>
      <c r="N41" s="35" t="e">
        <f ca="1">_xll.qlYieldTSDiscount(L$4,M41,,Triggers!RTDataTrigger)</f>
        <v>#NAME?</v>
      </c>
      <c r="O41" s="44"/>
      <c r="P41" s="33"/>
      <c r="Q41" s="49" t="e">
        <f t="shared" ca="1" si="4"/>
        <v>#NAME?</v>
      </c>
      <c r="R41" s="50" t="e">
        <f t="shared" ca="1" si="1"/>
        <v>#NAME?</v>
      </c>
      <c r="T41" s="64"/>
      <c r="V41" s="11" t="e">
        <f ca="1"/>
        <v>#NAME?</v>
      </c>
      <c r="W41" s="35" t="e">
        <f ca="1">_xll.qlYieldTSDiscount(U$4,V41,,Triggers!RTDataTrigger)</f>
        <v>#NAME?</v>
      </c>
      <c r="X41" s="44"/>
      <c r="Y41" s="33"/>
      <c r="Z41" s="49" t="e">
        <f t="shared" ca="1" si="5"/>
        <v>#NAME?</v>
      </c>
      <c r="AA41" s="50" t="e">
        <f t="shared" ca="1" si="2"/>
        <v>#NAME?</v>
      </c>
    </row>
    <row r="42" spans="2:27" x14ac:dyDescent="0.2">
      <c r="B42" s="64"/>
      <c r="D42" s="11" t="e">
        <f ca="1"/>
        <v>#NAME?</v>
      </c>
      <c r="E42" s="35" t="e">
        <f ca="1">_xll.qlYieldTSDiscount(C$4,D42,,Triggers!RTDataTrigger)</f>
        <v>#NAME?</v>
      </c>
      <c r="F42" s="44"/>
      <c r="G42" s="33"/>
      <c r="H42" s="49" t="e">
        <f t="shared" ca="1" si="3"/>
        <v>#NAME?</v>
      </c>
      <c r="I42" s="50" t="e">
        <f t="shared" ca="1" si="0"/>
        <v>#NAME?</v>
      </c>
      <c r="K42" s="64"/>
      <c r="M42" s="11" t="e">
        <f ca="1"/>
        <v>#NAME?</v>
      </c>
      <c r="N42" s="35" t="e">
        <f ca="1">_xll.qlYieldTSDiscount(L$4,M42,,Triggers!RTDataTrigger)</f>
        <v>#NAME?</v>
      </c>
      <c r="O42" s="44"/>
      <c r="P42" s="33"/>
      <c r="Q42" s="49" t="e">
        <f t="shared" ca="1" si="4"/>
        <v>#NAME?</v>
      </c>
      <c r="R42" s="50" t="e">
        <f t="shared" ca="1" si="1"/>
        <v>#NAME?</v>
      </c>
      <c r="T42" s="64"/>
      <c r="V42" s="11" t="e">
        <f ca="1"/>
        <v>#NAME?</v>
      </c>
      <c r="W42" s="35" t="e">
        <f ca="1">_xll.qlYieldTSDiscount(U$4,V42,,Triggers!RTDataTrigger)</f>
        <v>#NAME?</v>
      </c>
      <c r="X42" s="44"/>
      <c r="Y42" s="33"/>
      <c r="Z42" s="49" t="e">
        <f t="shared" ca="1" si="5"/>
        <v>#NAME?</v>
      </c>
      <c r="AA42" s="50" t="e">
        <f t="shared" ca="1" si="2"/>
        <v>#NAME?</v>
      </c>
    </row>
    <row r="43" spans="2:27" x14ac:dyDescent="0.2">
      <c r="B43" s="64"/>
      <c r="D43" s="11" t="e">
        <f ca="1"/>
        <v>#NAME?</v>
      </c>
      <c r="E43" s="35" t="e">
        <f ca="1">_xll.qlYieldTSDiscount(C$4,D43,,Triggers!RTDataTrigger)</f>
        <v>#NAME?</v>
      </c>
      <c r="F43" s="44"/>
      <c r="G43" s="33"/>
      <c r="H43" s="49" t="e">
        <f t="shared" ca="1" si="3"/>
        <v>#NAME?</v>
      </c>
      <c r="I43" s="50" t="e">
        <f t="shared" ca="1" si="0"/>
        <v>#NAME?</v>
      </c>
      <c r="K43" s="64"/>
      <c r="M43" s="11" t="e">
        <f ca="1"/>
        <v>#NAME?</v>
      </c>
      <c r="N43" s="35" t="e">
        <f ca="1">_xll.qlYieldTSDiscount(L$4,M43,,Triggers!RTDataTrigger)</f>
        <v>#NAME?</v>
      </c>
      <c r="O43" s="44"/>
      <c r="P43" s="33"/>
      <c r="Q43" s="49" t="e">
        <f t="shared" ca="1" si="4"/>
        <v>#NAME?</v>
      </c>
      <c r="R43" s="50" t="e">
        <f t="shared" ca="1" si="1"/>
        <v>#NAME?</v>
      </c>
      <c r="T43" s="64"/>
      <c r="V43" s="11" t="e">
        <f ca="1"/>
        <v>#NAME?</v>
      </c>
      <c r="W43" s="35" t="e">
        <f ca="1">_xll.qlYieldTSDiscount(U$4,V43,,Triggers!RTDataTrigger)</f>
        <v>#NAME?</v>
      </c>
      <c r="X43" s="44"/>
      <c r="Y43" s="33"/>
      <c r="Z43" s="49" t="e">
        <f t="shared" ca="1" si="5"/>
        <v>#NAME?</v>
      </c>
      <c r="AA43" s="50" t="e">
        <f t="shared" ca="1" si="2"/>
        <v>#NAME?</v>
      </c>
    </row>
    <row r="44" spans="2:27" x14ac:dyDescent="0.2">
      <c r="B44" s="64"/>
      <c r="D44" s="11" t="e">
        <f ca="1"/>
        <v>#NAME?</v>
      </c>
      <c r="E44" s="35" t="e">
        <f ca="1">_xll.qlYieldTSDiscount(C$4,D44,,Triggers!RTDataTrigger)</f>
        <v>#NAME?</v>
      </c>
      <c r="F44" s="44"/>
      <c r="G44" s="33"/>
      <c r="H44" s="49" t="e">
        <f t="shared" ca="1" si="3"/>
        <v>#NAME?</v>
      </c>
      <c r="I44" s="50" t="e">
        <f t="shared" ca="1" si="0"/>
        <v>#NAME?</v>
      </c>
      <c r="K44" s="64"/>
      <c r="M44" s="11" t="e">
        <f ca="1"/>
        <v>#NAME?</v>
      </c>
      <c r="N44" s="35" t="e">
        <f ca="1">_xll.qlYieldTSDiscount(L$4,M44,,Triggers!RTDataTrigger)</f>
        <v>#NAME?</v>
      </c>
      <c r="O44" s="44"/>
      <c r="P44" s="33"/>
      <c r="Q44" s="49" t="e">
        <f t="shared" ca="1" si="4"/>
        <v>#NAME?</v>
      </c>
      <c r="R44" s="50" t="e">
        <f t="shared" ca="1" si="1"/>
        <v>#NAME?</v>
      </c>
      <c r="T44" s="64"/>
      <c r="V44" s="11" t="e">
        <f ca="1"/>
        <v>#NAME?</v>
      </c>
      <c r="W44" s="35" t="e">
        <f ca="1">_xll.qlYieldTSDiscount(U$4,V44,,Triggers!RTDataTrigger)</f>
        <v>#NAME?</v>
      </c>
      <c r="X44" s="44"/>
      <c r="Y44" s="33"/>
      <c r="Z44" s="49" t="e">
        <f t="shared" ca="1" si="5"/>
        <v>#NAME?</v>
      </c>
      <c r="AA44" s="50" t="e">
        <f t="shared" ca="1" si="2"/>
        <v>#NAME?</v>
      </c>
    </row>
    <row r="45" spans="2:27" x14ac:dyDescent="0.2">
      <c r="B45" s="64"/>
      <c r="D45" s="11" t="e">
        <f ca="1"/>
        <v>#NAME?</v>
      </c>
      <c r="E45" s="35" t="e">
        <f ca="1">_xll.qlYieldTSDiscount(C$4,D45,,Triggers!RTDataTrigger)</f>
        <v>#NAME?</v>
      </c>
      <c r="F45" s="44"/>
      <c r="G45" s="33"/>
      <c r="H45" s="49" t="e">
        <f t="shared" ca="1" si="3"/>
        <v>#NAME?</v>
      </c>
      <c r="I45" s="50" t="e">
        <f t="shared" ca="1" si="0"/>
        <v>#NAME?</v>
      </c>
      <c r="K45" s="64"/>
      <c r="M45" s="11" t="e">
        <f ca="1"/>
        <v>#NAME?</v>
      </c>
      <c r="N45" s="35" t="e">
        <f ca="1">_xll.qlYieldTSDiscount(L$4,M45,,Triggers!RTDataTrigger)</f>
        <v>#NAME?</v>
      </c>
      <c r="O45" s="44"/>
      <c r="P45" s="33"/>
      <c r="Q45" s="49" t="e">
        <f t="shared" ca="1" si="4"/>
        <v>#NAME?</v>
      </c>
      <c r="R45" s="50" t="e">
        <f t="shared" ca="1" si="1"/>
        <v>#NAME?</v>
      </c>
      <c r="T45" s="64"/>
      <c r="V45" s="11" t="e">
        <f ca="1"/>
        <v>#NAME?</v>
      </c>
      <c r="W45" s="35" t="e">
        <f ca="1">_xll.qlYieldTSDiscount(U$4,V45,,Triggers!RTDataTrigger)</f>
        <v>#NAME?</v>
      </c>
      <c r="X45" s="44"/>
      <c r="Y45" s="33"/>
      <c r="Z45" s="49" t="e">
        <f t="shared" ca="1" si="5"/>
        <v>#NAME?</v>
      </c>
      <c r="AA45" s="50" t="e">
        <f t="shared" ca="1" si="2"/>
        <v>#NAME?</v>
      </c>
    </row>
    <row r="46" spans="2:27" x14ac:dyDescent="0.2">
      <c r="B46" s="64"/>
      <c r="D46" s="11" t="e">
        <f ca="1"/>
        <v>#NAME?</v>
      </c>
      <c r="E46" s="12" t="e">
        <f ca="1">_xll.qlYieldTSDiscount(C$4,D46,,Triggers!RTDataTrigger)</f>
        <v>#NAME?</v>
      </c>
      <c r="F46" s="44"/>
      <c r="G46" s="33"/>
      <c r="H46" s="49" t="e">
        <f t="shared" ca="1" si="3"/>
        <v>#NAME?</v>
      </c>
      <c r="I46" s="50" t="e">
        <f t="shared" ca="1" si="0"/>
        <v>#NAME?</v>
      </c>
      <c r="K46" s="64"/>
      <c r="M46" s="11" t="e">
        <f ca="1"/>
        <v>#NAME?</v>
      </c>
      <c r="N46" s="12" t="e">
        <f ca="1">_xll.qlYieldTSDiscount(L$4,M46,,Triggers!RTDataTrigger)</f>
        <v>#NAME?</v>
      </c>
      <c r="O46" s="44"/>
      <c r="P46" s="33"/>
      <c r="Q46" s="49" t="e">
        <f t="shared" ca="1" si="4"/>
        <v>#NAME?</v>
      </c>
      <c r="R46" s="50" t="e">
        <f t="shared" ca="1" si="1"/>
        <v>#NAME?</v>
      </c>
      <c r="T46" s="64"/>
      <c r="V46" s="11" t="e">
        <f ca="1"/>
        <v>#NAME?</v>
      </c>
      <c r="W46" s="12" t="e">
        <f ca="1">_xll.qlYieldTSDiscount(U$4,V46,,Triggers!RTDataTrigger)</f>
        <v>#NAME?</v>
      </c>
      <c r="X46" s="44"/>
      <c r="Y46" s="33"/>
      <c r="Z46" s="49" t="e">
        <f t="shared" ca="1" si="5"/>
        <v>#NAME?</v>
      </c>
      <c r="AA46" s="50" t="e">
        <f t="shared" ca="1" si="2"/>
        <v>#NAME?</v>
      </c>
    </row>
    <row r="47" spans="2:27" x14ac:dyDescent="0.2">
      <c r="B47" s="64"/>
      <c r="D47" s="11" t="e">
        <f ca="1"/>
        <v>#NAME?</v>
      </c>
      <c r="E47" s="12" t="e">
        <f ca="1">_xll.qlYieldTSDiscount(C$4,D47,,Triggers!RTDataTrigger)</f>
        <v>#NAME?</v>
      </c>
      <c r="F47" s="44"/>
      <c r="G47" s="33"/>
      <c r="H47" s="49" t="e">
        <f t="shared" ca="1" si="3"/>
        <v>#NAME?</v>
      </c>
      <c r="I47" s="50" t="e">
        <f t="shared" ca="1" si="0"/>
        <v>#NAME?</v>
      </c>
      <c r="K47" s="64"/>
      <c r="M47" s="11" t="e">
        <f ca="1"/>
        <v>#NAME?</v>
      </c>
      <c r="N47" s="12" t="e">
        <f ca="1">_xll.qlYieldTSDiscount(L$4,M47,,Triggers!RTDataTrigger)</f>
        <v>#NAME?</v>
      </c>
      <c r="O47" s="44"/>
      <c r="P47" s="33"/>
      <c r="Q47" s="49" t="e">
        <f t="shared" ca="1" si="4"/>
        <v>#NAME?</v>
      </c>
      <c r="R47" s="50" t="e">
        <f t="shared" ca="1" si="1"/>
        <v>#NAME?</v>
      </c>
      <c r="T47" s="64"/>
      <c r="V47" s="11" t="e">
        <f ca="1"/>
        <v>#NAME?</v>
      </c>
      <c r="W47" s="12" t="e">
        <f ca="1">_xll.qlYieldTSDiscount(U$4,V47,,Triggers!RTDataTrigger)</f>
        <v>#NAME?</v>
      </c>
      <c r="X47" s="44"/>
      <c r="Y47" s="33"/>
      <c r="Z47" s="49" t="e">
        <f t="shared" ca="1" si="5"/>
        <v>#NAME?</v>
      </c>
      <c r="AA47" s="50" t="e">
        <f t="shared" ca="1" si="2"/>
        <v>#NAME?</v>
      </c>
    </row>
    <row r="48" spans="2:27" x14ac:dyDescent="0.2">
      <c r="B48" s="64"/>
      <c r="D48" s="11" t="e">
        <f ca="1"/>
        <v>#NAME?</v>
      </c>
      <c r="E48" s="12" t="e">
        <f ca="1">_xll.qlYieldTSDiscount(C$4,D48,,Triggers!RTDataTrigger)</f>
        <v>#NAME?</v>
      </c>
      <c r="F48" s="44"/>
      <c r="G48" s="33"/>
      <c r="H48" s="49" t="e">
        <f t="shared" ca="1" si="3"/>
        <v>#NAME?</v>
      </c>
      <c r="I48" s="50" t="e">
        <f t="shared" ca="1" si="0"/>
        <v>#NAME?</v>
      </c>
      <c r="K48" s="64"/>
      <c r="M48" s="11" t="e">
        <f ca="1"/>
        <v>#NAME?</v>
      </c>
      <c r="N48" s="12" t="e">
        <f ca="1">_xll.qlYieldTSDiscount(L$4,M48,,Triggers!RTDataTrigger)</f>
        <v>#NAME?</v>
      </c>
      <c r="O48" s="44"/>
      <c r="P48" s="33"/>
      <c r="Q48" s="49" t="e">
        <f t="shared" ca="1" si="4"/>
        <v>#NAME?</v>
      </c>
      <c r="R48" s="50" t="e">
        <f t="shared" ca="1" si="1"/>
        <v>#NAME?</v>
      </c>
      <c r="T48" s="64"/>
      <c r="V48" s="11" t="e">
        <f ca="1"/>
        <v>#NAME?</v>
      </c>
      <c r="W48" s="12" t="e">
        <f ca="1">_xll.qlYieldTSDiscount(U$4,V48,,Triggers!RTDataTrigger)</f>
        <v>#NAME?</v>
      </c>
      <c r="X48" s="44"/>
      <c r="Y48" s="33"/>
      <c r="Z48" s="49" t="e">
        <f t="shared" ca="1" si="5"/>
        <v>#NAME?</v>
      </c>
      <c r="AA48" s="50" t="e">
        <f t="shared" ca="1" si="2"/>
        <v>#NAME?</v>
      </c>
    </row>
    <row r="49" spans="2:27" x14ac:dyDescent="0.2">
      <c r="B49" s="64"/>
      <c r="D49" s="11" t="e">
        <f ca="1"/>
        <v>#NAME?</v>
      </c>
      <c r="E49" s="12" t="e">
        <f ca="1">_xll.qlYieldTSDiscount(C$4,D49,,Triggers!RTDataTrigger)</f>
        <v>#NAME?</v>
      </c>
      <c r="F49" s="44"/>
      <c r="G49" s="33"/>
      <c r="H49" s="49" t="e">
        <f t="shared" ca="1" si="3"/>
        <v>#NAME?</v>
      </c>
      <c r="I49" s="50" t="e">
        <f t="shared" ca="1" si="0"/>
        <v>#NAME?</v>
      </c>
      <c r="K49" s="64"/>
      <c r="M49" s="11" t="e">
        <f ca="1"/>
        <v>#NAME?</v>
      </c>
      <c r="N49" s="12" t="e">
        <f ca="1">_xll.qlYieldTSDiscount(L$4,M49,,Triggers!RTDataTrigger)</f>
        <v>#NAME?</v>
      </c>
      <c r="O49" s="44"/>
      <c r="P49" s="33"/>
      <c r="Q49" s="49" t="e">
        <f t="shared" ca="1" si="4"/>
        <v>#NAME?</v>
      </c>
      <c r="R49" s="50" t="e">
        <f t="shared" ca="1" si="1"/>
        <v>#NAME?</v>
      </c>
      <c r="T49" s="64"/>
      <c r="V49" s="11" t="e">
        <f ca="1"/>
        <v>#NAME?</v>
      </c>
      <c r="W49" s="12" t="e">
        <f ca="1">_xll.qlYieldTSDiscount(U$4,V49,,Triggers!RTDataTrigger)</f>
        <v>#NAME?</v>
      </c>
      <c r="X49" s="44"/>
      <c r="Y49" s="33"/>
      <c r="Z49" s="49" t="e">
        <f t="shared" ca="1" si="5"/>
        <v>#NAME?</v>
      </c>
      <c r="AA49" s="50" t="e">
        <f t="shared" ca="1" si="2"/>
        <v>#NAME?</v>
      </c>
    </row>
    <row r="50" spans="2:27" x14ac:dyDescent="0.2">
      <c r="B50" s="64"/>
      <c r="D50" s="11" t="e">
        <f ca="1"/>
        <v>#NAME?</v>
      </c>
      <c r="E50" s="12" t="e">
        <f ca="1">_xll.qlYieldTSDiscount(C$4,D50,,Triggers!RTDataTrigger)</f>
        <v>#NAME?</v>
      </c>
      <c r="F50" s="44"/>
      <c r="G50" s="33"/>
      <c r="H50" s="49" t="e">
        <f t="shared" ca="1" si="3"/>
        <v>#NAME?</v>
      </c>
      <c r="I50" s="50" t="e">
        <f t="shared" ca="1" si="0"/>
        <v>#NAME?</v>
      </c>
      <c r="K50" s="64"/>
      <c r="M50" s="11" t="e">
        <f ca="1"/>
        <v>#NAME?</v>
      </c>
      <c r="N50" s="12" t="e">
        <f ca="1">_xll.qlYieldTSDiscount(L$4,M50,,Triggers!RTDataTrigger)</f>
        <v>#NAME?</v>
      </c>
      <c r="O50" s="44"/>
      <c r="P50" s="33"/>
      <c r="Q50" s="49" t="e">
        <f t="shared" ca="1" si="4"/>
        <v>#NAME?</v>
      </c>
      <c r="R50" s="50" t="e">
        <f t="shared" ca="1" si="1"/>
        <v>#NAME?</v>
      </c>
      <c r="T50" s="64"/>
      <c r="V50" s="11" t="e">
        <f ca="1"/>
        <v>#NAME?</v>
      </c>
      <c r="W50" s="12" t="e">
        <f ca="1">_xll.qlYieldTSDiscount(U$4,V50,,Triggers!RTDataTrigger)</f>
        <v>#NAME?</v>
      </c>
      <c r="X50" s="44"/>
      <c r="Y50" s="33"/>
      <c r="Z50" s="49" t="e">
        <f t="shared" ca="1" si="5"/>
        <v>#NAME?</v>
      </c>
      <c r="AA50" s="50" t="e">
        <f t="shared" ca="1" si="2"/>
        <v>#NAME?</v>
      </c>
    </row>
    <row r="51" spans="2:27" x14ac:dyDescent="0.2">
      <c r="B51" s="64"/>
      <c r="D51" s="11" t="e">
        <f ca="1"/>
        <v>#NAME?</v>
      </c>
      <c r="E51" s="12" t="e">
        <f ca="1">_xll.qlYieldTSDiscount(C$4,D51,,Triggers!RTDataTrigger)</f>
        <v>#NAME?</v>
      </c>
      <c r="F51" s="44"/>
      <c r="G51" s="33"/>
      <c r="H51" s="49" t="e">
        <f t="shared" ca="1" si="3"/>
        <v>#NAME?</v>
      </c>
      <c r="I51" s="50" t="e">
        <f t="shared" ca="1" si="0"/>
        <v>#NAME?</v>
      </c>
      <c r="K51" s="64"/>
      <c r="M51" s="11" t="e">
        <f ca="1"/>
        <v>#NAME?</v>
      </c>
      <c r="N51" s="12" t="e">
        <f ca="1">_xll.qlYieldTSDiscount(L$4,M51,,Triggers!RTDataTrigger)</f>
        <v>#NAME?</v>
      </c>
      <c r="O51" s="44"/>
      <c r="P51" s="33"/>
      <c r="Q51" s="49" t="e">
        <f t="shared" ca="1" si="4"/>
        <v>#NAME?</v>
      </c>
      <c r="R51" s="50" t="e">
        <f t="shared" ca="1" si="1"/>
        <v>#NAME?</v>
      </c>
      <c r="T51" s="64"/>
      <c r="V51" s="11" t="e">
        <f ca="1"/>
        <v>#NAME?</v>
      </c>
      <c r="W51" s="12" t="e">
        <f ca="1">_xll.qlYieldTSDiscount(U$4,V51,,Triggers!RTDataTrigger)</f>
        <v>#NAME?</v>
      </c>
      <c r="X51" s="44"/>
      <c r="Y51" s="33"/>
      <c r="Z51" s="49" t="e">
        <f t="shared" ca="1" si="5"/>
        <v>#NAME?</v>
      </c>
      <c r="AA51" s="50" t="e">
        <f t="shared" ca="1" si="2"/>
        <v>#NAME?</v>
      </c>
    </row>
    <row r="52" spans="2:27" x14ac:dyDescent="0.2">
      <c r="B52" s="64"/>
      <c r="D52" s="11" t="e">
        <f ca="1"/>
        <v>#NAME?</v>
      </c>
      <c r="E52" s="12" t="e">
        <f ca="1">_xll.qlYieldTSDiscount(C$4,D52,,Triggers!RTDataTrigger)</f>
        <v>#NAME?</v>
      </c>
      <c r="F52" s="44"/>
      <c r="G52" s="33"/>
      <c r="H52" s="49" t="e">
        <f t="shared" ca="1" si="3"/>
        <v>#NAME?</v>
      </c>
      <c r="I52" s="50" t="e">
        <f t="shared" ca="1" si="0"/>
        <v>#NAME?</v>
      </c>
      <c r="K52" s="64"/>
      <c r="M52" s="11" t="e">
        <f ca="1"/>
        <v>#NAME?</v>
      </c>
      <c r="N52" s="12" t="e">
        <f ca="1">_xll.qlYieldTSDiscount(L$4,M52,,Triggers!RTDataTrigger)</f>
        <v>#NAME?</v>
      </c>
      <c r="O52" s="44"/>
      <c r="P52" s="33"/>
      <c r="Q52" s="49" t="e">
        <f t="shared" ca="1" si="4"/>
        <v>#NAME?</v>
      </c>
      <c r="R52" s="50" t="e">
        <f t="shared" ca="1" si="1"/>
        <v>#NAME?</v>
      </c>
      <c r="T52" s="64"/>
      <c r="V52" s="11" t="e">
        <f ca="1"/>
        <v>#NAME?</v>
      </c>
      <c r="W52" s="12" t="e">
        <f ca="1">_xll.qlYieldTSDiscount(U$4,V52,,Triggers!RTDataTrigger)</f>
        <v>#NAME?</v>
      </c>
      <c r="X52" s="44"/>
      <c r="Y52" s="33"/>
      <c r="Z52" s="49" t="e">
        <f t="shared" ca="1" si="5"/>
        <v>#NAME?</v>
      </c>
      <c r="AA52" s="50" t="e">
        <f t="shared" ca="1" si="2"/>
        <v>#NAME?</v>
      </c>
    </row>
    <row r="53" spans="2:27" x14ac:dyDescent="0.2">
      <c r="B53" s="64"/>
      <c r="D53" s="11" t="e">
        <f ca="1"/>
        <v>#NAME?</v>
      </c>
      <c r="E53" s="12" t="e">
        <f ca="1">_xll.qlYieldTSDiscount(C$4,D53,,Triggers!RTDataTrigger)</f>
        <v>#NAME?</v>
      </c>
      <c r="F53" s="44"/>
      <c r="G53" s="33"/>
      <c r="H53" s="49" t="e">
        <f t="shared" ca="1" si="3"/>
        <v>#NAME?</v>
      </c>
      <c r="I53" s="50" t="e">
        <f t="shared" ca="1" si="0"/>
        <v>#NAME?</v>
      </c>
      <c r="K53" s="64"/>
      <c r="M53" s="11" t="e">
        <f ca="1"/>
        <v>#NAME?</v>
      </c>
      <c r="N53" s="12" t="e">
        <f ca="1">_xll.qlYieldTSDiscount(L$4,M53,,Triggers!RTDataTrigger)</f>
        <v>#NAME?</v>
      </c>
      <c r="O53" s="44"/>
      <c r="P53" s="33"/>
      <c r="Q53" s="49" t="e">
        <f t="shared" ca="1" si="4"/>
        <v>#NAME?</v>
      </c>
      <c r="R53" s="50" t="e">
        <f t="shared" ca="1" si="1"/>
        <v>#NAME?</v>
      </c>
      <c r="T53" s="64"/>
      <c r="V53" s="11" t="e">
        <f ca="1"/>
        <v>#NAME?</v>
      </c>
      <c r="W53" s="12" t="e">
        <f ca="1">_xll.qlYieldTSDiscount(U$4,V53,,Triggers!RTDataTrigger)</f>
        <v>#NAME?</v>
      </c>
      <c r="X53" s="44"/>
      <c r="Y53" s="33"/>
      <c r="Z53" s="49" t="e">
        <f t="shared" ca="1" si="5"/>
        <v>#NAME?</v>
      </c>
      <c r="AA53" s="50" t="e">
        <f t="shared" ca="1" si="2"/>
        <v>#NAME?</v>
      </c>
    </row>
    <row r="54" spans="2:27" x14ac:dyDescent="0.2">
      <c r="B54" s="64"/>
      <c r="D54" s="11" t="e">
        <f ca="1"/>
        <v>#NAME?</v>
      </c>
      <c r="E54" s="12" t="e">
        <f ca="1">_xll.qlYieldTSDiscount(C$4,D54,,Triggers!RTDataTrigger)</f>
        <v>#NAME?</v>
      </c>
      <c r="F54" s="44"/>
      <c r="G54" s="33"/>
      <c r="H54" s="49" t="e">
        <f t="shared" ca="1" si="3"/>
        <v>#NAME?</v>
      </c>
      <c r="I54" s="50" t="e">
        <f t="shared" ca="1" si="0"/>
        <v>#NAME?</v>
      </c>
      <c r="K54" s="64"/>
      <c r="M54" s="11" t="e">
        <f ca="1"/>
        <v>#NAME?</v>
      </c>
      <c r="N54" s="12" t="e">
        <f ca="1">_xll.qlYieldTSDiscount(L$4,M54,,Triggers!RTDataTrigger)</f>
        <v>#NAME?</v>
      </c>
      <c r="O54" s="44"/>
      <c r="P54" s="33"/>
      <c r="Q54" s="49" t="e">
        <f t="shared" ca="1" si="4"/>
        <v>#NAME?</v>
      </c>
      <c r="R54" s="50" t="e">
        <f t="shared" ca="1" si="1"/>
        <v>#NAME?</v>
      </c>
      <c r="T54" s="64"/>
      <c r="V54" s="11" t="e">
        <f ca="1"/>
        <v>#NAME?</v>
      </c>
      <c r="W54" s="12" t="e">
        <f ca="1">_xll.qlYieldTSDiscount(U$4,V54,,Triggers!RTDataTrigger)</f>
        <v>#NAME?</v>
      </c>
      <c r="X54" s="44"/>
      <c r="Y54" s="33"/>
      <c r="Z54" s="49" t="e">
        <f t="shared" ca="1" si="5"/>
        <v>#NAME?</v>
      </c>
      <c r="AA54" s="50" t="e">
        <f t="shared" ca="1" si="2"/>
        <v>#NAME?</v>
      </c>
    </row>
    <row r="55" spans="2:27" x14ac:dyDescent="0.2">
      <c r="B55" s="64"/>
      <c r="D55" s="11" t="e">
        <f ca="1"/>
        <v>#NAME?</v>
      </c>
      <c r="E55" s="12" t="e">
        <f ca="1">_xll.qlYieldTSDiscount(C$4,D55,,Triggers!RTDataTrigger)</f>
        <v>#NAME?</v>
      </c>
      <c r="F55" s="44"/>
      <c r="G55" s="33"/>
      <c r="H55" s="49" t="e">
        <f t="shared" ca="1" si="3"/>
        <v>#NAME?</v>
      </c>
      <c r="I55" s="50" t="e">
        <f t="shared" ca="1" si="0"/>
        <v>#NAME?</v>
      </c>
      <c r="K55" s="64"/>
      <c r="M55" s="11" t="e">
        <f ca="1"/>
        <v>#NAME?</v>
      </c>
      <c r="N55" s="12" t="e">
        <f ca="1">_xll.qlYieldTSDiscount(L$4,M55,,Triggers!RTDataTrigger)</f>
        <v>#NAME?</v>
      </c>
      <c r="O55" s="44"/>
      <c r="P55" s="33"/>
      <c r="Q55" s="49" t="e">
        <f t="shared" ca="1" si="4"/>
        <v>#NAME?</v>
      </c>
      <c r="R55" s="50" t="e">
        <f t="shared" ca="1" si="1"/>
        <v>#NAME?</v>
      </c>
      <c r="T55" s="64"/>
      <c r="V55" s="11" t="e">
        <f ca="1"/>
        <v>#NAME?</v>
      </c>
      <c r="W55" s="12" t="e">
        <f ca="1">_xll.qlYieldTSDiscount(U$4,V55,,Triggers!RTDataTrigger)</f>
        <v>#NAME?</v>
      </c>
      <c r="X55" s="44"/>
      <c r="Y55" s="33"/>
      <c r="Z55" s="49" t="e">
        <f t="shared" ca="1" si="5"/>
        <v>#NAME?</v>
      </c>
      <c r="AA55" s="50" t="e">
        <f t="shared" ca="1" si="2"/>
        <v>#NAME?</v>
      </c>
    </row>
    <row r="56" spans="2:27" x14ac:dyDescent="0.2">
      <c r="B56" s="64"/>
      <c r="D56" s="11" t="e">
        <f ca="1"/>
        <v>#NAME?</v>
      </c>
      <c r="E56" s="12" t="e">
        <f ca="1">_xll.qlYieldTSDiscount(C$4,D56,,Triggers!RTDataTrigger)</f>
        <v>#NAME?</v>
      </c>
      <c r="F56" s="44"/>
      <c r="G56" s="33"/>
      <c r="H56" s="49" t="e">
        <f t="shared" ca="1" si="3"/>
        <v>#NAME?</v>
      </c>
      <c r="I56" s="50" t="e">
        <f t="shared" ca="1" si="0"/>
        <v>#NAME?</v>
      </c>
      <c r="K56" s="64"/>
      <c r="M56" s="11" t="e">
        <f ca="1"/>
        <v>#NAME?</v>
      </c>
      <c r="N56" s="12" t="e">
        <f ca="1">_xll.qlYieldTSDiscount(L$4,M56,,Triggers!RTDataTrigger)</f>
        <v>#NAME?</v>
      </c>
      <c r="O56" s="44"/>
      <c r="P56" s="33"/>
      <c r="Q56" s="49" t="e">
        <f t="shared" ca="1" si="4"/>
        <v>#NAME?</v>
      </c>
      <c r="R56" s="50" t="e">
        <f t="shared" ca="1" si="1"/>
        <v>#NAME?</v>
      </c>
      <c r="T56" s="64"/>
      <c r="V56" s="11" t="e">
        <f ca="1"/>
        <v>#NAME?</v>
      </c>
      <c r="W56" s="12" t="e">
        <f ca="1">_xll.qlYieldTSDiscount(U$4,V56,,Triggers!RTDataTrigger)</f>
        <v>#NAME?</v>
      </c>
      <c r="X56" s="44"/>
      <c r="Y56" s="33"/>
      <c r="Z56" s="49" t="e">
        <f t="shared" ca="1" si="5"/>
        <v>#NAME?</v>
      </c>
      <c r="AA56" s="50" t="e">
        <f t="shared" ca="1" si="2"/>
        <v>#NAME?</v>
      </c>
    </row>
    <row r="57" spans="2:27" x14ac:dyDescent="0.2">
      <c r="D57" s="11" t="e">
        <f ca="1"/>
        <v>#NAME?</v>
      </c>
      <c r="E57" s="12" t="e">
        <f ca="1">_xll.qlYieldTSDiscount(C$4,D57,,Triggers!RTDataTrigger)</f>
        <v>#NAME?</v>
      </c>
      <c r="F57" s="44"/>
      <c r="G57" s="33"/>
      <c r="H57" s="49" t="e">
        <f t="shared" ca="1" si="3"/>
        <v>#NAME?</v>
      </c>
      <c r="I57" s="50" t="e">
        <f t="shared" ca="1" si="0"/>
        <v>#NAME?</v>
      </c>
      <c r="K57" s="64"/>
      <c r="M57" s="11" t="e">
        <f ca="1"/>
        <v>#NAME?</v>
      </c>
      <c r="N57" s="12" t="e">
        <f ca="1">_xll.qlYieldTSDiscount(L$4,M57,,Triggers!RTDataTrigger)</f>
        <v>#NAME?</v>
      </c>
      <c r="O57" s="44"/>
      <c r="P57" s="33"/>
      <c r="Q57" s="49" t="e">
        <f t="shared" ca="1" si="4"/>
        <v>#NAME?</v>
      </c>
      <c r="R57" s="50" t="e">
        <f t="shared" ca="1" si="1"/>
        <v>#NAME?</v>
      </c>
      <c r="T57" s="64"/>
      <c r="V57" s="11" t="e">
        <f ca="1"/>
        <v>#NAME?</v>
      </c>
      <c r="W57" s="12" t="e">
        <f ca="1">_xll.qlYieldTSDiscount(U$4,V57,,Triggers!RTDataTrigger)</f>
        <v>#NAME?</v>
      </c>
      <c r="X57" s="44"/>
      <c r="Y57" s="33"/>
      <c r="Z57" s="49" t="e">
        <f t="shared" ca="1" si="5"/>
        <v>#NAME?</v>
      </c>
      <c r="AA57" s="50" t="e">
        <f t="shared" ca="1" si="2"/>
        <v>#NAME?</v>
      </c>
    </row>
    <row r="58" spans="2:27" x14ac:dyDescent="0.2">
      <c r="D58" s="11" t="e">
        <f ca="1"/>
        <v>#NAME?</v>
      </c>
      <c r="E58" s="12" t="e">
        <f ca="1">_xll.qlYieldTSDiscount(C$4,D58,,Triggers!RTDataTrigger)</f>
        <v>#NAME?</v>
      </c>
      <c r="F58" s="44"/>
      <c r="G58" s="33"/>
      <c r="H58" s="49" t="e">
        <f t="shared" ca="1" si="3"/>
        <v>#NAME?</v>
      </c>
      <c r="I58" s="50" t="e">
        <f t="shared" ca="1" si="0"/>
        <v>#NAME?</v>
      </c>
      <c r="K58" s="64"/>
      <c r="M58" s="11" t="e">
        <f ca="1"/>
        <v>#NAME?</v>
      </c>
      <c r="N58" s="12" t="e">
        <f ca="1">_xll.qlYieldTSDiscount(L$4,M58,,Triggers!RTDataTrigger)</f>
        <v>#NAME?</v>
      </c>
      <c r="O58" s="44"/>
      <c r="P58" s="33"/>
      <c r="Q58" s="49" t="e">
        <f t="shared" ca="1" si="4"/>
        <v>#NAME?</v>
      </c>
      <c r="R58" s="50" t="e">
        <f t="shared" ca="1" si="1"/>
        <v>#NAME?</v>
      </c>
      <c r="T58" s="64"/>
      <c r="V58" s="11" t="e">
        <f ca="1"/>
        <v>#NAME?</v>
      </c>
      <c r="W58" s="12" t="e">
        <f ca="1">_xll.qlYieldTSDiscount(U$4,V58,,Triggers!RTDataTrigger)</f>
        <v>#NAME?</v>
      </c>
      <c r="X58" s="44"/>
      <c r="Y58" s="33"/>
      <c r="Z58" s="49" t="e">
        <f t="shared" ca="1" si="5"/>
        <v>#NAME?</v>
      </c>
      <c r="AA58" s="50" t="e">
        <f t="shared" ca="1" si="2"/>
        <v>#NAME?</v>
      </c>
    </row>
    <row r="59" spans="2:27" x14ac:dyDescent="0.2">
      <c r="D59" s="11" t="e">
        <f ca="1"/>
        <v>#NAME?</v>
      </c>
      <c r="E59" s="12" t="e">
        <f ca="1">_xll.qlYieldTSDiscount(C$4,D59,,Triggers!RTDataTrigger)</f>
        <v>#NAME?</v>
      </c>
      <c r="F59" s="44"/>
      <c r="G59" s="33"/>
      <c r="H59" s="49" t="e">
        <f t="shared" ca="1" si="3"/>
        <v>#NAME?</v>
      </c>
      <c r="I59" s="50" t="e">
        <f t="shared" ca="1" si="0"/>
        <v>#NAME?</v>
      </c>
      <c r="K59" s="64"/>
      <c r="M59" s="11" t="e">
        <f ca="1"/>
        <v>#NAME?</v>
      </c>
      <c r="N59" s="12" t="e">
        <f ca="1">_xll.qlYieldTSDiscount(L$4,M59,,Triggers!RTDataTrigger)</f>
        <v>#NAME?</v>
      </c>
      <c r="O59" s="44"/>
      <c r="P59" s="33"/>
      <c r="Q59" s="49" t="e">
        <f t="shared" ca="1" si="4"/>
        <v>#NAME?</v>
      </c>
      <c r="R59" s="50" t="e">
        <f t="shared" ca="1" si="1"/>
        <v>#NAME?</v>
      </c>
      <c r="T59" s="64"/>
      <c r="V59" s="11" t="e">
        <f ca="1"/>
        <v>#NAME?</v>
      </c>
      <c r="W59" s="12" t="e">
        <f ca="1">_xll.qlYieldTSDiscount(U$4,V59,,Triggers!RTDataTrigger)</f>
        <v>#NAME?</v>
      </c>
      <c r="X59" s="44"/>
      <c r="Y59" s="33"/>
      <c r="Z59" s="49" t="e">
        <f t="shared" ca="1" si="5"/>
        <v>#NAME?</v>
      </c>
      <c r="AA59" s="50" t="e">
        <f t="shared" ca="1" si="2"/>
        <v>#NAME?</v>
      </c>
    </row>
    <row r="60" spans="2:27" x14ac:dyDescent="0.2">
      <c r="D60" s="11" t="e">
        <f ca="1"/>
        <v>#NAME?</v>
      </c>
      <c r="E60" s="12" t="e">
        <f ca="1">_xll.qlYieldTSDiscount(C$4,D60,,Triggers!RTDataTrigger)</f>
        <v>#NAME?</v>
      </c>
      <c r="F60" s="44"/>
      <c r="G60" s="33"/>
      <c r="H60" s="49" t="e">
        <f t="shared" ca="1" si="3"/>
        <v>#NAME?</v>
      </c>
      <c r="I60" s="50" t="e">
        <f t="shared" ca="1" si="0"/>
        <v>#NAME?</v>
      </c>
      <c r="K60" s="64"/>
      <c r="M60" s="11" t="e">
        <f ca="1"/>
        <v>#NAME?</v>
      </c>
      <c r="N60" s="12" t="e">
        <f ca="1">_xll.qlYieldTSDiscount(L$4,M60,,Triggers!RTDataTrigger)</f>
        <v>#NAME?</v>
      </c>
      <c r="O60" s="44"/>
      <c r="P60" s="33"/>
      <c r="Q60" s="49" t="e">
        <f t="shared" ca="1" si="4"/>
        <v>#NAME?</v>
      </c>
      <c r="R60" s="50" t="e">
        <f t="shared" ca="1" si="1"/>
        <v>#NAME?</v>
      </c>
      <c r="T60" s="64"/>
      <c r="V60" s="11" t="e">
        <f ca="1"/>
        <v>#NAME?</v>
      </c>
      <c r="W60" s="12" t="e">
        <f ca="1">_xll.qlYieldTSDiscount(U$4,V60,,Triggers!RTDataTrigger)</f>
        <v>#NAME?</v>
      </c>
      <c r="X60" s="44"/>
      <c r="Y60" s="33"/>
      <c r="Z60" s="49" t="e">
        <f t="shared" ca="1" si="5"/>
        <v>#NAME?</v>
      </c>
      <c r="AA60" s="50" t="e">
        <f t="shared" ca="1" si="2"/>
        <v>#NAME?</v>
      </c>
    </row>
    <row r="61" spans="2:27" x14ac:dyDescent="0.2">
      <c r="D61" s="11" t="e">
        <f ca="1"/>
        <v>#NAME?</v>
      </c>
      <c r="E61" s="12" t="e">
        <f ca="1">_xll.qlYieldTSDiscount(C$4,D61,,Triggers!RTDataTrigger)</f>
        <v>#NAME?</v>
      </c>
      <c r="F61" s="44"/>
      <c r="G61" s="33"/>
      <c r="H61" s="49" t="e">
        <f t="shared" ca="1" si="3"/>
        <v>#NAME?</v>
      </c>
      <c r="I61" s="50" t="e">
        <f t="shared" ca="1" si="0"/>
        <v>#NAME?</v>
      </c>
      <c r="K61" s="64"/>
      <c r="M61" s="11" t="e">
        <f ca="1"/>
        <v>#NAME?</v>
      </c>
      <c r="N61" s="12" t="e">
        <f ca="1">_xll.qlYieldTSDiscount(L$4,M61,,Triggers!RTDataTrigger)</f>
        <v>#NAME?</v>
      </c>
      <c r="O61" s="44"/>
      <c r="P61" s="33"/>
      <c r="Q61" s="49" t="e">
        <f t="shared" ca="1" si="4"/>
        <v>#NAME?</v>
      </c>
      <c r="R61" s="50" t="e">
        <f t="shared" ca="1" si="1"/>
        <v>#NAME?</v>
      </c>
      <c r="T61" s="64"/>
      <c r="V61" s="11" t="e">
        <f ca="1"/>
        <v>#NAME?</v>
      </c>
      <c r="W61" s="12" t="e">
        <f ca="1">_xll.qlYieldTSDiscount(U$4,V61,,Triggers!RTDataTrigger)</f>
        <v>#NAME?</v>
      </c>
      <c r="X61" s="44"/>
      <c r="Y61" s="33"/>
      <c r="Z61" s="49" t="e">
        <f t="shared" ca="1" si="5"/>
        <v>#NAME?</v>
      </c>
      <c r="AA61" s="50" t="e">
        <f t="shared" ca="1" si="2"/>
        <v>#NAME?</v>
      </c>
    </row>
    <row r="62" spans="2:27" x14ac:dyDescent="0.2">
      <c r="D62" s="11" t="e">
        <f ca="1"/>
        <v>#NAME?</v>
      </c>
      <c r="E62" s="12" t="e">
        <f ca="1">_xll.qlYieldTSDiscount(C$4,D62,,Triggers!RTDataTrigger)</f>
        <v>#NAME?</v>
      </c>
      <c r="F62" s="44"/>
      <c r="G62" s="33"/>
      <c r="H62" s="49" t="e">
        <f t="shared" ca="1" si="3"/>
        <v>#NAME?</v>
      </c>
      <c r="I62" s="50" t="e">
        <f t="shared" ca="1" si="0"/>
        <v>#NAME?</v>
      </c>
      <c r="K62" s="64"/>
      <c r="M62" s="11" t="e">
        <f ca="1"/>
        <v>#NAME?</v>
      </c>
      <c r="N62" s="12" t="e">
        <f ca="1">_xll.qlYieldTSDiscount(L$4,M62,,Triggers!RTDataTrigger)</f>
        <v>#NAME?</v>
      </c>
      <c r="O62" s="44"/>
      <c r="P62" s="33"/>
      <c r="Q62" s="49" t="e">
        <f t="shared" ca="1" si="4"/>
        <v>#NAME?</v>
      </c>
      <c r="R62" s="50" t="e">
        <f t="shared" ca="1" si="1"/>
        <v>#NAME?</v>
      </c>
      <c r="T62" s="64"/>
      <c r="V62" s="11" t="e">
        <f ca="1"/>
        <v>#NAME?</v>
      </c>
      <c r="W62" s="12" t="e">
        <f ca="1">_xll.qlYieldTSDiscount(U$4,V62,,Triggers!RTDataTrigger)</f>
        <v>#NAME?</v>
      </c>
      <c r="X62" s="44"/>
      <c r="Y62" s="33"/>
      <c r="Z62" s="49" t="e">
        <f t="shared" ca="1" si="5"/>
        <v>#NAME?</v>
      </c>
      <c r="AA62" s="50" t="e">
        <f t="shared" ca="1" si="2"/>
        <v>#NAME?</v>
      </c>
    </row>
    <row r="63" spans="2:27" x14ac:dyDescent="0.2">
      <c r="D63" s="11" t="e">
        <f ca="1"/>
        <v>#NAME?</v>
      </c>
      <c r="E63" s="12" t="e">
        <f ca="1">_xll.qlYieldTSDiscount(C$4,D63,,Triggers!RTDataTrigger)</f>
        <v>#NAME?</v>
      </c>
      <c r="F63" s="44"/>
      <c r="G63" s="33"/>
      <c r="H63" s="49" t="e">
        <f t="shared" ca="1" si="3"/>
        <v>#NAME?</v>
      </c>
      <c r="I63" s="50" t="e">
        <f t="shared" ca="1" si="0"/>
        <v>#NAME?</v>
      </c>
      <c r="K63" s="64"/>
      <c r="M63" s="11" t="e">
        <f ca="1"/>
        <v>#NAME?</v>
      </c>
      <c r="N63" s="12" t="e">
        <f ca="1">_xll.qlYieldTSDiscount(L$4,M63,,Triggers!RTDataTrigger)</f>
        <v>#NAME?</v>
      </c>
      <c r="O63" s="44"/>
      <c r="P63" s="33"/>
      <c r="Q63" s="49" t="e">
        <f t="shared" ca="1" si="4"/>
        <v>#NAME?</v>
      </c>
      <c r="R63" s="50" t="e">
        <f t="shared" ca="1" si="1"/>
        <v>#NAME?</v>
      </c>
      <c r="T63" s="64"/>
      <c r="V63" s="11" t="e">
        <f ca="1"/>
        <v>#NAME?</v>
      </c>
      <c r="W63" s="12" t="e">
        <f ca="1">_xll.qlYieldTSDiscount(U$4,V63,,Triggers!RTDataTrigger)</f>
        <v>#NAME?</v>
      </c>
      <c r="X63" s="44"/>
      <c r="Y63" s="33"/>
      <c r="Z63" s="49" t="e">
        <f t="shared" ca="1" si="5"/>
        <v>#NAME?</v>
      </c>
      <c r="AA63" s="50" t="e">
        <f t="shared" ca="1" si="2"/>
        <v>#NAME?</v>
      </c>
    </row>
    <row r="64" spans="2:27" x14ac:dyDescent="0.2">
      <c r="D64" s="11" t="e">
        <f ca="1"/>
        <v>#NAME?</v>
      </c>
      <c r="E64" s="12" t="e">
        <f ca="1">_xll.qlYieldTSDiscount(C$4,D64,,Triggers!RTDataTrigger)</f>
        <v>#NAME?</v>
      </c>
      <c r="F64" s="44"/>
      <c r="G64" s="33"/>
      <c r="H64" s="49" t="e">
        <f t="shared" ca="1" si="3"/>
        <v>#NAME?</v>
      </c>
      <c r="I64" s="50" t="e">
        <f t="shared" ca="1" si="0"/>
        <v>#NAME?</v>
      </c>
      <c r="K64" s="64"/>
      <c r="M64" s="11" t="e">
        <f ca="1"/>
        <v>#NAME?</v>
      </c>
      <c r="N64" s="12" t="e">
        <f ca="1">_xll.qlYieldTSDiscount(L$4,M64,,Triggers!RTDataTrigger)</f>
        <v>#NAME?</v>
      </c>
      <c r="O64" s="44"/>
      <c r="P64" s="33"/>
      <c r="Q64" s="49" t="e">
        <f t="shared" ca="1" si="4"/>
        <v>#NAME?</v>
      </c>
      <c r="R64" s="50" t="e">
        <f t="shared" ca="1" si="1"/>
        <v>#NAME?</v>
      </c>
      <c r="T64" s="64"/>
      <c r="V64" s="11" t="e">
        <f ca="1"/>
        <v>#NAME?</v>
      </c>
      <c r="W64" s="12" t="e">
        <f ca="1">_xll.qlYieldTSDiscount(U$4,V64,,Triggers!RTDataTrigger)</f>
        <v>#NAME?</v>
      </c>
      <c r="X64" s="44"/>
      <c r="Y64" s="33"/>
      <c r="Z64" s="49" t="e">
        <f t="shared" ca="1" si="5"/>
        <v>#NAME?</v>
      </c>
      <c r="AA64" s="50" t="e">
        <f t="shared" ca="1" si="2"/>
        <v>#NAME?</v>
      </c>
    </row>
    <row r="65" spans="4:27" x14ac:dyDescent="0.2">
      <c r="D65" s="11" t="e">
        <f ca="1"/>
        <v>#NAME?</v>
      </c>
      <c r="E65" s="12" t="e">
        <f ca="1">_xll.qlYieldTSDiscount(C$4,D65,,Triggers!RTDataTrigger)</f>
        <v>#NAME?</v>
      </c>
      <c r="F65" s="44"/>
      <c r="G65" s="33"/>
      <c r="H65" s="49" t="e">
        <f t="shared" ca="1" si="3"/>
        <v>#NAME?</v>
      </c>
      <c r="I65" s="50" t="e">
        <f t="shared" ca="1" si="0"/>
        <v>#NAME?</v>
      </c>
      <c r="K65" s="64"/>
      <c r="M65" s="11" t="e">
        <f ca="1"/>
        <v>#NAME?</v>
      </c>
      <c r="N65" s="12" t="e">
        <f ca="1">_xll.qlYieldTSDiscount(L$4,M65,,Triggers!RTDataTrigger)</f>
        <v>#NAME?</v>
      </c>
      <c r="O65" s="44"/>
      <c r="P65" s="33"/>
      <c r="Q65" s="49" t="e">
        <f t="shared" ca="1" si="4"/>
        <v>#NAME?</v>
      </c>
      <c r="R65" s="50" t="e">
        <f t="shared" ca="1" si="1"/>
        <v>#NAME?</v>
      </c>
      <c r="T65" s="64"/>
      <c r="V65" s="11" t="e">
        <f ca="1"/>
        <v>#NAME?</v>
      </c>
      <c r="W65" s="12" t="e">
        <f ca="1">_xll.qlYieldTSDiscount(U$4,V65,,Triggers!RTDataTrigger)</f>
        <v>#NAME?</v>
      </c>
      <c r="X65" s="44"/>
      <c r="Y65" s="33"/>
      <c r="Z65" s="49" t="e">
        <f t="shared" ca="1" si="5"/>
        <v>#NAME?</v>
      </c>
      <c r="AA65" s="50" t="e">
        <f t="shared" ca="1" si="2"/>
        <v>#NAME?</v>
      </c>
    </row>
    <row r="66" spans="4:27" x14ac:dyDescent="0.2">
      <c r="D66" s="11" t="e">
        <f ca="1"/>
        <v>#NAME?</v>
      </c>
      <c r="E66" s="12" t="e">
        <f ca="1">_xll.qlYieldTSDiscount(C$4,D66,,Triggers!RTDataTrigger)</f>
        <v>#NAME?</v>
      </c>
      <c r="F66" s="44"/>
      <c r="G66" s="33"/>
      <c r="H66" s="49" t="e">
        <f t="shared" ca="1" si="3"/>
        <v>#NAME?</v>
      </c>
      <c r="I66" s="50" t="e">
        <f t="shared" ca="1" si="0"/>
        <v>#NAME?</v>
      </c>
      <c r="K66" s="64"/>
      <c r="M66" s="11" t="e">
        <f ca="1"/>
        <v>#NAME?</v>
      </c>
      <c r="N66" s="12" t="e">
        <f ca="1">_xll.qlYieldTSDiscount(L$4,M66,,Triggers!RTDataTrigger)</f>
        <v>#NAME?</v>
      </c>
      <c r="O66" s="44"/>
      <c r="P66" s="33"/>
      <c r="Q66" s="49" t="e">
        <f t="shared" ca="1" si="4"/>
        <v>#NAME?</v>
      </c>
      <c r="R66" s="50" t="e">
        <f t="shared" ca="1" si="1"/>
        <v>#NAME?</v>
      </c>
      <c r="T66" s="64"/>
      <c r="V66" s="11" t="e">
        <f ca="1"/>
        <v>#NAME?</v>
      </c>
      <c r="W66" s="12" t="e">
        <f ca="1">_xll.qlYieldTSDiscount(U$4,V66,,Triggers!RTDataTrigger)</f>
        <v>#NAME?</v>
      </c>
      <c r="X66" s="44"/>
      <c r="Y66" s="33"/>
      <c r="Z66" s="49" t="e">
        <f t="shared" ca="1" si="5"/>
        <v>#NAME?</v>
      </c>
      <c r="AA66" s="50" t="e">
        <f t="shared" ca="1" si="2"/>
        <v>#NAME?</v>
      </c>
    </row>
    <row r="67" spans="4:27" x14ac:dyDescent="0.2">
      <c r="D67" s="11" t="e">
        <f ca="1"/>
        <v>#NAME?</v>
      </c>
      <c r="E67" s="12" t="e">
        <f ca="1">_xll.qlYieldTSDiscount(C$4,D67,,Triggers!RTDataTrigger)</f>
        <v>#NAME?</v>
      </c>
      <c r="F67" s="44"/>
      <c r="G67" s="33"/>
      <c r="H67" s="49" t="e">
        <f t="shared" ca="1" si="3"/>
        <v>#NAME?</v>
      </c>
      <c r="I67" s="50" t="e">
        <f t="shared" ca="1" si="0"/>
        <v>#NAME?</v>
      </c>
      <c r="K67" s="64"/>
      <c r="M67" s="11" t="e">
        <f ca="1"/>
        <v>#NAME?</v>
      </c>
      <c r="N67" s="12" t="e">
        <f ca="1">_xll.qlYieldTSDiscount(L$4,M67,,Triggers!RTDataTrigger)</f>
        <v>#NAME?</v>
      </c>
      <c r="O67" s="44"/>
      <c r="P67" s="33"/>
      <c r="Q67" s="49" t="e">
        <f t="shared" ca="1" si="4"/>
        <v>#NAME?</v>
      </c>
      <c r="R67" s="50" t="e">
        <f t="shared" ca="1" si="1"/>
        <v>#NAME?</v>
      </c>
      <c r="T67" s="64"/>
      <c r="V67" s="11" t="e">
        <f ca="1"/>
        <v>#NAME?</v>
      </c>
      <c r="W67" s="12" t="e">
        <f ca="1">_xll.qlYieldTSDiscount(U$4,V67,,Triggers!RTDataTrigger)</f>
        <v>#NAME?</v>
      </c>
      <c r="X67" s="44"/>
      <c r="Y67" s="33"/>
      <c r="Z67" s="49" t="e">
        <f t="shared" ca="1" si="5"/>
        <v>#NAME?</v>
      </c>
      <c r="AA67" s="50" t="e">
        <f t="shared" ca="1" si="2"/>
        <v>#NAME?</v>
      </c>
    </row>
    <row r="68" spans="4:27" x14ac:dyDescent="0.2">
      <c r="D68" s="11" t="e">
        <f ca="1"/>
        <v>#NAME?</v>
      </c>
      <c r="E68" s="12" t="e">
        <f ca="1">_xll.qlYieldTSDiscount(C$4,D68,,Triggers!RTDataTrigger)</f>
        <v>#NAME?</v>
      </c>
      <c r="F68" s="44"/>
      <c r="G68" s="33"/>
      <c r="H68" s="49" t="e">
        <f t="shared" ca="1" si="3"/>
        <v>#NAME?</v>
      </c>
      <c r="I68" s="50" t="e">
        <f t="shared" ca="1" si="3"/>
        <v>#NAME?</v>
      </c>
      <c r="K68" s="64"/>
      <c r="M68" s="11" t="e">
        <f ca="1"/>
        <v>#NAME?</v>
      </c>
      <c r="N68" s="12" t="e">
        <f ca="1">_xll.qlYieldTSDiscount(L$4,M68,,Triggers!RTDataTrigger)</f>
        <v>#NAME?</v>
      </c>
      <c r="O68" s="44"/>
      <c r="P68" s="33"/>
      <c r="Q68" s="49" t="e">
        <f t="shared" ca="1" si="4"/>
        <v>#NAME?</v>
      </c>
      <c r="R68" s="50" t="e">
        <f t="shared" ca="1" si="4"/>
        <v>#NAME?</v>
      </c>
      <c r="T68" s="64"/>
      <c r="V68" s="11" t="e">
        <f ca="1"/>
        <v>#NAME?</v>
      </c>
      <c r="W68" s="12" t="e">
        <f ca="1">_xll.qlYieldTSDiscount(U$4,V68,,Triggers!RTDataTrigger)</f>
        <v>#NAME?</v>
      </c>
      <c r="X68" s="44"/>
      <c r="Y68" s="33"/>
      <c r="Z68" s="49" t="e">
        <f t="shared" ca="1" si="5"/>
        <v>#NAME?</v>
      </c>
      <c r="AA68" s="50" t="e">
        <f t="shared" ca="1" si="5"/>
        <v>#NAME?</v>
      </c>
    </row>
    <row r="69" spans="4:27" x14ac:dyDescent="0.2">
      <c r="D69" s="11" t="e">
        <f ca="1"/>
        <v>#NAME?</v>
      </c>
      <c r="E69" s="12" t="e">
        <f ca="1">_xll.qlYieldTSDiscount(C$4,D69,,Triggers!RTDataTrigger)</f>
        <v>#NAME?</v>
      </c>
      <c r="F69" s="44"/>
      <c r="G69" s="33"/>
      <c r="H69" s="49" t="e">
        <f t="shared" ref="H69:I93" ca="1" si="6">IF(ISBLANK(F69),D69,F69)</f>
        <v>#NAME?</v>
      </c>
      <c r="I69" s="50" t="e">
        <f t="shared" ca="1" si="6"/>
        <v>#NAME?</v>
      </c>
      <c r="K69" s="64"/>
      <c r="M69" s="11" t="e">
        <f ca="1"/>
        <v>#NAME?</v>
      </c>
      <c r="N69" s="12" t="e">
        <f ca="1">_xll.qlYieldTSDiscount(L$4,M69,,Triggers!RTDataTrigger)</f>
        <v>#NAME?</v>
      </c>
      <c r="O69" s="44"/>
      <c r="P69" s="33"/>
      <c r="Q69" s="49" t="e">
        <f t="shared" ref="Q69:R93" ca="1" si="7">IF(ISBLANK(O69),M69,O69)</f>
        <v>#NAME?</v>
      </c>
      <c r="R69" s="50" t="e">
        <f t="shared" ca="1" si="7"/>
        <v>#NAME?</v>
      </c>
      <c r="T69" s="64"/>
      <c r="V69" s="11" t="e">
        <f ca="1"/>
        <v>#NAME?</v>
      </c>
      <c r="W69" s="12" t="e">
        <f ca="1">_xll.qlYieldTSDiscount(U$4,V69,,Triggers!RTDataTrigger)</f>
        <v>#NAME?</v>
      </c>
      <c r="X69" s="44"/>
      <c r="Y69" s="33"/>
      <c r="Z69" s="49" t="e">
        <f t="shared" ref="Z69:AA93" ca="1" si="8">IF(ISBLANK(X69),V69,X69)</f>
        <v>#NAME?</v>
      </c>
      <c r="AA69" s="50" t="e">
        <f t="shared" ca="1" si="8"/>
        <v>#NAME?</v>
      </c>
    </row>
    <row r="70" spans="4:27" x14ac:dyDescent="0.2">
      <c r="D70" s="11" t="e">
        <f ca="1"/>
        <v>#NAME?</v>
      </c>
      <c r="E70" s="12" t="e">
        <f ca="1">_xll.qlYieldTSDiscount(C$4,D70,,Triggers!RTDataTrigger)</f>
        <v>#NAME?</v>
      </c>
      <c r="F70" s="44"/>
      <c r="G70" s="33"/>
      <c r="H70" s="49" t="e">
        <f t="shared" ca="1" si="6"/>
        <v>#NAME?</v>
      </c>
      <c r="I70" s="50" t="e">
        <f t="shared" ca="1" si="6"/>
        <v>#NAME?</v>
      </c>
      <c r="M70" s="11" t="e">
        <f ca="1"/>
        <v>#NAME?</v>
      </c>
      <c r="N70" s="12" t="e">
        <f ca="1">_xll.qlYieldTSDiscount(L$4,M70,,Triggers!RTDataTrigger)</f>
        <v>#NAME?</v>
      </c>
      <c r="O70" s="44"/>
      <c r="P70" s="33"/>
      <c r="Q70" s="49" t="e">
        <f t="shared" ca="1" si="7"/>
        <v>#NAME?</v>
      </c>
      <c r="R70" s="50" t="e">
        <f t="shared" ca="1" si="7"/>
        <v>#NAME?</v>
      </c>
      <c r="V70" s="11" t="e">
        <f ca="1"/>
        <v>#NAME?</v>
      </c>
      <c r="W70" s="12" t="e">
        <f ca="1">_xll.qlYieldTSDiscount(U$4,V70,,Triggers!RTDataTrigger)</f>
        <v>#NAME?</v>
      </c>
      <c r="X70" s="44"/>
      <c r="Y70" s="33"/>
      <c r="Z70" s="49" t="e">
        <f t="shared" ca="1" si="8"/>
        <v>#NAME?</v>
      </c>
      <c r="AA70" s="50" t="e">
        <f t="shared" ca="1" si="8"/>
        <v>#NAME?</v>
      </c>
    </row>
    <row r="71" spans="4:27" x14ac:dyDescent="0.2">
      <c r="D71" s="11" t="e">
        <f ca="1"/>
        <v>#NAME?</v>
      </c>
      <c r="E71" s="12" t="e">
        <f ca="1">_xll.qlYieldTSDiscount(C$4,D71,,Triggers!RTDataTrigger)</f>
        <v>#NAME?</v>
      </c>
      <c r="F71" s="44"/>
      <c r="G71" s="33"/>
      <c r="H71" s="49" t="e">
        <f t="shared" ca="1" si="6"/>
        <v>#NAME?</v>
      </c>
      <c r="I71" s="50" t="e">
        <f t="shared" ca="1" si="6"/>
        <v>#NAME?</v>
      </c>
      <c r="M71" s="11" t="e">
        <f ca="1"/>
        <v>#NAME?</v>
      </c>
      <c r="N71" s="12" t="e">
        <f ca="1">_xll.qlYieldTSDiscount(L$4,M71,,Triggers!RTDataTrigger)</f>
        <v>#NAME?</v>
      </c>
      <c r="O71" s="44"/>
      <c r="P71" s="33"/>
      <c r="Q71" s="49" t="e">
        <f t="shared" ca="1" si="7"/>
        <v>#NAME?</v>
      </c>
      <c r="R71" s="50" t="e">
        <f t="shared" ca="1" si="7"/>
        <v>#NAME?</v>
      </c>
      <c r="V71" s="11" t="e">
        <f ca="1"/>
        <v>#NAME?</v>
      </c>
      <c r="W71" s="12" t="e">
        <f ca="1">_xll.qlYieldTSDiscount(U$4,V71,,Triggers!RTDataTrigger)</f>
        <v>#NAME?</v>
      </c>
      <c r="X71" s="44"/>
      <c r="Y71" s="33"/>
      <c r="Z71" s="49" t="e">
        <f t="shared" ca="1" si="8"/>
        <v>#NAME?</v>
      </c>
      <c r="AA71" s="50" t="e">
        <f t="shared" ca="1" si="8"/>
        <v>#NAME?</v>
      </c>
    </row>
    <row r="72" spans="4:27" x14ac:dyDescent="0.2">
      <c r="D72" s="11" t="e">
        <f ca="1"/>
        <v>#NAME?</v>
      </c>
      <c r="E72" s="12" t="e">
        <f ca="1">_xll.qlYieldTSDiscount(C$4,D72,,Triggers!RTDataTrigger)</f>
        <v>#NAME?</v>
      </c>
      <c r="F72" s="44"/>
      <c r="G72" s="33"/>
      <c r="H72" s="49" t="e">
        <f t="shared" ca="1" si="6"/>
        <v>#NAME?</v>
      </c>
      <c r="I72" s="50" t="e">
        <f t="shared" ca="1" si="6"/>
        <v>#NAME?</v>
      </c>
      <c r="M72" s="11" t="e">
        <f ca="1"/>
        <v>#NAME?</v>
      </c>
      <c r="N72" s="12" t="e">
        <f ca="1">_xll.qlYieldTSDiscount(L$4,M72,,Triggers!RTDataTrigger)</f>
        <v>#NAME?</v>
      </c>
      <c r="O72" s="44"/>
      <c r="P72" s="33"/>
      <c r="Q72" s="49" t="e">
        <f t="shared" ca="1" si="7"/>
        <v>#NAME?</v>
      </c>
      <c r="R72" s="50" t="e">
        <f t="shared" ca="1" si="7"/>
        <v>#NAME?</v>
      </c>
      <c r="V72" s="11" t="e">
        <f ca="1"/>
        <v>#NAME?</v>
      </c>
      <c r="W72" s="12" t="e">
        <f ca="1">_xll.qlYieldTSDiscount(U$4,V72,,Triggers!RTDataTrigger)</f>
        <v>#NAME?</v>
      </c>
      <c r="X72" s="44"/>
      <c r="Y72" s="33"/>
      <c r="Z72" s="49" t="e">
        <f t="shared" ca="1" si="8"/>
        <v>#NAME?</v>
      </c>
      <c r="AA72" s="50" t="e">
        <f t="shared" ca="1" si="8"/>
        <v>#NAME?</v>
      </c>
    </row>
    <row r="73" spans="4:27" x14ac:dyDescent="0.2">
      <c r="D73" s="11" t="e">
        <f ca="1"/>
        <v>#NAME?</v>
      </c>
      <c r="E73" s="12" t="e">
        <f ca="1">_xll.qlYieldTSDiscount(C$4,D73,,Triggers!RTDataTrigger)</f>
        <v>#NAME?</v>
      </c>
      <c r="F73" s="44"/>
      <c r="G73" s="33"/>
      <c r="H73" s="49" t="e">
        <f t="shared" ca="1" si="6"/>
        <v>#NAME?</v>
      </c>
      <c r="I73" s="50" t="e">
        <f t="shared" ca="1" si="6"/>
        <v>#NAME?</v>
      </c>
      <c r="M73" s="11" t="e">
        <f ca="1"/>
        <v>#NAME?</v>
      </c>
      <c r="N73" s="12" t="e">
        <f ca="1">_xll.qlYieldTSDiscount(L$4,M73,,Triggers!RTDataTrigger)</f>
        <v>#NAME?</v>
      </c>
      <c r="O73" s="44"/>
      <c r="P73" s="33"/>
      <c r="Q73" s="49" t="e">
        <f t="shared" ca="1" si="7"/>
        <v>#NAME?</v>
      </c>
      <c r="R73" s="50" t="e">
        <f t="shared" ca="1" si="7"/>
        <v>#NAME?</v>
      </c>
      <c r="V73" s="11" t="e">
        <f ca="1"/>
        <v>#NAME?</v>
      </c>
      <c r="W73" s="12" t="e">
        <f ca="1">_xll.qlYieldTSDiscount(U$4,V73,,Triggers!RTDataTrigger)</f>
        <v>#NAME?</v>
      </c>
      <c r="X73" s="44"/>
      <c r="Y73" s="33"/>
      <c r="Z73" s="49" t="e">
        <f t="shared" ca="1" si="8"/>
        <v>#NAME?</v>
      </c>
      <c r="AA73" s="50" t="e">
        <f t="shared" ca="1" si="8"/>
        <v>#NAME?</v>
      </c>
    </row>
    <row r="74" spans="4:27" x14ac:dyDescent="0.2">
      <c r="D74" s="11" t="e">
        <f ca="1"/>
        <v>#NAME?</v>
      </c>
      <c r="E74" s="12" t="e">
        <f ca="1">_xll.qlYieldTSDiscount(C$4,D74,,Triggers!RTDataTrigger)</f>
        <v>#NAME?</v>
      </c>
      <c r="F74" s="44"/>
      <c r="G74" s="33"/>
      <c r="H74" s="49" t="e">
        <f t="shared" ca="1" si="6"/>
        <v>#NAME?</v>
      </c>
      <c r="I74" s="50" t="e">
        <f t="shared" ca="1" si="6"/>
        <v>#NAME?</v>
      </c>
      <c r="M74" s="11" t="e">
        <f ca="1"/>
        <v>#NAME?</v>
      </c>
      <c r="N74" s="12" t="e">
        <f ca="1">_xll.qlYieldTSDiscount(L$4,M74,,Triggers!RTDataTrigger)</f>
        <v>#NAME?</v>
      </c>
      <c r="O74" s="44"/>
      <c r="P74" s="33"/>
      <c r="Q74" s="49" t="e">
        <f t="shared" ca="1" si="7"/>
        <v>#NAME?</v>
      </c>
      <c r="R74" s="50" t="e">
        <f t="shared" ca="1" si="7"/>
        <v>#NAME?</v>
      </c>
      <c r="V74" s="11" t="e">
        <f ca="1"/>
        <v>#NAME?</v>
      </c>
      <c r="W74" s="12" t="e">
        <f ca="1">_xll.qlYieldTSDiscount(U$4,V74,,Triggers!RTDataTrigger)</f>
        <v>#NAME?</v>
      </c>
      <c r="X74" s="44"/>
      <c r="Y74" s="33"/>
      <c r="Z74" s="49" t="e">
        <f t="shared" ca="1" si="8"/>
        <v>#NAME?</v>
      </c>
      <c r="AA74" s="50" t="e">
        <f t="shared" ca="1" si="8"/>
        <v>#NAME?</v>
      </c>
    </row>
    <row r="75" spans="4:27" x14ac:dyDescent="0.2">
      <c r="D75" s="11" t="e">
        <f ca="1"/>
        <v>#NAME?</v>
      </c>
      <c r="E75" s="12" t="e">
        <f ca="1">_xll.qlYieldTSDiscount(C$4,D75,,Triggers!RTDataTrigger)</f>
        <v>#NAME?</v>
      </c>
      <c r="F75" s="44"/>
      <c r="G75" s="33"/>
      <c r="H75" s="49" t="e">
        <f t="shared" ca="1" si="6"/>
        <v>#NAME?</v>
      </c>
      <c r="I75" s="50" t="e">
        <f t="shared" ca="1" si="6"/>
        <v>#NAME?</v>
      </c>
      <c r="M75" s="11" t="e">
        <f ca="1"/>
        <v>#NAME?</v>
      </c>
      <c r="N75" s="12" t="e">
        <f ca="1">_xll.qlYieldTSDiscount(L$4,M75,,Triggers!RTDataTrigger)</f>
        <v>#NAME?</v>
      </c>
      <c r="O75" s="44"/>
      <c r="P75" s="33"/>
      <c r="Q75" s="49" t="e">
        <f t="shared" ca="1" si="7"/>
        <v>#NAME?</v>
      </c>
      <c r="R75" s="50" t="e">
        <f t="shared" ca="1" si="7"/>
        <v>#NAME?</v>
      </c>
      <c r="V75" s="11" t="e">
        <f ca="1"/>
        <v>#NAME?</v>
      </c>
      <c r="W75" s="12" t="e">
        <f ca="1">_xll.qlYieldTSDiscount(U$4,V75,,Triggers!RTDataTrigger)</f>
        <v>#NAME?</v>
      </c>
      <c r="X75" s="44"/>
      <c r="Y75" s="33"/>
      <c r="Z75" s="49" t="e">
        <f t="shared" ca="1" si="8"/>
        <v>#NAME?</v>
      </c>
      <c r="AA75" s="50" t="e">
        <f t="shared" ca="1" si="8"/>
        <v>#NAME?</v>
      </c>
    </row>
    <row r="76" spans="4:27" x14ac:dyDescent="0.2">
      <c r="D76" s="11" t="e">
        <f ca="1"/>
        <v>#NAME?</v>
      </c>
      <c r="E76" s="12" t="e">
        <f ca="1">_xll.qlYieldTSDiscount(C$4,D76,,Triggers!RTDataTrigger)</f>
        <v>#NAME?</v>
      </c>
      <c r="F76" s="44"/>
      <c r="G76" s="33"/>
      <c r="H76" s="49" t="e">
        <f t="shared" ca="1" si="6"/>
        <v>#NAME?</v>
      </c>
      <c r="I76" s="50" t="e">
        <f t="shared" ca="1" si="6"/>
        <v>#NAME?</v>
      </c>
      <c r="M76" s="11" t="e">
        <f ca="1"/>
        <v>#NAME?</v>
      </c>
      <c r="N76" s="12" t="e">
        <f ca="1">_xll.qlYieldTSDiscount(L$4,M76,,Triggers!RTDataTrigger)</f>
        <v>#NAME?</v>
      </c>
      <c r="O76" s="44"/>
      <c r="P76" s="33"/>
      <c r="Q76" s="49" t="e">
        <f t="shared" ca="1" si="7"/>
        <v>#NAME?</v>
      </c>
      <c r="R76" s="50" t="e">
        <f t="shared" ca="1" si="7"/>
        <v>#NAME?</v>
      </c>
      <c r="V76" s="11" t="e">
        <f ca="1"/>
        <v>#NAME?</v>
      </c>
      <c r="W76" s="12" t="e">
        <f ca="1">_xll.qlYieldTSDiscount(U$4,V76,,Triggers!RTDataTrigger)</f>
        <v>#NAME?</v>
      </c>
      <c r="X76" s="44"/>
      <c r="Y76" s="33"/>
      <c r="Z76" s="49" t="e">
        <f t="shared" ca="1" si="8"/>
        <v>#NAME?</v>
      </c>
      <c r="AA76" s="50" t="e">
        <f t="shared" ca="1" si="8"/>
        <v>#NAME?</v>
      </c>
    </row>
    <row r="77" spans="4:27" x14ac:dyDescent="0.2">
      <c r="D77" s="11" t="e">
        <f ca="1"/>
        <v>#NAME?</v>
      </c>
      <c r="E77" s="12" t="e">
        <f ca="1">_xll.qlYieldTSDiscount(C$4,D77,,Triggers!RTDataTrigger)</f>
        <v>#NAME?</v>
      </c>
      <c r="F77" s="44"/>
      <c r="G77" s="33"/>
      <c r="H77" s="49" t="e">
        <f t="shared" ca="1" si="6"/>
        <v>#NAME?</v>
      </c>
      <c r="I77" s="50" t="e">
        <f t="shared" ca="1" si="6"/>
        <v>#NAME?</v>
      </c>
      <c r="M77" s="11" t="e">
        <f ca="1"/>
        <v>#NAME?</v>
      </c>
      <c r="N77" s="12" t="e">
        <f ca="1">_xll.qlYieldTSDiscount(L$4,M77,,Triggers!RTDataTrigger)</f>
        <v>#NAME?</v>
      </c>
      <c r="O77" s="44"/>
      <c r="P77" s="33"/>
      <c r="Q77" s="49" t="e">
        <f t="shared" ca="1" si="7"/>
        <v>#NAME?</v>
      </c>
      <c r="R77" s="50" t="e">
        <f t="shared" ca="1" si="7"/>
        <v>#NAME?</v>
      </c>
      <c r="V77" s="11" t="e">
        <f ca="1"/>
        <v>#NAME?</v>
      </c>
      <c r="W77" s="12" t="e">
        <f ca="1">_xll.qlYieldTSDiscount(U$4,V77,,Triggers!RTDataTrigger)</f>
        <v>#NAME?</v>
      </c>
      <c r="X77" s="44"/>
      <c r="Y77" s="33"/>
      <c r="Z77" s="49" t="e">
        <f t="shared" ca="1" si="8"/>
        <v>#NAME?</v>
      </c>
      <c r="AA77" s="50" t="e">
        <f t="shared" ca="1" si="8"/>
        <v>#NAME?</v>
      </c>
    </row>
    <row r="78" spans="4:27" x14ac:dyDescent="0.2">
      <c r="D78" s="11" t="e">
        <f ca="1"/>
        <v>#NAME?</v>
      </c>
      <c r="E78" s="12" t="e">
        <f ca="1">_xll.qlYieldTSDiscount(C$4,D78,,Triggers!RTDataTrigger)</f>
        <v>#NAME?</v>
      </c>
      <c r="F78" s="44"/>
      <c r="G78" s="33"/>
      <c r="H78" s="49" t="e">
        <f t="shared" ca="1" si="6"/>
        <v>#NAME?</v>
      </c>
      <c r="I78" s="50" t="e">
        <f t="shared" ca="1" si="6"/>
        <v>#NAME?</v>
      </c>
      <c r="M78" s="11" t="e">
        <f ca="1"/>
        <v>#NAME?</v>
      </c>
      <c r="N78" s="12" t="e">
        <f ca="1">_xll.qlYieldTSDiscount(L$4,M78,,Triggers!RTDataTrigger)</f>
        <v>#NAME?</v>
      </c>
      <c r="O78" s="44"/>
      <c r="P78" s="33"/>
      <c r="Q78" s="49" t="e">
        <f t="shared" ca="1" si="7"/>
        <v>#NAME?</v>
      </c>
      <c r="R78" s="50" t="e">
        <f t="shared" ca="1" si="7"/>
        <v>#NAME?</v>
      </c>
      <c r="V78" s="11" t="e">
        <f ca="1"/>
        <v>#NAME?</v>
      </c>
      <c r="W78" s="12" t="e">
        <f ca="1">_xll.qlYieldTSDiscount(U$4,V78,,Triggers!RTDataTrigger)</f>
        <v>#NAME?</v>
      </c>
      <c r="X78" s="44"/>
      <c r="Y78" s="33"/>
      <c r="Z78" s="49" t="e">
        <f t="shared" ca="1" si="8"/>
        <v>#NAME?</v>
      </c>
      <c r="AA78" s="50" t="e">
        <f t="shared" ca="1" si="8"/>
        <v>#NAME?</v>
      </c>
    </row>
    <row r="79" spans="4:27" x14ac:dyDescent="0.2">
      <c r="D79" s="11" t="e">
        <f ca="1"/>
        <v>#NAME?</v>
      </c>
      <c r="E79" s="12" t="e">
        <f ca="1">_xll.qlYieldTSDiscount(C$4,D79,,Triggers!RTDataTrigger)</f>
        <v>#NAME?</v>
      </c>
      <c r="F79" s="44"/>
      <c r="G79" s="33"/>
      <c r="H79" s="49" t="e">
        <f t="shared" ca="1" si="6"/>
        <v>#NAME?</v>
      </c>
      <c r="I79" s="50" t="e">
        <f t="shared" ca="1" si="6"/>
        <v>#NAME?</v>
      </c>
      <c r="M79" s="11" t="e">
        <f ca="1"/>
        <v>#NAME?</v>
      </c>
      <c r="N79" s="12" t="e">
        <f ca="1">_xll.qlYieldTSDiscount(L$4,M79,,Triggers!RTDataTrigger)</f>
        <v>#NAME?</v>
      </c>
      <c r="O79" s="44"/>
      <c r="P79" s="33"/>
      <c r="Q79" s="49" t="e">
        <f t="shared" ca="1" si="7"/>
        <v>#NAME?</v>
      </c>
      <c r="R79" s="50" t="e">
        <f t="shared" ca="1" si="7"/>
        <v>#NAME?</v>
      </c>
      <c r="V79" s="11" t="e">
        <f ca="1"/>
        <v>#NAME?</v>
      </c>
      <c r="W79" s="12" t="e">
        <f ca="1">_xll.qlYieldTSDiscount(U$4,V79,,Triggers!RTDataTrigger)</f>
        <v>#NAME?</v>
      </c>
      <c r="X79" s="44"/>
      <c r="Y79" s="33"/>
      <c r="Z79" s="49" t="e">
        <f t="shared" ca="1" si="8"/>
        <v>#NAME?</v>
      </c>
      <c r="AA79" s="50" t="e">
        <f t="shared" ca="1" si="8"/>
        <v>#NAME?</v>
      </c>
    </row>
    <row r="80" spans="4:27" x14ac:dyDescent="0.2">
      <c r="D80" s="11" t="e">
        <f ca="1"/>
        <v>#NAME?</v>
      </c>
      <c r="E80" s="12" t="e">
        <f ca="1">_xll.qlYieldTSDiscount(C$4,D80,,Triggers!RTDataTrigger)</f>
        <v>#NAME?</v>
      </c>
      <c r="F80" s="44"/>
      <c r="G80" s="33"/>
      <c r="H80" s="49" t="e">
        <f t="shared" ca="1" si="6"/>
        <v>#NAME?</v>
      </c>
      <c r="I80" s="50" t="e">
        <f t="shared" ca="1" si="6"/>
        <v>#NAME?</v>
      </c>
      <c r="M80" s="11" t="e">
        <f ca="1"/>
        <v>#NAME?</v>
      </c>
      <c r="N80" s="12" t="e">
        <f ca="1">_xll.qlYieldTSDiscount(L$4,M80,,Triggers!RTDataTrigger)</f>
        <v>#NAME?</v>
      </c>
      <c r="O80" s="44"/>
      <c r="P80" s="33"/>
      <c r="Q80" s="49" t="e">
        <f t="shared" ca="1" si="7"/>
        <v>#NAME?</v>
      </c>
      <c r="R80" s="50" t="e">
        <f t="shared" ca="1" si="7"/>
        <v>#NAME?</v>
      </c>
      <c r="V80" s="11" t="e">
        <f ca="1"/>
        <v>#NAME?</v>
      </c>
      <c r="W80" s="12" t="e">
        <f ca="1">_xll.qlYieldTSDiscount(U$4,V80,,Triggers!RTDataTrigger)</f>
        <v>#NAME?</v>
      </c>
      <c r="X80" s="44"/>
      <c r="Y80" s="33"/>
      <c r="Z80" s="49" t="e">
        <f t="shared" ca="1" si="8"/>
        <v>#NAME?</v>
      </c>
      <c r="AA80" s="50" t="e">
        <f t="shared" ca="1" si="8"/>
        <v>#NAME?</v>
      </c>
    </row>
    <row r="81" spans="4:27" x14ac:dyDescent="0.2">
      <c r="D81" s="11" t="e">
        <f ca="1"/>
        <v>#NAME?</v>
      </c>
      <c r="E81" s="12" t="e">
        <f ca="1">_xll.qlYieldTSDiscount(C$4,D81,,Triggers!RTDataTrigger)</f>
        <v>#NAME?</v>
      </c>
      <c r="F81" s="44"/>
      <c r="G81" s="33"/>
      <c r="H81" s="49" t="e">
        <f t="shared" ca="1" si="6"/>
        <v>#NAME?</v>
      </c>
      <c r="I81" s="50" t="e">
        <f t="shared" ca="1" si="6"/>
        <v>#NAME?</v>
      </c>
      <c r="M81" s="11" t="e">
        <f ca="1"/>
        <v>#NAME?</v>
      </c>
      <c r="N81" s="12" t="e">
        <f ca="1">_xll.qlYieldTSDiscount(L$4,M81,,Triggers!RTDataTrigger)</f>
        <v>#NAME?</v>
      </c>
      <c r="O81" s="44"/>
      <c r="P81" s="33"/>
      <c r="Q81" s="49" t="e">
        <f t="shared" ca="1" si="7"/>
        <v>#NAME?</v>
      </c>
      <c r="R81" s="50" t="e">
        <f t="shared" ca="1" si="7"/>
        <v>#NAME?</v>
      </c>
      <c r="V81" s="11" t="e">
        <f ca="1"/>
        <v>#NAME?</v>
      </c>
      <c r="W81" s="12" t="e">
        <f ca="1">_xll.qlYieldTSDiscount(U$4,V81,,Triggers!RTDataTrigger)</f>
        <v>#NAME?</v>
      </c>
      <c r="X81" s="44"/>
      <c r="Y81" s="33"/>
      <c r="Z81" s="49" t="e">
        <f t="shared" ca="1" si="8"/>
        <v>#NAME?</v>
      </c>
      <c r="AA81" s="50" t="e">
        <f t="shared" ca="1" si="8"/>
        <v>#NAME?</v>
      </c>
    </row>
    <row r="82" spans="4:27" x14ac:dyDescent="0.2">
      <c r="D82" s="11" t="e">
        <f ca="1"/>
        <v>#NAME?</v>
      </c>
      <c r="E82" s="12" t="e">
        <f ca="1">_xll.qlYieldTSDiscount(C$4,D82,,Triggers!RTDataTrigger)</f>
        <v>#NAME?</v>
      </c>
      <c r="F82" s="44"/>
      <c r="G82" s="33"/>
      <c r="H82" s="49" t="e">
        <f t="shared" ca="1" si="6"/>
        <v>#NAME?</v>
      </c>
      <c r="I82" s="50" t="e">
        <f t="shared" ca="1" si="6"/>
        <v>#NAME?</v>
      </c>
      <c r="M82" s="11" t="e">
        <f ca="1"/>
        <v>#NAME?</v>
      </c>
      <c r="N82" s="12" t="e">
        <f ca="1">_xll.qlYieldTSDiscount(L$4,M82,,Triggers!RTDataTrigger)</f>
        <v>#NAME?</v>
      </c>
      <c r="O82" s="44"/>
      <c r="P82" s="33"/>
      <c r="Q82" s="49" t="e">
        <f t="shared" ca="1" si="7"/>
        <v>#NAME?</v>
      </c>
      <c r="R82" s="50" t="e">
        <f t="shared" ca="1" si="7"/>
        <v>#NAME?</v>
      </c>
      <c r="V82" s="11" t="e">
        <f ca="1"/>
        <v>#NAME?</v>
      </c>
      <c r="W82" s="12" t="e">
        <f ca="1">_xll.qlYieldTSDiscount(U$4,V82,,Triggers!RTDataTrigger)</f>
        <v>#NAME?</v>
      </c>
      <c r="X82" s="44"/>
      <c r="Y82" s="33"/>
      <c r="Z82" s="49" t="e">
        <f t="shared" ca="1" si="8"/>
        <v>#NAME?</v>
      </c>
      <c r="AA82" s="50" t="e">
        <f t="shared" ca="1" si="8"/>
        <v>#NAME?</v>
      </c>
    </row>
    <row r="83" spans="4:27" x14ac:dyDescent="0.2">
      <c r="D83" s="11" t="e">
        <f ca="1"/>
        <v>#NAME?</v>
      </c>
      <c r="E83" s="12" t="e">
        <f ca="1">_xll.qlYieldTSDiscount(C$4,D83,,Triggers!RTDataTrigger)</f>
        <v>#NAME?</v>
      </c>
      <c r="F83" s="44"/>
      <c r="G83" s="33"/>
      <c r="H83" s="49" t="e">
        <f t="shared" ca="1" si="6"/>
        <v>#NAME?</v>
      </c>
      <c r="I83" s="50" t="e">
        <f t="shared" ca="1" si="6"/>
        <v>#NAME?</v>
      </c>
      <c r="M83" s="11" t="e">
        <f ca="1"/>
        <v>#NAME?</v>
      </c>
      <c r="N83" s="12" t="e">
        <f ca="1">_xll.qlYieldTSDiscount(L$4,M83,,Triggers!RTDataTrigger)</f>
        <v>#NAME?</v>
      </c>
      <c r="O83" s="44"/>
      <c r="P83" s="33"/>
      <c r="Q83" s="49" t="e">
        <f t="shared" ca="1" si="7"/>
        <v>#NAME?</v>
      </c>
      <c r="R83" s="50" t="e">
        <f t="shared" ca="1" si="7"/>
        <v>#NAME?</v>
      </c>
      <c r="V83" s="11" t="e">
        <f ca="1"/>
        <v>#NAME?</v>
      </c>
      <c r="W83" s="12" t="e">
        <f ca="1">_xll.qlYieldTSDiscount(U$4,V83,,Triggers!RTDataTrigger)</f>
        <v>#NAME?</v>
      </c>
      <c r="X83" s="44"/>
      <c r="Y83" s="33"/>
      <c r="Z83" s="49" t="e">
        <f t="shared" ca="1" si="8"/>
        <v>#NAME?</v>
      </c>
      <c r="AA83" s="50" t="e">
        <f t="shared" ca="1" si="8"/>
        <v>#NAME?</v>
      </c>
    </row>
    <row r="84" spans="4:27" x14ac:dyDescent="0.2">
      <c r="D84" s="11" t="e">
        <f ca="1"/>
        <v>#NAME?</v>
      </c>
      <c r="E84" s="12" t="e">
        <f ca="1">_xll.qlYieldTSDiscount(C$4,D84,,Triggers!RTDataTrigger)</f>
        <v>#NAME?</v>
      </c>
      <c r="F84" s="44"/>
      <c r="G84" s="33"/>
      <c r="H84" s="49" t="e">
        <f t="shared" ca="1" si="6"/>
        <v>#NAME?</v>
      </c>
      <c r="I84" s="50" t="e">
        <f t="shared" ca="1" si="6"/>
        <v>#NAME?</v>
      </c>
      <c r="M84" s="11" t="e">
        <f ca="1"/>
        <v>#NAME?</v>
      </c>
      <c r="N84" s="12" t="e">
        <f ca="1">_xll.qlYieldTSDiscount(L$4,M84,,Triggers!RTDataTrigger)</f>
        <v>#NAME?</v>
      </c>
      <c r="O84" s="44"/>
      <c r="P84" s="33"/>
      <c r="Q84" s="49" t="e">
        <f t="shared" ca="1" si="7"/>
        <v>#NAME?</v>
      </c>
      <c r="R84" s="50" t="e">
        <f t="shared" ca="1" si="7"/>
        <v>#NAME?</v>
      </c>
      <c r="V84" s="11" t="e">
        <f ca="1"/>
        <v>#NAME?</v>
      </c>
      <c r="W84" s="12" t="e">
        <f ca="1">_xll.qlYieldTSDiscount(U$4,V84,,Triggers!RTDataTrigger)</f>
        <v>#NAME?</v>
      </c>
      <c r="X84" s="44"/>
      <c r="Y84" s="33"/>
      <c r="Z84" s="49" t="e">
        <f t="shared" ca="1" si="8"/>
        <v>#NAME?</v>
      </c>
      <c r="AA84" s="50" t="e">
        <f t="shared" ca="1" si="8"/>
        <v>#NAME?</v>
      </c>
    </row>
    <row r="85" spans="4:27" x14ac:dyDescent="0.2">
      <c r="D85" s="11" t="e">
        <f ca="1"/>
        <v>#NAME?</v>
      </c>
      <c r="E85" s="12" t="e">
        <f ca="1">_xll.qlYieldTSDiscount(C$4,D85,,Triggers!RTDataTrigger)</f>
        <v>#NAME?</v>
      </c>
      <c r="F85" s="44"/>
      <c r="G85" s="33"/>
      <c r="H85" s="49" t="e">
        <f t="shared" ca="1" si="6"/>
        <v>#NAME?</v>
      </c>
      <c r="I85" s="50" t="e">
        <f t="shared" ca="1" si="6"/>
        <v>#NAME?</v>
      </c>
      <c r="M85" s="11" t="e">
        <f ca="1"/>
        <v>#NAME?</v>
      </c>
      <c r="N85" s="12" t="e">
        <f ca="1">_xll.qlYieldTSDiscount(L$4,M85,,Triggers!RTDataTrigger)</f>
        <v>#NAME?</v>
      </c>
      <c r="O85" s="44"/>
      <c r="P85" s="33"/>
      <c r="Q85" s="49" t="e">
        <f t="shared" ca="1" si="7"/>
        <v>#NAME?</v>
      </c>
      <c r="R85" s="50" t="e">
        <f t="shared" ca="1" si="7"/>
        <v>#NAME?</v>
      </c>
      <c r="V85" s="11" t="e">
        <f ca="1"/>
        <v>#NAME?</v>
      </c>
      <c r="W85" s="12" t="e">
        <f ca="1">_xll.qlYieldTSDiscount(U$4,V85,,Triggers!RTDataTrigger)</f>
        <v>#NAME?</v>
      </c>
      <c r="X85" s="44"/>
      <c r="Y85" s="33"/>
      <c r="Z85" s="49" t="e">
        <f t="shared" ca="1" si="8"/>
        <v>#NAME?</v>
      </c>
      <c r="AA85" s="50" t="e">
        <f t="shared" ca="1" si="8"/>
        <v>#NAME?</v>
      </c>
    </row>
    <row r="86" spans="4:27" x14ac:dyDescent="0.2">
      <c r="D86" s="11" t="e">
        <f ca="1"/>
        <v>#NAME?</v>
      </c>
      <c r="E86" s="12" t="e">
        <f ca="1">_xll.qlYieldTSDiscount(C$4,D86,,Triggers!RTDataTrigger)</f>
        <v>#NAME?</v>
      </c>
      <c r="F86" s="44"/>
      <c r="G86" s="33"/>
      <c r="H86" s="49" t="e">
        <f t="shared" ca="1" si="6"/>
        <v>#NAME?</v>
      </c>
      <c r="I86" s="50" t="e">
        <f t="shared" ca="1" si="6"/>
        <v>#NAME?</v>
      </c>
      <c r="M86" s="11" t="e">
        <f ca="1"/>
        <v>#NAME?</v>
      </c>
      <c r="N86" s="12" t="e">
        <f ca="1">_xll.qlYieldTSDiscount(L$4,M86,,Triggers!RTDataTrigger)</f>
        <v>#NAME?</v>
      </c>
      <c r="O86" s="44"/>
      <c r="P86" s="33"/>
      <c r="Q86" s="49" t="e">
        <f t="shared" ca="1" si="7"/>
        <v>#NAME?</v>
      </c>
      <c r="R86" s="50" t="e">
        <f t="shared" ca="1" si="7"/>
        <v>#NAME?</v>
      </c>
      <c r="V86" s="11" t="e">
        <f ca="1"/>
        <v>#NAME?</v>
      </c>
      <c r="W86" s="12" t="e">
        <f ca="1">_xll.qlYieldTSDiscount(U$4,V86,,Triggers!RTDataTrigger)</f>
        <v>#NAME?</v>
      </c>
      <c r="X86" s="44"/>
      <c r="Y86" s="33"/>
      <c r="Z86" s="49" t="e">
        <f t="shared" ca="1" si="8"/>
        <v>#NAME?</v>
      </c>
      <c r="AA86" s="50" t="e">
        <f t="shared" ca="1" si="8"/>
        <v>#NAME?</v>
      </c>
    </row>
    <row r="87" spans="4:27" x14ac:dyDescent="0.2">
      <c r="D87" s="11" t="e">
        <f ca="1"/>
        <v>#NAME?</v>
      </c>
      <c r="E87" s="12" t="e">
        <f ca="1">_xll.qlYieldTSDiscount(C$4,D87,,Triggers!RTDataTrigger)</f>
        <v>#NAME?</v>
      </c>
      <c r="F87" s="44"/>
      <c r="G87" s="33"/>
      <c r="H87" s="49" t="e">
        <f t="shared" ca="1" si="6"/>
        <v>#NAME?</v>
      </c>
      <c r="I87" s="50" t="e">
        <f t="shared" ca="1" si="6"/>
        <v>#NAME?</v>
      </c>
      <c r="M87" s="11" t="e">
        <f ca="1"/>
        <v>#NAME?</v>
      </c>
      <c r="N87" s="12" t="e">
        <f ca="1">_xll.qlYieldTSDiscount(L$4,M87,,Triggers!RTDataTrigger)</f>
        <v>#NAME?</v>
      </c>
      <c r="O87" s="44"/>
      <c r="P87" s="33"/>
      <c r="Q87" s="49" t="e">
        <f t="shared" ca="1" si="7"/>
        <v>#NAME?</v>
      </c>
      <c r="R87" s="50" t="e">
        <f t="shared" ca="1" si="7"/>
        <v>#NAME?</v>
      </c>
      <c r="V87" s="11" t="e">
        <f ca="1"/>
        <v>#NAME?</v>
      </c>
      <c r="W87" s="12" t="e">
        <f ca="1">_xll.qlYieldTSDiscount(U$4,V87,,Triggers!RTDataTrigger)</f>
        <v>#NAME?</v>
      </c>
      <c r="X87" s="44"/>
      <c r="Y87" s="33"/>
      <c r="Z87" s="49" t="e">
        <f t="shared" ca="1" si="8"/>
        <v>#NAME?</v>
      </c>
      <c r="AA87" s="50" t="e">
        <f t="shared" ca="1" si="8"/>
        <v>#NAME?</v>
      </c>
    </row>
    <row r="88" spans="4:27" x14ac:dyDescent="0.2">
      <c r="D88" s="11" t="e">
        <f ca="1"/>
        <v>#NAME?</v>
      </c>
      <c r="E88" s="12" t="e">
        <f ca="1">_xll.qlYieldTSDiscount(C$4,D88,,Triggers!RTDataTrigger)</f>
        <v>#NAME?</v>
      </c>
      <c r="F88" s="44"/>
      <c r="G88" s="33"/>
      <c r="H88" s="49" t="e">
        <f t="shared" ca="1" si="6"/>
        <v>#NAME?</v>
      </c>
      <c r="I88" s="50" t="e">
        <f t="shared" ca="1" si="6"/>
        <v>#NAME?</v>
      </c>
      <c r="M88" s="11" t="e">
        <f ca="1"/>
        <v>#NAME?</v>
      </c>
      <c r="N88" s="12" t="e">
        <f ca="1">_xll.qlYieldTSDiscount(L$4,M88,,Triggers!RTDataTrigger)</f>
        <v>#NAME?</v>
      </c>
      <c r="O88" s="44"/>
      <c r="P88" s="33"/>
      <c r="Q88" s="49" t="e">
        <f t="shared" ca="1" si="7"/>
        <v>#NAME?</v>
      </c>
      <c r="R88" s="50" t="e">
        <f t="shared" ca="1" si="7"/>
        <v>#NAME?</v>
      </c>
      <c r="V88" s="11" t="e">
        <f ca="1"/>
        <v>#NAME?</v>
      </c>
      <c r="W88" s="12" t="e">
        <f ca="1">_xll.qlYieldTSDiscount(U$4,V88,,Triggers!RTDataTrigger)</f>
        <v>#NAME?</v>
      </c>
      <c r="X88" s="44"/>
      <c r="Y88" s="33"/>
      <c r="Z88" s="49" t="e">
        <f t="shared" ca="1" si="8"/>
        <v>#NAME?</v>
      </c>
      <c r="AA88" s="50" t="e">
        <f t="shared" ca="1" si="8"/>
        <v>#NAME?</v>
      </c>
    </row>
    <row r="89" spans="4:27" x14ac:dyDescent="0.2">
      <c r="D89" s="11" t="e">
        <f ca="1"/>
        <v>#NAME?</v>
      </c>
      <c r="E89" s="12" t="e">
        <f ca="1">_xll.qlYieldTSDiscount(C$4,D89,,Triggers!RTDataTrigger)</f>
        <v>#NAME?</v>
      </c>
      <c r="F89" s="44"/>
      <c r="G89" s="33"/>
      <c r="H89" s="49" t="e">
        <f t="shared" ca="1" si="6"/>
        <v>#NAME?</v>
      </c>
      <c r="I89" s="50" t="e">
        <f t="shared" ca="1" si="6"/>
        <v>#NAME?</v>
      </c>
      <c r="M89" s="11" t="e">
        <f ca="1"/>
        <v>#NAME?</v>
      </c>
      <c r="N89" s="12" t="e">
        <f ca="1">_xll.qlYieldTSDiscount(L$4,M89,,Triggers!RTDataTrigger)</f>
        <v>#NAME?</v>
      </c>
      <c r="O89" s="44"/>
      <c r="P89" s="33"/>
      <c r="Q89" s="49" t="e">
        <f t="shared" ca="1" si="7"/>
        <v>#NAME?</v>
      </c>
      <c r="R89" s="50" t="e">
        <f t="shared" ca="1" si="7"/>
        <v>#NAME?</v>
      </c>
      <c r="V89" s="11" t="e">
        <f ca="1"/>
        <v>#NAME?</v>
      </c>
      <c r="W89" s="12" t="e">
        <f ca="1">_xll.qlYieldTSDiscount(U$4,V89,,Triggers!RTDataTrigger)</f>
        <v>#NAME?</v>
      </c>
      <c r="X89" s="44"/>
      <c r="Y89" s="33"/>
      <c r="Z89" s="49" t="e">
        <f t="shared" ca="1" si="8"/>
        <v>#NAME?</v>
      </c>
      <c r="AA89" s="50" t="e">
        <f t="shared" ca="1" si="8"/>
        <v>#NAME?</v>
      </c>
    </row>
    <row r="90" spans="4:27" x14ac:dyDescent="0.2">
      <c r="D90" s="11" t="e">
        <f ca="1"/>
        <v>#NAME?</v>
      </c>
      <c r="E90" s="12" t="e">
        <f ca="1">_xll.qlYieldTSDiscount(C$4,D90,,Triggers!RTDataTrigger)</f>
        <v>#NAME?</v>
      </c>
      <c r="F90" s="44"/>
      <c r="G90" s="33"/>
      <c r="H90" s="49" t="e">
        <f t="shared" ca="1" si="6"/>
        <v>#NAME?</v>
      </c>
      <c r="I90" s="50" t="e">
        <f t="shared" ca="1" si="6"/>
        <v>#NAME?</v>
      </c>
      <c r="M90" s="11" t="e">
        <f ca="1"/>
        <v>#NAME?</v>
      </c>
      <c r="N90" s="12" t="e">
        <f ca="1">_xll.qlYieldTSDiscount(L$4,M90,,Triggers!RTDataTrigger)</f>
        <v>#NAME?</v>
      </c>
      <c r="O90" s="44"/>
      <c r="P90" s="33"/>
      <c r="Q90" s="49" t="e">
        <f t="shared" ca="1" si="7"/>
        <v>#NAME?</v>
      </c>
      <c r="R90" s="50" t="e">
        <f t="shared" ca="1" si="7"/>
        <v>#NAME?</v>
      </c>
      <c r="V90" s="11" t="e">
        <f ca="1"/>
        <v>#NAME?</v>
      </c>
      <c r="W90" s="12" t="e">
        <f ca="1">_xll.qlYieldTSDiscount(U$4,V90,,Triggers!RTDataTrigger)</f>
        <v>#NAME?</v>
      </c>
      <c r="X90" s="44"/>
      <c r="Y90" s="33"/>
      <c r="Z90" s="49" t="e">
        <f t="shared" ca="1" si="8"/>
        <v>#NAME?</v>
      </c>
      <c r="AA90" s="50" t="e">
        <f t="shared" ca="1" si="8"/>
        <v>#NAME?</v>
      </c>
    </row>
    <row r="91" spans="4:27" x14ac:dyDescent="0.2">
      <c r="D91" s="11" t="e">
        <f ca="1"/>
        <v>#NAME?</v>
      </c>
      <c r="E91" s="12" t="e">
        <f ca="1">_xll.qlYieldTSDiscount(C$4,D91,,Triggers!RTDataTrigger)</f>
        <v>#NAME?</v>
      </c>
      <c r="F91" s="44"/>
      <c r="G91" s="33"/>
      <c r="H91" s="49" t="e">
        <f t="shared" ca="1" si="6"/>
        <v>#NAME?</v>
      </c>
      <c r="I91" s="50" t="e">
        <f t="shared" ca="1" si="6"/>
        <v>#NAME?</v>
      </c>
      <c r="M91" s="11" t="e">
        <f ca="1"/>
        <v>#NAME?</v>
      </c>
      <c r="N91" s="12" t="e">
        <f ca="1">_xll.qlYieldTSDiscount(L$4,M91,,Triggers!RTDataTrigger)</f>
        <v>#NAME?</v>
      </c>
      <c r="O91" s="44"/>
      <c r="P91" s="33"/>
      <c r="Q91" s="49" t="e">
        <f t="shared" ca="1" si="7"/>
        <v>#NAME?</v>
      </c>
      <c r="R91" s="50" t="e">
        <f t="shared" ca="1" si="7"/>
        <v>#NAME?</v>
      </c>
      <c r="V91" s="11" t="e">
        <f ca="1"/>
        <v>#NAME?</v>
      </c>
      <c r="W91" s="12" t="e">
        <f ca="1">_xll.qlYieldTSDiscount(U$4,V91,,Triggers!RTDataTrigger)</f>
        <v>#NAME?</v>
      </c>
      <c r="X91" s="44"/>
      <c r="Y91" s="33"/>
      <c r="Z91" s="49" t="e">
        <f t="shared" ca="1" si="8"/>
        <v>#NAME?</v>
      </c>
      <c r="AA91" s="50" t="e">
        <f t="shared" ca="1" si="8"/>
        <v>#NAME?</v>
      </c>
    </row>
    <row r="92" spans="4:27" x14ac:dyDescent="0.2">
      <c r="D92" s="11" t="e">
        <f ca="1"/>
        <v>#NAME?</v>
      </c>
      <c r="E92" s="12" t="e">
        <f ca="1">_xll.qlYieldTSDiscount(C$4,D92,,Triggers!RTDataTrigger)</f>
        <v>#NAME?</v>
      </c>
      <c r="F92" s="44"/>
      <c r="G92" s="33"/>
      <c r="H92" s="49" t="e">
        <f t="shared" ca="1" si="6"/>
        <v>#NAME?</v>
      </c>
      <c r="I92" s="50" t="e">
        <f t="shared" ca="1" si="6"/>
        <v>#NAME?</v>
      </c>
      <c r="M92" s="11" t="e">
        <f ca="1"/>
        <v>#NAME?</v>
      </c>
      <c r="N92" s="12" t="e">
        <f ca="1">_xll.qlYieldTSDiscount(L$4,M92,,Triggers!RTDataTrigger)</f>
        <v>#NAME?</v>
      </c>
      <c r="O92" s="44"/>
      <c r="P92" s="33"/>
      <c r="Q92" s="49" t="e">
        <f t="shared" ca="1" si="7"/>
        <v>#NAME?</v>
      </c>
      <c r="R92" s="50" t="e">
        <f t="shared" ca="1" si="7"/>
        <v>#NAME?</v>
      </c>
      <c r="V92" s="11" t="e">
        <f ca="1"/>
        <v>#NAME?</v>
      </c>
      <c r="W92" s="12" t="e">
        <f ca="1">_xll.qlYieldTSDiscount(U$4,V92,,Triggers!RTDataTrigger)</f>
        <v>#NAME?</v>
      </c>
      <c r="X92" s="44"/>
      <c r="Y92" s="33"/>
      <c r="Z92" s="49" t="e">
        <f t="shared" ca="1" si="8"/>
        <v>#NAME?</v>
      </c>
      <c r="AA92" s="50" t="e">
        <f t="shared" ca="1" si="8"/>
        <v>#NAME?</v>
      </c>
    </row>
    <row r="93" spans="4:27" x14ac:dyDescent="0.2">
      <c r="D93" s="13" t="e">
        <f ca="1"/>
        <v>#NAME?</v>
      </c>
      <c r="E93" s="14" t="e">
        <f ca="1">_xll.qlYieldTSDiscount(C$4,D93,,Triggers!RTDataTrigger)</f>
        <v>#NAME?</v>
      </c>
      <c r="F93" s="45"/>
      <c r="G93" s="46"/>
      <c r="H93" s="51" t="e">
        <f t="shared" ca="1" si="6"/>
        <v>#NAME?</v>
      </c>
      <c r="I93" s="52" t="e">
        <f t="shared" ca="1" si="6"/>
        <v>#NAME?</v>
      </c>
      <c r="M93" s="13" t="e">
        <f ca="1"/>
        <v>#NAME?</v>
      </c>
      <c r="N93" s="14" t="e">
        <f ca="1">_xll.qlYieldTSDiscount(L$4,M93,,Triggers!RTDataTrigger)</f>
        <v>#NAME?</v>
      </c>
      <c r="O93" s="45"/>
      <c r="P93" s="46"/>
      <c r="Q93" s="51" t="e">
        <f t="shared" ca="1" si="7"/>
        <v>#NAME?</v>
      </c>
      <c r="R93" s="52" t="e">
        <f t="shared" ca="1" si="7"/>
        <v>#NAME?</v>
      </c>
      <c r="V93" s="13" t="e">
        <f ca="1"/>
        <v>#NAME?</v>
      </c>
      <c r="W93" s="14" t="e">
        <f ca="1">_xll.qlYieldTSDiscount(U$4,V93,,Triggers!RTDataTrigger)</f>
        <v>#NAME?</v>
      </c>
      <c r="X93" s="45"/>
      <c r="Y93" s="46"/>
      <c r="Z93" s="51" t="e">
        <f t="shared" ca="1" si="8"/>
        <v>#NAME?</v>
      </c>
      <c r="AA93" s="52" t="e">
        <f t="shared" ca="1" si="8"/>
        <v>#NAME?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4" r:id="rId4" name="Button 4">
              <controlPr defaultSize="0" print="0" autoFill="0" autoPict="0" macro="[0]!rtRun">
                <anchor moveWithCells="1" sizeWithCells="1">
                  <from>
                    <xdr:col>1</xdr:col>
                    <xdr:colOff>34506</xdr:colOff>
                    <xdr:row>17</xdr:row>
                    <xdr:rowOff>17253</xdr:rowOff>
                  </from>
                  <to>
                    <xdr:col>1</xdr:col>
                    <xdr:colOff>948906</xdr:colOff>
                    <xdr:row>18</xdr:row>
                    <xdr:rowOff>120770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5" name="Button 5">
              <controlPr defaultSize="0" print="0" autoFill="0" autoPict="0" macro="[0]!rtFreeze">
                <anchor moveWithCells="1" sizeWithCells="1">
                  <from>
                    <xdr:col>1</xdr:col>
                    <xdr:colOff>34506</xdr:colOff>
                    <xdr:row>18</xdr:row>
                    <xdr:rowOff>120770</xdr:rowOff>
                  </from>
                  <to>
                    <xdr:col>1</xdr:col>
                    <xdr:colOff>948906</xdr:colOff>
                    <xdr:row>20</xdr:row>
                    <xdr:rowOff>86264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249977111117893"/>
  </sheetPr>
  <dimension ref="B2:AA93"/>
  <sheetViews>
    <sheetView showGridLines="0" zoomScaleNormal="100" workbookViewId="0"/>
  </sheetViews>
  <sheetFormatPr defaultRowHeight="10.9" outlineLevelCol="1" x14ac:dyDescent="0.2"/>
  <cols>
    <col min="1" max="1" width="3.85546875" customWidth="1"/>
    <col min="2" max="2" width="16.85546875" customWidth="1"/>
    <col min="3" max="3" width="20.85546875" customWidth="1"/>
    <col min="4" max="7" width="10.85546875" hidden="1" customWidth="1" outlineLevel="1"/>
    <col min="8" max="8" width="10.85546875" customWidth="1" collapsed="1"/>
    <col min="9" max="9" width="10.85546875" customWidth="1"/>
    <col min="10" max="10" width="5.85546875" customWidth="1"/>
    <col min="11" max="11" width="16.85546875" customWidth="1"/>
    <col min="12" max="12" width="20.85546875" customWidth="1"/>
    <col min="13" max="16" width="10.85546875" hidden="1" customWidth="1" outlineLevel="1"/>
    <col min="17" max="17" width="10.85546875" customWidth="1" collapsed="1"/>
    <col min="18" max="18" width="10.85546875" customWidth="1"/>
    <col min="20" max="20" width="16.85546875" customWidth="1"/>
    <col min="21" max="21" width="20.85546875" customWidth="1"/>
    <col min="22" max="25" width="10.85546875" hidden="1" customWidth="1" outlineLevel="1"/>
    <col min="26" max="26" width="10.85546875" customWidth="1" collapsed="1"/>
    <col min="27" max="27" width="10.85546875" customWidth="1"/>
  </cols>
  <sheetData>
    <row r="2" spans="2:27" x14ac:dyDescent="0.2">
      <c r="D2" s="312" t="s">
        <v>141</v>
      </c>
      <c r="E2" s="313"/>
      <c r="F2" s="312" t="s">
        <v>75</v>
      </c>
      <c r="G2" s="313"/>
      <c r="H2" s="312" t="s">
        <v>142</v>
      </c>
      <c r="I2" s="313"/>
      <c r="M2" s="312" t="s">
        <v>141</v>
      </c>
      <c r="N2" s="313"/>
      <c r="O2" s="312" t="s">
        <v>75</v>
      </c>
      <c r="P2" s="313"/>
      <c r="Q2" s="312" t="s">
        <v>142</v>
      </c>
      <c r="R2" s="313"/>
      <c r="V2" s="312" t="s">
        <v>141</v>
      </c>
      <c r="W2" s="313"/>
      <c r="X2" s="312" t="s">
        <v>75</v>
      </c>
      <c r="Y2" s="313"/>
      <c r="Z2" s="312" t="s">
        <v>142</v>
      </c>
      <c r="AA2" s="313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207</v>
      </c>
      <c r="D4" s="29" t="e">
        <f t="array" aca="1" ref="D4:D93" ca="1">CHOOSE(C7,_xll.qlPiecewiseYieldCurveDates(C5),_xll.qlInterpolatedYieldCurveDates(C5))</f>
        <v>#NAME?</v>
      </c>
      <c r="E4" s="34" t="e">
        <f ca="1">_xll.qlYieldTSDiscount(C$4,D4,,Triggers!RTDataTrigger)</f>
        <v>#NAME?</v>
      </c>
      <c r="F4" s="43"/>
      <c r="G4" s="32"/>
      <c r="H4" s="47" t="e">
        <f ca="1">IF(ISBLANK(F4),D4,F4)</f>
        <v>#NAME?</v>
      </c>
      <c r="I4" s="48" t="e">
        <f t="shared" ref="I4:I67" ca="1" si="0">IF(ISBLANK(G4),E4,G4)</f>
        <v>#NAME?</v>
      </c>
      <c r="K4" s="36" t="s">
        <v>10</v>
      </c>
      <c r="L4" s="40" t="s">
        <v>208</v>
      </c>
      <c r="M4" s="29" t="e">
        <f t="array" aca="1" ref="M4:M93" ca="1">CHOOSE(L7,_xll.qlPiecewiseYieldCurveDates(L5),_xll.qlInterpolatedYieldCurveDates(L5))</f>
        <v>#NAME?</v>
      </c>
      <c r="N4" s="34" t="e">
        <f ca="1">_xll.qlYieldTSDiscount(L$4,M4,,Triggers!RTDataTrigger)</f>
        <v>#NAME?</v>
      </c>
      <c r="O4" s="43"/>
      <c r="P4" s="32"/>
      <c r="Q4" s="47" t="e">
        <f ca="1">IF(ISBLANK(O4),M4,O4)</f>
        <v>#NAME?</v>
      </c>
      <c r="R4" s="48" t="e">
        <f t="shared" ref="R4:R67" ca="1" si="1">IF(ISBLANK(P4),N4,P4)</f>
        <v>#NAME?</v>
      </c>
      <c r="T4" s="36" t="s">
        <v>10</v>
      </c>
      <c r="U4" s="40" t="s">
        <v>209</v>
      </c>
      <c r="V4" s="29" t="e">
        <f t="array" aca="1" ref="V4:V93" ca="1">CHOOSE(U7,_xll.qlPiecewiseYieldCurveDates(U5),_xll.qlInterpolatedYieldCurveDates(U5))</f>
        <v>#NAME?</v>
      </c>
      <c r="W4" s="34" t="e">
        <f ca="1">_xll.qlYieldTSDiscount(U$4,V4,,Triggers!RTDataTrigger)</f>
        <v>#NAME?</v>
      </c>
      <c r="X4" s="43"/>
      <c r="Y4" s="32"/>
      <c r="Z4" s="47" t="e">
        <f ca="1">IF(ISBLANK(X4),V4,X4)</f>
        <v>#NAME?</v>
      </c>
      <c r="AA4" s="48" t="e">
        <f t="shared" ref="AA4:AA67" ca="1" si="2">IF(ISBLANK(Y4),W4,Y4)</f>
        <v>#NAME?</v>
      </c>
    </row>
    <row r="5" spans="2:27" x14ac:dyDescent="0.2">
      <c r="B5" s="37" t="s">
        <v>16</v>
      </c>
      <c r="C5" s="23" t="e">
        <f ca="1">_xll.qlHandleCurrentLink(C4,ObjectsTrigger)</f>
        <v>#NAME?</v>
      </c>
      <c r="D5" s="11" t="e">
        <f ca="1"/>
        <v>#NAME?</v>
      </c>
      <c r="E5" s="35" t="e">
        <f ca="1">_xll.qlYieldTSDiscount(C$4,D5,,Triggers!RTDataTrigger)</f>
        <v>#NAME?</v>
      </c>
      <c r="F5" s="44"/>
      <c r="G5" s="33"/>
      <c r="H5" s="49" t="e">
        <f t="shared" ref="H5:I68" ca="1" si="3">IF(ISBLANK(F5),D5,F5)</f>
        <v>#NAME?</v>
      </c>
      <c r="I5" s="50" t="e">
        <f t="shared" ca="1" si="0"/>
        <v>#NAME?</v>
      </c>
      <c r="K5" s="37" t="s">
        <v>16</v>
      </c>
      <c r="L5" s="23" t="e">
        <f ca="1">_xll.qlHandleCurrentLink(L4,ObjectsTrigger)</f>
        <v>#NAME?</v>
      </c>
      <c r="M5" s="11" t="e">
        <f ca="1"/>
        <v>#NAME?</v>
      </c>
      <c r="N5" s="35" t="e">
        <f ca="1">_xll.qlYieldTSDiscount(L$4,M5,,Triggers!RTDataTrigger)</f>
        <v>#NAME?</v>
      </c>
      <c r="O5" s="44"/>
      <c r="P5" s="33"/>
      <c r="Q5" s="49" t="e">
        <f t="shared" ref="Q5:R68" ca="1" si="4">IF(ISBLANK(O5),M5,O5)</f>
        <v>#NAME?</v>
      </c>
      <c r="R5" s="50" t="e">
        <f t="shared" ca="1" si="1"/>
        <v>#NAME?</v>
      </c>
      <c r="T5" s="37" t="s">
        <v>16</v>
      </c>
      <c r="U5" s="23" t="e">
        <f ca="1">_xll.qlHandleCurrentLink(U4,ObjectsTrigger)</f>
        <v>#NAME?</v>
      </c>
      <c r="V5" s="11" t="e">
        <f ca="1"/>
        <v>#NAME?</v>
      </c>
      <c r="W5" s="35" t="e">
        <f ca="1">_xll.qlYieldTSDiscount(U$4,V5,,Triggers!RTDataTrigger)</f>
        <v>#NAME?</v>
      </c>
      <c r="X5" s="44"/>
      <c r="Y5" s="33"/>
      <c r="Z5" s="49" t="e">
        <f t="shared" ref="Z5:AA68" ca="1" si="5">IF(ISBLANK(X5),V5,X5)</f>
        <v>#NAME?</v>
      </c>
      <c r="AA5" s="50" t="e">
        <f t="shared" ca="1" si="2"/>
        <v>#NAME?</v>
      </c>
    </row>
    <row r="6" spans="2:27" x14ac:dyDescent="0.2">
      <c r="B6" s="37" t="s">
        <v>133</v>
      </c>
      <c r="C6" s="27" t="e">
        <f ca="1">_xll.ohObjectClassName(C5)</f>
        <v>#NAME?</v>
      </c>
      <c r="D6" s="11" t="e">
        <f ca="1"/>
        <v>#NAME?</v>
      </c>
      <c r="E6" s="35" t="e">
        <f ca="1">_xll.qlYieldTSDiscount(C$4,D6,,Triggers!RTDataTrigger)</f>
        <v>#NAME?</v>
      </c>
      <c r="F6" s="44"/>
      <c r="G6" s="33"/>
      <c r="H6" s="49" t="e">
        <f t="shared" ca="1" si="3"/>
        <v>#NAME?</v>
      </c>
      <c r="I6" s="50" t="e">
        <f t="shared" ca="1" si="0"/>
        <v>#NAME?</v>
      </c>
      <c r="K6" s="37" t="s">
        <v>133</v>
      </c>
      <c r="L6" s="27" t="e">
        <f ca="1">_xll.ohObjectClassName(L5)</f>
        <v>#NAME?</v>
      </c>
      <c r="M6" s="11" t="e">
        <f ca="1"/>
        <v>#NAME?</v>
      </c>
      <c r="N6" s="35" t="e">
        <f ca="1">_xll.qlYieldTSDiscount(L$4,M6,,Triggers!RTDataTrigger)</f>
        <v>#NAME?</v>
      </c>
      <c r="O6" s="44"/>
      <c r="P6" s="33"/>
      <c r="Q6" s="49" t="e">
        <f t="shared" ca="1" si="4"/>
        <v>#NAME?</v>
      </c>
      <c r="R6" s="50" t="e">
        <f t="shared" ca="1" si="1"/>
        <v>#NAME?</v>
      </c>
      <c r="T6" s="37" t="s">
        <v>133</v>
      </c>
      <c r="U6" s="27" t="e">
        <f ca="1">_xll.ohObjectClassName(U5)</f>
        <v>#NAME?</v>
      </c>
      <c r="V6" s="11" t="e">
        <f ca="1"/>
        <v>#NAME?</v>
      </c>
      <c r="W6" s="35" t="e">
        <f ca="1">_xll.qlYieldTSDiscount(U$4,V6,,Triggers!RTDataTrigger)</f>
        <v>#NAME?</v>
      </c>
      <c r="X6" s="44"/>
      <c r="Y6" s="33"/>
      <c r="Z6" s="49" t="e">
        <f t="shared" ca="1" si="5"/>
        <v>#NAME?</v>
      </c>
      <c r="AA6" s="50" t="e">
        <f t="shared" ca="1" si="2"/>
        <v>#NAME?</v>
      </c>
    </row>
    <row r="7" spans="2:27" x14ac:dyDescent="0.2">
      <c r="B7" s="38" t="s">
        <v>134</v>
      </c>
      <c r="C7" s="26" t="e">
        <f ca="1">MATCH(C6,{"qlPiecewiseYieldCurve","qlInterpolatedYieldCurve"})</f>
        <v>#NAME?</v>
      </c>
      <c r="D7" s="11" t="e">
        <f ca="1"/>
        <v>#NAME?</v>
      </c>
      <c r="E7" s="35" t="e">
        <f ca="1">_xll.qlYieldTSDiscount(C$4,D7,,Triggers!RTDataTrigger)</f>
        <v>#NAME?</v>
      </c>
      <c r="F7" s="44"/>
      <c r="G7" s="33"/>
      <c r="H7" s="49" t="e">
        <f t="shared" ca="1" si="3"/>
        <v>#NAME?</v>
      </c>
      <c r="I7" s="50" t="e">
        <f t="shared" ca="1" si="0"/>
        <v>#NAME?</v>
      </c>
      <c r="K7" s="38" t="s">
        <v>134</v>
      </c>
      <c r="L7" s="26" t="e">
        <f ca="1">MATCH(L6,{"qlPiecewiseYieldCurve","qlInterpolatedYieldCurve"})</f>
        <v>#NAME?</v>
      </c>
      <c r="M7" s="11" t="e">
        <f ca="1"/>
        <v>#NAME?</v>
      </c>
      <c r="N7" s="35" t="e">
        <f ca="1">_xll.qlYieldTSDiscount(L$4,M7,,Triggers!RTDataTrigger)</f>
        <v>#NAME?</v>
      </c>
      <c r="O7" s="44"/>
      <c r="P7" s="33"/>
      <c r="Q7" s="49" t="e">
        <f t="shared" ca="1" si="4"/>
        <v>#NAME?</v>
      </c>
      <c r="R7" s="50" t="e">
        <f t="shared" ca="1" si="1"/>
        <v>#NAME?</v>
      </c>
      <c r="T7" s="38" t="s">
        <v>134</v>
      </c>
      <c r="U7" s="26" t="e">
        <f ca="1">MATCH(U6,{"qlPiecewiseYieldCurve","qlInterpolatedYieldCurve"})</f>
        <v>#NAME?</v>
      </c>
      <c r="V7" s="11" t="e">
        <f ca="1"/>
        <v>#NAME?</v>
      </c>
      <c r="W7" s="35" t="e">
        <f ca="1">_xll.qlYieldTSDiscount(U$4,V7,,Triggers!RTDataTrigger)</f>
        <v>#NAME?</v>
      </c>
      <c r="X7" s="44"/>
      <c r="Y7" s="33"/>
      <c r="Z7" s="49" t="e">
        <f t="shared" ca="1" si="5"/>
        <v>#NAME?</v>
      </c>
      <c r="AA7" s="50" t="e">
        <f t="shared" ca="1" si="2"/>
        <v>#NAME?</v>
      </c>
    </row>
    <row r="8" spans="2:27" x14ac:dyDescent="0.2">
      <c r="B8" s="36" t="s">
        <v>4</v>
      </c>
      <c r="C8" s="40" t="s">
        <v>153</v>
      </c>
      <c r="D8" s="11" t="e">
        <f ca="1"/>
        <v>#NAME?</v>
      </c>
      <c r="E8" s="35" t="e">
        <f ca="1">_xll.qlYieldTSDiscount(C$4,D8,,Triggers!RTDataTrigger)</f>
        <v>#NAME?</v>
      </c>
      <c r="F8" s="44"/>
      <c r="G8" s="33"/>
      <c r="H8" s="49" t="e">
        <f t="shared" ca="1" si="3"/>
        <v>#NAME?</v>
      </c>
      <c r="I8" s="50" t="e">
        <f t="shared" ca="1" si="0"/>
        <v>#NAME?</v>
      </c>
      <c r="K8" s="36" t="s">
        <v>4</v>
      </c>
      <c r="L8" s="40" t="s">
        <v>153</v>
      </c>
      <c r="M8" s="11" t="e">
        <f ca="1"/>
        <v>#NAME?</v>
      </c>
      <c r="N8" s="35" t="e">
        <f ca="1">_xll.qlYieldTSDiscount(L$4,M8,,Triggers!RTDataTrigger)</f>
        <v>#NAME?</v>
      </c>
      <c r="O8" s="44"/>
      <c r="P8" s="33"/>
      <c r="Q8" s="49" t="e">
        <f t="shared" ca="1" si="4"/>
        <v>#NAME?</v>
      </c>
      <c r="R8" s="50" t="e">
        <f t="shared" ca="1" si="1"/>
        <v>#NAME?</v>
      </c>
      <c r="T8" s="36" t="s">
        <v>4</v>
      </c>
      <c r="U8" s="40" t="s">
        <v>153</v>
      </c>
      <c r="V8" s="11" t="e">
        <f ca="1"/>
        <v>#NAME?</v>
      </c>
      <c r="W8" s="35" t="e">
        <f ca="1">_xll.qlYieldTSDiscount(U$4,V8,,Triggers!RTDataTrigger)</f>
        <v>#NAME?</v>
      </c>
      <c r="X8" s="44"/>
      <c r="Y8" s="33"/>
      <c r="Z8" s="49" t="e">
        <f t="shared" ca="1" si="5"/>
        <v>#NAME?</v>
      </c>
      <c r="AA8" s="50" t="e">
        <f t="shared" ca="1" si="2"/>
        <v>#NAME?</v>
      </c>
    </row>
    <row r="9" spans="2:27" x14ac:dyDescent="0.2">
      <c r="B9" s="37" t="s">
        <v>5</v>
      </c>
      <c r="C9" s="277" t="str">
        <f>C4&amp;"_"</f>
        <v>GBPON_</v>
      </c>
      <c r="D9" s="11" t="e">
        <f ca="1"/>
        <v>#NAME?</v>
      </c>
      <c r="E9" s="35" t="e">
        <f ca="1">_xll.qlYieldTSDiscount(C$4,D9,,Triggers!RTDataTrigger)</f>
        <v>#NAME?</v>
      </c>
      <c r="F9" s="44"/>
      <c r="G9" s="33"/>
      <c r="H9" s="49" t="e">
        <f t="shared" ca="1" si="3"/>
        <v>#NAME?</v>
      </c>
      <c r="I9" s="50" t="e">
        <f t="shared" ca="1" si="0"/>
        <v>#NAME?</v>
      </c>
      <c r="K9" s="37" t="s">
        <v>5</v>
      </c>
      <c r="L9" s="277" t="str">
        <f>L4&amp;"_"</f>
        <v>GBP3M_</v>
      </c>
      <c r="M9" s="11" t="e">
        <f ca="1"/>
        <v>#NAME?</v>
      </c>
      <c r="N9" s="35" t="e">
        <f ca="1">_xll.qlYieldTSDiscount(L$4,M9,,Triggers!RTDataTrigger)</f>
        <v>#NAME?</v>
      </c>
      <c r="O9" s="44"/>
      <c r="P9" s="33"/>
      <c r="Q9" s="49" t="e">
        <f t="shared" ca="1" si="4"/>
        <v>#NAME?</v>
      </c>
      <c r="R9" s="50" t="e">
        <f t="shared" ca="1" si="1"/>
        <v>#NAME?</v>
      </c>
      <c r="T9" s="37" t="s">
        <v>5</v>
      </c>
      <c r="U9" s="277" t="str">
        <f>U4&amp;"_"</f>
        <v>GBPSTD_</v>
      </c>
      <c r="V9" s="11" t="e">
        <f ca="1"/>
        <v>#NAME?</v>
      </c>
      <c r="W9" s="35" t="e">
        <f ca="1">_xll.qlYieldTSDiscount(U$4,V9,,Triggers!RTDataTrigger)</f>
        <v>#NAME?</v>
      </c>
      <c r="X9" s="44"/>
      <c r="Y9" s="33"/>
      <c r="Z9" s="49" t="e">
        <f t="shared" ca="1" si="5"/>
        <v>#NAME?</v>
      </c>
      <c r="AA9" s="50" t="e">
        <f t="shared" ca="1" si="2"/>
        <v>#NAME?</v>
      </c>
    </row>
    <row r="10" spans="2:27" x14ac:dyDescent="0.2">
      <c r="B10" s="37" t="s">
        <v>6</v>
      </c>
      <c r="C10" s="277" t="s">
        <v>11</v>
      </c>
      <c r="D10" s="11" t="e">
        <f ca="1"/>
        <v>#NAME?</v>
      </c>
      <c r="E10" s="35" t="e">
        <f ca="1">_xll.qlYieldTSDiscount(C$4,D10,,Triggers!RTDataTrigger)</f>
        <v>#NAME?</v>
      </c>
      <c r="F10" s="44"/>
      <c r="G10" s="33"/>
      <c r="H10" s="49" t="e">
        <f t="shared" ca="1" si="3"/>
        <v>#NAME?</v>
      </c>
      <c r="I10" s="50" t="e">
        <f t="shared" ca="1" si="0"/>
        <v>#NAME?</v>
      </c>
      <c r="K10" s="37" t="s">
        <v>6</v>
      </c>
      <c r="L10" s="277" t="s">
        <v>11</v>
      </c>
      <c r="M10" s="11" t="e">
        <f ca="1"/>
        <v>#NAME?</v>
      </c>
      <c r="N10" s="35" t="e">
        <f ca="1">_xll.qlYieldTSDiscount(L$4,M10,,Triggers!RTDataTrigger)</f>
        <v>#NAME?</v>
      </c>
      <c r="O10" s="44"/>
      <c r="P10" s="33"/>
      <c r="Q10" s="49" t="e">
        <f t="shared" ca="1" si="4"/>
        <v>#NAME?</v>
      </c>
      <c r="R10" s="50" t="e">
        <f t="shared" ca="1" si="1"/>
        <v>#NAME?</v>
      </c>
      <c r="T10" s="37" t="s">
        <v>6</v>
      </c>
      <c r="U10" s="277" t="s">
        <v>58</v>
      </c>
      <c r="V10" s="11" t="e">
        <f ca="1"/>
        <v>#NAME?</v>
      </c>
      <c r="W10" s="35" t="e">
        <f ca="1">_xll.qlYieldTSDiscount(U$4,V10,,Triggers!RTDataTrigger)</f>
        <v>#NAME?</v>
      </c>
      <c r="X10" s="44"/>
      <c r="Y10" s="33"/>
      <c r="Z10" s="49" t="e">
        <f t="shared" ca="1" si="5"/>
        <v>#NAME?</v>
      </c>
      <c r="AA10" s="50" t="e">
        <f t="shared" ca="1" si="2"/>
        <v>#NAME?</v>
      </c>
    </row>
    <row r="11" spans="2:27" x14ac:dyDescent="0.2">
      <c r="B11" s="37" t="s">
        <v>7</v>
      </c>
      <c r="C11" s="277" t="s">
        <v>12</v>
      </c>
      <c r="D11" s="11" t="e">
        <f ca="1"/>
        <v>#NAME?</v>
      </c>
      <c r="E11" s="35" t="e">
        <f ca="1">_xll.qlYieldTSDiscount(C$4,D11,,Triggers!RTDataTrigger)</f>
        <v>#NAME?</v>
      </c>
      <c r="F11" s="44"/>
      <c r="G11" s="33"/>
      <c r="H11" s="49" t="e">
        <f t="shared" ca="1" si="3"/>
        <v>#NAME?</v>
      </c>
      <c r="I11" s="50" t="e">
        <f t="shared" ca="1" si="0"/>
        <v>#NAME?</v>
      </c>
      <c r="K11" s="37" t="s">
        <v>7</v>
      </c>
      <c r="L11" s="277" t="s">
        <v>12</v>
      </c>
      <c r="M11" s="11" t="e">
        <f ca="1"/>
        <v>#NAME?</v>
      </c>
      <c r="N11" s="35" t="e">
        <f ca="1">_xll.qlYieldTSDiscount(L$4,M11,,Triggers!RTDataTrigger)</f>
        <v>#NAME?</v>
      </c>
      <c r="O11" s="44"/>
      <c r="P11" s="33"/>
      <c r="Q11" s="49" t="e">
        <f t="shared" ca="1" si="4"/>
        <v>#NAME?</v>
      </c>
      <c r="R11" s="50" t="e">
        <f t="shared" ca="1" si="1"/>
        <v>#NAME?</v>
      </c>
      <c r="T11" s="37" t="s">
        <v>7</v>
      </c>
      <c r="U11" s="277" t="s">
        <v>46</v>
      </c>
      <c r="V11" s="11" t="e">
        <f ca="1"/>
        <v>#NAME?</v>
      </c>
      <c r="W11" s="35" t="e">
        <f ca="1">_xll.qlYieldTSDiscount(U$4,V11,,Triggers!RTDataTrigger)</f>
        <v>#NAME?</v>
      </c>
      <c r="X11" s="44"/>
      <c r="Y11" s="33"/>
      <c r="Z11" s="49" t="e">
        <f t="shared" ca="1" si="5"/>
        <v>#NAME?</v>
      </c>
      <c r="AA11" s="50" t="e">
        <f t="shared" ca="1" si="2"/>
        <v>#NAME?</v>
      </c>
    </row>
    <row r="12" spans="2:27" x14ac:dyDescent="0.2">
      <c r="B12" s="37" t="s">
        <v>8</v>
      </c>
      <c r="C12" s="277" t="s">
        <v>13</v>
      </c>
      <c r="D12" s="11" t="e">
        <f ca="1"/>
        <v>#NAME?</v>
      </c>
      <c r="E12" s="35" t="e">
        <f ca="1">_xll.qlYieldTSDiscount(C$4,D12,,Triggers!RTDataTrigger)</f>
        <v>#NAME?</v>
      </c>
      <c r="F12" s="44"/>
      <c r="G12" s="33"/>
      <c r="H12" s="49" t="e">
        <f t="shared" ca="1" si="3"/>
        <v>#NAME?</v>
      </c>
      <c r="I12" s="50" t="e">
        <f t="shared" ca="1" si="0"/>
        <v>#NAME?</v>
      </c>
      <c r="K12" s="37" t="s">
        <v>8</v>
      </c>
      <c r="L12" s="277" t="s">
        <v>13</v>
      </c>
      <c r="M12" s="11" t="e">
        <f ca="1"/>
        <v>#NAME?</v>
      </c>
      <c r="N12" s="35" t="e">
        <f ca="1">_xll.qlYieldTSDiscount(L$4,M12,,Triggers!RTDataTrigger)</f>
        <v>#NAME?</v>
      </c>
      <c r="O12" s="44"/>
      <c r="P12" s="33"/>
      <c r="Q12" s="49" t="e">
        <f t="shared" ca="1" si="4"/>
        <v>#NAME?</v>
      </c>
      <c r="R12" s="50" t="e">
        <f t="shared" ca="1" si="1"/>
        <v>#NAME?</v>
      </c>
      <c r="T12" s="37" t="s">
        <v>8</v>
      </c>
      <c r="U12" s="277" t="s">
        <v>13</v>
      </c>
      <c r="V12" s="11" t="e">
        <f ca="1"/>
        <v>#NAME?</v>
      </c>
      <c r="W12" s="35" t="e">
        <f ca="1">_xll.qlYieldTSDiscount(U$4,V12,,Triggers!RTDataTrigger)</f>
        <v>#NAME?</v>
      </c>
      <c r="X12" s="44"/>
      <c r="Y12" s="33"/>
      <c r="Z12" s="49" t="e">
        <f t="shared" ca="1" si="5"/>
        <v>#NAME?</v>
      </c>
      <c r="AA12" s="50" t="e">
        <f t="shared" ca="1" si="2"/>
        <v>#NAME?</v>
      </c>
    </row>
    <row r="13" spans="2:27" x14ac:dyDescent="0.2">
      <c r="B13" s="38" t="s">
        <v>9</v>
      </c>
      <c r="C13" s="42">
        <v>5</v>
      </c>
      <c r="D13" s="11" t="e">
        <f ca="1"/>
        <v>#NAME?</v>
      </c>
      <c r="E13" s="35" t="e">
        <f ca="1">_xll.qlYieldTSDiscount(C$4,D13,,Triggers!RTDataTrigger)</f>
        <v>#NAME?</v>
      </c>
      <c r="F13" s="44"/>
      <c r="G13" s="33"/>
      <c r="H13" s="49" t="e">
        <f t="shared" ca="1" si="3"/>
        <v>#NAME?</v>
      </c>
      <c r="I13" s="50" t="e">
        <f t="shared" ca="1" si="0"/>
        <v>#NAME?</v>
      </c>
      <c r="K13" s="38" t="s">
        <v>9</v>
      </c>
      <c r="L13" s="42">
        <v>5</v>
      </c>
      <c r="M13" s="11" t="e">
        <f ca="1"/>
        <v>#NAME?</v>
      </c>
      <c r="N13" s="35" t="e">
        <f ca="1">_xll.qlYieldTSDiscount(L$4,M13,,Triggers!RTDataTrigger)</f>
        <v>#NAME?</v>
      </c>
      <c r="O13" s="44"/>
      <c r="P13" s="33"/>
      <c r="Q13" s="49" t="e">
        <f t="shared" ca="1" si="4"/>
        <v>#NAME?</v>
      </c>
      <c r="R13" s="50" t="e">
        <f t="shared" ca="1" si="1"/>
        <v>#NAME?</v>
      </c>
      <c r="T13" s="38" t="s">
        <v>9</v>
      </c>
      <c r="U13" s="42">
        <v>5</v>
      </c>
      <c r="V13" s="11" t="e">
        <f ca="1"/>
        <v>#NAME?</v>
      </c>
      <c r="W13" s="35" t="e">
        <f ca="1">_xll.qlYieldTSDiscount(U$4,V13,,Triggers!RTDataTrigger)</f>
        <v>#NAME?</v>
      </c>
      <c r="X13" s="44"/>
      <c r="Y13" s="33"/>
      <c r="Z13" s="49" t="e">
        <f t="shared" ca="1" si="5"/>
        <v>#NAME?</v>
      </c>
      <c r="AA13" s="50" t="e">
        <f t="shared" ca="1" si="2"/>
        <v>#NAME?</v>
      </c>
    </row>
    <row r="14" spans="2:27" x14ac:dyDescent="0.2">
      <c r="B14" s="37" t="s">
        <v>17</v>
      </c>
      <c r="C14" s="28">
        <f ca="1">COUNT(H4:H93)</f>
        <v>0</v>
      </c>
      <c r="D14" s="11" t="e">
        <f ca="1"/>
        <v>#NAME?</v>
      </c>
      <c r="E14" s="35" t="e">
        <f ca="1">_xll.qlYieldTSDiscount(C$4,D14,,Triggers!RTDataTrigger)</f>
        <v>#NAME?</v>
      </c>
      <c r="F14" s="44"/>
      <c r="G14" s="33"/>
      <c r="H14" s="49" t="e">
        <f t="shared" ca="1" si="3"/>
        <v>#NAME?</v>
      </c>
      <c r="I14" s="50" t="e">
        <f t="shared" ca="1" si="0"/>
        <v>#NAME?</v>
      </c>
      <c r="K14" s="37" t="s">
        <v>17</v>
      </c>
      <c r="L14" s="28">
        <f ca="1">COUNT(Q4:Q93)</f>
        <v>0</v>
      </c>
      <c r="M14" s="11" t="e">
        <f ca="1"/>
        <v>#NAME?</v>
      </c>
      <c r="N14" s="35" t="e">
        <f ca="1">_xll.qlYieldTSDiscount(L$4,M14,,Triggers!RTDataTrigger)</f>
        <v>#NAME?</v>
      </c>
      <c r="O14" s="44"/>
      <c r="P14" s="33"/>
      <c r="Q14" s="49" t="e">
        <f t="shared" ca="1" si="4"/>
        <v>#NAME?</v>
      </c>
      <c r="R14" s="50" t="e">
        <f t="shared" ca="1" si="1"/>
        <v>#NAME?</v>
      </c>
      <c r="T14" s="37" t="s">
        <v>17</v>
      </c>
      <c r="U14" s="28">
        <f ca="1">COUNT(Z4:Z93)</f>
        <v>0</v>
      </c>
      <c r="V14" s="11" t="e">
        <f ca="1"/>
        <v>#NAME?</v>
      </c>
      <c r="W14" s="35" t="e">
        <f ca="1">_xll.qlYieldTSDiscount(U$4,V14,,Triggers!RTDataTrigger)</f>
        <v>#NAME?</v>
      </c>
      <c r="X14" s="44"/>
      <c r="Y14" s="33"/>
      <c r="Z14" s="49" t="e">
        <f t="shared" ca="1" si="5"/>
        <v>#NAME?</v>
      </c>
      <c r="AA14" s="50" t="e">
        <f t="shared" ca="1" si="2"/>
        <v>#NAME?</v>
      </c>
    </row>
    <row r="15" spans="2:27" x14ac:dyDescent="0.2">
      <c r="B15" s="38" t="s">
        <v>18</v>
      </c>
      <c r="C15" s="15" t="e">
        <f ca="1">GetNow(_xll.xlPushShmLiborCurveName(C8,C9,H4:INDEX(H4:H93,C14),I4:INDEX(I4:I93,C14),C10,C11,C12,C13+0*TYPE(ManualTrigger)))</f>
        <v>#NAME?</v>
      </c>
      <c r="D15" s="11" t="e">
        <f ca="1"/>
        <v>#NAME?</v>
      </c>
      <c r="E15" s="35" t="e">
        <f ca="1">_xll.qlYieldTSDiscount(C$4,D15,,Triggers!RTDataTrigger)</f>
        <v>#NAME?</v>
      </c>
      <c r="F15" s="44"/>
      <c r="G15" s="33"/>
      <c r="H15" s="49" t="e">
        <f t="shared" ca="1" si="3"/>
        <v>#NAME?</v>
      </c>
      <c r="I15" s="50" t="e">
        <f t="shared" ca="1" si="0"/>
        <v>#NAME?</v>
      </c>
      <c r="K15" s="38" t="s">
        <v>18</v>
      </c>
      <c r="L15" s="15" t="e">
        <f ca="1">GetNow(_xll.xlPushShmLiborCurveName(L8,L9,Q4:INDEX(Q4:Q93,L14),R4:INDEX(R4:R93,L14),L10,L11,L12,L13+0*TYPE(ManualTrigger)))</f>
        <v>#NAME?</v>
      </c>
      <c r="M15" s="11" t="e">
        <f ca="1"/>
        <v>#NAME?</v>
      </c>
      <c r="N15" s="35" t="e">
        <f ca="1">_xll.qlYieldTSDiscount(L$4,M15,,Triggers!RTDataTrigger)</f>
        <v>#NAME?</v>
      </c>
      <c r="O15" s="44"/>
      <c r="P15" s="33"/>
      <c r="Q15" s="49" t="e">
        <f t="shared" ca="1" si="4"/>
        <v>#NAME?</v>
      </c>
      <c r="R15" s="50" t="e">
        <f t="shared" ca="1" si="1"/>
        <v>#NAME?</v>
      </c>
      <c r="T15" s="38" t="s">
        <v>18</v>
      </c>
      <c r="U15" s="15" t="e">
        <f ca="1">GetNow(_xll.xlPushShmLiborCurveName(U8,U9,Z4:INDEX(Z4:Z93,U14),AA4:INDEX(AA4:AA93,U14),U10,U11,U12,U13+0*TYPE(ManualTrigger)))</f>
        <v>#NAME?</v>
      </c>
      <c r="V15" s="11" t="e">
        <f ca="1"/>
        <v>#NAME?</v>
      </c>
      <c r="W15" s="35" t="e">
        <f ca="1">_xll.qlYieldTSDiscount(U$4,V15,,Triggers!RTDataTrigger)</f>
        <v>#NAME?</v>
      </c>
      <c r="X15" s="44"/>
      <c r="Y15" s="33"/>
      <c r="Z15" s="49" t="e">
        <f t="shared" ca="1" si="5"/>
        <v>#NAME?</v>
      </c>
      <c r="AA15" s="50" t="e">
        <f t="shared" ca="1" si="2"/>
        <v>#NAME?</v>
      </c>
    </row>
    <row r="16" spans="2:27" x14ac:dyDescent="0.2">
      <c r="D16" s="11" t="e">
        <f ca="1"/>
        <v>#NAME?</v>
      </c>
      <c r="E16" s="35" t="e">
        <f ca="1">_xll.qlYieldTSDiscount(C$4,D16,,Triggers!RTDataTrigger)</f>
        <v>#NAME?</v>
      </c>
      <c r="F16" s="44"/>
      <c r="G16" s="33"/>
      <c r="H16" s="49" t="e">
        <f t="shared" ca="1" si="3"/>
        <v>#NAME?</v>
      </c>
      <c r="I16" s="50" t="e">
        <f t="shared" ca="1" si="0"/>
        <v>#NAME?</v>
      </c>
      <c r="M16" s="11" t="e">
        <f ca="1"/>
        <v>#NAME?</v>
      </c>
      <c r="N16" s="35" t="e">
        <f ca="1">_xll.qlYieldTSDiscount(L$4,M16,,Triggers!RTDataTrigger)</f>
        <v>#NAME?</v>
      </c>
      <c r="O16" s="44"/>
      <c r="P16" s="33"/>
      <c r="Q16" s="49" t="e">
        <f t="shared" ca="1" si="4"/>
        <v>#NAME?</v>
      </c>
      <c r="R16" s="50" t="e">
        <f t="shared" ca="1" si="1"/>
        <v>#NAME?</v>
      </c>
      <c r="V16" s="11" t="e">
        <f ca="1"/>
        <v>#NAME?</v>
      </c>
      <c r="W16" s="35" t="e">
        <f ca="1">_xll.qlYieldTSDiscount(U$4,V16,,Triggers!RTDataTrigger)</f>
        <v>#NAME?</v>
      </c>
      <c r="X16" s="44"/>
      <c r="Y16" s="33"/>
      <c r="Z16" s="49" t="e">
        <f t="shared" ca="1" si="5"/>
        <v>#NAME?</v>
      </c>
      <c r="AA16" s="50" t="e">
        <f t="shared" ca="1" si="2"/>
        <v>#NAME?</v>
      </c>
    </row>
    <row r="17" spans="2:27" x14ac:dyDescent="0.2">
      <c r="D17" s="11" t="e">
        <f ca="1"/>
        <v>#NAME?</v>
      </c>
      <c r="E17" s="35" t="e">
        <f ca="1">_xll.qlYieldTSDiscount(C$4,D17,,Triggers!RTDataTrigger)</f>
        <v>#NAME?</v>
      </c>
      <c r="F17" s="44"/>
      <c r="G17" s="33"/>
      <c r="H17" s="49" t="e">
        <f t="shared" ca="1" si="3"/>
        <v>#NAME?</v>
      </c>
      <c r="I17" s="50" t="e">
        <f t="shared" ca="1" si="0"/>
        <v>#NAME?</v>
      </c>
      <c r="M17" s="11" t="e">
        <f ca="1"/>
        <v>#NAME?</v>
      </c>
      <c r="N17" s="35" t="e">
        <f ca="1">_xll.qlYieldTSDiscount(L$4,M17,,Triggers!RTDataTrigger)</f>
        <v>#NAME?</v>
      </c>
      <c r="O17" s="44"/>
      <c r="P17" s="33"/>
      <c r="Q17" s="49" t="e">
        <f t="shared" ca="1" si="4"/>
        <v>#NAME?</v>
      </c>
      <c r="R17" s="50" t="e">
        <f t="shared" ca="1" si="1"/>
        <v>#NAME?</v>
      </c>
      <c r="V17" s="11" t="e">
        <f ca="1"/>
        <v>#NAME?</v>
      </c>
      <c r="W17" s="35" t="e">
        <f ca="1">_xll.qlYieldTSDiscount(U$4,V17,,Triggers!RTDataTrigger)</f>
        <v>#NAME?</v>
      </c>
      <c r="X17" s="44"/>
      <c r="Y17" s="33"/>
      <c r="Z17" s="49" t="e">
        <f t="shared" ca="1" si="5"/>
        <v>#NAME?</v>
      </c>
      <c r="AA17" s="50" t="e">
        <f t="shared" ca="1" si="2"/>
        <v>#NAME?</v>
      </c>
    </row>
    <row r="18" spans="2:27" x14ac:dyDescent="0.2">
      <c r="D18" s="11" t="e">
        <f ca="1"/>
        <v>#NAME?</v>
      </c>
      <c r="E18" s="35" t="e">
        <f ca="1">_xll.qlYieldTSDiscount(C$4,D18,,Triggers!RTDataTrigger)</f>
        <v>#NAME?</v>
      </c>
      <c r="F18" s="44"/>
      <c r="G18" s="33"/>
      <c r="H18" s="49" t="e">
        <f t="shared" ca="1" si="3"/>
        <v>#NAME?</v>
      </c>
      <c r="I18" s="50" t="e">
        <f t="shared" ca="1" si="0"/>
        <v>#NAME?</v>
      </c>
      <c r="K18" s="64"/>
      <c r="M18" s="11" t="e">
        <f ca="1"/>
        <v>#NAME?</v>
      </c>
      <c r="N18" s="35" t="e">
        <f ca="1">_xll.qlYieldTSDiscount(L$4,M18,,Triggers!RTDataTrigger)</f>
        <v>#NAME?</v>
      </c>
      <c r="O18" s="44"/>
      <c r="P18" s="33"/>
      <c r="Q18" s="49" t="e">
        <f t="shared" ca="1" si="4"/>
        <v>#NAME?</v>
      </c>
      <c r="R18" s="50" t="e">
        <f t="shared" ca="1" si="1"/>
        <v>#NAME?</v>
      </c>
      <c r="T18" s="64"/>
      <c r="V18" s="11" t="e">
        <f ca="1"/>
        <v>#NAME?</v>
      </c>
      <c r="W18" s="35" t="e">
        <f ca="1">_xll.qlYieldTSDiscount(U$4,V18,,Triggers!RTDataTrigger)</f>
        <v>#NAME?</v>
      </c>
      <c r="X18" s="44"/>
      <c r="Y18" s="33"/>
      <c r="Z18" s="49" t="e">
        <f t="shared" ca="1" si="5"/>
        <v>#NAME?</v>
      </c>
      <c r="AA18" s="50" t="e">
        <f t="shared" ca="1" si="2"/>
        <v>#NAME?</v>
      </c>
    </row>
    <row r="19" spans="2:27" x14ac:dyDescent="0.2">
      <c r="B19" s="64"/>
      <c r="D19" s="11" t="e">
        <f ca="1"/>
        <v>#NAME?</v>
      </c>
      <c r="E19" s="35" t="e">
        <f ca="1">_xll.qlYieldTSDiscount(C$4,D19,,Triggers!RTDataTrigger)</f>
        <v>#NAME?</v>
      </c>
      <c r="F19" s="44"/>
      <c r="G19" s="33"/>
      <c r="H19" s="49" t="e">
        <f t="shared" ca="1" si="3"/>
        <v>#NAME?</v>
      </c>
      <c r="I19" s="50" t="e">
        <f t="shared" ca="1" si="0"/>
        <v>#NAME?</v>
      </c>
      <c r="K19" s="64"/>
      <c r="M19" s="11" t="e">
        <f ca="1"/>
        <v>#NAME?</v>
      </c>
      <c r="N19" s="35" t="e">
        <f ca="1">_xll.qlYieldTSDiscount(L$4,M19,,Triggers!RTDataTrigger)</f>
        <v>#NAME?</v>
      </c>
      <c r="O19" s="44"/>
      <c r="P19" s="33"/>
      <c r="Q19" s="49" t="e">
        <f t="shared" ca="1" si="4"/>
        <v>#NAME?</v>
      </c>
      <c r="R19" s="50" t="e">
        <f t="shared" ca="1" si="1"/>
        <v>#NAME?</v>
      </c>
      <c r="T19" s="64"/>
      <c r="V19" s="11" t="e">
        <f ca="1"/>
        <v>#NAME?</v>
      </c>
      <c r="W19" s="35" t="e">
        <f ca="1">_xll.qlYieldTSDiscount(U$4,V19,,Triggers!RTDataTrigger)</f>
        <v>#NAME?</v>
      </c>
      <c r="X19" s="44"/>
      <c r="Y19" s="33"/>
      <c r="Z19" s="49" t="e">
        <f t="shared" ca="1" si="5"/>
        <v>#NAME?</v>
      </c>
      <c r="AA19" s="50" t="e">
        <f t="shared" ca="1" si="2"/>
        <v>#NAME?</v>
      </c>
    </row>
    <row r="20" spans="2:27" x14ac:dyDescent="0.2">
      <c r="B20" s="64" t="b">
        <v>1</v>
      </c>
      <c r="D20" s="11" t="e">
        <f ca="1"/>
        <v>#NAME?</v>
      </c>
      <c r="E20" s="35" t="e">
        <f ca="1">_xll.qlYieldTSDiscount(C$4,D20,,Triggers!RTDataTrigger)</f>
        <v>#NAME?</v>
      </c>
      <c r="F20" s="44"/>
      <c r="G20" s="33"/>
      <c r="H20" s="49" t="e">
        <f t="shared" ca="1" si="3"/>
        <v>#NAME?</v>
      </c>
      <c r="I20" s="50" t="e">
        <f t="shared" ca="1" si="0"/>
        <v>#NAME?</v>
      </c>
      <c r="K20" s="64"/>
      <c r="M20" s="11" t="e">
        <f ca="1"/>
        <v>#NAME?</v>
      </c>
      <c r="N20" s="35" t="e">
        <f ca="1">_xll.qlYieldTSDiscount(L$4,M20,,Triggers!RTDataTrigger)</f>
        <v>#NAME?</v>
      </c>
      <c r="O20" s="44"/>
      <c r="P20" s="33"/>
      <c r="Q20" s="49" t="e">
        <f t="shared" ca="1" si="4"/>
        <v>#NAME?</v>
      </c>
      <c r="R20" s="50" t="e">
        <f t="shared" ca="1" si="1"/>
        <v>#NAME?</v>
      </c>
      <c r="T20" s="64"/>
      <c r="V20" s="11" t="e">
        <f ca="1"/>
        <v>#NAME?</v>
      </c>
      <c r="W20" s="35" t="e">
        <f ca="1">_xll.qlYieldTSDiscount(U$4,V20,,Triggers!RTDataTrigger)</f>
        <v>#NAME?</v>
      </c>
      <c r="X20" s="44"/>
      <c r="Y20" s="33"/>
      <c r="Z20" s="49" t="e">
        <f t="shared" ca="1" si="5"/>
        <v>#NAME?</v>
      </c>
      <c r="AA20" s="50" t="e">
        <f t="shared" ca="1" si="2"/>
        <v>#NAME?</v>
      </c>
    </row>
    <row r="21" spans="2:27" x14ac:dyDescent="0.2">
      <c r="B21" s="64" t="b">
        <v>1</v>
      </c>
      <c r="D21" s="11" t="e">
        <f ca="1"/>
        <v>#NAME?</v>
      </c>
      <c r="E21" s="35" t="e">
        <f ca="1">_xll.qlYieldTSDiscount(C$4,D21,,Triggers!RTDataTrigger)</f>
        <v>#NAME?</v>
      </c>
      <c r="F21" s="44"/>
      <c r="G21" s="33"/>
      <c r="H21" s="49" t="e">
        <f t="shared" ca="1" si="3"/>
        <v>#NAME?</v>
      </c>
      <c r="I21" s="50" t="e">
        <f t="shared" ca="1" si="0"/>
        <v>#NAME?</v>
      </c>
      <c r="K21" s="64"/>
      <c r="M21" s="11" t="e">
        <f ca="1"/>
        <v>#NAME?</v>
      </c>
      <c r="N21" s="35" t="e">
        <f ca="1">_xll.qlYieldTSDiscount(L$4,M21,,Triggers!RTDataTrigger)</f>
        <v>#NAME?</v>
      </c>
      <c r="O21" s="44"/>
      <c r="P21" s="33"/>
      <c r="Q21" s="49" t="e">
        <f t="shared" ca="1" si="4"/>
        <v>#NAME?</v>
      </c>
      <c r="R21" s="50" t="e">
        <f t="shared" ca="1" si="1"/>
        <v>#NAME?</v>
      </c>
      <c r="T21" s="64"/>
      <c r="V21" s="11" t="e">
        <f ca="1"/>
        <v>#NAME?</v>
      </c>
      <c r="W21" s="35" t="e">
        <f ca="1">_xll.qlYieldTSDiscount(U$4,V21,,Triggers!RTDataTrigger)</f>
        <v>#NAME?</v>
      </c>
      <c r="X21" s="44"/>
      <c r="Y21" s="33"/>
      <c r="Z21" s="49" t="e">
        <f t="shared" ca="1" si="5"/>
        <v>#NAME?</v>
      </c>
      <c r="AA21" s="50" t="e">
        <f t="shared" ca="1" si="2"/>
        <v>#NAME?</v>
      </c>
    </row>
    <row r="22" spans="2:27" x14ac:dyDescent="0.2">
      <c r="B22" s="64"/>
      <c r="D22" s="11" t="e">
        <f ca="1"/>
        <v>#NAME?</v>
      </c>
      <c r="E22" s="35" t="e">
        <f ca="1">_xll.qlYieldTSDiscount(C$4,D22,,Triggers!RTDataTrigger)</f>
        <v>#NAME?</v>
      </c>
      <c r="F22" s="44"/>
      <c r="G22" s="33"/>
      <c r="H22" s="49" t="e">
        <f t="shared" ca="1" si="3"/>
        <v>#NAME?</v>
      </c>
      <c r="I22" s="50" t="e">
        <f t="shared" ca="1" si="0"/>
        <v>#NAME?</v>
      </c>
      <c r="K22" s="64"/>
      <c r="M22" s="11" t="e">
        <f ca="1"/>
        <v>#NAME?</v>
      </c>
      <c r="N22" s="35" t="e">
        <f ca="1">_xll.qlYieldTSDiscount(L$4,M22,,Triggers!RTDataTrigger)</f>
        <v>#NAME?</v>
      </c>
      <c r="O22" s="44"/>
      <c r="P22" s="33"/>
      <c r="Q22" s="49" t="e">
        <f t="shared" ca="1" si="4"/>
        <v>#NAME?</v>
      </c>
      <c r="R22" s="50" t="e">
        <f t="shared" ca="1" si="1"/>
        <v>#NAME?</v>
      </c>
      <c r="T22" s="64"/>
      <c r="V22" s="11" t="e">
        <f ca="1"/>
        <v>#NAME?</v>
      </c>
      <c r="W22" s="35" t="e">
        <f ca="1">_xll.qlYieldTSDiscount(U$4,V22,,Triggers!RTDataTrigger)</f>
        <v>#NAME?</v>
      </c>
      <c r="X22" s="44"/>
      <c r="Y22" s="33"/>
      <c r="Z22" s="49" t="e">
        <f t="shared" ca="1" si="5"/>
        <v>#NAME?</v>
      </c>
      <c r="AA22" s="50" t="e">
        <f t="shared" ca="1" si="2"/>
        <v>#NAME?</v>
      </c>
    </row>
    <row r="23" spans="2:27" x14ac:dyDescent="0.2">
      <c r="B23" s="64"/>
      <c r="D23" s="11" t="e">
        <f ca="1"/>
        <v>#NAME?</v>
      </c>
      <c r="E23" s="35" t="e">
        <f ca="1">_xll.qlYieldTSDiscount(C$4,D23,,Triggers!RTDataTrigger)</f>
        <v>#NAME?</v>
      </c>
      <c r="F23" s="44"/>
      <c r="G23" s="33"/>
      <c r="H23" s="49" t="e">
        <f t="shared" ca="1" si="3"/>
        <v>#NAME?</v>
      </c>
      <c r="I23" s="50" t="e">
        <f t="shared" ca="1" si="0"/>
        <v>#NAME?</v>
      </c>
      <c r="K23" s="64"/>
      <c r="M23" s="11" t="e">
        <f ca="1"/>
        <v>#NAME?</v>
      </c>
      <c r="N23" s="35" t="e">
        <f ca="1">_xll.qlYieldTSDiscount(L$4,M23,,Triggers!RTDataTrigger)</f>
        <v>#NAME?</v>
      </c>
      <c r="O23" s="44"/>
      <c r="P23" s="33"/>
      <c r="Q23" s="49" t="e">
        <f t="shared" ca="1" si="4"/>
        <v>#NAME?</v>
      </c>
      <c r="R23" s="50" t="e">
        <f t="shared" ca="1" si="1"/>
        <v>#NAME?</v>
      </c>
      <c r="T23" s="64"/>
      <c r="V23" s="11" t="e">
        <f ca="1"/>
        <v>#NAME?</v>
      </c>
      <c r="W23" s="35" t="e">
        <f ca="1">_xll.qlYieldTSDiscount(U$4,V23,,Triggers!RTDataTrigger)</f>
        <v>#NAME?</v>
      </c>
      <c r="X23" s="44"/>
      <c r="Y23" s="33"/>
      <c r="Z23" s="49" t="e">
        <f t="shared" ca="1" si="5"/>
        <v>#NAME?</v>
      </c>
      <c r="AA23" s="50" t="e">
        <f t="shared" ca="1" si="2"/>
        <v>#NAME?</v>
      </c>
    </row>
    <row r="24" spans="2:27" x14ac:dyDescent="0.2">
      <c r="B24" s="64"/>
      <c r="D24" s="11" t="e">
        <f ca="1"/>
        <v>#NAME?</v>
      </c>
      <c r="E24" s="35" t="e">
        <f ca="1">_xll.qlYieldTSDiscount(C$4,D24,,Triggers!RTDataTrigger)</f>
        <v>#NAME?</v>
      </c>
      <c r="F24" s="44"/>
      <c r="G24" s="33"/>
      <c r="H24" s="49" t="e">
        <f t="shared" ca="1" si="3"/>
        <v>#NAME?</v>
      </c>
      <c r="I24" s="50" t="e">
        <f t="shared" ca="1" si="0"/>
        <v>#NAME?</v>
      </c>
      <c r="K24" s="64"/>
      <c r="M24" s="11" t="e">
        <f ca="1"/>
        <v>#NAME?</v>
      </c>
      <c r="N24" s="35" t="e">
        <f ca="1">_xll.qlYieldTSDiscount(L$4,M24,,Triggers!RTDataTrigger)</f>
        <v>#NAME?</v>
      </c>
      <c r="O24" s="44"/>
      <c r="P24" s="33"/>
      <c r="Q24" s="49" t="e">
        <f t="shared" ca="1" si="4"/>
        <v>#NAME?</v>
      </c>
      <c r="R24" s="50" t="e">
        <f t="shared" ca="1" si="1"/>
        <v>#NAME?</v>
      </c>
      <c r="T24" s="64"/>
      <c r="V24" s="11" t="e">
        <f ca="1"/>
        <v>#NAME?</v>
      </c>
      <c r="W24" s="35" t="e">
        <f ca="1">_xll.qlYieldTSDiscount(U$4,V24,,Triggers!RTDataTrigger)</f>
        <v>#NAME?</v>
      </c>
      <c r="X24" s="44"/>
      <c r="Y24" s="33"/>
      <c r="Z24" s="49" t="e">
        <f t="shared" ca="1" si="5"/>
        <v>#NAME?</v>
      </c>
      <c r="AA24" s="50" t="e">
        <f t="shared" ca="1" si="2"/>
        <v>#NAME?</v>
      </c>
    </row>
    <row r="25" spans="2:27" x14ac:dyDescent="0.2">
      <c r="B25" s="64"/>
      <c r="D25" s="11" t="e">
        <f ca="1"/>
        <v>#NAME?</v>
      </c>
      <c r="E25" s="35" t="e">
        <f ca="1">_xll.qlYieldTSDiscount(C$4,D25,,Triggers!RTDataTrigger)</f>
        <v>#NAME?</v>
      </c>
      <c r="F25" s="44"/>
      <c r="G25" s="33"/>
      <c r="H25" s="49" t="e">
        <f t="shared" ca="1" si="3"/>
        <v>#NAME?</v>
      </c>
      <c r="I25" s="50" t="e">
        <f t="shared" ca="1" si="0"/>
        <v>#NAME?</v>
      </c>
      <c r="K25" s="64"/>
      <c r="M25" s="11" t="e">
        <f ca="1"/>
        <v>#NAME?</v>
      </c>
      <c r="N25" s="35" t="e">
        <f ca="1">_xll.qlYieldTSDiscount(L$4,M25,,Triggers!RTDataTrigger)</f>
        <v>#NAME?</v>
      </c>
      <c r="O25" s="44"/>
      <c r="P25" s="33"/>
      <c r="Q25" s="49" t="e">
        <f t="shared" ca="1" si="4"/>
        <v>#NAME?</v>
      </c>
      <c r="R25" s="50" t="e">
        <f t="shared" ca="1" si="1"/>
        <v>#NAME?</v>
      </c>
      <c r="T25" s="64"/>
      <c r="V25" s="11" t="e">
        <f ca="1"/>
        <v>#NAME?</v>
      </c>
      <c r="W25" s="35" t="e">
        <f ca="1">_xll.qlYieldTSDiscount(U$4,V25,,Triggers!RTDataTrigger)</f>
        <v>#NAME?</v>
      </c>
      <c r="X25" s="44"/>
      <c r="Y25" s="33"/>
      <c r="Z25" s="49" t="e">
        <f t="shared" ca="1" si="5"/>
        <v>#NAME?</v>
      </c>
      <c r="AA25" s="50" t="e">
        <f t="shared" ca="1" si="2"/>
        <v>#NAME?</v>
      </c>
    </row>
    <row r="26" spans="2:27" x14ac:dyDescent="0.2">
      <c r="B26" s="64"/>
      <c r="D26" s="11" t="e">
        <f ca="1"/>
        <v>#NAME?</v>
      </c>
      <c r="E26" s="35" t="e">
        <f ca="1">_xll.qlYieldTSDiscount(C$4,D26,,Triggers!RTDataTrigger)</f>
        <v>#NAME?</v>
      </c>
      <c r="F26" s="44"/>
      <c r="G26" s="33"/>
      <c r="H26" s="49" t="e">
        <f t="shared" ca="1" si="3"/>
        <v>#NAME?</v>
      </c>
      <c r="I26" s="50" t="e">
        <f t="shared" ca="1" si="0"/>
        <v>#NAME?</v>
      </c>
      <c r="K26" s="64"/>
      <c r="M26" s="11" t="e">
        <f ca="1"/>
        <v>#NAME?</v>
      </c>
      <c r="N26" s="35" t="e">
        <f ca="1">_xll.qlYieldTSDiscount(L$4,M26,,Triggers!RTDataTrigger)</f>
        <v>#NAME?</v>
      </c>
      <c r="O26" s="44"/>
      <c r="P26" s="33"/>
      <c r="Q26" s="49" t="e">
        <f t="shared" ca="1" si="4"/>
        <v>#NAME?</v>
      </c>
      <c r="R26" s="50" t="e">
        <f t="shared" ca="1" si="1"/>
        <v>#NAME?</v>
      </c>
      <c r="T26" s="64"/>
      <c r="V26" s="11" t="e">
        <f ca="1"/>
        <v>#NAME?</v>
      </c>
      <c r="W26" s="35" t="e">
        <f ca="1">_xll.qlYieldTSDiscount(U$4,V26,,Triggers!RTDataTrigger)</f>
        <v>#NAME?</v>
      </c>
      <c r="X26" s="44"/>
      <c r="Y26" s="33"/>
      <c r="Z26" s="49" t="e">
        <f t="shared" ca="1" si="5"/>
        <v>#NAME?</v>
      </c>
      <c r="AA26" s="50" t="e">
        <f t="shared" ca="1" si="2"/>
        <v>#NAME?</v>
      </c>
    </row>
    <row r="27" spans="2:27" x14ac:dyDescent="0.2">
      <c r="B27" s="64"/>
      <c r="D27" s="11" t="e">
        <f ca="1"/>
        <v>#NAME?</v>
      </c>
      <c r="E27" s="35" t="e">
        <f ca="1">_xll.qlYieldTSDiscount(C$4,D27,,Triggers!RTDataTrigger)</f>
        <v>#NAME?</v>
      </c>
      <c r="F27" s="44"/>
      <c r="G27" s="33"/>
      <c r="H27" s="49" t="e">
        <f t="shared" ca="1" si="3"/>
        <v>#NAME?</v>
      </c>
      <c r="I27" s="50" t="e">
        <f t="shared" ca="1" si="0"/>
        <v>#NAME?</v>
      </c>
      <c r="K27" s="64"/>
      <c r="M27" s="11" t="e">
        <f ca="1"/>
        <v>#NAME?</v>
      </c>
      <c r="N27" s="35" t="e">
        <f ca="1">_xll.qlYieldTSDiscount(L$4,M27,,Triggers!RTDataTrigger)</f>
        <v>#NAME?</v>
      </c>
      <c r="O27" s="44"/>
      <c r="P27" s="33"/>
      <c r="Q27" s="49" t="e">
        <f t="shared" ca="1" si="4"/>
        <v>#NAME?</v>
      </c>
      <c r="R27" s="50" t="e">
        <f t="shared" ca="1" si="1"/>
        <v>#NAME?</v>
      </c>
      <c r="T27" s="64"/>
      <c r="V27" s="11" t="e">
        <f ca="1"/>
        <v>#NAME?</v>
      </c>
      <c r="W27" s="35" t="e">
        <f ca="1">_xll.qlYieldTSDiscount(U$4,V27,,Triggers!RTDataTrigger)</f>
        <v>#NAME?</v>
      </c>
      <c r="X27" s="44"/>
      <c r="Y27" s="33"/>
      <c r="Z27" s="49" t="e">
        <f t="shared" ca="1" si="5"/>
        <v>#NAME?</v>
      </c>
      <c r="AA27" s="50" t="e">
        <f t="shared" ca="1" si="2"/>
        <v>#NAME?</v>
      </c>
    </row>
    <row r="28" spans="2:27" x14ac:dyDescent="0.2">
      <c r="B28" s="64"/>
      <c r="D28" s="11" t="e">
        <f ca="1"/>
        <v>#NAME?</v>
      </c>
      <c r="E28" s="35" t="e">
        <f ca="1">_xll.qlYieldTSDiscount(C$4,D28,,Triggers!RTDataTrigger)</f>
        <v>#NAME?</v>
      </c>
      <c r="F28" s="44"/>
      <c r="G28" s="33"/>
      <c r="H28" s="49" t="e">
        <f t="shared" ca="1" si="3"/>
        <v>#NAME?</v>
      </c>
      <c r="I28" s="50" t="e">
        <f t="shared" ca="1" si="0"/>
        <v>#NAME?</v>
      </c>
      <c r="K28" s="64"/>
      <c r="M28" s="11" t="e">
        <f ca="1"/>
        <v>#NAME?</v>
      </c>
      <c r="N28" s="35" t="e">
        <f ca="1">_xll.qlYieldTSDiscount(L$4,M28,,Triggers!RTDataTrigger)</f>
        <v>#NAME?</v>
      </c>
      <c r="O28" s="44"/>
      <c r="P28" s="33"/>
      <c r="Q28" s="49" t="e">
        <f t="shared" ca="1" si="4"/>
        <v>#NAME?</v>
      </c>
      <c r="R28" s="50" t="e">
        <f t="shared" ca="1" si="1"/>
        <v>#NAME?</v>
      </c>
      <c r="T28" s="64"/>
      <c r="V28" s="11" t="e">
        <f ca="1"/>
        <v>#NAME?</v>
      </c>
      <c r="W28" s="35" t="e">
        <f ca="1">_xll.qlYieldTSDiscount(U$4,V28,,Triggers!RTDataTrigger)</f>
        <v>#NAME?</v>
      </c>
      <c r="X28" s="44"/>
      <c r="Y28" s="33"/>
      <c r="Z28" s="49" t="e">
        <f t="shared" ca="1" si="5"/>
        <v>#NAME?</v>
      </c>
      <c r="AA28" s="50" t="e">
        <f t="shared" ca="1" si="2"/>
        <v>#NAME?</v>
      </c>
    </row>
    <row r="29" spans="2:27" x14ac:dyDescent="0.2">
      <c r="B29" s="64"/>
      <c r="D29" s="11" t="e">
        <f ca="1"/>
        <v>#NAME?</v>
      </c>
      <c r="E29" s="35" t="e">
        <f ca="1">_xll.qlYieldTSDiscount(C$4,D29,,Triggers!RTDataTrigger)</f>
        <v>#NAME?</v>
      </c>
      <c r="F29" s="44"/>
      <c r="G29" s="33"/>
      <c r="H29" s="49" t="e">
        <f t="shared" ca="1" si="3"/>
        <v>#NAME?</v>
      </c>
      <c r="I29" s="50" t="e">
        <f t="shared" ca="1" si="0"/>
        <v>#NAME?</v>
      </c>
      <c r="K29" s="64"/>
      <c r="M29" s="11" t="e">
        <f ca="1"/>
        <v>#NAME?</v>
      </c>
      <c r="N29" s="35" t="e">
        <f ca="1">_xll.qlYieldTSDiscount(L$4,M29,,Triggers!RTDataTrigger)</f>
        <v>#NAME?</v>
      </c>
      <c r="O29" s="44"/>
      <c r="P29" s="33"/>
      <c r="Q29" s="49" t="e">
        <f t="shared" ca="1" si="4"/>
        <v>#NAME?</v>
      </c>
      <c r="R29" s="50" t="e">
        <f t="shared" ca="1" si="1"/>
        <v>#NAME?</v>
      </c>
      <c r="T29" s="64"/>
      <c r="V29" s="11" t="e">
        <f ca="1"/>
        <v>#NAME?</v>
      </c>
      <c r="W29" s="35" t="e">
        <f ca="1">_xll.qlYieldTSDiscount(U$4,V29,,Triggers!RTDataTrigger)</f>
        <v>#NAME?</v>
      </c>
      <c r="X29" s="44"/>
      <c r="Y29" s="33"/>
      <c r="Z29" s="49" t="e">
        <f t="shared" ca="1" si="5"/>
        <v>#NAME?</v>
      </c>
      <c r="AA29" s="50" t="e">
        <f t="shared" ca="1" si="2"/>
        <v>#NAME?</v>
      </c>
    </row>
    <row r="30" spans="2:27" x14ac:dyDescent="0.2">
      <c r="B30" s="64"/>
      <c r="D30" s="11" t="e">
        <f ca="1"/>
        <v>#NAME?</v>
      </c>
      <c r="E30" s="35" t="e">
        <f ca="1">_xll.qlYieldTSDiscount(C$4,D30,,Triggers!RTDataTrigger)</f>
        <v>#NAME?</v>
      </c>
      <c r="F30" s="44"/>
      <c r="G30" s="33"/>
      <c r="H30" s="49" t="e">
        <f t="shared" ca="1" si="3"/>
        <v>#NAME?</v>
      </c>
      <c r="I30" s="50" t="e">
        <f t="shared" ca="1" si="0"/>
        <v>#NAME?</v>
      </c>
      <c r="K30" s="64"/>
      <c r="M30" s="11" t="e">
        <f ca="1"/>
        <v>#NAME?</v>
      </c>
      <c r="N30" s="35" t="e">
        <f ca="1">_xll.qlYieldTSDiscount(L$4,M30,,Triggers!RTDataTrigger)</f>
        <v>#NAME?</v>
      </c>
      <c r="O30" s="44"/>
      <c r="P30" s="33"/>
      <c r="Q30" s="49" t="e">
        <f t="shared" ca="1" si="4"/>
        <v>#NAME?</v>
      </c>
      <c r="R30" s="50" t="e">
        <f t="shared" ca="1" si="1"/>
        <v>#NAME?</v>
      </c>
      <c r="T30" s="64"/>
      <c r="V30" s="11" t="e">
        <f ca="1"/>
        <v>#NAME?</v>
      </c>
      <c r="W30" s="35" t="e">
        <f ca="1">_xll.qlYieldTSDiscount(U$4,V30,,Triggers!RTDataTrigger)</f>
        <v>#NAME?</v>
      </c>
      <c r="X30" s="44"/>
      <c r="Y30" s="33"/>
      <c r="Z30" s="49" t="e">
        <f t="shared" ca="1" si="5"/>
        <v>#NAME?</v>
      </c>
      <c r="AA30" s="50" t="e">
        <f t="shared" ca="1" si="2"/>
        <v>#NAME?</v>
      </c>
    </row>
    <row r="31" spans="2:27" x14ac:dyDescent="0.2">
      <c r="B31" s="64"/>
      <c r="D31" s="11" t="e">
        <f ca="1"/>
        <v>#NAME?</v>
      </c>
      <c r="E31" s="35" t="e">
        <f ca="1">_xll.qlYieldTSDiscount(C$4,D31,,Triggers!RTDataTrigger)</f>
        <v>#NAME?</v>
      </c>
      <c r="F31" s="44"/>
      <c r="G31" s="33"/>
      <c r="H31" s="49" t="e">
        <f t="shared" ca="1" si="3"/>
        <v>#NAME?</v>
      </c>
      <c r="I31" s="50" t="e">
        <f t="shared" ca="1" si="0"/>
        <v>#NAME?</v>
      </c>
      <c r="K31" s="64"/>
      <c r="M31" s="11" t="e">
        <f ca="1"/>
        <v>#NAME?</v>
      </c>
      <c r="N31" s="35" t="e">
        <f ca="1">_xll.qlYieldTSDiscount(L$4,M31,,Triggers!RTDataTrigger)</f>
        <v>#NAME?</v>
      </c>
      <c r="O31" s="44"/>
      <c r="P31" s="33"/>
      <c r="Q31" s="49" t="e">
        <f t="shared" ca="1" si="4"/>
        <v>#NAME?</v>
      </c>
      <c r="R31" s="50" t="e">
        <f t="shared" ca="1" si="1"/>
        <v>#NAME?</v>
      </c>
      <c r="T31" s="64"/>
      <c r="V31" s="11" t="e">
        <f ca="1"/>
        <v>#NAME?</v>
      </c>
      <c r="W31" s="35" t="e">
        <f ca="1">_xll.qlYieldTSDiscount(U$4,V31,,Triggers!RTDataTrigger)</f>
        <v>#NAME?</v>
      </c>
      <c r="X31" s="44"/>
      <c r="Y31" s="33"/>
      <c r="Z31" s="49" t="e">
        <f t="shared" ca="1" si="5"/>
        <v>#NAME?</v>
      </c>
      <c r="AA31" s="50" t="e">
        <f t="shared" ca="1" si="2"/>
        <v>#NAME?</v>
      </c>
    </row>
    <row r="32" spans="2:27" x14ac:dyDescent="0.2">
      <c r="B32" s="64"/>
      <c r="D32" s="11" t="e">
        <f ca="1"/>
        <v>#NAME?</v>
      </c>
      <c r="E32" s="35" t="e">
        <f ca="1">_xll.qlYieldTSDiscount(C$4,D32,,Triggers!RTDataTrigger)</f>
        <v>#NAME?</v>
      </c>
      <c r="F32" s="44"/>
      <c r="G32" s="33"/>
      <c r="H32" s="49" t="e">
        <f t="shared" ca="1" si="3"/>
        <v>#NAME?</v>
      </c>
      <c r="I32" s="50" t="e">
        <f t="shared" ca="1" si="0"/>
        <v>#NAME?</v>
      </c>
      <c r="K32" s="64"/>
      <c r="M32" s="11" t="e">
        <f ca="1"/>
        <v>#NAME?</v>
      </c>
      <c r="N32" s="35" t="e">
        <f ca="1">_xll.qlYieldTSDiscount(L$4,M32,,Triggers!RTDataTrigger)</f>
        <v>#NAME?</v>
      </c>
      <c r="O32" s="44"/>
      <c r="P32" s="33"/>
      <c r="Q32" s="49" t="e">
        <f t="shared" ca="1" si="4"/>
        <v>#NAME?</v>
      </c>
      <c r="R32" s="50" t="e">
        <f t="shared" ca="1" si="1"/>
        <v>#NAME?</v>
      </c>
      <c r="T32" s="64"/>
      <c r="V32" s="11" t="e">
        <f ca="1"/>
        <v>#NAME?</v>
      </c>
      <c r="W32" s="35" t="e">
        <f ca="1">_xll.qlYieldTSDiscount(U$4,V32,,Triggers!RTDataTrigger)</f>
        <v>#NAME?</v>
      </c>
      <c r="X32" s="44"/>
      <c r="Y32" s="33"/>
      <c r="Z32" s="49" t="e">
        <f t="shared" ca="1" si="5"/>
        <v>#NAME?</v>
      </c>
      <c r="AA32" s="50" t="e">
        <f t="shared" ca="1" si="2"/>
        <v>#NAME?</v>
      </c>
    </row>
    <row r="33" spans="2:27" x14ac:dyDescent="0.2">
      <c r="B33" s="64"/>
      <c r="D33" s="11" t="e">
        <f ca="1"/>
        <v>#NAME?</v>
      </c>
      <c r="E33" s="35" t="e">
        <f ca="1">_xll.qlYieldTSDiscount(C$4,D33,,Triggers!RTDataTrigger)</f>
        <v>#NAME?</v>
      </c>
      <c r="F33" s="44"/>
      <c r="G33" s="33"/>
      <c r="H33" s="49" t="e">
        <f t="shared" ca="1" si="3"/>
        <v>#NAME?</v>
      </c>
      <c r="I33" s="50" t="e">
        <f t="shared" ca="1" si="0"/>
        <v>#NAME?</v>
      </c>
      <c r="K33" s="64"/>
      <c r="M33" s="11" t="e">
        <f ca="1"/>
        <v>#NAME?</v>
      </c>
      <c r="N33" s="35" t="e">
        <f ca="1">_xll.qlYieldTSDiscount(L$4,M33,,Triggers!RTDataTrigger)</f>
        <v>#NAME?</v>
      </c>
      <c r="O33" s="44"/>
      <c r="P33" s="33"/>
      <c r="Q33" s="49" t="e">
        <f t="shared" ca="1" si="4"/>
        <v>#NAME?</v>
      </c>
      <c r="R33" s="50" t="e">
        <f t="shared" ca="1" si="1"/>
        <v>#NAME?</v>
      </c>
      <c r="T33" s="64"/>
      <c r="V33" s="11" t="e">
        <f ca="1"/>
        <v>#NAME?</v>
      </c>
      <c r="W33" s="35" t="e">
        <f ca="1">_xll.qlYieldTSDiscount(U$4,V33,,Triggers!RTDataTrigger)</f>
        <v>#NAME?</v>
      </c>
      <c r="X33" s="44"/>
      <c r="Y33" s="33"/>
      <c r="Z33" s="49" t="e">
        <f t="shared" ca="1" si="5"/>
        <v>#NAME?</v>
      </c>
      <c r="AA33" s="50" t="e">
        <f t="shared" ca="1" si="2"/>
        <v>#NAME?</v>
      </c>
    </row>
    <row r="34" spans="2:27" x14ac:dyDescent="0.2">
      <c r="B34" s="64"/>
      <c r="D34" s="11" t="e">
        <f ca="1"/>
        <v>#NAME?</v>
      </c>
      <c r="E34" s="35" t="e">
        <f ca="1">_xll.qlYieldTSDiscount(C$4,D34,,Triggers!RTDataTrigger)</f>
        <v>#NAME?</v>
      </c>
      <c r="F34" s="44"/>
      <c r="G34" s="33"/>
      <c r="H34" s="49" t="e">
        <f t="shared" ca="1" si="3"/>
        <v>#NAME?</v>
      </c>
      <c r="I34" s="50" t="e">
        <f t="shared" ca="1" si="0"/>
        <v>#NAME?</v>
      </c>
      <c r="K34" s="64"/>
      <c r="M34" s="11" t="e">
        <f ca="1"/>
        <v>#NAME?</v>
      </c>
      <c r="N34" s="35" t="e">
        <f ca="1">_xll.qlYieldTSDiscount(L$4,M34,,Triggers!RTDataTrigger)</f>
        <v>#NAME?</v>
      </c>
      <c r="O34" s="44"/>
      <c r="P34" s="33"/>
      <c r="Q34" s="49" t="e">
        <f t="shared" ca="1" si="4"/>
        <v>#NAME?</v>
      </c>
      <c r="R34" s="50" t="e">
        <f t="shared" ca="1" si="1"/>
        <v>#NAME?</v>
      </c>
      <c r="T34" s="64"/>
      <c r="V34" s="11" t="e">
        <f ca="1"/>
        <v>#NAME?</v>
      </c>
      <c r="W34" s="35" t="e">
        <f ca="1">_xll.qlYieldTSDiscount(U$4,V34,,Triggers!RTDataTrigger)</f>
        <v>#NAME?</v>
      </c>
      <c r="X34" s="44"/>
      <c r="Y34" s="33"/>
      <c r="Z34" s="49" t="e">
        <f t="shared" ca="1" si="5"/>
        <v>#NAME?</v>
      </c>
      <c r="AA34" s="50" t="e">
        <f t="shared" ca="1" si="2"/>
        <v>#NAME?</v>
      </c>
    </row>
    <row r="35" spans="2:27" x14ac:dyDescent="0.2">
      <c r="B35" s="64"/>
      <c r="D35" s="11" t="e">
        <f ca="1"/>
        <v>#NAME?</v>
      </c>
      <c r="E35" s="35" t="e">
        <f ca="1">_xll.qlYieldTSDiscount(C$4,D35,,Triggers!RTDataTrigger)</f>
        <v>#NAME?</v>
      </c>
      <c r="F35" s="44"/>
      <c r="G35" s="33"/>
      <c r="H35" s="49" t="e">
        <f t="shared" ca="1" si="3"/>
        <v>#NAME?</v>
      </c>
      <c r="I35" s="50" t="e">
        <f t="shared" ca="1" si="0"/>
        <v>#NAME?</v>
      </c>
      <c r="K35" s="64"/>
      <c r="M35" s="11" t="e">
        <f ca="1"/>
        <v>#NAME?</v>
      </c>
      <c r="N35" s="35" t="e">
        <f ca="1">_xll.qlYieldTSDiscount(L$4,M35,,Triggers!RTDataTrigger)</f>
        <v>#NAME?</v>
      </c>
      <c r="O35" s="44"/>
      <c r="P35" s="33"/>
      <c r="Q35" s="49" t="e">
        <f t="shared" ca="1" si="4"/>
        <v>#NAME?</v>
      </c>
      <c r="R35" s="50" t="e">
        <f t="shared" ca="1" si="1"/>
        <v>#NAME?</v>
      </c>
      <c r="T35" s="64"/>
      <c r="V35" s="11" t="e">
        <f ca="1"/>
        <v>#NAME?</v>
      </c>
      <c r="W35" s="35" t="e">
        <f ca="1">_xll.qlYieldTSDiscount(U$4,V35,,Triggers!RTDataTrigger)</f>
        <v>#NAME?</v>
      </c>
      <c r="X35" s="44"/>
      <c r="Y35" s="33"/>
      <c r="Z35" s="49" t="e">
        <f t="shared" ca="1" si="5"/>
        <v>#NAME?</v>
      </c>
      <c r="AA35" s="50" t="e">
        <f t="shared" ca="1" si="2"/>
        <v>#NAME?</v>
      </c>
    </row>
    <row r="36" spans="2:27" x14ac:dyDescent="0.2">
      <c r="B36" s="64"/>
      <c r="D36" s="11" t="e">
        <f ca="1"/>
        <v>#NAME?</v>
      </c>
      <c r="E36" s="35" t="e">
        <f ca="1">_xll.qlYieldTSDiscount(C$4,D36,,Triggers!RTDataTrigger)</f>
        <v>#NAME?</v>
      </c>
      <c r="F36" s="44"/>
      <c r="G36" s="33"/>
      <c r="H36" s="49" t="e">
        <f t="shared" ca="1" si="3"/>
        <v>#NAME?</v>
      </c>
      <c r="I36" s="50" t="e">
        <f t="shared" ca="1" si="0"/>
        <v>#NAME?</v>
      </c>
      <c r="K36" s="64"/>
      <c r="M36" s="11" t="e">
        <f ca="1"/>
        <v>#NAME?</v>
      </c>
      <c r="N36" s="35" t="e">
        <f ca="1">_xll.qlYieldTSDiscount(L$4,M36,,Triggers!RTDataTrigger)</f>
        <v>#NAME?</v>
      </c>
      <c r="O36" s="44"/>
      <c r="P36" s="33"/>
      <c r="Q36" s="49" t="e">
        <f t="shared" ca="1" si="4"/>
        <v>#NAME?</v>
      </c>
      <c r="R36" s="50" t="e">
        <f t="shared" ca="1" si="1"/>
        <v>#NAME?</v>
      </c>
      <c r="T36" s="64"/>
      <c r="V36" s="11" t="e">
        <f ca="1"/>
        <v>#NAME?</v>
      </c>
      <c r="W36" s="35" t="e">
        <f ca="1">_xll.qlYieldTSDiscount(U$4,V36,,Triggers!RTDataTrigger)</f>
        <v>#NAME?</v>
      </c>
      <c r="X36" s="44"/>
      <c r="Y36" s="33"/>
      <c r="Z36" s="49" t="e">
        <f t="shared" ca="1" si="5"/>
        <v>#NAME?</v>
      </c>
      <c r="AA36" s="50" t="e">
        <f t="shared" ca="1" si="2"/>
        <v>#NAME?</v>
      </c>
    </row>
    <row r="37" spans="2:27" x14ac:dyDescent="0.2">
      <c r="B37" s="64"/>
      <c r="D37" s="11" t="e">
        <f ca="1"/>
        <v>#NAME?</v>
      </c>
      <c r="E37" s="35" t="e">
        <f ca="1">_xll.qlYieldTSDiscount(C$4,D37,,Triggers!RTDataTrigger)</f>
        <v>#NAME?</v>
      </c>
      <c r="F37" s="44"/>
      <c r="G37" s="33"/>
      <c r="H37" s="49" t="e">
        <f t="shared" ca="1" si="3"/>
        <v>#NAME?</v>
      </c>
      <c r="I37" s="50" t="e">
        <f t="shared" ca="1" si="0"/>
        <v>#NAME?</v>
      </c>
      <c r="K37" s="64"/>
      <c r="M37" s="11" t="e">
        <f ca="1"/>
        <v>#NAME?</v>
      </c>
      <c r="N37" s="35" t="e">
        <f ca="1">_xll.qlYieldTSDiscount(L$4,M37,,Triggers!RTDataTrigger)</f>
        <v>#NAME?</v>
      </c>
      <c r="O37" s="44"/>
      <c r="P37" s="33"/>
      <c r="Q37" s="49" t="e">
        <f t="shared" ca="1" si="4"/>
        <v>#NAME?</v>
      </c>
      <c r="R37" s="50" t="e">
        <f t="shared" ca="1" si="1"/>
        <v>#NAME?</v>
      </c>
      <c r="T37" s="64"/>
      <c r="V37" s="11" t="e">
        <f ca="1"/>
        <v>#NAME?</v>
      </c>
      <c r="W37" s="35" t="e">
        <f ca="1">_xll.qlYieldTSDiscount(U$4,V37,,Triggers!RTDataTrigger)</f>
        <v>#NAME?</v>
      </c>
      <c r="X37" s="44"/>
      <c r="Y37" s="33"/>
      <c r="Z37" s="49" t="e">
        <f t="shared" ca="1" si="5"/>
        <v>#NAME?</v>
      </c>
      <c r="AA37" s="50" t="e">
        <f t="shared" ca="1" si="2"/>
        <v>#NAME?</v>
      </c>
    </row>
    <row r="38" spans="2:27" x14ac:dyDescent="0.2">
      <c r="B38" s="64"/>
      <c r="D38" s="11" t="e">
        <f ca="1"/>
        <v>#NAME?</v>
      </c>
      <c r="E38" s="35" t="e">
        <f ca="1">_xll.qlYieldTSDiscount(C$4,D38,,Triggers!RTDataTrigger)</f>
        <v>#NAME?</v>
      </c>
      <c r="F38" s="44"/>
      <c r="G38" s="33"/>
      <c r="H38" s="49" t="e">
        <f t="shared" ca="1" si="3"/>
        <v>#NAME?</v>
      </c>
      <c r="I38" s="50" t="e">
        <f t="shared" ca="1" si="0"/>
        <v>#NAME?</v>
      </c>
      <c r="K38" s="64"/>
      <c r="M38" s="11" t="e">
        <f ca="1"/>
        <v>#NAME?</v>
      </c>
      <c r="N38" s="35" t="e">
        <f ca="1">_xll.qlYieldTSDiscount(L$4,M38,,Triggers!RTDataTrigger)</f>
        <v>#NAME?</v>
      </c>
      <c r="O38" s="44"/>
      <c r="P38" s="33"/>
      <c r="Q38" s="49" t="e">
        <f t="shared" ca="1" si="4"/>
        <v>#NAME?</v>
      </c>
      <c r="R38" s="50" t="e">
        <f t="shared" ca="1" si="1"/>
        <v>#NAME?</v>
      </c>
      <c r="T38" s="64"/>
      <c r="V38" s="11" t="e">
        <f ca="1"/>
        <v>#NAME?</v>
      </c>
      <c r="W38" s="35" t="e">
        <f ca="1">_xll.qlYieldTSDiscount(U$4,V38,,Triggers!RTDataTrigger)</f>
        <v>#NAME?</v>
      </c>
      <c r="X38" s="44"/>
      <c r="Y38" s="33"/>
      <c r="Z38" s="49" t="e">
        <f t="shared" ca="1" si="5"/>
        <v>#NAME?</v>
      </c>
      <c r="AA38" s="50" t="e">
        <f t="shared" ca="1" si="2"/>
        <v>#NAME?</v>
      </c>
    </row>
    <row r="39" spans="2:27" x14ac:dyDescent="0.2">
      <c r="B39" s="64"/>
      <c r="D39" s="11" t="e">
        <f ca="1"/>
        <v>#NAME?</v>
      </c>
      <c r="E39" s="35" t="e">
        <f ca="1">_xll.qlYieldTSDiscount(C$4,D39,,Triggers!RTDataTrigger)</f>
        <v>#NAME?</v>
      </c>
      <c r="F39" s="44"/>
      <c r="G39" s="33"/>
      <c r="H39" s="49" t="e">
        <f t="shared" ca="1" si="3"/>
        <v>#NAME?</v>
      </c>
      <c r="I39" s="50" t="e">
        <f t="shared" ca="1" si="0"/>
        <v>#NAME?</v>
      </c>
      <c r="K39" s="64"/>
      <c r="M39" s="11" t="e">
        <f ca="1"/>
        <v>#NAME?</v>
      </c>
      <c r="N39" s="35" t="e">
        <f ca="1">_xll.qlYieldTSDiscount(L$4,M39,,Triggers!RTDataTrigger)</f>
        <v>#NAME?</v>
      </c>
      <c r="O39" s="44"/>
      <c r="P39" s="33"/>
      <c r="Q39" s="49" t="e">
        <f t="shared" ca="1" si="4"/>
        <v>#NAME?</v>
      </c>
      <c r="R39" s="50" t="e">
        <f t="shared" ca="1" si="1"/>
        <v>#NAME?</v>
      </c>
      <c r="T39" s="64"/>
      <c r="V39" s="11" t="e">
        <f ca="1"/>
        <v>#NAME?</v>
      </c>
      <c r="W39" s="35" t="e">
        <f ca="1">_xll.qlYieldTSDiscount(U$4,V39,,Triggers!RTDataTrigger)</f>
        <v>#NAME?</v>
      </c>
      <c r="X39" s="44"/>
      <c r="Y39" s="33"/>
      <c r="Z39" s="49" t="e">
        <f t="shared" ca="1" si="5"/>
        <v>#NAME?</v>
      </c>
      <c r="AA39" s="50" t="e">
        <f t="shared" ca="1" si="2"/>
        <v>#NAME?</v>
      </c>
    </row>
    <row r="40" spans="2:27" x14ac:dyDescent="0.2">
      <c r="B40" s="64"/>
      <c r="D40" s="11" t="e">
        <f ca="1"/>
        <v>#NAME?</v>
      </c>
      <c r="E40" s="35" t="e">
        <f ca="1">_xll.qlYieldTSDiscount(C$4,D40,,Triggers!RTDataTrigger)</f>
        <v>#NAME?</v>
      </c>
      <c r="F40" s="44"/>
      <c r="G40" s="33"/>
      <c r="H40" s="49" t="e">
        <f t="shared" ca="1" si="3"/>
        <v>#NAME?</v>
      </c>
      <c r="I40" s="50" t="e">
        <f t="shared" ca="1" si="0"/>
        <v>#NAME?</v>
      </c>
      <c r="K40" s="64"/>
      <c r="M40" s="11" t="e">
        <f ca="1"/>
        <v>#NAME?</v>
      </c>
      <c r="N40" s="35" t="e">
        <f ca="1">_xll.qlYieldTSDiscount(L$4,M40,,Triggers!RTDataTrigger)</f>
        <v>#NAME?</v>
      </c>
      <c r="O40" s="44"/>
      <c r="P40" s="33"/>
      <c r="Q40" s="49" t="e">
        <f t="shared" ca="1" si="4"/>
        <v>#NAME?</v>
      </c>
      <c r="R40" s="50" t="e">
        <f t="shared" ca="1" si="1"/>
        <v>#NAME?</v>
      </c>
      <c r="T40" s="64"/>
      <c r="V40" s="11" t="e">
        <f ca="1"/>
        <v>#NAME?</v>
      </c>
      <c r="W40" s="35" t="e">
        <f ca="1">_xll.qlYieldTSDiscount(U$4,V40,,Triggers!RTDataTrigger)</f>
        <v>#NAME?</v>
      </c>
      <c r="X40" s="44"/>
      <c r="Y40" s="33"/>
      <c r="Z40" s="49" t="e">
        <f t="shared" ca="1" si="5"/>
        <v>#NAME?</v>
      </c>
      <c r="AA40" s="50" t="e">
        <f t="shared" ca="1" si="2"/>
        <v>#NAME?</v>
      </c>
    </row>
    <row r="41" spans="2:27" x14ac:dyDescent="0.2">
      <c r="B41" s="64"/>
      <c r="D41" s="11" t="e">
        <f ca="1"/>
        <v>#NAME?</v>
      </c>
      <c r="E41" s="35" t="e">
        <f ca="1">_xll.qlYieldTSDiscount(C$4,D41,,Triggers!RTDataTrigger)</f>
        <v>#NAME?</v>
      </c>
      <c r="F41" s="44"/>
      <c r="G41" s="33"/>
      <c r="H41" s="49" t="e">
        <f t="shared" ca="1" si="3"/>
        <v>#NAME?</v>
      </c>
      <c r="I41" s="50" t="e">
        <f t="shared" ca="1" si="0"/>
        <v>#NAME?</v>
      </c>
      <c r="K41" s="64"/>
      <c r="M41" s="11" t="e">
        <f ca="1"/>
        <v>#NAME?</v>
      </c>
      <c r="N41" s="35" t="e">
        <f ca="1">_xll.qlYieldTSDiscount(L$4,M41,,Triggers!RTDataTrigger)</f>
        <v>#NAME?</v>
      </c>
      <c r="O41" s="44"/>
      <c r="P41" s="33"/>
      <c r="Q41" s="49" t="e">
        <f t="shared" ca="1" si="4"/>
        <v>#NAME?</v>
      </c>
      <c r="R41" s="50" t="e">
        <f t="shared" ca="1" si="1"/>
        <v>#NAME?</v>
      </c>
      <c r="T41" s="64"/>
      <c r="V41" s="11" t="e">
        <f ca="1"/>
        <v>#NAME?</v>
      </c>
      <c r="W41" s="35" t="e">
        <f ca="1">_xll.qlYieldTSDiscount(U$4,V41,,Triggers!RTDataTrigger)</f>
        <v>#NAME?</v>
      </c>
      <c r="X41" s="44"/>
      <c r="Y41" s="33"/>
      <c r="Z41" s="49" t="e">
        <f t="shared" ca="1" si="5"/>
        <v>#NAME?</v>
      </c>
      <c r="AA41" s="50" t="e">
        <f t="shared" ca="1" si="2"/>
        <v>#NAME?</v>
      </c>
    </row>
    <row r="42" spans="2:27" x14ac:dyDescent="0.2">
      <c r="B42" s="64"/>
      <c r="D42" s="11" t="e">
        <f ca="1"/>
        <v>#NAME?</v>
      </c>
      <c r="E42" s="35" t="e">
        <f ca="1">_xll.qlYieldTSDiscount(C$4,D42,,Triggers!RTDataTrigger)</f>
        <v>#NAME?</v>
      </c>
      <c r="F42" s="44"/>
      <c r="G42" s="33"/>
      <c r="H42" s="49" t="e">
        <f t="shared" ca="1" si="3"/>
        <v>#NAME?</v>
      </c>
      <c r="I42" s="50" t="e">
        <f t="shared" ca="1" si="0"/>
        <v>#NAME?</v>
      </c>
      <c r="K42" s="64"/>
      <c r="M42" s="11" t="e">
        <f ca="1"/>
        <v>#NAME?</v>
      </c>
      <c r="N42" s="35" t="e">
        <f ca="1">_xll.qlYieldTSDiscount(L$4,M42,,Triggers!RTDataTrigger)</f>
        <v>#NAME?</v>
      </c>
      <c r="O42" s="44"/>
      <c r="P42" s="33"/>
      <c r="Q42" s="49" t="e">
        <f t="shared" ca="1" si="4"/>
        <v>#NAME?</v>
      </c>
      <c r="R42" s="50" t="e">
        <f t="shared" ca="1" si="1"/>
        <v>#NAME?</v>
      </c>
      <c r="T42" s="64"/>
      <c r="V42" s="11" t="e">
        <f ca="1"/>
        <v>#NAME?</v>
      </c>
      <c r="W42" s="35" t="e">
        <f ca="1">_xll.qlYieldTSDiscount(U$4,V42,,Triggers!RTDataTrigger)</f>
        <v>#NAME?</v>
      </c>
      <c r="X42" s="44"/>
      <c r="Y42" s="33"/>
      <c r="Z42" s="49" t="e">
        <f t="shared" ca="1" si="5"/>
        <v>#NAME?</v>
      </c>
      <c r="AA42" s="50" t="e">
        <f t="shared" ca="1" si="2"/>
        <v>#NAME?</v>
      </c>
    </row>
    <row r="43" spans="2:27" x14ac:dyDescent="0.2">
      <c r="B43" s="64"/>
      <c r="D43" s="11" t="e">
        <f ca="1"/>
        <v>#NAME?</v>
      </c>
      <c r="E43" s="35" t="e">
        <f ca="1">_xll.qlYieldTSDiscount(C$4,D43,,Triggers!RTDataTrigger)</f>
        <v>#NAME?</v>
      </c>
      <c r="F43" s="44"/>
      <c r="G43" s="33"/>
      <c r="H43" s="49" t="e">
        <f t="shared" ca="1" si="3"/>
        <v>#NAME?</v>
      </c>
      <c r="I43" s="50" t="e">
        <f t="shared" ca="1" si="0"/>
        <v>#NAME?</v>
      </c>
      <c r="K43" s="64"/>
      <c r="M43" s="11" t="e">
        <f ca="1"/>
        <v>#NAME?</v>
      </c>
      <c r="N43" s="35" t="e">
        <f ca="1">_xll.qlYieldTSDiscount(L$4,M43,,Triggers!RTDataTrigger)</f>
        <v>#NAME?</v>
      </c>
      <c r="O43" s="44"/>
      <c r="P43" s="33"/>
      <c r="Q43" s="49" t="e">
        <f t="shared" ca="1" si="4"/>
        <v>#NAME?</v>
      </c>
      <c r="R43" s="50" t="e">
        <f t="shared" ca="1" si="1"/>
        <v>#NAME?</v>
      </c>
      <c r="T43" s="64"/>
      <c r="V43" s="11" t="e">
        <f ca="1"/>
        <v>#NAME?</v>
      </c>
      <c r="W43" s="35" t="e">
        <f ca="1">_xll.qlYieldTSDiscount(U$4,V43,,Triggers!RTDataTrigger)</f>
        <v>#NAME?</v>
      </c>
      <c r="X43" s="44"/>
      <c r="Y43" s="33"/>
      <c r="Z43" s="49" t="e">
        <f t="shared" ca="1" si="5"/>
        <v>#NAME?</v>
      </c>
      <c r="AA43" s="50" t="e">
        <f t="shared" ca="1" si="2"/>
        <v>#NAME?</v>
      </c>
    </row>
    <row r="44" spans="2:27" x14ac:dyDescent="0.2">
      <c r="B44" s="64"/>
      <c r="D44" s="11" t="e">
        <f ca="1"/>
        <v>#NAME?</v>
      </c>
      <c r="E44" s="35" t="e">
        <f ca="1">_xll.qlYieldTSDiscount(C$4,D44,,Triggers!RTDataTrigger)</f>
        <v>#NAME?</v>
      </c>
      <c r="F44" s="44"/>
      <c r="G44" s="33"/>
      <c r="H44" s="49" t="e">
        <f t="shared" ca="1" si="3"/>
        <v>#NAME?</v>
      </c>
      <c r="I44" s="50" t="e">
        <f t="shared" ca="1" si="0"/>
        <v>#NAME?</v>
      </c>
      <c r="K44" s="64"/>
      <c r="M44" s="11" t="e">
        <f ca="1"/>
        <v>#NAME?</v>
      </c>
      <c r="N44" s="35" t="e">
        <f ca="1">_xll.qlYieldTSDiscount(L$4,M44,,Triggers!RTDataTrigger)</f>
        <v>#NAME?</v>
      </c>
      <c r="O44" s="44"/>
      <c r="P44" s="33"/>
      <c r="Q44" s="49" t="e">
        <f t="shared" ca="1" si="4"/>
        <v>#NAME?</v>
      </c>
      <c r="R44" s="50" t="e">
        <f t="shared" ca="1" si="1"/>
        <v>#NAME?</v>
      </c>
      <c r="T44" s="64"/>
      <c r="V44" s="11" t="e">
        <f ca="1"/>
        <v>#NAME?</v>
      </c>
      <c r="W44" s="35" t="e">
        <f ca="1">_xll.qlYieldTSDiscount(U$4,V44,,Triggers!RTDataTrigger)</f>
        <v>#NAME?</v>
      </c>
      <c r="X44" s="44"/>
      <c r="Y44" s="33"/>
      <c r="Z44" s="49" t="e">
        <f t="shared" ca="1" si="5"/>
        <v>#NAME?</v>
      </c>
      <c r="AA44" s="50" t="e">
        <f t="shared" ca="1" si="2"/>
        <v>#NAME?</v>
      </c>
    </row>
    <row r="45" spans="2:27" x14ac:dyDescent="0.2">
      <c r="B45" s="64"/>
      <c r="D45" s="11" t="e">
        <f ca="1"/>
        <v>#NAME?</v>
      </c>
      <c r="E45" s="35" t="e">
        <f ca="1">_xll.qlYieldTSDiscount(C$4,D45,,Triggers!RTDataTrigger)</f>
        <v>#NAME?</v>
      </c>
      <c r="F45" s="44"/>
      <c r="G45" s="33"/>
      <c r="H45" s="49" t="e">
        <f t="shared" ca="1" si="3"/>
        <v>#NAME?</v>
      </c>
      <c r="I45" s="50" t="e">
        <f t="shared" ca="1" si="0"/>
        <v>#NAME?</v>
      </c>
      <c r="K45" s="64"/>
      <c r="M45" s="11" t="e">
        <f ca="1"/>
        <v>#NAME?</v>
      </c>
      <c r="N45" s="35" t="e">
        <f ca="1">_xll.qlYieldTSDiscount(L$4,M45,,Triggers!RTDataTrigger)</f>
        <v>#NAME?</v>
      </c>
      <c r="O45" s="44"/>
      <c r="P45" s="33"/>
      <c r="Q45" s="49" t="e">
        <f t="shared" ca="1" si="4"/>
        <v>#NAME?</v>
      </c>
      <c r="R45" s="50" t="e">
        <f t="shared" ca="1" si="1"/>
        <v>#NAME?</v>
      </c>
      <c r="T45" s="64"/>
      <c r="V45" s="11" t="e">
        <f ca="1"/>
        <v>#NAME?</v>
      </c>
      <c r="W45" s="35" t="e">
        <f ca="1">_xll.qlYieldTSDiscount(U$4,V45,,Triggers!RTDataTrigger)</f>
        <v>#NAME?</v>
      </c>
      <c r="X45" s="44"/>
      <c r="Y45" s="33"/>
      <c r="Z45" s="49" t="e">
        <f t="shared" ca="1" si="5"/>
        <v>#NAME?</v>
      </c>
      <c r="AA45" s="50" t="e">
        <f t="shared" ca="1" si="2"/>
        <v>#NAME?</v>
      </c>
    </row>
    <row r="46" spans="2:27" x14ac:dyDescent="0.2">
      <c r="B46" s="64"/>
      <c r="D46" s="11" t="e">
        <f ca="1"/>
        <v>#NAME?</v>
      </c>
      <c r="E46" s="12" t="e">
        <f ca="1">_xll.qlYieldTSDiscount(C$4,D46,,Triggers!RTDataTrigger)</f>
        <v>#NAME?</v>
      </c>
      <c r="F46" s="44"/>
      <c r="G46" s="33"/>
      <c r="H46" s="49" t="e">
        <f t="shared" ca="1" si="3"/>
        <v>#NAME?</v>
      </c>
      <c r="I46" s="50" t="e">
        <f t="shared" ca="1" si="0"/>
        <v>#NAME?</v>
      </c>
      <c r="K46" s="64"/>
      <c r="M46" s="11" t="e">
        <f ca="1"/>
        <v>#NAME?</v>
      </c>
      <c r="N46" s="12" t="e">
        <f ca="1">_xll.qlYieldTSDiscount(L$4,M46,,Triggers!RTDataTrigger)</f>
        <v>#NAME?</v>
      </c>
      <c r="O46" s="44"/>
      <c r="P46" s="33"/>
      <c r="Q46" s="49" t="e">
        <f t="shared" ca="1" si="4"/>
        <v>#NAME?</v>
      </c>
      <c r="R46" s="50" t="e">
        <f t="shared" ca="1" si="1"/>
        <v>#NAME?</v>
      </c>
      <c r="T46" s="64"/>
      <c r="V46" s="11" t="e">
        <f ca="1"/>
        <v>#NAME?</v>
      </c>
      <c r="W46" s="12" t="e">
        <f ca="1">_xll.qlYieldTSDiscount(U$4,V46,,Triggers!RTDataTrigger)</f>
        <v>#NAME?</v>
      </c>
      <c r="X46" s="44"/>
      <c r="Y46" s="33"/>
      <c r="Z46" s="49" t="e">
        <f t="shared" ca="1" si="5"/>
        <v>#NAME?</v>
      </c>
      <c r="AA46" s="50" t="e">
        <f t="shared" ca="1" si="2"/>
        <v>#NAME?</v>
      </c>
    </row>
    <row r="47" spans="2:27" x14ac:dyDescent="0.2">
      <c r="B47" s="64"/>
      <c r="D47" s="11" t="e">
        <f ca="1"/>
        <v>#NAME?</v>
      </c>
      <c r="E47" s="12" t="e">
        <f ca="1">_xll.qlYieldTSDiscount(C$4,D47,,Triggers!RTDataTrigger)</f>
        <v>#NAME?</v>
      </c>
      <c r="F47" s="44"/>
      <c r="G47" s="33"/>
      <c r="H47" s="49" t="e">
        <f t="shared" ca="1" si="3"/>
        <v>#NAME?</v>
      </c>
      <c r="I47" s="50" t="e">
        <f t="shared" ca="1" si="0"/>
        <v>#NAME?</v>
      </c>
      <c r="K47" s="64"/>
      <c r="M47" s="11" t="e">
        <f ca="1"/>
        <v>#NAME?</v>
      </c>
      <c r="N47" s="12" t="e">
        <f ca="1">_xll.qlYieldTSDiscount(L$4,M47,,Triggers!RTDataTrigger)</f>
        <v>#NAME?</v>
      </c>
      <c r="O47" s="44"/>
      <c r="P47" s="33"/>
      <c r="Q47" s="49" t="e">
        <f t="shared" ca="1" si="4"/>
        <v>#NAME?</v>
      </c>
      <c r="R47" s="50" t="e">
        <f t="shared" ca="1" si="1"/>
        <v>#NAME?</v>
      </c>
      <c r="T47" s="64"/>
      <c r="V47" s="11" t="e">
        <f ca="1"/>
        <v>#NAME?</v>
      </c>
      <c r="W47" s="12" t="e">
        <f ca="1">_xll.qlYieldTSDiscount(U$4,V47,,Triggers!RTDataTrigger)</f>
        <v>#NAME?</v>
      </c>
      <c r="X47" s="44"/>
      <c r="Y47" s="33"/>
      <c r="Z47" s="49" t="e">
        <f t="shared" ca="1" si="5"/>
        <v>#NAME?</v>
      </c>
      <c r="AA47" s="50" t="e">
        <f t="shared" ca="1" si="2"/>
        <v>#NAME?</v>
      </c>
    </row>
    <row r="48" spans="2:27" x14ac:dyDescent="0.2">
      <c r="B48" s="64"/>
      <c r="D48" s="11" t="e">
        <f ca="1"/>
        <v>#NAME?</v>
      </c>
      <c r="E48" s="12" t="e">
        <f ca="1">_xll.qlYieldTSDiscount(C$4,D48,,Triggers!RTDataTrigger)</f>
        <v>#NAME?</v>
      </c>
      <c r="F48" s="44"/>
      <c r="G48" s="33"/>
      <c r="H48" s="49" t="e">
        <f t="shared" ca="1" si="3"/>
        <v>#NAME?</v>
      </c>
      <c r="I48" s="50" t="e">
        <f t="shared" ca="1" si="0"/>
        <v>#NAME?</v>
      </c>
      <c r="K48" s="64"/>
      <c r="M48" s="11" t="e">
        <f ca="1"/>
        <v>#NAME?</v>
      </c>
      <c r="N48" s="12" t="e">
        <f ca="1">_xll.qlYieldTSDiscount(L$4,M48,,Triggers!RTDataTrigger)</f>
        <v>#NAME?</v>
      </c>
      <c r="O48" s="44"/>
      <c r="P48" s="33"/>
      <c r="Q48" s="49" t="e">
        <f t="shared" ca="1" si="4"/>
        <v>#NAME?</v>
      </c>
      <c r="R48" s="50" t="e">
        <f t="shared" ca="1" si="1"/>
        <v>#NAME?</v>
      </c>
      <c r="T48" s="64"/>
      <c r="V48" s="11" t="e">
        <f ca="1"/>
        <v>#NAME?</v>
      </c>
      <c r="W48" s="12" t="e">
        <f ca="1">_xll.qlYieldTSDiscount(U$4,V48,,Triggers!RTDataTrigger)</f>
        <v>#NAME?</v>
      </c>
      <c r="X48" s="44"/>
      <c r="Y48" s="33"/>
      <c r="Z48" s="49" t="e">
        <f t="shared" ca="1" si="5"/>
        <v>#NAME?</v>
      </c>
      <c r="AA48" s="50" t="e">
        <f t="shared" ca="1" si="2"/>
        <v>#NAME?</v>
      </c>
    </row>
    <row r="49" spans="2:27" x14ac:dyDescent="0.2">
      <c r="B49" s="64"/>
      <c r="D49" s="11" t="e">
        <f ca="1"/>
        <v>#NAME?</v>
      </c>
      <c r="E49" s="12" t="e">
        <f ca="1">_xll.qlYieldTSDiscount(C$4,D49,,Triggers!RTDataTrigger)</f>
        <v>#NAME?</v>
      </c>
      <c r="F49" s="44"/>
      <c r="G49" s="33"/>
      <c r="H49" s="49" t="e">
        <f t="shared" ca="1" si="3"/>
        <v>#NAME?</v>
      </c>
      <c r="I49" s="50" t="e">
        <f t="shared" ca="1" si="0"/>
        <v>#NAME?</v>
      </c>
      <c r="K49" s="64"/>
      <c r="M49" s="11" t="e">
        <f ca="1"/>
        <v>#NAME?</v>
      </c>
      <c r="N49" s="12" t="e">
        <f ca="1">_xll.qlYieldTSDiscount(L$4,M49,,Triggers!RTDataTrigger)</f>
        <v>#NAME?</v>
      </c>
      <c r="O49" s="44"/>
      <c r="P49" s="33"/>
      <c r="Q49" s="49" t="e">
        <f t="shared" ca="1" si="4"/>
        <v>#NAME?</v>
      </c>
      <c r="R49" s="50" t="e">
        <f t="shared" ca="1" si="1"/>
        <v>#NAME?</v>
      </c>
      <c r="T49" s="64"/>
      <c r="V49" s="11" t="e">
        <f ca="1"/>
        <v>#NAME?</v>
      </c>
      <c r="W49" s="12" t="e">
        <f ca="1">_xll.qlYieldTSDiscount(U$4,V49,,Triggers!RTDataTrigger)</f>
        <v>#NAME?</v>
      </c>
      <c r="X49" s="44"/>
      <c r="Y49" s="33"/>
      <c r="Z49" s="49" t="e">
        <f t="shared" ca="1" si="5"/>
        <v>#NAME?</v>
      </c>
      <c r="AA49" s="50" t="e">
        <f t="shared" ca="1" si="2"/>
        <v>#NAME?</v>
      </c>
    </row>
    <row r="50" spans="2:27" x14ac:dyDescent="0.2">
      <c r="B50" s="64"/>
      <c r="D50" s="11" t="e">
        <f ca="1"/>
        <v>#NAME?</v>
      </c>
      <c r="E50" s="12" t="e">
        <f ca="1">_xll.qlYieldTSDiscount(C$4,D50,,Triggers!RTDataTrigger)</f>
        <v>#NAME?</v>
      </c>
      <c r="F50" s="44"/>
      <c r="G50" s="33"/>
      <c r="H50" s="49" t="e">
        <f t="shared" ca="1" si="3"/>
        <v>#NAME?</v>
      </c>
      <c r="I50" s="50" t="e">
        <f t="shared" ca="1" si="0"/>
        <v>#NAME?</v>
      </c>
      <c r="K50" s="64"/>
      <c r="M50" s="11" t="e">
        <f ca="1"/>
        <v>#NAME?</v>
      </c>
      <c r="N50" s="12" t="e">
        <f ca="1">_xll.qlYieldTSDiscount(L$4,M50,,Triggers!RTDataTrigger)</f>
        <v>#NAME?</v>
      </c>
      <c r="O50" s="44"/>
      <c r="P50" s="33"/>
      <c r="Q50" s="49" t="e">
        <f t="shared" ca="1" si="4"/>
        <v>#NAME?</v>
      </c>
      <c r="R50" s="50" t="e">
        <f t="shared" ca="1" si="1"/>
        <v>#NAME?</v>
      </c>
      <c r="T50" s="64"/>
      <c r="V50" s="11" t="e">
        <f ca="1"/>
        <v>#NAME?</v>
      </c>
      <c r="W50" s="12" t="e">
        <f ca="1">_xll.qlYieldTSDiscount(U$4,V50,,Triggers!RTDataTrigger)</f>
        <v>#NAME?</v>
      </c>
      <c r="X50" s="44"/>
      <c r="Y50" s="33"/>
      <c r="Z50" s="49" t="e">
        <f t="shared" ca="1" si="5"/>
        <v>#NAME?</v>
      </c>
      <c r="AA50" s="50" t="e">
        <f t="shared" ca="1" si="2"/>
        <v>#NAME?</v>
      </c>
    </row>
    <row r="51" spans="2:27" x14ac:dyDescent="0.2">
      <c r="B51" s="64"/>
      <c r="D51" s="11" t="e">
        <f ca="1"/>
        <v>#NAME?</v>
      </c>
      <c r="E51" s="12" t="e">
        <f ca="1">_xll.qlYieldTSDiscount(C$4,D51,,Triggers!RTDataTrigger)</f>
        <v>#NAME?</v>
      </c>
      <c r="F51" s="44"/>
      <c r="G51" s="33"/>
      <c r="H51" s="49" t="e">
        <f t="shared" ca="1" si="3"/>
        <v>#NAME?</v>
      </c>
      <c r="I51" s="50" t="e">
        <f t="shared" ca="1" si="0"/>
        <v>#NAME?</v>
      </c>
      <c r="K51" s="64"/>
      <c r="M51" s="11" t="e">
        <f ca="1"/>
        <v>#NAME?</v>
      </c>
      <c r="N51" s="12" t="e">
        <f ca="1">_xll.qlYieldTSDiscount(L$4,M51,,Triggers!RTDataTrigger)</f>
        <v>#NAME?</v>
      </c>
      <c r="O51" s="44"/>
      <c r="P51" s="33"/>
      <c r="Q51" s="49" t="e">
        <f t="shared" ca="1" si="4"/>
        <v>#NAME?</v>
      </c>
      <c r="R51" s="50" t="e">
        <f t="shared" ca="1" si="1"/>
        <v>#NAME?</v>
      </c>
      <c r="T51" s="64"/>
      <c r="V51" s="11" t="e">
        <f ca="1"/>
        <v>#NAME?</v>
      </c>
      <c r="W51" s="12" t="e">
        <f ca="1">_xll.qlYieldTSDiscount(U$4,V51,,Triggers!RTDataTrigger)</f>
        <v>#NAME?</v>
      </c>
      <c r="X51" s="44"/>
      <c r="Y51" s="33"/>
      <c r="Z51" s="49" t="e">
        <f t="shared" ca="1" si="5"/>
        <v>#NAME?</v>
      </c>
      <c r="AA51" s="50" t="e">
        <f t="shared" ca="1" si="2"/>
        <v>#NAME?</v>
      </c>
    </row>
    <row r="52" spans="2:27" x14ac:dyDescent="0.2">
      <c r="B52" s="64"/>
      <c r="D52" s="11" t="e">
        <f ca="1"/>
        <v>#NAME?</v>
      </c>
      <c r="E52" s="12" t="e">
        <f ca="1">_xll.qlYieldTSDiscount(C$4,D52,,Triggers!RTDataTrigger)</f>
        <v>#NAME?</v>
      </c>
      <c r="F52" s="44"/>
      <c r="G52" s="33"/>
      <c r="H52" s="49" t="e">
        <f t="shared" ca="1" si="3"/>
        <v>#NAME?</v>
      </c>
      <c r="I52" s="50" t="e">
        <f t="shared" ca="1" si="0"/>
        <v>#NAME?</v>
      </c>
      <c r="K52" s="64"/>
      <c r="M52" s="11" t="e">
        <f ca="1"/>
        <v>#NAME?</v>
      </c>
      <c r="N52" s="12" t="e">
        <f ca="1">_xll.qlYieldTSDiscount(L$4,M52,,Triggers!RTDataTrigger)</f>
        <v>#NAME?</v>
      </c>
      <c r="O52" s="44"/>
      <c r="P52" s="33"/>
      <c r="Q52" s="49" t="e">
        <f t="shared" ca="1" si="4"/>
        <v>#NAME?</v>
      </c>
      <c r="R52" s="50" t="e">
        <f t="shared" ca="1" si="1"/>
        <v>#NAME?</v>
      </c>
      <c r="T52" s="64"/>
      <c r="V52" s="11" t="e">
        <f ca="1"/>
        <v>#NAME?</v>
      </c>
      <c r="W52" s="12" t="e">
        <f ca="1">_xll.qlYieldTSDiscount(U$4,V52,,Triggers!RTDataTrigger)</f>
        <v>#NAME?</v>
      </c>
      <c r="X52" s="44"/>
      <c r="Y52" s="33"/>
      <c r="Z52" s="49" t="e">
        <f t="shared" ca="1" si="5"/>
        <v>#NAME?</v>
      </c>
      <c r="AA52" s="50" t="e">
        <f t="shared" ca="1" si="2"/>
        <v>#NAME?</v>
      </c>
    </row>
    <row r="53" spans="2:27" x14ac:dyDescent="0.2">
      <c r="B53" s="64"/>
      <c r="D53" s="11" t="e">
        <f ca="1"/>
        <v>#NAME?</v>
      </c>
      <c r="E53" s="12" t="e">
        <f ca="1">_xll.qlYieldTSDiscount(C$4,D53,,Triggers!RTDataTrigger)</f>
        <v>#NAME?</v>
      </c>
      <c r="F53" s="44"/>
      <c r="G53" s="33"/>
      <c r="H53" s="49" t="e">
        <f t="shared" ca="1" si="3"/>
        <v>#NAME?</v>
      </c>
      <c r="I53" s="50" t="e">
        <f t="shared" ca="1" si="0"/>
        <v>#NAME?</v>
      </c>
      <c r="K53" s="64"/>
      <c r="M53" s="11" t="e">
        <f ca="1"/>
        <v>#NAME?</v>
      </c>
      <c r="N53" s="12" t="e">
        <f ca="1">_xll.qlYieldTSDiscount(L$4,M53,,Triggers!RTDataTrigger)</f>
        <v>#NAME?</v>
      </c>
      <c r="O53" s="44"/>
      <c r="P53" s="33"/>
      <c r="Q53" s="49" t="e">
        <f t="shared" ca="1" si="4"/>
        <v>#NAME?</v>
      </c>
      <c r="R53" s="50" t="e">
        <f t="shared" ca="1" si="1"/>
        <v>#NAME?</v>
      </c>
      <c r="T53" s="64"/>
      <c r="V53" s="11" t="e">
        <f ca="1"/>
        <v>#NAME?</v>
      </c>
      <c r="W53" s="12" t="e">
        <f ca="1">_xll.qlYieldTSDiscount(U$4,V53,,Triggers!RTDataTrigger)</f>
        <v>#NAME?</v>
      </c>
      <c r="X53" s="44"/>
      <c r="Y53" s="33"/>
      <c r="Z53" s="49" t="e">
        <f t="shared" ca="1" si="5"/>
        <v>#NAME?</v>
      </c>
      <c r="AA53" s="50" t="e">
        <f t="shared" ca="1" si="2"/>
        <v>#NAME?</v>
      </c>
    </row>
    <row r="54" spans="2:27" x14ac:dyDescent="0.2">
      <c r="B54" s="64"/>
      <c r="D54" s="11" t="e">
        <f ca="1"/>
        <v>#NAME?</v>
      </c>
      <c r="E54" s="12" t="e">
        <f ca="1">_xll.qlYieldTSDiscount(C$4,D54,,Triggers!RTDataTrigger)</f>
        <v>#NAME?</v>
      </c>
      <c r="F54" s="44"/>
      <c r="G54" s="33"/>
      <c r="H54" s="49" t="e">
        <f t="shared" ca="1" si="3"/>
        <v>#NAME?</v>
      </c>
      <c r="I54" s="50" t="e">
        <f t="shared" ca="1" si="0"/>
        <v>#NAME?</v>
      </c>
      <c r="K54" s="64"/>
      <c r="M54" s="11" t="e">
        <f ca="1"/>
        <v>#NAME?</v>
      </c>
      <c r="N54" s="12" t="e">
        <f ca="1">_xll.qlYieldTSDiscount(L$4,M54,,Triggers!RTDataTrigger)</f>
        <v>#NAME?</v>
      </c>
      <c r="O54" s="44"/>
      <c r="P54" s="33"/>
      <c r="Q54" s="49" t="e">
        <f t="shared" ca="1" si="4"/>
        <v>#NAME?</v>
      </c>
      <c r="R54" s="50" t="e">
        <f t="shared" ca="1" si="1"/>
        <v>#NAME?</v>
      </c>
      <c r="T54" s="64"/>
      <c r="V54" s="11" t="e">
        <f ca="1"/>
        <v>#NAME?</v>
      </c>
      <c r="W54" s="12" t="e">
        <f ca="1">_xll.qlYieldTSDiscount(U$4,V54,,Triggers!RTDataTrigger)</f>
        <v>#NAME?</v>
      </c>
      <c r="X54" s="44"/>
      <c r="Y54" s="33"/>
      <c r="Z54" s="49" t="e">
        <f t="shared" ca="1" si="5"/>
        <v>#NAME?</v>
      </c>
      <c r="AA54" s="50" t="e">
        <f t="shared" ca="1" si="2"/>
        <v>#NAME?</v>
      </c>
    </row>
    <row r="55" spans="2:27" x14ac:dyDescent="0.2">
      <c r="B55" s="64"/>
      <c r="D55" s="11" t="e">
        <f ca="1"/>
        <v>#NAME?</v>
      </c>
      <c r="E55" s="12" t="e">
        <f ca="1">_xll.qlYieldTSDiscount(C$4,D55,,Triggers!RTDataTrigger)</f>
        <v>#NAME?</v>
      </c>
      <c r="F55" s="44"/>
      <c r="G55" s="33"/>
      <c r="H55" s="49" t="e">
        <f t="shared" ca="1" si="3"/>
        <v>#NAME?</v>
      </c>
      <c r="I55" s="50" t="e">
        <f t="shared" ca="1" si="0"/>
        <v>#NAME?</v>
      </c>
      <c r="K55" s="64"/>
      <c r="M55" s="11" t="e">
        <f ca="1"/>
        <v>#NAME?</v>
      </c>
      <c r="N55" s="12" t="e">
        <f ca="1">_xll.qlYieldTSDiscount(L$4,M55,,Triggers!RTDataTrigger)</f>
        <v>#NAME?</v>
      </c>
      <c r="O55" s="44"/>
      <c r="P55" s="33"/>
      <c r="Q55" s="49" t="e">
        <f t="shared" ca="1" si="4"/>
        <v>#NAME?</v>
      </c>
      <c r="R55" s="50" t="e">
        <f t="shared" ca="1" si="1"/>
        <v>#NAME?</v>
      </c>
      <c r="T55" s="64"/>
      <c r="V55" s="11" t="e">
        <f ca="1"/>
        <v>#NAME?</v>
      </c>
      <c r="W55" s="12" t="e">
        <f ca="1">_xll.qlYieldTSDiscount(U$4,V55,,Triggers!RTDataTrigger)</f>
        <v>#NAME?</v>
      </c>
      <c r="X55" s="44"/>
      <c r="Y55" s="33"/>
      <c r="Z55" s="49" t="e">
        <f t="shared" ca="1" si="5"/>
        <v>#NAME?</v>
      </c>
      <c r="AA55" s="50" t="e">
        <f t="shared" ca="1" si="2"/>
        <v>#NAME?</v>
      </c>
    </row>
    <row r="56" spans="2:27" x14ac:dyDescent="0.2">
      <c r="B56" s="64"/>
      <c r="D56" s="11" t="e">
        <f ca="1"/>
        <v>#NAME?</v>
      </c>
      <c r="E56" s="12" t="e">
        <f ca="1">_xll.qlYieldTSDiscount(C$4,D56,,Triggers!RTDataTrigger)</f>
        <v>#NAME?</v>
      </c>
      <c r="F56" s="44"/>
      <c r="G56" s="33"/>
      <c r="H56" s="49" t="e">
        <f t="shared" ca="1" si="3"/>
        <v>#NAME?</v>
      </c>
      <c r="I56" s="50" t="e">
        <f t="shared" ca="1" si="0"/>
        <v>#NAME?</v>
      </c>
      <c r="K56" s="64"/>
      <c r="M56" s="11" t="e">
        <f ca="1"/>
        <v>#NAME?</v>
      </c>
      <c r="N56" s="12" t="e">
        <f ca="1">_xll.qlYieldTSDiscount(L$4,M56,,Triggers!RTDataTrigger)</f>
        <v>#NAME?</v>
      </c>
      <c r="O56" s="44"/>
      <c r="P56" s="33"/>
      <c r="Q56" s="49" t="e">
        <f t="shared" ca="1" si="4"/>
        <v>#NAME?</v>
      </c>
      <c r="R56" s="50" t="e">
        <f t="shared" ca="1" si="1"/>
        <v>#NAME?</v>
      </c>
      <c r="T56" s="64"/>
      <c r="V56" s="11" t="e">
        <f ca="1"/>
        <v>#NAME?</v>
      </c>
      <c r="W56" s="12" t="e">
        <f ca="1">_xll.qlYieldTSDiscount(U$4,V56,,Triggers!RTDataTrigger)</f>
        <v>#NAME?</v>
      </c>
      <c r="X56" s="44"/>
      <c r="Y56" s="33"/>
      <c r="Z56" s="49" t="e">
        <f t="shared" ca="1" si="5"/>
        <v>#NAME?</v>
      </c>
      <c r="AA56" s="50" t="e">
        <f t="shared" ca="1" si="2"/>
        <v>#NAME?</v>
      </c>
    </row>
    <row r="57" spans="2:27" x14ac:dyDescent="0.2">
      <c r="D57" s="11" t="e">
        <f ca="1"/>
        <v>#NAME?</v>
      </c>
      <c r="E57" s="12" t="e">
        <f ca="1">_xll.qlYieldTSDiscount(C$4,D57,,Triggers!RTDataTrigger)</f>
        <v>#NAME?</v>
      </c>
      <c r="F57" s="44"/>
      <c r="G57" s="33"/>
      <c r="H57" s="49" t="e">
        <f t="shared" ca="1" si="3"/>
        <v>#NAME?</v>
      </c>
      <c r="I57" s="50" t="e">
        <f t="shared" ca="1" si="0"/>
        <v>#NAME?</v>
      </c>
      <c r="K57" s="64"/>
      <c r="M57" s="11" t="e">
        <f ca="1"/>
        <v>#NAME?</v>
      </c>
      <c r="N57" s="12" t="e">
        <f ca="1">_xll.qlYieldTSDiscount(L$4,M57,,Triggers!RTDataTrigger)</f>
        <v>#NAME?</v>
      </c>
      <c r="O57" s="44"/>
      <c r="P57" s="33"/>
      <c r="Q57" s="49" t="e">
        <f t="shared" ca="1" si="4"/>
        <v>#NAME?</v>
      </c>
      <c r="R57" s="50" t="e">
        <f t="shared" ca="1" si="1"/>
        <v>#NAME?</v>
      </c>
      <c r="T57" s="64"/>
      <c r="V57" s="11" t="e">
        <f ca="1"/>
        <v>#NAME?</v>
      </c>
      <c r="W57" s="12" t="e">
        <f ca="1">_xll.qlYieldTSDiscount(U$4,V57,,Triggers!RTDataTrigger)</f>
        <v>#NAME?</v>
      </c>
      <c r="X57" s="44"/>
      <c r="Y57" s="33"/>
      <c r="Z57" s="49" t="e">
        <f t="shared" ca="1" si="5"/>
        <v>#NAME?</v>
      </c>
      <c r="AA57" s="50" t="e">
        <f t="shared" ca="1" si="2"/>
        <v>#NAME?</v>
      </c>
    </row>
    <row r="58" spans="2:27" x14ac:dyDescent="0.2">
      <c r="D58" s="11" t="e">
        <f ca="1"/>
        <v>#NAME?</v>
      </c>
      <c r="E58" s="12" t="e">
        <f ca="1">_xll.qlYieldTSDiscount(C$4,D58,,Triggers!RTDataTrigger)</f>
        <v>#NAME?</v>
      </c>
      <c r="F58" s="44"/>
      <c r="G58" s="33"/>
      <c r="H58" s="49" t="e">
        <f t="shared" ca="1" si="3"/>
        <v>#NAME?</v>
      </c>
      <c r="I58" s="50" t="e">
        <f t="shared" ca="1" si="0"/>
        <v>#NAME?</v>
      </c>
      <c r="K58" s="64"/>
      <c r="M58" s="11" t="e">
        <f ca="1"/>
        <v>#NAME?</v>
      </c>
      <c r="N58" s="12" t="e">
        <f ca="1">_xll.qlYieldTSDiscount(L$4,M58,,Triggers!RTDataTrigger)</f>
        <v>#NAME?</v>
      </c>
      <c r="O58" s="44"/>
      <c r="P58" s="33"/>
      <c r="Q58" s="49" t="e">
        <f t="shared" ca="1" si="4"/>
        <v>#NAME?</v>
      </c>
      <c r="R58" s="50" t="e">
        <f t="shared" ca="1" si="1"/>
        <v>#NAME?</v>
      </c>
      <c r="T58" s="64"/>
      <c r="V58" s="11" t="e">
        <f ca="1"/>
        <v>#NAME?</v>
      </c>
      <c r="W58" s="12" t="e">
        <f ca="1">_xll.qlYieldTSDiscount(U$4,V58,,Triggers!RTDataTrigger)</f>
        <v>#NAME?</v>
      </c>
      <c r="X58" s="44"/>
      <c r="Y58" s="33"/>
      <c r="Z58" s="49" t="e">
        <f t="shared" ca="1" si="5"/>
        <v>#NAME?</v>
      </c>
      <c r="AA58" s="50" t="e">
        <f t="shared" ca="1" si="2"/>
        <v>#NAME?</v>
      </c>
    </row>
    <row r="59" spans="2:27" x14ac:dyDescent="0.2">
      <c r="D59" s="11" t="e">
        <f ca="1"/>
        <v>#NAME?</v>
      </c>
      <c r="E59" s="12" t="e">
        <f ca="1">_xll.qlYieldTSDiscount(C$4,D59,,Triggers!RTDataTrigger)</f>
        <v>#NAME?</v>
      </c>
      <c r="F59" s="44"/>
      <c r="G59" s="33"/>
      <c r="H59" s="49" t="e">
        <f t="shared" ca="1" si="3"/>
        <v>#NAME?</v>
      </c>
      <c r="I59" s="50" t="e">
        <f t="shared" ca="1" si="0"/>
        <v>#NAME?</v>
      </c>
      <c r="K59" s="64"/>
      <c r="M59" s="11" t="e">
        <f ca="1"/>
        <v>#NAME?</v>
      </c>
      <c r="N59" s="12" t="e">
        <f ca="1">_xll.qlYieldTSDiscount(L$4,M59,,Triggers!RTDataTrigger)</f>
        <v>#NAME?</v>
      </c>
      <c r="O59" s="44"/>
      <c r="P59" s="33"/>
      <c r="Q59" s="49" t="e">
        <f t="shared" ca="1" si="4"/>
        <v>#NAME?</v>
      </c>
      <c r="R59" s="50" t="e">
        <f t="shared" ca="1" si="1"/>
        <v>#NAME?</v>
      </c>
      <c r="T59" s="64"/>
      <c r="V59" s="11" t="e">
        <f ca="1"/>
        <v>#NAME?</v>
      </c>
      <c r="W59" s="12" t="e">
        <f ca="1">_xll.qlYieldTSDiscount(U$4,V59,,Triggers!RTDataTrigger)</f>
        <v>#NAME?</v>
      </c>
      <c r="X59" s="44"/>
      <c r="Y59" s="33"/>
      <c r="Z59" s="49" t="e">
        <f t="shared" ca="1" si="5"/>
        <v>#NAME?</v>
      </c>
      <c r="AA59" s="50" t="e">
        <f t="shared" ca="1" si="2"/>
        <v>#NAME?</v>
      </c>
    </row>
    <row r="60" spans="2:27" x14ac:dyDescent="0.2">
      <c r="D60" s="11" t="e">
        <f ca="1"/>
        <v>#NAME?</v>
      </c>
      <c r="E60" s="12" t="e">
        <f ca="1">_xll.qlYieldTSDiscount(C$4,D60,,Triggers!RTDataTrigger)</f>
        <v>#NAME?</v>
      </c>
      <c r="F60" s="44"/>
      <c r="G60" s="33"/>
      <c r="H60" s="49" t="e">
        <f t="shared" ca="1" si="3"/>
        <v>#NAME?</v>
      </c>
      <c r="I60" s="50" t="e">
        <f t="shared" ca="1" si="0"/>
        <v>#NAME?</v>
      </c>
      <c r="K60" s="64"/>
      <c r="M60" s="11" t="e">
        <f ca="1"/>
        <v>#NAME?</v>
      </c>
      <c r="N60" s="12" t="e">
        <f ca="1">_xll.qlYieldTSDiscount(L$4,M60,,Triggers!RTDataTrigger)</f>
        <v>#NAME?</v>
      </c>
      <c r="O60" s="44"/>
      <c r="P60" s="33"/>
      <c r="Q60" s="49" t="e">
        <f t="shared" ca="1" si="4"/>
        <v>#NAME?</v>
      </c>
      <c r="R60" s="50" t="e">
        <f t="shared" ca="1" si="1"/>
        <v>#NAME?</v>
      </c>
      <c r="T60" s="64"/>
      <c r="V60" s="11" t="e">
        <f ca="1"/>
        <v>#NAME?</v>
      </c>
      <c r="W60" s="12" t="e">
        <f ca="1">_xll.qlYieldTSDiscount(U$4,V60,,Triggers!RTDataTrigger)</f>
        <v>#NAME?</v>
      </c>
      <c r="X60" s="44"/>
      <c r="Y60" s="33"/>
      <c r="Z60" s="49" t="e">
        <f t="shared" ca="1" si="5"/>
        <v>#NAME?</v>
      </c>
      <c r="AA60" s="50" t="e">
        <f t="shared" ca="1" si="2"/>
        <v>#NAME?</v>
      </c>
    </row>
    <row r="61" spans="2:27" x14ac:dyDescent="0.2">
      <c r="D61" s="11" t="e">
        <f ca="1"/>
        <v>#NAME?</v>
      </c>
      <c r="E61" s="12" t="e">
        <f ca="1">_xll.qlYieldTSDiscount(C$4,D61,,Triggers!RTDataTrigger)</f>
        <v>#NAME?</v>
      </c>
      <c r="F61" s="44"/>
      <c r="G61" s="33"/>
      <c r="H61" s="49" t="e">
        <f t="shared" ca="1" si="3"/>
        <v>#NAME?</v>
      </c>
      <c r="I61" s="50" t="e">
        <f t="shared" ca="1" si="0"/>
        <v>#NAME?</v>
      </c>
      <c r="K61" s="64"/>
      <c r="M61" s="11" t="e">
        <f ca="1"/>
        <v>#NAME?</v>
      </c>
      <c r="N61" s="12" t="e">
        <f ca="1">_xll.qlYieldTSDiscount(L$4,M61,,Triggers!RTDataTrigger)</f>
        <v>#NAME?</v>
      </c>
      <c r="O61" s="44"/>
      <c r="P61" s="33"/>
      <c r="Q61" s="49" t="e">
        <f t="shared" ca="1" si="4"/>
        <v>#NAME?</v>
      </c>
      <c r="R61" s="50" t="e">
        <f t="shared" ca="1" si="1"/>
        <v>#NAME?</v>
      </c>
      <c r="T61" s="64"/>
      <c r="V61" s="11" t="e">
        <f ca="1"/>
        <v>#NAME?</v>
      </c>
      <c r="W61" s="12" t="e">
        <f ca="1">_xll.qlYieldTSDiscount(U$4,V61,,Triggers!RTDataTrigger)</f>
        <v>#NAME?</v>
      </c>
      <c r="X61" s="44"/>
      <c r="Y61" s="33"/>
      <c r="Z61" s="49" t="e">
        <f t="shared" ca="1" si="5"/>
        <v>#NAME?</v>
      </c>
      <c r="AA61" s="50" t="e">
        <f t="shared" ca="1" si="2"/>
        <v>#NAME?</v>
      </c>
    </row>
    <row r="62" spans="2:27" x14ac:dyDescent="0.2">
      <c r="D62" s="11" t="e">
        <f ca="1"/>
        <v>#NAME?</v>
      </c>
      <c r="E62" s="12" t="e">
        <f ca="1">_xll.qlYieldTSDiscount(C$4,D62,,Triggers!RTDataTrigger)</f>
        <v>#NAME?</v>
      </c>
      <c r="F62" s="44"/>
      <c r="G62" s="33"/>
      <c r="H62" s="49" t="e">
        <f t="shared" ca="1" si="3"/>
        <v>#NAME?</v>
      </c>
      <c r="I62" s="50" t="e">
        <f t="shared" ca="1" si="0"/>
        <v>#NAME?</v>
      </c>
      <c r="K62" s="64"/>
      <c r="M62" s="11" t="e">
        <f ca="1"/>
        <v>#NAME?</v>
      </c>
      <c r="N62" s="12" t="e">
        <f ca="1">_xll.qlYieldTSDiscount(L$4,M62,,Triggers!RTDataTrigger)</f>
        <v>#NAME?</v>
      </c>
      <c r="O62" s="44"/>
      <c r="P62" s="33"/>
      <c r="Q62" s="49" t="e">
        <f t="shared" ca="1" si="4"/>
        <v>#NAME?</v>
      </c>
      <c r="R62" s="50" t="e">
        <f t="shared" ca="1" si="1"/>
        <v>#NAME?</v>
      </c>
      <c r="T62" s="64"/>
      <c r="V62" s="11" t="e">
        <f ca="1"/>
        <v>#NAME?</v>
      </c>
      <c r="W62" s="12" t="e">
        <f ca="1">_xll.qlYieldTSDiscount(U$4,V62,,Triggers!RTDataTrigger)</f>
        <v>#NAME?</v>
      </c>
      <c r="X62" s="44"/>
      <c r="Y62" s="33"/>
      <c r="Z62" s="49" t="e">
        <f t="shared" ca="1" si="5"/>
        <v>#NAME?</v>
      </c>
      <c r="AA62" s="50" t="e">
        <f t="shared" ca="1" si="2"/>
        <v>#NAME?</v>
      </c>
    </row>
    <row r="63" spans="2:27" x14ac:dyDescent="0.2">
      <c r="D63" s="11" t="e">
        <f ca="1"/>
        <v>#NAME?</v>
      </c>
      <c r="E63" s="12" t="e">
        <f ca="1">_xll.qlYieldTSDiscount(C$4,D63,,Triggers!RTDataTrigger)</f>
        <v>#NAME?</v>
      </c>
      <c r="F63" s="44"/>
      <c r="G63" s="33"/>
      <c r="H63" s="49" t="e">
        <f t="shared" ca="1" si="3"/>
        <v>#NAME?</v>
      </c>
      <c r="I63" s="50" t="e">
        <f t="shared" ca="1" si="0"/>
        <v>#NAME?</v>
      </c>
      <c r="K63" s="64"/>
      <c r="M63" s="11" t="e">
        <f ca="1"/>
        <v>#NAME?</v>
      </c>
      <c r="N63" s="12" t="e">
        <f ca="1">_xll.qlYieldTSDiscount(L$4,M63,,Triggers!RTDataTrigger)</f>
        <v>#NAME?</v>
      </c>
      <c r="O63" s="44"/>
      <c r="P63" s="33"/>
      <c r="Q63" s="49" t="e">
        <f t="shared" ca="1" si="4"/>
        <v>#NAME?</v>
      </c>
      <c r="R63" s="50" t="e">
        <f t="shared" ca="1" si="1"/>
        <v>#NAME?</v>
      </c>
      <c r="T63" s="64"/>
      <c r="V63" s="11" t="e">
        <f ca="1"/>
        <v>#NAME?</v>
      </c>
      <c r="W63" s="12" t="e">
        <f ca="1">_xll.qlYieldTSDiscount(U$4,V63,,Triggers!RTDataTrigger)</f>
        <v>#NAME?</v>
      </c>
      <c r="X63" s="44"/>
      <c r="Y63" s="33"/>
      <c r="Z63" s="49" t="e">
        <f t="shared" ca="1" si="5"/>
        <v>#NAME?</v>
      </c>
      <c r="AA63" s="50" t="e">
        <f t="shared" ca="1" si="2"/>
        <v>#NAME?</v>
      </c>
    </row>
    <row r="64" spans="2:27" x14ac:dyDescent="0.2">
      <c r="D64" s="11" t="e">
        <f ca="1"/>
        <v>#NAME?</v>
      </c>
      <c r="E64" s="12" t="e">
        <f ca="1">_xll.qlYieldTSDiscount(C$4,D64,,Triggers!RTDataTrigger)</f>
        <v>#NAME?</v>
      </c>
      <c r="F64" s="44"/>
      <c r="G64" s="33"/>
      <c r="H64" s="49" t="e">
        <f t="shared" ca="1" si="3"/>
        <v>#NAME?</v>
      </c>
      <c r="I64" s="50" t="e">
        <f t="shared" ca="1" si="0"/>
        <v>#NAME?</v>
      </c>
      <c r="K64" s="64"/>
      <c r="M64" s="11" t="e">
        <f ca="1"/>
        <v>#NAME?</v>
      </c>
      <c r="N64" s="12" t="e">
        <f ca="1">_xll.qlYieldTSDiscount(L$4,M64,,Triggers!RTDataTrigger)</f>
        <v>#NAME?</v>
      </c>
      <c r="O64" s="44"/>
      <c r="P64" s="33"/>
      <c r="Q64" s="49" t="e">
        <f t="shared" ca="1" si="4"/>
        <v>#NAME?</v>
      </c>
      <c r="R64" s="50" t="e">
        <f t="shared" ca="1" si="1"/>
        <v>#NAME?</v>
      </c>
      <c r="T64" s="64"/>
      <c r="V64" s="11" t="e">
        <f ca="1"/>
        <v>#NAME?</v>
      </c>
      <c r="W64" s="12" t="e">
        <f ca="1">_xll.qlYieldTSDiscount(U$4,V64,,Triggers!RTDataTrigger)</f>
        <v>#NAME?</v>
      </c>
      <c r="X64" s="44"/>
      <c r="Y64" s="33"/>
      <c r="Z64" s="49" t="e">
        <f t="shared" ca="1" si="5"/>
        <v>#NAME?</v>
      </c>
      <c r="AA64" s="50" t="e">
        <f t="shared" ca="1" si="2"/>
        <v>#NAME?</v>
      </c>
    </row>
    <row r="65" spans="4:27" x14ac:dyDescent="0.2">
      <c r="D65" s="11" t="e">
        <f ca="1"/>
        <v>#NAME?</v>
      </c>
      <c r="E65" s="12" t="e">
        <f ca="1">_xll.qlYieldTSDiscount(C$4,D65,,Triggers!RTDataTrigger)</f>
        <v>#NAME?</v>
      </c>
      <c r="F65" s="44"/>
      <c r="G65" s="33"/>
      <c r="H65" s="49" t="e">
        <f t="shared" ca="1" si="3"/>
        <v>#NAME?</v>
      </c>
      <c r="I65" s="50" t="e">
        <f t="shared" ca="1" si="0"/>
        <v>#NAME?</v>
      </c>
      <c r="K65" s="64"/>
      <c r="M65" s="11" t="e">
        <f ca="1"/>
        <v>#NAME?</v>
      </c>
      <c r="N65" s="12" t="e">
        <f ca="1">_xll.qlYieldTSDiscount(L$4,M65,,Triggers!RTDataTrigger)</f>
        <v>#NAME?</v>
      </c>
      <c r="O65" s="44"/>
      <c r="P65" s="33"/>
      <c r="Q65" s="49" t="e">
        <f t="shared" ca="1" si="4"/>
        <v>#NAME?</v>
      </c>
      <c r="R65" s="50" t="e">
        <f t="shared" ca="1" si="1"/>
        <v>#NAME?</v>
      </c>
      <c r="T65" s="64"/>
      <c r="V65" s="11" t="e">
        <f ca="1"/>
        <v>#NAME?</v>
      </c>
      <c r="W65" s="12" t="e">
        <f ca="1">_xll.qlYieldTSDiscount(U$4,V65,,Triggers!RTDataTrigger)</f>
        <v>#NAME?</v>
      </c>
      <c r="X65" s="44"/>
      <c r="Y65" s="33"/>
      <c r="Z65" s="49" t="e">
        <f t="shared" ca="1" si="5"/>
        <v>#NAME?</v>
      </c>
      <c r="AA65" s="50" t="e">
        <f t="shared" ca="1" si="2"/>
        <v>#NAME?</v>
      </c>
    </row>
    <row r="66" spans="4:27" x14ac:dyDescent="0.2">
      <c r="D66" s="11" t="e">
        <f ca="1"/>
        <v>#NAME?</v>
      </c>
      <c r="E66" s="12" t="e">
        <f ca="1">_xll.qlYieldTSDiscount(C$4,D66,,Triggers!RTDataTrigger)</f>
        <v>#NAME?</v>
      </c>
      <c r="F66" s="44"/>
      <c r="G66" s="33"/>
      <c r="H66" s="49" t="e">
        <f t="shared" ca="1" si="3"/>
        <v>#NAME?</v>
      </c>
      <c r="I66" s="50" t="e">
        <f t="shared" ca="1" si="0"/>
        <v>#NAME?</v>
      </c>
      <c r="K66" s="64"/>
      <c r="M66" s="11" t="e">
        <f ca="1"/>
        <v>#NAME?</v>
      </c>
      <c r="N66" s="12" t="e">
        <f ca="1">_xll.qlYieldTSDiscount(L$4,M66,,Triggers!RTDataTrigger)</f>
        <v>#NAME?</v>
      </c>
      <c r="O66" s="44"/>
      <c r="P66" s="33"/>
      <c r="Q66" s="49" t="e">
        <f t="shared" ca="1" si="4"/>
        <v>#NAME?</v>
      </c>
      <c r="R66" s="50" t="e">
        <f t="shared" ca="1" si="1"/>
        <v>#NAME?</v>
      </c>
      <c r="T66" s="64"/>
      <c r="V66" s="11" t="e">
        <f ca="1"/>
        <v>#NAME?</v>
      </c>
      <c r="W66" s="12" t="e">
        <f ca="1">_xll.qlYieldTSDiscount(U$4,V66,,Triggers!RTDataTrigger)</f>
        <v>#NAME?</v>
      </c>
      <c r="X66" s="44"/>
      <c r="Y66" s="33"/>
      <c r="Z66" s="49" t="e">
        <f t="shared" ca="1" si="5"/>
        <v>#NAME?</v>
      </c>
      <c r="AA66" s="50" t="e">
        <f t="shared" ca="1" si="2"/>
        <v>#NAME?</v>
      </c>
    </row>
    <row r="67" spans="4:27" x14ac:dyDescent="0.2">
      <c r="D67" s="11" t="e">
        <f ca="1"/>
        <v>#NAME?</v>
      </c>
      <c r="E67" s="12" t="e">
        <f ca="1">_xll.qlYieldTSDiscount(C$4,D67,,Triggers!RTDataTrigger)</f>
        <v>#NAME?</v>
      </c>
      <c r="F67" s="44"/>
      <c r="G67" s="33"/>
      <c r="H67" s="49" t="e">
        <f t="shared" ca="1" si="3"/>
        <v>#NAME?</v>
      </c>
      <c r="I67" s="50" t="e">
        <f t="shared" ca="1" si="0"/>
        <v>#NAME?</v>
      </c>
      <c r="K67" s="64"/>
      <c r="M67" s="11" t="e">
        <f ca="1"/>
        <v>#NAME?</v>
      </c>
      <c r="N67" s="12" t="e">
        <f ca="1">_xll.qlYieldTSDiscount(L$4,M67,,Triggers!RTDataTrigger)</f>
        <v>#NAME?</v>
      </c>
      <c r="O67" s="44"/>
      <c r="P67" s="33"/>
      <c r="Q67" s="49" t="e">
        <f t="shared" ca="1" si="4"/>
        <v>#NAME?</v>
      </c>
      <c r="R67" s="50" t="e">
        <f t="shared" ca="1" si="1"/>
        <v>#NAME?</v>
      </c>
      <c r="T67" s="64"/>
      <c r="V67" s="11" t="e">
        <f ca="1"/>
        <v>#NAME?</v>
      </c>
      <c r="W67" s="12" t="e">
        <f ca="1">_xll.qlYieldTSDiscount(U$4,V67,,Triggers!RTDataTrigger)</f>
        <v>#NAME?</v>
      </c>
      <c r="X67" s="44"/>
      <c r="Y67" s="33"/>
      <c r="Z67" s="49" t="e">
        <f t="shared" ca="1" si="5"/>
        <v>#NAME?</v>
      </c>
      <c r="AA67" s="50" t="e">
        <f t="shared" ca="1" si="2"/>
        <v>#NAME?</v>
      </c>
    </row>
    <row r="68" spans="4:27" x14ac:dyDescent="0.2">
      <c r="D68" s="11" t="e">
        <f ca="1"/>
        <v>#NAME?</v>
      </c>
      <c r="E68" s="12" t="e">
        <f ca="1">_xll.qlYieldTSDiscount(C$4,D68,,Triggers!RTDataTrigger)</f>
        <v>#NAME?</v>
      </c>
      <c r="F68" s="44"/>
      <c r="G68" s="33"/>
      <c r="H68" s="49" t="e">
        <f t="shared" ca="1" si="3"/>
        <v>#NAME?</v>
      </c>
      <c r="I68" s="50" t="e">
        <f t="shared" ca="1" si="3"/>
        <v>#NAME?</v>
      </c>
      <c r="K68" s="64"/>
      <c r="M68" s="11" t="e">
        <f ca="1"/>
        <v>#NAME?</v>
      </c>
      <c r="N68" s="12" t="e">
        <f ca="1">_xll.qlYieldTSDiscount(L$4,M68,,Triggers!RTDataTrigger)</f>
        <v>#NAME?</v>
      </c>
      <c r="O68" s="44"/>
      <c r="P68" s="33"/>
      <c r="Q68" s="49" t="e">
        <f t="shared" ca="1" si="4"/>
        <v>#NAME?</v>
      </c>
      <c r="R68" s="50" t="e">
        <f t="shared" ca="1" si="4"/>
        <v>#NAME?</v>
      </c>
      <c r="T68" s="64"/>
      <c r="V68" s="11" t="e">
        <f ca="1"/>
        <v>#NAME?</v>
      </c>
      <c r="W68" s="12" t="e">
        <f ca="1">_xll.qlYieldTSDiscount(U$4,V68,,Triggers!RTDataTrigger)</f>
        <v>#NAME?</v>
      </c>
      <c r="X68" s="44"/>
      <c r="Y68" s="33"/>
      <c r="Z68" s="49" t="e">
        <f t="shared" ca="1" si="5"/>
        <v>#NAME?</v>
      </c>
      <c r="AA68" s="50" t="e">
        <f t="shared" ca="1" si="5"/>
        <v>#NAME?</v>
      </c>
    </row>
    <row r="69" spans="4:27" x14ac:dyDescent="0.2">
      <c r="D69" s="11" t="e">
        <f ca="1"/>
        <v>#NAME?</v>
      </c>
      <c r="E69" s="12" t="e">
        <f ca="1">_xll.qlYieldTSDiscount(C$4,D69,,Triggers!RTDataTrigger)</f>
        <v>#NAME?</v>
      </c>
      <c r="F69" s="44"/>
      <c r="G69" s="33"/>
      <c r="H69" s="49" t="e">
        <f t="shared" ref="H69:I93" ca="1" si="6">IF(ISBLANK(F69),D69,F69)</f>
        <v>#NAME?</v>
      </c>
      <c r="I69" s="50" t="e">
        <f t="shared" ca="1" si="6"/>
        <v>#NAME?</v>
      </c>
      <c r="K69" s="64"/>
      <c r="M69" s="11" t="e">
        <f ca="1"/>
        <v>#NAME?</v>
      </c>
      <c r="N69" s="12" t="e">
        <f ca="1">_xll.qlYieldTSDiscount(L$4,M69,,Triggers!RTDataTrigger)</f>
        <v>#NAME?</v>
      </c>
      <c r="O69" s="44"/>
      <c r="P69" s="33"/>
      <c r="Q69" s="49" t="e">
        <f t="shared" ref="Q69:R93" ca="1" si="7">IF(ISBLANK(O69),M69,O69)</f>
        <v>#NAME?</v>
      </c>
      <c r="R69" s="50" t="e">
        <f t="shared" ca="1" si="7"/>
        <v>#NAME?</v>
      </c>
      <c r="T69" s="64"/>
      <c r="V69" s="11" t="e">
        <f ca="1"/>
        <v>#NAME?</v>
      </c>
      <c r="W69" s="12" t="e">
        <f ca="1">_xll.qlYieldTSDiscount(U$4,V69,,Triggers!RTDataTrigger)</f>
        <v>#NAME?</v>
      </c>
      <c r="X69" s="44"/>
      <c r="Y69" s="33"/>
      <c r="Z69" s="49" t="e">
        <f t="shared" ref="Z69:AA93" ca="1" si="8">IF(ISBLANK(X69),V69,X69)</f>
        <v>#NAME?</v>
      </c>
      <c r="AA69" s="50" t="e">
        <f t="shared" ca="1" si="8"/>
        <v>#NAME?</v>
      </c>
    </row>
    <row r="70" spans="4:27" x14ac:dyDescent="0.2">
      <c r="D70" s="11" t="e">
        <f ca="1"/>
        <v>#NAME?</v>
      </c>
      <c r="E70" s="12" t="e">
        <f ca="1">_xll.qlYieldTSDiscount(C$4,D70,,Triggers!RTDataTrigger)</f>
        <v>#NAME?</v>
      </c>
      <c r="F70" s="44"/>
      <c r="G70" s="33"/>
      <c r="H70" s="49" t="e">
        <f t="shared" ca="1" si="6"/>
        <v>#NAME?</v>
      </c>
      <c r="I70" s="50" t="e">
        <f t="shared" ca="1" si="6"/>
        <v>#NAME?</v>
      </c>
      <c r="M70" s="11" t="e">
        <f ca="1"/>
        <v>#NAME?</v>
      </c>
      <c r="N70" s="12" t="e">
        <f ca="1">_xll.qlYieldTSDiscount(L$4,M70,,Triggers!RTDataTrigger)</f>
        <v>#NAME?</v>
      </c>
      <c r="O70" s="44"/>
      <c r="P70" s="33"/>
      <c r="Q70" s="49" t="e">
        <f t="shared" ca="1" si="7"/>
        <v>#NAME?</v>
      </c>
      <c r="R70" s="50" t="e">
        <f t="shared" ca="1" si="7"/>
        <v>#NAME?</v>
      </c>
      <c r="V70" s="11" t="e">
        <f ca="1"/>
        <v>#NAME?</v>
      </c>
      <c r="W70" s="12" t="e">
        <f ca="1">_xll.qlYieldTSDiscount(U$4,V70,,Triggers!RTDataTrigger)</f>
        <v>#NAME?</v>
      </c>
      <c r="X70" s="44"/>
      <c r="Y70" s="33"/>
      <c r="Z70" s="49" t="e">
        <f t="shared" ca="1" si="8"/>
        <v>#NAME?</v>
      </c>
      <c r="AA70" s="50" t="e">
        <f t="shared" ca="1" si="8"/>
        <v>#NAME?</v>
      </c>
    </row>
    <row r="71" spans="4:27" x14ac:dyDescent="0.2">
      <c r="D71" s="11" t="e">
        <f ca="1"/>
        <v>#NAME?</v>
      </c>
      <c r="E71" s="12" t="e">
        <f ca="1">_xll.qlYieldTSDiscount(C$4,D71,,Triggers!RTDataTrigger)</f>
        <v>#NAME?</v>
      </c>
      <c r="F71" s="44"/>
      <c r="G71" s="33"/>
      <c r="H71" s="49" t="e">
        <f t="shared" ca="1" si="6"/>
        <v>#NAME?</v>
      </c>
      <c r="I71" s="50" t="e">
        <f t="shared" ca="1" si="6"/>
        <v>#NAME?</v>
      </c>
      <c r="M71" s="11" t="e">
        <f ca="1"/>
        <v>#NAME?</v>
      </c>
      <c r="N71" s="12" t="e">
        <f ca="1">_xll.qlYieldTSDiscount(L$4,M71,,Triggers!RTDataTrigger)</f>
        <v>#NAME?</v>
      </c>
      <c r="O71" s="44"/>
      <c r="P71" s="33"/>
      <c r="Q71" s="49" t="e">
        <f t="shared" ca="1" si="7"/>
        <v>#NAME?</v>
      </c>
      <c r="R71" s="50" t="e">
        <f t="shared" ca="1" si="7"/>
        <v>#NAME?</v>
      </c>
      <c r="V71" s="11" t="e">
        <f ca="1"/>
        <v>#NAME?</v>
      </c>
      <c r="W71" s="12" t="e">
        <f ca="1">_xll.qlYieldTSDiscount(U$4,V71,,Triggers!RTDataTrigger)</f>
        <v>#NAME?</v>
      </c>
      <c r="X71" s="44"/>
      <c r="Y71" s="33"/>
      <c r="Z71" s="49" t="e">
        <f t="shared" ca="1" si="8"/>
        <v>#NAME?</v>
      </c>
      <c r="AA71" s="50" t="e">
        <f t="shared" ca="1" si="8"/>
        <v>#NAME?</v>
      </c>
    </row>
    <row r="72" spans="4:27" x14ac:dyDescent="0.2">
      <c r="D72" s="11" t="e">
        <f ca="1"/>
        <v>#NAME?</v>
      </c>
      <c r="E72" s="12" t="e">
        <f ca="1">_xll.qlYieldTSDiscount(C$4,D72,,Triggers!RTDataTrigger)</f>
        <v>#NAME?</v>
      </c>
      <c r="F72" s="44"/>
      <c r="G72" s="33"/>
      <c r="H72" s="49" t="e">
        <f t="shared" ca="1" si="6"/>
        <v>#NAME?</v>
      </c>
      <c r="I72" s="50" t="e">
        <f t="shared" ca="1" si="6"/>
        <v>#NAME?</v>
      </c>
      <c r="M72" s="11" t="e">
        <f ca="1"/>
        <v>#NAME?</v>
      </c>
      <c r="N72" s="12" t="e">
        <f ca="1">_xll.qlYieldTSDiscount(L$4,M72,,Triggers!RTDataTrigger)</f>
        <v>#NAME?</v>
      </c>
      <c r="O72" s="44"/>
      <c r="P72" s="33"/>
      <c r="Q72" s="49" t="e">
        <f t="shared" ca="1" si="7"/>
        <v>#NAME?</v>
      </c>
      <c r="R72" s="50" t="e">
        <f t="shared" ca="1" si="7"/>
        <v>#NAME?</v>
      </c>
      <c r="V72" s="11" t="e">
        <f ca="1"/>
        <v>#NAME?</v>
      </c>
      <c r="W72" s="12" t="e">
        <f ca="1">_xll.qlYieldTSDiscount(U$4,V72,,Triggers!RTDataTrigger)</f>
        <v>#NAME?</v>
      </c>
      <c r="X72" s="44"/>
      <c r="Y72" s="33"/>
      <c r="Z72" s="49" t="e">
        <f t="shared" ca="1" si="8"/>
        <v>#NAME?</v>
      </c>
      <c r="AA72" s="50" t="e">
        <f t="shared" ca="1" si="8"/>
        <v>#NAME?</v>
      </c>
    </row>
    <row r="73" spans="4:27" x14ac:dyDescent="0.2">
      <c r="D73" s="11" t="e">
        <f ca="1"/>
        <v>#NAME?</v>
      </c>
      <c r="E73" s="12" t="e">
        <f ca="1">_xll.qlYieldTSDiscount(C$4,D73,,Triggers!RTDataTrigger)</f>
        <v>#NAME?</v>
      </c>
      <c r="F73" s="44"/>
      <c r="G73" s="33"/>
      <c r="H73" s="49" t="e">
        <f t="shared" ca="1" si="6"/>
        <v>#NAME?</v>
      </c>
      <c r="I73" s="50" t="e">
        <f t="shared" ca="1" si="6"/>
        <v>#NAME?</v>
      </c>
      <c r="M73" s="11" t="e">
        <f ca="1"/>
        <v>#NAME?</v>
      </c>
      <c r="N73" s="12" t="e">
        <f ca="1">_xll.qlYieldTSDiscount(L$4,M73,,Triggers!RTDataTrigger)</f>
        <v>#NAME?</v>
      </c>
      <c r="O73" s="44"/>
      <c r="P73" s="33"/>
      <c r="Q73" s="49" t="e">
        <f t="shared" ca="1" si="7"/>
        <v>#NAME?</v>
      </c>
      <c r="R73" s="50" t="e">
        <f t="shared" ca="1" si="7"/>
        <v>#NAME?</v>
      </c>
      <c r="V73" s="11" t="e">
        <f ca="1"/>
        <v>#NAME?</v>
      </c>
      <c r="W73" s="12" t="e">
        <f ca="1">_xll.qlYieldTSDiscount(U$4,V73,,Triggers!RTDataTrigger)</f>
        <v>#NAME?</v>
      </c>
      <c r="X73" s="44"/>
      <c r="Y73" s="33"/>
      <c r="Z73" s="49" t="e">
        <f t="shared" ca="1" si="8"/>
        <v>#NAME?</v>
      </c>
      <c r="AA73" s="50" t="e">
        <f t="shared" ca="1" si="8"/>
        <v>#NAME?</v>
      </c>
    </row>
    <row r="74" spans="4:27" x14ac:dyDescent="0.2">
      <c r="D74" s="11" t="e">
        <f ca="1"/>
        <v>#NAME?</v>
      </c>
      <c r="E74" s="12" t="e">
        <f ca="1">_xll.qlYieldTSDiscount(C$4,D74,,Triggers!RTDataTrigger)</f>
        <v>#NAME?</v>
      </c>
      <c r="F74" s="44"/>
      <c r="G74" s="33"/>
      <c r="H74" s="49" t="e">
        <f t="shared" ca="1" si="6"/>
        <v>#NAME?</v>
      </c>
      <c r="I74" s="50" t="e">
        <f t="shared" ca="1" si="6"/>
        <v>#NAME?</v>
      </c>
      <c r="M74" s="11" t="e">
        <f ca="1"/>
        <v>#NAME?</v>
      </c>
      <c r="N74" s="12" t="e">
        <f ca="1">_xll.qlYieldTSDiscount(L$4,M74,,Triggers!RTDataTrigger)</f>
        <v>#NAME?</v>
      </c>
      <c r="O74" s="44"/>
      <c r="P74" s="33"/>
      <c r="Q74" s="49" t="e">
        <f t="shared" ca="1" si="7"/>
        <v>#NAME?</v>
      </c>
      <c r="R74" s="50" t="e">
        <f t="shared" ca="1" si="7"/>
        <v>#NAME?</v>
      </c>
      <c r="V74" s="11" t="e">
        <f ca="1"/>
        <v>#NAME?</v>
      </c>
      <c r="W74" s="12" t="e">
        <f ca="1">_xll.qlYieldTSDiscount(U$4,V74,,Triggers!RTDataTrigger)</f>
        <v>#NAME?</v>
      </c>
      <c r="X74" s="44"/>
      <c r="Y74" s="33"/>
      <c r="Z74" s="49" t="e">
        <f t="shared" ca="1" si="8"/>
        <v>#NAME?</v>
      </c>
      <c r="AA74" s="50" t="e">
        <f t="shared" ca="1" si="8"/>
        <v>#NAME?</v>
      </c>
    </row>
    <row r="75" spans="4:27" x14ac:dyDescent="0.2">
      <c r="D75" s="11" t="e">
        <f ca="1"/>
        <v>#NAME?</v>
      </c>
      <c r="E75" s="12" t="e">
        <f ca="1">_xll.qlYieldTSDiscount(C$4,D75,,Triggers!RTDataTrigger)</f>
        <v>#NAME?</v>
      </c>
      <c r="F75" s="44"/>
      <c r="G75" s="33"/>
      <c r="H75" s="49" t="e">
        <f t="shared" ca="1" si="6"/>
        <v>#NAME?</v>
      </c>
      <c r="I75" s="50" t="e">
        <f t="shared" ca="1" si="6"/>
        <v>#NAME?</v>
      </c>
      <c r="M75" s="11" t="e">
        <f ca="1"/>
        <v>#NAME?</v>
      </c>
      <c r="N75" s="12" t="e">
        <f ca="1">_xll.qlYieldTSDiscount(L$4,M75,,Triggers!RTDataTrigger)</f>
        <v>#NAME?</v>
      </c>
      <c r="O75" s="44"/>
      <c r="P75" s="33"/>
      <c r="Q75" s="49" t="e">
        <f t="shared" ca="1" si="7"/>
        <v>#NAME?</v>
      </c>
      <c r="R75" s="50" t="e">
        <f t="shared" ca="1" si="7"/>
        <v>#NAME?</v>
      </c>
      <c r="V75" s="11" t="e">
        <f ca="1"/>
        <v>#NAME?</v>
      </c>
      <c r="W75" s="12" t="e">
        <f ca="1">_xll.qlYieldTSDiscount(U$4,V75,,Triggers!RTDataTrigger)</f>
        <v>#NAME?</v>
      </c>
      <c r="X75" s="44"/>
      <c r="Y75" s="33"/>
      <c r="Z75" s="49" t="e">
        <f t="shared" ca="1" si="8"/>
        <v>#NAME?</v>
      </c>
      <c r="AA75" s="50" t="e">
        <f t="shared" ca="1" si="8"/>
        <v>#NAME?</v>
      </c>
    </row>
    <row r="76" spans="4:27" x14ac:dyDescent="0.2">
      <c r="D76" s="11" t="e">
        <f ca="1"/>
        <v>#NAME?</v>
      </c>
      <c r="E76" s="12" t="e">
        <f ca="1">_xll.qlYieldTSDiscount(C$4,D76,,Triggers!RTDataTrigger)</f>
        <v>#NAME?</v>
      </c>
      <c r="F76" s="44"/>
      <c r="G76" s="33"/>
      <c r="H76" s="49" t="e">
        <f t="shared" ca="1" si="6"/>
        <v>#NAME?</v>
      </c>
      <c r="I76" s="50" t="e">
        <f t="shared" ca="1" si="6"/>
        <v>#NAME?</v>
      </c>
      <c r="M76" s="11" t="e">
        <f ca="1"/>
        <v>#NAME?</v>
      </c>
      <c r="N76" s="12" t="e">
        <f ca="1">_xll.qlYieldTSDiscount(L$4,M76,,Triggers!RTDataTrigger)</f>
        <v>#NAME?</v>
      </c>
      <c r="O76" s="44"/>
      <c r="P76" s="33"/>
      <c r="Q76" s="49" t="e">
        <f t="shared" ca="1" si="7"/>
        <v>#NAME?</v>
      </c>
      <c r="R76" s="50" t="e">
        <f t="shared" ca="1" si="7"/>
        <v>#NAME?</v>
      </c>
      <c r="V76" s="11" t="e">
        <f ca="1"/>
        <v>#NAME?</v>
      </c>
      <c r="W76" s="12" t="e">
        <f ca="1">_xll.qlYieldTSDiscount(U$4,V76,,Triggers!RTDataTrigger)</f>
        <v>#NAME?</v>
      </c>
      <c r="X76" s="44"/>
      <c r="Y76" s="33"/>
      <c r="Z76" s="49" t="e">
        <f t="shared" ca="1" si="8"/>
        <v>#NAME?</v>
      </c>
      <c r="AA76" s="50" t="e">
        <f t="shared" ca="1" si="8"/>
        <v>#NAME?</v>
      </c>
    </row>
    <row r="77" spans="4:27" x14ac:dyDescent="0.2">
      <c r="D77" s="11" t="e">
        <f ca="1"/>
        <v>#NAME?</v>
      </c>
      <c r="E77" s="12" t="e">
        <f ca="1">_xll.qlYieldTSDiscount(C$4,D77,,Triggers!RTDataTrigger)</f>
        <v>#NAME?</v>
      </c>
      <c r="F77" s="44"/>
      <c r="G77" s="33"/>
      <c r="H77" s="49" t="e">
        <f t="shared" ca="1" si="6"/>
        <v>#NAME?</v>
      </c>
      <c r="I77" s="50" t="e">
        <f t="shared" ca="1" si="6"/>
        <v>#NAME?</v>
      </c>
      <c r="M77" s="11" t="e">
        <f ca="1"/>
        <v>#NAME?</v>
      </c>
      <c r="N77" s="12" t="e">
        <f ca="1">_xll.qlYieldTSDiscount(L$4,M77,,Triggers!RTDataTrigger)</f>
        <v>#NAME?</v>
      </c>
      <c r="O77" s="44"/>
      <c r="P77" s="33"/>
      <c r="Q77" s="49" t="e">
        <f t="shared" ca="1" si="7"/>
        <v>#NAME?</v>
      </c>
      <c r="R77" s="50" t="e">
        <f t="shared" ca="1" si="7"/>
        <v>#NAME?</v>
      </c>
      <c r="V77" s="11" t="e">
        <f ca="1"/>
        <v>#NAME?</v>
      </c>
      <c r="W77" s="12" t="e">
        <f ca="1">_xll.qlYieldTSDiscount(U$4,V77,,Triggers!RTDataTrigger)</f>
        <v>#NAME?</v>
      </c>
      <c r="X77" s="44"/>
      <c r="Y77" s="33"/>
      <c r="Z77" s="49" t="e">
        <f t="shared" ca="1" si="8"/>
        <v>#NAME?</v>
      </c>
      <c r="AA77" s="50" t="e">
        <f t="shared" ca="1" si="8"/>
        <v>#NAME?</v>
      </c>
    </row>
    <row r="78" spans="4:27" x14ac:dyDescent="0.2">
      <c r="D78" s="11" t="e">
        <f ca="1"/>
        <v>#NAME?</v>
      </c>
      <c r="E78" s="12" t="e">
        <f ca="1">_xll.qlYieldTSDiscount(C$4,D78,,Triggers!RTDataTrigger)</f>
        <v>#NAME?</v>
      </c>
      <c r="F78" s="44"/>
      <c r="G78" s="33"/>
      <c r="H78" s="49" t="e">
        <f t="shared" ca="1" si="6"/>
        <v>#NAME?</v>
      </c>
      <c r="I78" s="50" t="e">
        <f t="shared" ca="1" si="6"/>
        <v>#NAME?</v>
      </c>
      <c r="M78" s="11" t="e">
        <f ca="1"/>
        <v>#NAME?</v>
      </c>
      <c r="N78" s="12" t="e">
        <f ca="1">_xll.qlYieldTSDiscount(L$4,M78,,Triggers!RTDataTrigger)</f>
        <v>#NAME?</v>
      </c>
      <c r="O78" s="44"/>
      <c r="P78" s="33"/>
      <c r="Q78" s="49" t="e">
        <f t="shared" ca="1" si="7"/>
        <v>#NAME?</v>
      </c>
      <c r="R78" s="50" t="e">
        <f t="shared" ca="1" si="7"/>
        <v>#NAME?</v>
      </c>
      <c r="V78" s="11" t="e">
        <f ca="1"/>
        <v>#NAME?</v>
      </c>
      <c r="W78" s="12" t="e">
        <f ca="1">_xll.qlYieldTSDiscount(U$4,V78,,Triggers!RTDataTrigger)</f>
        <v>#NAME?</v>
      </c>
      <c r="X78" s="44"/>
      <c r="Y78" s="33"/>
      <c r="Z78" s="49" t="e">
        <f t="shared" ca="1" si="8"/>
        <v>#NAME?</v>
      </c>
      <c r="AA78" s="50" t="e">
        <f t="shared" ca="1" si="8"/>
        <v>#NAME?</v>
      </c>
    </row>
    <row r="79" spans="4:27" x14ac:dyDescent="0.2">
      <c r="D79" s="11" t="e">
        <f ca="1"/>
        <v>#NAME?</v>
      </c>
      <c r="E79" s="12" t="e">
        <f ca="1">_xll.qlYieldTSDiscount(C$4,D79,,Triggers!RTDataTrigger)</f>
        <v>#NAME?</v>
      </c>
      <c r="F79" s="44"/>
      <c r="G79" s="33"/>
      <c r="H79" s="49" t="e">
        <f t="shared" ca="1" si="6"/>
        <v>#NAME?</v>
      </c>
      <c r="I79" s="50" t="e">
        <f t="shared" ca="1" si="6"/>
        <v>#NAME?</v>
      </c>
      <c r="M79" s="11" t="e">
        <f ca="1"/>
        <v>#NAME?</v>
      </c>
      <c r="N79" s="12" t="e">
        <f ca="1">_xll.qlYieldTSDiscount(L$4,M79,,Triggers!RTDataTrigger)</f>
        <v>#NAME?</v>
      </c>
      <c r="O79" s="44"/>
      <c r="P79" s="33"/>
      <c r="Q79" s="49" t="e">
        <f t="shared" ca="1" si="7"/>
        <v>#NAME?</v>
      </c>
      <c r="R79" s="50" t="e">
        <f t="shared" ca="1" si="7"/>
        <v>#NAME?</v>
      </c>
      <c r="V79" s="11" t="e">
        <f ca="1"/>
        <v>#NAME?</v>
      </c>
      <c r="W79" s="12" t="e">
        <f ca="1">_xll.qlYieldTSDiscount(U$4,V79,,Triggers!RTDataTrigger)</f>
        <v>#NAME?</v>
      </c>
      <c r="X79" s="44"/>
      <c r="Y79" s="33"/>
      <c r="Z79" s="49" t="e">
        <f t="shared" ca="1" si="8"/>
        <v>#NAME?</v>
      </c>
      <c r="AA79" s="50" t="e">
        <f t="shared" ca="1" si="8"/>
        <v>#NAME?</v>
      </c>
    </row>
    <row r="80" spans="4:27" x14ac:dyDescent="0.2">
      <c r="D80" s="11" t="e">
        <f ca="1"/>
        <v>#NAME?</v>
      </c>
      <c r="E80" s="12" t="e">
        <f ca="1">_xll.qlYieldTSDiscount(C$4,D80,,Triggers!RTDataTrigger)</f>
        <v>#NAME?</v>
      </c>
      <c r="F80" s="44"/>
      <c r="G80" s="33"/>
      <c r="H80" s="49" t="e">
        <f t="shared" ca="1" si="6"/>
        <v>#NAME?</v>
      </c>
      <c r="I80" s="50" t="e">
        <f t="shared" ca="1" si="6"/>
        <v>#NAME?</v>
      </c>
      <c r="M80" s="11" t="e">
        <f ca="1"/>
        <v>#NAME?</v>
      </c>
      <c r="N80" s="12" t="e">
        <f ca="1">_xll.qlYieldTSDiscount(L$4,M80,,Triggers!RTDataTrigger)</f>
        <v>#NAME?</v>
      </c>
      <c r="O80" s="44"/>
      <c r="P80" s="33"/>
      <c r="Q80" s="49" t="e">
        <f t="shared" ca="1" si="7"/>
        <v>#NAME?</v>
      </c>
      <c r="R80" s="50" t="e">
        <f t="shared" ca="1" si="7"/>
        <v>#NAME?</v>
      </c>
      <c r="V80" s="11" t="e">
        <f ca="1"/>
        <v>#NAME?</v>
      </c>
      <c r="W80" s="12" t="e">
        <f ca="1">_xll.qlYieldTSDiscount(U$4,V80,,Triggers!RTDataTrigger)</f>
        <v>#NAME?</v>
      </c>
      <c r="X80" s="44"/>
      <c r="Y80" s="33"/>
      <c r="Z80" s="49" t="e">
        <f t="shared" ca="1" si="8"/>
        <v>#NAME?</v>
      </c>
      <c r="AA80" s="50" t="e">
        <f t="shared" ca="1" si="8"/>
        <v>#NAME?</v>
      </c>
    </row>
    <row r="81" spans="4:27" x14ac:dyDescent="0.2">
      <c r="D81" s="11" t="e">
        <f ca="1"/>
        <v>#NAME?</v>
      </c>
      <c r="E81" s="12" t="e">
        <f ca="1">_xll.qlYieldTSDiscount(C$4,D81,,Triggers!RTDataTrigger)</f>
        <v>#NAME?</v>
      </c>
      <c r="F81" s="44"/>
      <c r="G81" s="33"/>
      <c r="H81" s="49" t="e">
        <f t="shared" ca="1" si="6"/>
        <v>#NAME?</v>
      </c>
      <c r="I81" s="50" t="e">
        <f t="shared" ca="1" si="6"/>
        <v>#NAME?</v>
      </c>
      <c r="M81" s="11" t="e">
        <f ca="1"/>
        <v>#NAME?</v>
      </c>
      <c r="N81" s="12" t="e">
        <f ca="1">_xll.qlYieldTSDiscount(L$4,M81,,Triggers!RTDataTrigger)</f>
        <v>#NAME?</v>
      </c>
      <c r="O81" s="44"/>
      <c r="P81" s="33"/>
      <c r="Q81" s="49" t="e">
        <f t="shared" ca="1" si="7"/>
        <v>#NAME?</v>
      </c>
      <c r="R81" s="50" t="e">
        <f t="shared" ca="1" si="7"/>
        <v>#NAME?</v>
      </c>
      <c r="V81" s="11" t="e">
        <f ca="1"/>
        <v>#NAME?</v>
      </c>
      <c r="W81" s="12" t="e">
        <f ca="1">_xll.qlYieldTSDiscount(U$4,V81,,Triggers!RTDataTrigger)</f>
        <v>#NAME?</v>
      </c>
      <c r="X81" s="44"/>
      <c r="Y81" s="33"/>
      <c r="Z81" s="49" t="e">
        <f t="shared" ca="1" si="8"/>
        <v>#NAME?</v>
      </c>
      <c r="AA81" s="50" t="e">
        <f t="shared" ca="1" si="8"/>
        <v>#NAME?</v>
      </c>
    </row>
    <row r="82" spans="4:27" x14ac:dyDescent="0.2">
      <c r="D82" s="11" t="e">
        <f ca="1"/>
        <v>#NAME?</v>
      </c>
      <c r="E82" s="12" t="e">
        <f ca="1">_xll.qlYieldTSDiscount(C$4,D82,,Triggers!RTDataTrigger)</f>
        <v>#NAME?</v>
      </c>
      <c r="F82" s="44"/>
      <c r="G82" s="33"/>
      <c r="H82" s="49" t="e">
        <f t="shared" ca="1" si="6"/>
        <v>#NAME?</v>
      </c>
      <c r="I82" s="50" t="e">
        <f t="shared" ca="1" si="6"/>
        <v>#NAME?</v>
      </c>
      <c r="M82" s="11" t="e">
        <f ca="1"/>
        <v>#NAME?</v>
      </c>
      <c r="N82" s="12" t="e">
        <f ca="1">_xll.qlYieldTSDiscount(L$4,M82,,Triggers!RTDataTrigger)</f>
        <v>#NAME?</v>
      </c>
      <c r="O82" s="44"/>
      <c r="P82" s="33"/>
      <c r="Q82" s="49" t="e">
        <f t="shared" ca="1" si="7"/>
        <v>#NAME?</v>
      </c>
      <c r="R82" s="50" t="e">
        <f t="shared" ca="1" si="7"/>
        <v>#NAME?</v>
      </c>
      <c r="V82" s="11" t="e">
        <f ca="1"/>
        <v>#NAME?</v>
      </c>
      <c r="W82" s="12" t="e">
        <f ca="1">_xll.qlYieldTSDiscount(U$4,V82,,Triggers!RTDataTrigger)</f>
        <v>#NAME?</v>
      </c>
      <c r="X82" s="44"/>
      <c r="Y82" s="33"/>
      <c r="Z82" s="49" t="e">
        <f t="shared" ca="1" si="8"/>
        <v>#NAME?</v>
      </c>
      <c r="AA82" s="50" t="e">
        <f t="shared" ca="1" si="8"/>
        <v>#NAME?</v>
      </c>
    </row>
    <row r="83" spans="4:27" x14ac:dyDescent="0.2">
      <c r="D83" s="11" t="e">
        <f ca="1"/>
        <v>#NAME?</v>
      </c>
      <c r="E83" s="12" t="e">
        <f ca="1">_xll.qlYieldTSDiscount(C$4,D83,,Triggers!RTDataTrigger)</f>
        <v>#NAME?</v>
      </c>
      <c r="F83" s="44"/>
      <c r="G83" s="33"/>
      <c r="H83" s="49" t="e">
        <f t="shared" ca="1" si="6"/>
        <v>#NAME?</v>
      </c>
      <c r="I83" s="50" t="e">
        <f t="shared" ca="1" si="6"/>
        <v>#NAME?</v>
      </c>
      <c r="M83" s="11" t="e">
        <f ca="1"/>
        <v>#NAME?</v>
      </c>
      <c r="N83" s="12" t="e">
        <f ca="1">_xll.qlYieldTSDiscount(L$4,M83,,Triggers!RTDataTrigger)</f>
        <v>#NAME?</v>
      </c>
      <c r="O83" s="44"/>
      <c r="P83" s="33"/>
      <c r="Q83" s="49" t="e">
        <f t="shared" ca="1" si="7"/>
        <v>#NAME?</v>
      </c>
      <c r="R83" s="50" t="e">
        <f t="shared" ca="1" si="7"/>
        <v>#NAME?</v>
      </c>
      <c r="V83" s="11" t="e">
        <f ca="1"/>
        <v>#NAME?</v>
      </c>
      <c r="W83" s="12" t="e">
        <f ca="1">_xll.qlYieldTSDiscount(U$4,V83,,Triggers!RTDataTrigger)</f>
        <v>#NAME?</v>
      </c>
      <c r="X83" s="44"/>
      <c r="Y83" s="33"/>
      <c r="Z83" s="49" t="e">
        <f t="shared" ca="1" si="8"/>
        <v>#NAME?</v>
      </c>
      <c r="AA83" s="50" t="e">
        <f t="shared" ca="1" si="8"/>
        <v>#NAME?</v>
      </c>
    </row>
    <row r="84" spans="4:27" x14ac:dyDescent="0.2">
      <c r="D84" s="11" t="e">
        <f ca="1"/>
        <v>#NAME?</v>
      </c>
      <c r="E84" s="12" t="e">
        <f ca="1">_xll.qlYieldTSDiscount(C$4,D84,,Triggers!RTDataTrigger)</f>
        <v>#NAME?</v>
      </c>
      <c r="F84" s="44"/>
      <c r="G84" s="33"/>
      <c r="H84" s="49" t="e">
        <f t="shared" ca="1" si="6"/>
        <v>#NAME?</v>
      </c>
      <c r="I84" s="50" t="e">
        <f t="shared" ca="1" si="6"/>
        <v>#NAME?</v>
      </c>
      <c r="M84" s="11" t="e">
        <f ca="1"/>
        <v>#NAME?</v>
      </c>
      <c r="N84" s="12" t="e">
        <f ca="1">_xll.qlYieldTSDiscount(L$4,M84,,Triggers!RTDataTrigger)</f>
        <v>#NAME?</v>
      </c>
      <c r="O84" s="44"/>
      <c r="P84" s="33"/>
      <c r="Q84" s="49" t="e">
        <f t="shared" ca="1" si="7"/>
        <v>#NAME?</v>
      </c>
      <c r="R84" s="50" t="e">
        <f t="shared" ca="1" si="7"/>
        <v>#NAME?</v>
      </c>
      <c r="V84" s="11" t="e">
        <f ca="1"/>
        <v>#NAME?</v>
      </c>
      <c r="W84" s="12" t="e">
        <f ca="1">_xll.qlYieldTSDiscount(U$4,V84,,Triggers!RTDataTrigger)</f>
        <v>#NAME?</v>
      </c>
      <c r="X84" s="44"/>
      <c r="Y84" s="33"/>
      <c r="Z84" s="49" t="e">
        <f t="shared" ca="1" si="8"/>
        <v>#NAME?</v>
      </c>
      <c r="AA84" s="50" t="e">
        <f t="shared" ca="1" si="8"/>
        <v>#NAME?</v>
      </c>
    </row>
    <row r="85" spans="4:27" x14ac:dyDescent="0.2">
      <c r="D85" s="11" t="e">
        <f ca="1"/>
        <v>#NAME?</v>
      </c>
      <c r="E85" s="12" t="e">
        <f ca="1">_xll.qlYieldTSDiscount(C$4,D85,,Triggers!RTDataTrigger)</f>
        <v>#NAME?</v>
      </c>
      <c r="F85" s="44"/>
      <c r="G85" s="33"/>
      <c r="H85" s="49" t="e">
        <f t="shared" ca="1" si="6"/>
        <v>#NAME?</v>
      </c>
      <c r="I85" s="50" t="e">
        <f t="shared" ca="1" si="6"/>
        <v>#NAME?</v>
      </c>
      <c r="M85" s="11" t="e">
        <f ca="1"/>
        <v>#NAME?</v>
      </c>
      <c r="N85" s="12" t="e">
        <f ca="1">_xll.qlYieldTSDiscount(L$4,M85,,Triggers!RTDataTrigger)</f>
        <v>#NAME?</v>
      </c>
      <c r="O85" s="44"/>
      <c r="P85" s="33"/>
      <c r="Q85" s="49" t="e">
        <f t="shared" ca="1" si="7"/>
        <v>#NAME?</v>
      </c>
      <c r="R85" s="50" t="e">
        <f t="shared" ca="1" si="7"/>
        <v>#NAME?</v>
      </c>
      <c r="V85" s="11" t="e">
        <f ca="1"/>
        <v>#NAME?</v>
      </c>
      <c r="W85" s="12" t="e">
        <f ca="1">_xll.qlYieldTSDiscount(U$4,V85,,Triggers!RTDataTrigger)</f>
        <v>#NAME?</v>
      </c>
      <c r="X85" s="44"/>
      <c r="Y85" s="33"/>
      <c r="Z85" s="49" t="e">
        <f t="shared" ca="1" si="8"/>
        <v>#NAME?</v>
      </c>
      <c r="AA85" s="50" t="e">
        <f t="shared" ca="1" si="8"/>
        <v>#NAME?</v>
      </c>
    </row>
    <row r="86" spans="4:27" x14ac:dyDescent="0.2">
      <c r="D86" s="11" t="e">
        <f ca="1"/>
        <v>#NAME?</v>
      </c>
      <c r="E86" s="12" t="e">
        <f ca="1">_xll.qlYieldTSDiscount(C$4,D86,,Triggers!RTDataTrigger)</f>
        <v>#NAME?</v>
      </c>
      <c r="F86" s="44"/>
      <c r="G86" s="33"/>
      <c r="H86" s="49" t="e">
        <f t="shared" ca="1" si="6"/>
        <v>#NAME?</v>
      </c>
      <c r="I86" s="50" t="e">
        <f t="shared" ca="1" si="6"/>
        <v>#NAME?</v>
      </c>
      <c r="M86" s="11" t="e">
        <f ca="1"/>
        <v>#NAME?</v>
      </c>
      <c r="N86" s="12" t="e">
        <f ca="1">_xll.qlYieldTSDiscount(L$4,M86,,Triggers!RTDataTrigger)</f>
        <v>#NAME?</v>
      </c>
      <c r="O86" s="44"/>
      <c r="P86" s="33"/>
      <c r="Q86" s="49" t="e">
        <f t="shared" ca="1" si="7"/>
        <v>#NAME?</v>
      </c>
      <c r="R86" s="50" t="e">
        <f t="shared" ca="1" si="7"/>
        <v>#NAME?</v>
      </c>
      <c r="V86" s="11" t="e">
        <f ca="1"/>
        <v>#NAME?</v>
      </c>
      <c r="W86" s="12" t="e">
        <f ca="1">_xll.qlYieldTSDiscount(U$4,V86,,Triggers!RTDataTrigger)</f>
        <v>#NAME?</v>
      </c>
      <c r="X86" s="44"/>
      <c r="Y86" s="33"/>
      <c r="Z86" s="49" t="e">
        <f t="shared" ca="1" si="8"/>
        <v>#NAME?</v>
      </c>
      <c r="AA86" s="50" t="e">
        <f t="shared" ca="1" si="8"/>
        <v>#NAME?</v>
      </c>
    </row>
    <row r="87" spans="4:27" x14ac:dyDescent="0.2">
      <c r="D87" s="11" t="e">
        <f ca="1"/>
        <v>#NAME?</v>
      </c>
      <c r="E87" s="12" t="e">
        <f ca="1">_xll.qlYieldTSDiscount(C$4,D87,,Triggers!RTDataTrigger)</f>
        <v>#NAME?</v>
      </c>
      <c r="F87" s="44"/>
      <c r="G87" s="33"/>
      <c r="H87" s="49" t="e">
        <f t="shared" ca="1" si="6"/>
        <v>#NAME?</v>
      </c>
      <c r="I87" s="50" t="e">
        <f t="shared" ca="1" si="6"/>
        <v>#NAME?</v>
      </c>
      <c r="M87" s="11" t="e">
        <f ca="1"/>
        <v>#NAME?</v>
      </c>
      <c r="N87" s="12" t="e">
        <f ca="1">_xll.qlYieldTSDiscount(L$4,M87,,Triggers!RTDataTrigger)</f>
        <v>#NAME?</v>
      </c>
      <c r="O87" s="44"/>
      <c r="P87" s="33"/>
      <c r="Q87" s="49" t="e">
        <f t="shared" ca="1" si="7"/>
        <v>#NAME?</v>
      </c>
      <c r="R87" s="50" t="e">
        <f t="shared" ca="1" si="7"/>
        <v>#NAME?</v>
      </c>
      <c r="V87" s="11" t="e">
        <f ca="1"/>
        <v>#NAME?</v>
      </c>
      <c r="W87" s="12" t="e">
        <f ca="1">_xll.qlYieldTSDiscount(U$4,V87,,Triggers!RTDataTrigger)</f>
        <v>#NAME?</v>
      </c>
      <c r="X87" s="44"/>
      <c r="Y87" s="33"/>
      <c r="Z87" s="49" t="e">
        <f t="shared" ca="1" si="8"/>
        <v>#NAME?</v>
      </c>
      <c r="AA87" s="50" t="e">
        <f t="shared" ca="1" si="8"/>
        <v>#NAME?</v>
      </c>
    </row>
    <row r="88" spans="4:27" x14ac:dyDescent="0.2">
      <c r="D88" s="11" t="e">
        <f ca="1"/>
        <v>#NAME?</v>
      </c>
      <c r="E88" s="12" t="e">
        <f ca="1">_xll.qlYieldTSDiscount(C$4,D88,,Triggers!RTDataTrigger)</f>
        <v>#NAME?</v>
      </c>
      <c r="F88" s="44"/>
      <c r="G88" s="33"/>
      <c r="H88" s="49" t="e">
        <f t="shared" ca="1" si="6"/>
        <v>#NAME?</v>
      </c>
      <c r="I88" s="50" t="e">
        <f t="shared" ca="1" si="6"/>
        <v>#NAME?</v>
      </c>
      <c r="M88" s="11" t="e">
        <f ca="1"/>
        <v>#NAME?</v>
      </c>
      <c r="N88" s="12" t="e">
        <f ca="1">_xll.qlYieldTSDiscount(L$4,M88,,Triggers!RTDataTrigger)</f>
        <v>#NAME?</v>
      </c>
      <c r="O88" s="44"/>
      <c r="P88" s="33"/>
      <c r="Q88" s="49" t="e">
        <f t="shared" ca="1" si="7"/>
        <v>#NAME?</v>
      </c>
      <c r="R88" s="50" t="e">
        <f t="shared" ca="1" si="7"/>
        <v>#NAME?</v>
      </c>
      <c r="V88" s="11" t="e">
        <f ca="1"/>
        <v>#NAME?</v>
      </c>
      <c r="W88" s="12" t="e">
        <f ca="1">_xll.qlYieldTSDiscount(U$4,V88,,Triggers!RTDataTrigger)</f>
        <v>#NAME?</v>
      </c>
      <c r="X88" s="44"/>
      <c r="Y88" s="33"/>
      <c r="Z88" s="49" t="e">
        <f t="shared" ca="1" si="8"/>
        <v>#NAME?</v>
      </c>
      <c r="AA88" s="50" t="e">
        <f t="shared" ca="1" si="8"/>
        <v>#NAME?</v>
      </c>
    </row>
    <row r="89" spans="4:27" x14ac:dyDescent="0.2">
      <c r="D89" s="11" t="e">
        <f ca="1"/>
        <v>#NAME?</v>
      </c>
      <c r="E89" s="12" t="e">
        <f ca="1">_xll.qlYieldTSDiscount(C$4,D89,,Triggers!RTDataTrigger)</f>
        <v>#NAME?</v>
      </c>
      <c r="F89" s="44"/>
      <c r="G89" s="33"/>
      <c r="H89" s="49" t="e">
        <f t="shared" ca="1" si="6"/>
        <v>#NAME?</v>
      </c>
      <c r="I89" s="50" t="e">
        <f t="shared" ca="1" si="6"/>
        <v>#NAME?</v>
      </c>
      <c r="M89" s="11" t="e">
        <f ca="1"/>
        <v>#NAME?</v>
      </c>
      <c r="N89" s="12" t="e">
        <f ca="1">_xll.qlYieldTSDiscount(L$4,M89,,Triggers!RTDataTrigger)</f>
        <v>#NAME?</v>
      </c>
      <c r="O89" s="44"/>
      <c r="P89" s="33"/>
      <c r="Q89" s="49" t="e">
        <f t="shared" ca="1" si="7"/>
        <v>#NAME?</v>
      </c>
      <c r="R89" s="50" t="e">
        <f t="shared" ca="1" si="7"/>
        <v>#NAME?</v>
      </c>
      <c r="V89" s="11" t="e">
        <f ca="1"/>
        <v>#NAME?</v>
      </c>
      <c r="W89" s="12" t="e">
        <f ca="1">_xll.qlYieldTSDiscount(U$4,V89,,Triggers!RTDataTrigger)</f>
        <v>#NAME?</v>
      </c>
      <c r="X89" s="44"/>
      <c r="Y89" s="33"/>
      <c r="Z89" s="49" t="e">
        <f t="shared" ca="1" si="8"/>
        <v>#NAME?</v>
      </c>
      <c r="AA89" s="50" t="e">
        <f t="shared" ca="1" si="8"/>
        <v>#NAME?</v>
      </c>
    </row>
    <row r="90" spans="4:27" x14ac:dyDescent="0.2">
      <c r="D90" s="11" t="e">
        <f ca="1"/>
        <v>#NAME?</v>
      </c>
      <c r="E90" s="12" t="e">
        <f ca="1">_xll.qlYieldTSDiscount(C$4,D90,,Triggers!RTDataTrigger)</f>
        <v>#NAME?</v>
      </c>
      <c r="F90" s="44"/>
      <c r="G90" s="33"/>
      <c r="H90" s="49" t="e">
        <f t="shared" ca="1" si="6"/>
        <v>#NAME?</v>
      </c>
      <c r="I90" s="50" t="e">
        <f t="shared" ca="1" si="6"/>
        <v>#NAME?</v>
      </c>
      <c r="M90" s="11" t="e">
        <f ca="1"/>
        <v>#NAME?</v>
      </c>
      <c r="N90" s="12" t="e">
        <f ca="1">_xll.qlYieldTSDiscount(L$4,M90,,Triggers!RTDataTrigger)</f>
        <v>#NAME?</v>
      </c>
      <c r="O90" s="44"/>
      <c r="P90" s="33"/>
      <c r="Q90" s="49" t="e">
        <f t="shared" ca="1" si="7"/>
        <v>#NAME?</v>
      </c>
      <c r="R90" s="50" t="e">
        <f t="shared" ca="1" si="7"/>
        <v>#NAME?</v>
      </c>
      <c r="V90" s="11" t="e">
        <f ca="1"/>
        <v>#NAME?</v>
      </c>
      <c r="W90" s="12" t="e">
        <f ca="1">_xll.qlYieldTSDiscount(U$4,V90,,Triggers!RTDataTrigger)</f>
        <v>#NAME?</v>
      </c>
      <c r="X90" s="44"/>
      <c r="Y90" s="33"/>
      <c r="Z90" s="49" t="e">
        <f t="shared" ca="1" si="8"/>
        <v>#NAME?</v>
      </c>
      <c r="AA90" s="50" t="e">
        <f t="shared" ca="1" si="8"/>
        <v>#NAME?</v>
      </c>
    </row>
    <row r="91" spans="4:27" x14ac:dyDescent="0.2">
      <c r="D91" s="11" t="e">
        <f ca="1"/>
        <v>#NAME?</v>
      </c>
      <c r="E91" s="12" t="e">
        <f ca="1">_xll.qlYieldTSDiscount(C$4,D91,,Triggers!RTDataTrigger)</f>
        <v>#NAME?</v>
      </c>
      <c r="F91" s="44"/>
      <c r="G91" s="33"/>
      <c r="H91" s="49" t="e">
        <f t="shared" ca="1" si="6"/>
        <v>#NAME?</v>
      </c>
      <c r="I91" s="50" t="e">
        <f t="shared" ca="1" si="6"/>
        <v>#NAME?</v>
      </c>
      <c r="M91" s="11" t="e">
        <f ca="1"/>
        <v>#NAME?</v>
      </c>
      <c r="N91" s="12" t="e">
        <f ca="1">_xll.qlYieldTSDiscount(L$4,M91,,Triggers!RTDataTrigger)</f>
        <v>#NAME?</v>
      </c>
      <c r="O91" s="44"/>
      <c r="P91" s="33"/>
      <c r="Q91" s="49" t="e">
        <f t="shared" ca="1" si="7"/>
        <v>#NAME?</v>
      </c>
      <c r="R91" s="50" t="e">
        <f t="shared" ca="1" si="7"/>
        <v>#NAME?</v>
      </c>
      <c r="V91" s="11" t="e">
        <f ca="1"/>
        <v>#NAME?</v>
      </c>
      <c r="W91" s="12" t="e">
        <f ca="1">_xll.qlYieldTSDiscount(U$4,V91,,Triggers!RTDataTrigger)</f>
        <v>#NAME?</v>
      </c>
      <c r="X91" s="44"/>
      <c r="Y91" s="33"/>
      <c r="Z91" s="49" t="e">
        <f t="shared" ca="1" si="8"/>
        <v>#NAME?</v>
      </c>
      <c r="AA91" s="50" t="e">
        <f t="shared" ca="1" si="8"/>
        <v>#NAME?</v>
      </c>
    </row>
    <row r="92" spans="4:27" x14ac:dyDescent="0.2">
      <c r="D92" s="11" t="e">
        <f ca="1"/>
        <v>#NAME?</v>
      </c>
      <c r="E92" s="12" t="e">
        <f ca="1">_xll.qlYieldTSDiscount(C$4,D92,,Triggers!RTDataTrigger)</f>
        <v>#NAME?</v>
      </c>
      <c r="F92" s="44"/>
      <c r="G92" s="33"/>
      <c r="H92" s="49" t="e">
        <f t="shared" ca="1" si="6"/>
        <v>#NAME?</v>
      </c>
      <c r="I92" s="50" t="e">
        <f t="shared" ca="1" si="6"/>
        <v>#NAME?</v>
      </c>
      <c r="M92" s="11" t="e">
        <f ca="1"/>
        <v>#NAME?</v>
      </c>
      <c r="N92" s="12" t="e">
        <f ca="1">_xll.qlYieldTSDiscount(L$4,M92,,Triggers!RTDataTrigger)</f>
        <v>#NAME?</v>
      </c>
      <c r="O92" s="44"/>
      <c r="P92" s="33"/>
      <c r="Q92" s="49" t="e">
        <f t="shared" ca="1" si="7"/>
        <v>#NAME?</v>
      </c>
      <c r="R92" s="50" t="e">
        <f t="shared" ca="1" si="7"/>
        <v>#NAME?</v>
      </c>
      <c r="V92" s="11" t="e">
        <f ca="1"/>
        <v>#NAME?</v>
      </c>
      <c r="W92" s="12" t="e">
        <f ca="1">_xll.qlYieldTSDiscount(U$4,V92,,Triggers!RTDataTrigger)</f>
        <v>#NAME?</v>
      </c>
      <c r="X92" s="44"/>
      <c r="Y92" s="33"/>
      <c r="Z92" s="49" t="e">
        <f t="shared" ca="1" si="8"/>
        <v>#NAME?</v>
      </c>
      <c r="AA92" s="50" t="e">
        <f t="shared" ca="1" si="8"/>
        <v>#NAME?</v>
      </c>
    </row>
    <row r="93" spans="4:27" x14ac:dyDescent="0.2">
      <c r="D93" s="13" t="e">
        <f ca="1"/>
        <v>#NAME?</v>
      </c>
      <c r="E93" s="14" t="e">
        <f ca="1">_xll.qlYieldTSDiscount(C$4,D93,,Triggers!RTDataTrigger)</f>
        <v>#NAME?</v>
      </c>
      <c r="F93" s="45"/>
      <c r="G93" s="46"/>
      <c r="H93" s="51" t="e">
        <f t="shared" ca="1" si="6"/>
        <v>#NAME?</v>
      </c>
      <c r="I93" s="52" t="e">
        <f t="shared" ca="1" si="6"/>
        <v>#NAME?</v>
      </c>
      <c r="M93" s="13" t="e">
        <f ca="1"/>
        <v>#NAME?</v>
      </c>
      <c r="N93" s="14" t="e">
        <f ca="1">_xll.qlYieldTSDiscount(L$4,M93,,Triggers!RTDataTrigger)</f>
        <v>#NAME?</v>
      </c>
      <c r="O93" s="45"/>
      <c r="P93" s="46"/>
      <c r="Q93" s="51" t="e">
        <f t="shared" ca="1" si="7"/>
        <v>#NAME?</v>
      </c>
      <c r="R93" s="52" t="e">
        <f t="shared" ca="1" si="7"/>
        <v>#NAME?</v>
      </c>
      <c r="V93" s="13" t="e">
        <f ca="1"/>
        <v>#NAME?</v>
      </c>
      <c r="W93" s="14" t="e">
        <f ca="1">_xll.qlYieldTSDiscount(U$4,V93,,Triggers!RTDataTrigger)</f>
        <v>#NAME?</v>
      </c>
      <c r="X93" s="45"/>
      <c r="Y93" s="46"/>
      <c r="Z93" s="51" t="e">
        <f t="shared" ca="1" si="8"/>
        <v>#NAME?</v>
      </c>
      <c r="AA93" s="52" t="e">
        <f t="shared" ca="1" si="8"/>
        <v>#NAME?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34506</xdr:colOff>
                    <xdr:row>17</xdr:row>
                    <xdr:rowOff>17253</xdr:rowOff>
                  </from>
                  <to>
                    <xdr:col>1</xdr:col>
                    <xdr:colOff>948906</xdr:colOff>
                    <xdr:row>18</xdr:row>
                    <xdr:rowOff>120770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34506</xdr:colOff>
                    <xdr:row>18</xdr:row>
                    <xdr:rowOff>120770</xdr:rowOff>
                  </from>
                  <to>
                    <xdr:col>1</xdr:col>
                    <xdr:colOff>948906</xdr:colOff>
                    <xdr:row>20</xdr:row>
                    <xdr:rowOff>86264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3" tint="0.59999389629810485"/>
    <outlinePr summaryRight="0"/>
  </sheetPr>
  <dimension ref="A1:AR97"/>
  <sheetViews>
    <sheetView showGridLines="0" workbookViewId="0"/>
  </sheetViews>
  <sheetFormatPr defaultColWidth="9.28515625" defaultRowHeight="11.25" customHeight="1" outlineLevelCol="1" x14ac:dyDescent="0.2"/>
  <cols>
    <col min="1" max="1" width="3.85546875" style="67" customWidth="1"/>
    <col min="2" max="2" width="25.85546875" style="67" customWidth="1"/>
    <col min="3" max="3" width="20.85546875" style="67" customWidth="1"/>
    <col min="4" max="4" width="2.85546875" style="67" customWidth="1"/>
    <col min="5" max="5" width="9.28515625" style="66"/>
    <col min="6" max="6" width="9.28515625" style="66" collapsed="1"/>
    <col min="7" max="8" width="9.28515625" style="66" hidden="1" customWidth="1" outlineLevel="1"/>
    <col min="9" max="11" width="9.28515625" style="66"/>
    <col min="12" max="12" width="9.28515625" style="66" collapsed="1"/>
    <col min="13" max="17" width="9.28515625" style="66" hidden="1" customWidth="1" outlineLevel="1"/>
    <col min="18" max="18" width="10.85546875" style="66" hidden="1" customWidth="1" outlineLevel="1"/>
    <col min="19" max="19" width="9.28515625" style="66" hidden="1" customWidth="1" outlineLevel="1"/>
    <col min="20" max="20" width="2.85546875" style="66" customWidth="1"/>
    <col min="21" max="21" width="10.85546875" style="68" customWidth="1"/>
    <col min="22" max="22" width="12.85546875" style="68" customWidth="1"/>
    <col min="23" max="23" width="9.28515625" style="67"/>
    <col min="24" max="24" width="9.28515625" style="67" customWidth="1"/>
    <col min="25" max="25" width="11.85546875" style="66" customWidth="1"/>
    <col min="26" max="27" width="9.42578125" style="66" bestFit="1" customWidth="1"/>
    <col min="28" max="28" width="2.85546875" style="66" customWidth="1"/>
    <col min="29" max="29" width="10.28515625" style="66" customWidth="1"/>
    <col min="30" max="32" width="9.28515625" style="66"/>
    <col min="33" max="33" width="14.7109375" style="66" bestFit="1" customWidth="1"/>
    <col min="34" max="34" width="10.85546875" style="66" customWidth="1"/>
    <col min="35" max="35" width="19.42578125" style="66" customWidth="1"/>
    <col min="36" max="39" width="9.28515625" style="66"/>
    <col min="40" max="42" width="9.140625" customWidth="1"/>
    <col min="43" max="16384" width="9.285156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5">
      <c r="A2" s="66"/>
      <c r="B2" s="314" t="s">
        <v>97</v>
      </c>
      <c r="C2" s="315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14</v>
      </c>
      <c r="U2" s="199" t="s">
        <v>96</v>
      </c>
      <c r="V2" s="199" t="s">
        <v>145</v>
      </c>
      <c r="W2"/>
      <c r="X2"/>
      <c r="Y2" s="220" t="s">
        <v>82</v>
      </c>
      <c r="Z2" s="255" t="s">
        <v>71</v>
      </c>
      <c r="AA2" s="256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 t="e">
        <f ca="1">EvaluationDate</f>
        <v>#NAME?</v>
      </c>
      <c r="D3" s="66"/>
      <c r="E3" s="203" t="b">
        <v>1</v>
      </c>
      <c r="F3" s="204" t="str">
        <f>Y3</f>
        <v>ON</v>
      </c>
      <c r="G3" s="180">
        <v>0</v>
      </c>
      <c r="H3" s="205" t="s">
        <v>24</v>
      </c>
      <c r="I3" s="201" t="e">
        <f t="array" ref="I3:I4" ca="1">100*AI17:AI18</f>
        <v>#NAME?</v>
      </c>
      <c r="J3" s="206"/>
      <c r="K3" s="207"/>
      <c r="L3" s="206" t="e">
        <f t="shared" ref="L3:L20" ca="1" si="0">IF(ISNUMBER(J3),J3,I3)+K3</f>
        <v>#NAME?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 t="e">
        <f t="shared" ref="S3:S20" ca="1" si="5">IF(LEN(P3)&gt;0,INDEX($L$3:$L$20,$P3),"")</f>
        <v>#NAME?</v>
      </c>
      <c r="U3" s="193" t="e">
        <f t="array" aca="1" ref="U3:V79" ca="1">_xll.xlCCBasisCurveBootstrapper(C4,C3,C5,C6,L23,S2,Q3:S20,0,U2:V2,S25,R26:S67,C11,C12,C13,C45,B48:B69,C48:C69,C15)</f>
        <v>#NAME?</v>
      </c>
      <c r="V3" s="192" t="e">
        <f ca="1"/>
        <v>#NAME?</v>
      </c>
      <c r="W3"/>
      <c r="X3"/>
      <c r="Y3" s="225" t="s">
        <v>94</v>
      </c>
      <c r="Z3" s="225" t="e">
        <f ca="1">_xll.RtGet($AD$3,$AD$4&amp;$Y3&amp;$AD$5,Z$2)</f>
        <v>#NAME?</v>
      </c>
      <c r="AA3" s="228" t="e">
        <f ca="1">_xll.RtGet($AD$3,$AD$4&amp;$Y3&amp;$AD$5,AA$2)</f>
        <v>#NAME?</v>
      </c>
      <c r="AB3" s="217"/>
      <c r="AC3" s="257" t="s">
        <v>68</v>
      </c>
      <c r="AD3" s="258" t="s">
        <v>67</v>
      </c>
      <c r="AF3" s="191" t="s">
        <v>172</v>
      </c>
      <c r="AG3" s="190"/>
      <c r="AH3" s="190"/>
      <c r="AI3" s="214" t="s">
        <v>173</v>
      </c>
    </row>
    <row r="4" spans="1:35" ht="11.25" customHeight="1" x14ac:dyDescent="0.2">
      <c r="A4" s="66"/>
      <c r="B4" s="189" t="s">
        <v>91</v>
      </c>
      <c r="C4" s="188" t="s">
        <v>159</v>
      </c>
      <c r="D4" s="66"/>
      <c r="E4" s="208" t="b">
        <v>1</v>
      </c>
      <c r="F4" s="209" t="str">
        <f>Y4</f>
        <v>TN</v>
      </c>
      <c r="G4" s="210">
        <v>0</v>
      </c>
      <c r="H4" s="211" t="s">
        <v>93</v>
      </c>
      <c r="I4" s="202" t="e">
        <f ca="1"/>
        <v>#NAME?</v>
      </c>
      <c r="J4" s="212"/>
      <c r="K4" s="213"/>
      <c r="L4" s="212" t="e">
        <f t="shared" ca="1" si="0"/>
        <v>#NAME?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 t="e">
        <f t="shared" ca="1" si="5"/>
        <v>#NAME?</v>
      </c>
      <c r="U4" s="72" t="e">
        <f ca="1"/>
        <v>#NAME?</v>
      </c>
      <c r="V4" s="71" t="e">
        <f ca="1"/>
        <v>#NAME?</v>
      </c>
      <c r="W4"/>
      <c r="X4"/>
      <c r="Y4" s="233" t="s">
        <v>92</v>
      </c>
      <c r="Z4" s="233" t="e">
        <f ca="1">_xll.RtGet($AD$3,$AD$4&amp;$Y4&amp;$AD$5,Z$2)</f>
        <v>#NAME?</v>
      </c>
      <c r="AA4" s="234" t="e">
        <f ca="1">_xll.RtGet($AD$3,$AD$4&amp;$Y4&amp;$AD$5,AA$2)</f>
        <v>#NAME?</v>
      </c>
      <c r="AB4" s="217"/>
      <c r="AC4" s="259" t="s">
        <v>66</v>
      </c>
      <c r="AD4" s="260" t="s">
        <v>158</v>
      </c>
      <c r="AF4" s="124" t="s">
        <v>128</v>
      </c>
      <c r="AG4" s="177"/>
      <c r="AH4" s="177"/>
      <c r="AI4" s="187" t="e">
        <f ca="1">_xll.xlDateWorkFw($C$6,$C$3+1,0)</f>
        <v>#NAME?</v>
      </c>
    </row>
    <row r="5" spans="1:35" ht="11.25" customHeight="1" x14ac:dyDescent="0.2">
      <c r="A5" s="68"/>
      <c r="B5" s="186" t="s">
        <v>98</v>
      </c>
      <c r="C5" s="157" t="s">
        <v>100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 t="e">
        <f ca="1">AVERAGE(Z5:AA5)</f>
        <v>#NAME?</v>
      </c>
      <c r="J5" s="88"/>
      <c r="K5" s="89"/>
      <c r="L5" s="88" t="e">
        <f t="shared" ca="1" si="0"/>
        <v>#NAME?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 t="e">
        <f t="shared" ca="1" si="5"/>
        <v>#NAME?</v>
      </c>
      <c r="U5" s="72" t="e">
        <f ca="1"/>
        <v>#NAME?</v>
      </c>
      <c r="V5" s="71" t="e">
        <f ca="1"/>
        <v>#NAME?</v>
      </c>
      <c r="W5"/>
      <c r="X5"/>
      <c r="Y5" s="221" t="s">
        <v>89</v>
      </c>
      <c r="Z5" s="221" t="e">
        <f ca="1">_xll.RtGet($AD$3,$AD$4&amp;$Y5&amp;$AD$5,Z$2)</f>
        <v>#NAME?</v>
      </c>
      <c r="AA5" s="261" t="e">
        <f ca="1">_xll.RtGet($AD$3,$AD$4&amp;$Y5&amp;$AD$5,AA$2)</f>
        <v>#NAME?</v>
      </c>
      <c r="AB5" s="217"/>
      <c r="AC5" s="262" t="s">
        <v>63</v>
      </c>
      <c r="AD5" s="263" t="s">
        <v>152</v>
      </c>
      <c r="AF5" s="121" t="s">
        <v>129</v>
      </c>
      <c r="AG5" s="68"/>
      <c r="AH5" s="68"/>
      <c r="AI5" s="184" t="e">
        <f ca="1">_xll.xlDateWorkFw($C$6,$AI$4+1,0)</f>
        <v>#NAME?</v>
      </c>
    </row>
    <row r="6" spans="1:35" ht="11.25" customHeight="1" x14ac:dyDescent="0.2">
      <c r="A6" s="68"/>
      <c r="B6" s="183" t="s">
        <v>99</v>
      </c>
      <c r="C6" s="119" t="s">
        <v>158</v>
      </c>
      <c r="D6" s="66"/>
      <c r="E6" s="182" t="b">
        <v>1</v>
      </c>
      <c r="F6" s="264">
        <v>1</v>
      </c>
      <c r="G6" s="129">
        <v>1</v>
      </c>
      <c r="H6" s="127" t="s">
        <v>86</v>
      </c>
      <c r="I6" s="154" t="e">
        <f ca="1">AVERAGE(Z8:AA8)</f>
        <v>#NAME?</v>
      </c>
      <c r="J6" s="152"/>
      <c r="K6" s="153"/>
      <c r="L6" s="152" t="e">
        <f t="shared" ca="1" si="0"/>
        <v>#NAME?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 t="e">
        <f t="shared" ca="1" si="5"/>
        <v>#NAME?</v>
      </c>
      <c r="U6" s="72" t="e">
        <f ca="1"/>
        <v>#NAME?</v>
      </c>
      <c r="V6" s="71" t="e">
        <f ca="1"/>
        <v>#NAME?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 t="e">
        <f ca="1">_xll.xlDateWorkFw($C$6,$AI$5+7,0)</f>
        <v>#NAME?</v>
      </c>
    </row>
    <row r="7" spans="1:35" ht="11.25" customHeight="1" x14ac:dyDescent="0.25">
      <c r="A7" s="68"/>
      <c r="B7" s="147" t="s">
        <v>123</v>
      </c>
      <c r="C7" s="136" t="s">
        <v>100</v>
      </c>
      <c r="D7" s="66"/>
      <c r="E7" s="98" t="b">
        <v>1</v>
      </c>
      <c r="F7" s="265">
        <f>Y9</f>
        <v>2</v>
      </c>
      <c r="G7" s="80">
        <v>2</v>
      </c>
      <c r="H7" s="78" t="s">
        <v>86</v>
      </c>
      <c r="I7" s="97" t="e">
        <f ca="1">AVERAGE(Z9:AA9)</f>
        <v>#NAME?</v>
      </c>
      <c r="J7" s="95"/>
      <c r="K7" s="96"/>
      <c r="L7" s="95" t="e">
        <f t="shared" ca="1" si="0"/>
        <v>#NAME?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 t="e">
        <f t="shared" ca="1" si="5"/>
        <v>#NAME?</v>
      </c>
      <c r="U7" s="72" t="e">
        <f ca="1"/>
        <v>#NAME?</v>
      </c>
      <c r="V7" s="71" t="e">
        <f ca="1"/>
        <v>#NAME?</v>
      </c>
      <c r="W7"/>
      <c r="X7"/>
      <c r="Y7" s="133" t="s">
        <v>82</v>
      </c>
      <c r="Z7" s="135" t="s">
        <v>71</v>
      </c>
      <c r="AA7" s="134" t="s">
        <v>70</v>
      </c>
      <c r="AF7" s="124" t="s">
        <v>161</v>
      </c>
      <c r="AG7" s="177"/>
      <c r="AH7" s="177"/>
      <c r="AI7" s="176" t="e">
        <f t="array" aca="1" ref="AI7:AI9" ca="1">_xll.xlShmInterpDisc($AI$3,AI4:AI6+0*TYPE(ObjectsTrigger))</f>
        <v>#NAME?</v>
      </c>
    </row>
    <row r="8" spans="1:35" ht="11.25" customHeight="1" x14ac:dyDescent="0.2">
      <c r="A8" s="68"/>
      <c r="B8" s="140" t="s">
        <v>107</v>
      </c>
      <c r="C8" s="119" t="s">
        <v>143</v>
      </c>
      <c r="D8" s="66"/>
      <c r="E8" s="91" t="b">
        <v>1</v>
      </c>
      <c r="F8" s="266">
        <f>Y10</f>
        <v>3</v>
      </c>
      <c r="G8" s="75">
        <v>3</v>
      </c>
      <c r="H8" s="76" t="s">
        <v>86</v>
      </c>
      <c r="I8" s="90" t="e">
        <f ca="1">AVERAGE(Z10:AA10)</f>
        <v>#NAME?</v>
      </c>
      <c r="J8" s="88"/>
      <c r="K8" s="89"/>
      <c r="L8" s="88" t="e">
        <f t="shared" ca="1" si="0"/>
        <v>#NAME?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 t="e">
        <f t="shared" ca="1" si="5"/>
        <v>#NAME?</v>
      </c>
      <c r="U8" s="72" t="e">
        <f ca="1"/>
        <v>#NAME?</v>
      </c>
      <c r="V8" s="71" t="e">
        <f ca="1"/>
        <v>#NAME?</v>
      </c>
      <c r="W8"/>
      <c r="X8"/>
      <c r="Y8" s="180" t="s">
        <v>85</v>
      </c>
      <c r="Z8" s="129" t="e">
        <f ca="1">_xll.RtGet($AD$8,$AD$9&amp;$Y8&amp;$AD$10,Z$7)</f>
        <v>#NAME?</v>
      </c>
      <c r="AA8" s="127" t="e">
        <f ca="1">_xll.RtGet($AD$8,$AD$9&amp;$Y8&amp;$AD$10,AA$7)</f>
        <v>#NAME?</v>
      </c>
      <c r="AC8" s="124" t="s">
        <v>68</v>
      </c>
      <c r="AD8" s="123" t="s">
        <v>102</v>
      </c>
      <c r="AF8" s="24" t="s">
        <v>162</v>
      </c>
      <c r="AG8" s="68"/>
      <c r="AH8" s="68"/>
      <c r="AI8" s="170" t="e">
        <f ca="1"/>
        <v>#NAME?</v>
      </c>
    </row>
    <row r="9" spans="1:35" ht="11.25" customHeight="1" x14ac:dyDescent="0.2">
      <c r="A9" s="68"/>
      <c r="B9" s="140" t="s">
        <v>108</v>
      </c>
      <c r="C9" s="119" t="s">
        <v>144</v>
      </c>
      <c r="D9" s="66"/>
      <c r="E9" s="98" t="b">
        <v>1</v>
      </c>
      <c r="F9" s="267">
        <f t="shared" ref="F9:F20" si="8">Y13</f>
        <v>1</v>
      </c>
      <c r="G9" s="80">
        <v>1</v>
      </c>
      <c r="H9" s="78" t="s">
        <v>81</v>
      </c>
      <c r="I9" s="97" t="e">
        <f t="shared" ref="I9:I20" ca="1" si="9">AVERAGE(Z13:AA13)</f>
        <v>#NAME?</v>
      </c>
      <c r="J9" s="95"/>
      <c r="K9" s="96"/>
      <c r="L9" s="95" t="e">
        <f t="shared" ca="1" si="0"/>
        <v>#NAME?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 t="e">
        <f t="shared" ca="1" si="5"/>
        <v>#NAME?</v>
      </c>
      <c r="U9" s="72" t="e">
        <f ca="1"/>
        <v>#NAME?</v>
      </c>
      <c r="V9" s="71" t="e">
        <f ca="1"/>
        <v>#NAME?</v>
      </c>
      <c r="W9"/>
      <c r="X9"/>
      <c r="Y9" s="80">
        <v>2</v>
      </c>
      <c r="Z9" s="80" t="e">
        <f ca="1">_xll.RtGet($AD$8,$AD$9&amp;$Y9&amp;$AD$10,Z$7)</f>
        <v>#NAME?</v>
      </c>
      <c r="AA9" s="78" t="e">
        <f ca="1">_xll.RtGet($AD$8,$AD$9&amp;$Y9&amp;$AD$10,AA$7)</f>
        <v>#NAME?</v>
      </c>
      <c r="AC9" s="121" t="s">
        <v>66</v>
      </c>
      <c r="AD9" s="120" t="s">
        <v>190</v>
      </c>
      <c r="AF9" s="25" t="s">
        <v>163</v>
      </c>
      <c r="AG9" s="168"/>
      <c r="AH9" s="168"/>
      <c r="AI9" s="167" t="e">
        <f ca="1"/>
        <v>#NAME?</v>
      </c>
    </row>
    <row r="10" spans="1:35" ht="11.25" customHeight="1" x14ac:dyDescent="0.2">
      <c r="A10" s="68"/>
      <c r="B10" s="179" t="s">
        <v>109</v>
      </c>
      <c r="C10" s="119" t="s">
        <v>160</v>
      </c>
      <c r="D10" s="66"/>
      <c r="E10" s="98" t="b">
        <v>1</v>
      </c>
      <c r="F10" s="267">
        <f t="shared" si="8"/>
        <v>2</v>
      </c>
      <c r="G10" s="80">
        <v>2</v>
      </c>
      <c r="H10" s="78" t="s">
        <v>81</v>
      </c>
      <c r="I10" s="97" t="e">
        <f t="shared" ca="1" si="9"/>
        <v>#NAME?</v>
      </c>
      <c r="J10" s="95"/>
      <c r="K10" s="96"/>
      <c r="L10" s="95" t="e">
        <f t="shared" ca="1" si="0"/>
        <v>#NAME?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 t="e">
        <f t="shared" ca="1" si="5"/>
        <v>#NAME?</v>
      </c>
      <c r="U10" s="72" t="e">
        <f ca="1"/>
        <v>#NAME?</v>
      </c>
      <c r="V10" s="71" t="e">
        <f ca="1"/>
        <v>#NAME?</v>
      </c>
      <c r="W10"/>
      <c r="X10"/>
      <c r="Y10" s="75">
        <v>3</v>
      </c>
      <c r="Z10" s="75" t="e">
        <f ca="1">_xll.RtGet($AD$8,$AD$9&amp;$Y10&amp;$AD$10,Z$7)</f>
        <v>#NAME?</v>
      </c>
      <c r="AA10" s="76" t="e">
        <f ca="1">_xll.RtGet($AD$8,$AD$9&amp;$Y10&amp;$AD$10,AA$7)</f>
        <v>#NAME?</v>
      </c>
      <c r="AC10" s="118" t="s">
        <v>63</v>
      </c>
      <c r="AD10" s="117" t="s">
        <v>192</v>
      </c>
      <c r="AF10" s="178" t="s">
        <v>164</v>
      </c>
      <c r="AG10" s="177"/>
      <c r="AH10" s="177"/>
      <c r="AI10" s="126">
        <v>4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1</v>
      </c>
      <c r="F11" s="267">
        <f t="shared" si="8"/>
        <v>3</v>
      </c>
      <c r="G11" s="80">
        <v>3</v>
      </c>
      <c r="H11" s="78" t="s">
        <v>81</v>
      </c>
      <c r="I11" s="97" t="e">
        <f t="shared" ca="1" si="9"/>
        <v>#NAME?</v>
      </c>
      <c r="J11" s="95"/>
      <c r="K11" s="96"/>
      <c r="L11" s="95" t="e">
        <f t="shared" ca="1" si="0"/>
        <v>#NAME?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 t="e">
        <f t="shared" ca="1" si="5"/>
        <v>#NAME?</v>
      </c>
      <c r="U11" s="72" t="e">
        <f ca="1"/>
        <v>#NAME?</v>
      </c>
      <c r="V11" s="71" t="e">
        <f ca="1"/>
        <v>#NAME?</v>
      </c>
      <c r="W11"/>
      <c r="X11"/>
      <c r="Y11" s="79"/>
      <c r="Z11" s="79"/>
      <c r="AA11" s="79"/>
      <c r="AF11" s="118" t="s">
        <v>194</v>
      </c>
      <c r="AG11" s="168"/>
      <c r="AH11" s="168"/>
      <c r="AI11" s="252">
        <f>VLOOKUP($C$14,dvCurveBootstrapperDayCount,2,FALSE)</f>
        <v>5</v>
      </c>
    </row>
    <row r="12" spans="1:35" ht="11.25" customHeight="1" x14ac:dyDescent="0.25">
      <c r="A12" s="68"/>
      <c r="B12" s="174" t="s">
        <v>87</v>
      </c>
      <c r="C12" s="119" t="s">
        <v>12</v>
      </c>
      <c r="D12" s="66"/>
      <c r="E12" s="98" t="b">
        <v>1</v>
      </c>
      <c r="F12" s="267">
        <f t="shared" si="8"/>
        <v>4</v>
      </c>
      <c r="G12" s="80">
        <v>4</v>
      </c>
      <c r="H12" s="78" t="s">
        <v>81</v>
      </c>
      <c r="I12" s="97" t="e">
        <f t="shared" ca="1" si="9"/>
        <v>#NAME?</v>
      </c>
      <c r="J12" s="95"/>
      <c r="K12" s="96"/>
      <c r="L12" s="95" t="e">
        <f t="shared" ca="1" si="0"/>
        <v>#NAME?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 t="e">
        <f t="shared" ca="1" si="5"/>
        <v>#NAME?</v>
      </c>
      <c r="U12" s="72" t="e">
        <f ca="1"/>
        <v>#NAME?</v>
      </c>
      <c r="V12" s="71" t="e">
        <f ca="1"/>
        <v>#NAME?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193</v>
      </c>
      <c r="AG12" s="177"/>
      <c r="AH12" s="177"/>
      <c r="AI12" s="176" t="e">
        <f ca="1">_xll.xlYrfDayCount(AI5,AI6,AI10)</f>
        <v>#NAME?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1</v>
      </c>
      <c r="F13" s="267">
        <f t="shared" si="8"/>
        <v>5</v>
      </c>
      <c r="G13" s="80">
        <v>5</v>
      </c>
      <c r="H13" s="78" t="s">
        <v>81</v>
      </c>
      <c r="I13" s="97" t="e">
        <f t="shared" ca="1" si="9"/>
        <v>#NAME?</v>
      </c>
      <c r="J13" s="95"/>
      <c r="K13" s="96"/>
      <c r="L13" s="95" t="e">
        <f t="shared" ca="1" si="0"/>
        <v>#NAME?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 t="e">
        <f t="shared" ca="1" si="5"/>
        <v>#NAME?</v>
      </c>
      <c r="U13" s="72" t="e">
        <f ca="1"/>
        <v>#NAME?</v>
      </c>
      <c r="V13" s="71" t="e">
        <f ca="1"/>
        <v>#NAME?</v>
      </c>
      <c r="W13"/>
      <c r="X13"/>
      <c r="Y13" s="80">
        <v>1</v>
      </c>
      <c r="Z13" s="80" t="e">
        <f ca="1">_xll.RtGet($AD$13,$AD$14&amp;$Y13&amp;$AD$15,Z$12)</f>
        <v>#NAME?</v>
      </c>
      <c r="AA13" s="78" t="e">
        <f ca="1">_xll.RtGet($AD$13,$AD$14&amp;$Y13&amp;$AD$15,AA$12)</f>
        <v>#NAME?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 t="e">
        <f ca="1">LN((1+$AI$12*L6/100)*(AI9/AI8))/_xll.xlYrfDayCount($AI$5,$AI$6,$AI$11)</f>
        <v>#NAME?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1</v>
      </c>
      <c r="F14" s="267">
        <f t="shared" si="8"/>
        <v>6</v>
      </c>
      <c r="G14" s="80">
        <v>6</v>
      </c>
      <c r="H14" s="78" t="s">
        <v>81</v>
      </c>
      <c r="I14" s="97" t="e">
        <f t="shared" ca="1" si="9"/>
        <v>#NAME?</v>
      </c>
      <c r="J14" s="95"/>
      <c r="K14" s="96"/>
      <c r="L14" s="95" t="e">
        <f t="shared" ca="1" si="0"/>
        <v>#NAME?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13</v>
      </c>
      <c r="Q14" s="80">
        <f t="shared" si="3"/>
        <v>7</v>
      </c>
      <c r="R14" s="79" t="str">
        <f t="shared" si="4"/>
        <v>m</v>
      </c>
      <c r="S14" s="93" t="e">
        <f t="shared" ca="1" si="5"/>
        <v>#NAME?</v>
      </c>
      <c r="U14" s="72" t="e">
        <f ca="1"/>
        <v>#NAME?</v>
      </c>
      <c r="V14" s="71" t="e">
        <f ca="1"/>
        <v>#NAME?</v>
      </c>
      <c r="W14"/>
      <c r="X14"/>
      <c r="Y14" s="80">
        <v>2</v>
      </c>
      <c r="Z14" s="80" t="e">
        <f ca="1">_xll.RtGet($AD$13,$AD$14&amp;$Y14&amp;$AD$15,Z$12)</f>
        <v>#NAME?</v>
      </c>
      <c r="AA14" s="78" t="e">
        <f ca="1">_xll.RtGet($AD$13,$AD$14&amp;$Y14&amp;$AD$15,AA$12)</f>
        <v>#NAME?</v>
      </c>
      <c r="AC14" s="121" t="s">
        <v>66</v>
      </c>
      <c r="AD14" s="120" t="s">
        <v>190</v>
      </c>
      <c r="AF14" s="24" t="s">
        <v>165</v>
      </c>
      <c r="AG14" s="68"/>
      <c r="AH14" s="68"/>
      <c r="AI14" s="170" t="e">
        <f ca="1">AI7*EXP(-$AI$13*_xll.xlYrfDayCount($C$3,AI4,$AI$11))</f>
        <v>#NAME?</v>
      </c>
    </row>
    <row r="15" spans="1:35" ht="11.25" customHeight="1" x14ac:dyDescent="0.2">
      <c r="A15" s="173">
        <v>30</v>
      </c>
      <c r="B15" s="172" t="s">
        <v>101</v>
      </c>
      <c r="C15" s="171" t="e">
        <f ca="1">_xll.RtNow(A15&amp;"s")</f>
        <v>#NAME?</v>
      </c>
      <c r="D15" s="66"/>
      <c r="E15" s="98" t="b">
        <v>1</v>
      </c>
      <c r="F15" s="267">
        <f t="shared" si="8"/>
        <v>7</v>
      </c>
      <c r="G15" s="80">
        <v>7</v>
      </c>
      <c r="H15" s="78" t="s">
        <v>81</v>
      </c>
      <c r="I15" s="97" t="e">
        <f t="shared" ca="1" si="9"/>
        <v>#NAME?</v>
      </c>
      <c r="J15" s="95"/>
      <c r="K15" s="96"/>
      <c r="L15" s="95" t="e">
        <f t="shared" ca="1" si="0"/>
        <v>#NAME?</v>
      </c>
      <c r="M15" s="80">
        <f t="shared" si="6"/>
        <v>13</v>
      </c>
      <c r="N15" s="78">
        <f t="shared" si="1"/>
        <v>13</v>
      </c>
      <c r="O15" s="80">
        <f t="shared" si="7"/>
        <v>13</v>
      </c>
      <c r="P15" s="78">
        <f t="shared" si="2"/>
        <v>14</v>
      </c>
      <c r="Q15" s="80">
        <f t="shared" si="3"/>
        <v>8</v>
      </c>
      <c r="R15" s="79" t="str">
        <f t="shared" si="4"/>
        <v>m</v>
      </c>
      <c r="S15" s="93" t="e">
        <f t="shared" ca="1" si="5"/>
        <v>#NAME?</v>
      </c>
      <c r="U15" s="72" t="e">
        <f ca="1"/>
        <v>#NAME?</v>
      </c>
      <c r="V15" s="71" t="e">
        <f ca="1"/>
        <v>#NAME?</v>
      </c>
      <c r="W15"/>
      <c r="X15"/>
      <c r="Y15" s="80">
        <v>3</v>
      </c>
      <c r="Z15" s="80" t="e">
        <f ca="1">_xll.RtGet($AD$13,$AD$14&amp;$Y15&amp;$AD$15,Z$12)</f>
        <v>#NAME?</v>
      </c>
      <c r="AA15" s="78" t="e">
        <f ca="1">_xll.RtGet($AD$13,$AD$14&amp;$Y15&amp;$AD$15,AA$12)</f>
        <v>#NAME?</v>
      </c>
      <c r="AB15" s="67"/>
      <c r="AC15" s="118" t="s">
        <v>63</v>
      </c>
      <c r="AD15" s="117" t="s">
        <v>191</v>
      </c>
      <c r="AF15" s="24" t="s">
        <v>166</v>
      </c>
      <c r="AG15" s="68"/>
      <c r="AH15" s="68"/>
      <c r="AI15" s="170" t="e">
        <f ca="1">AI8*EXP(-$AI$13*_xll.xlYrfDayCount($C$3,AI5,$AI$11))</f>
        <v>#NAME?</v>
      </c>
    </row>
    <row r="16" spans="1:35" ht="11.25" customHeight="1" x14ac:dyDescent="0.2">
      <c r="A16" s="68"/>
      <c r="D16" s="66"/>
      <c r="E16" s="98" t="b">
        <v>1</v>
      </c>
      <c r="F16" s="267">
        <f t="shared" si="8"/>
        <v>8</v>
      </c>
      <c r="G16" s="80">
        <v>8</v>
      </c>
      <c r="H16" s="78" t="s">
        <v>81</v>
      </c>
      <c r="I16" s="97" t="e">
        <f t="shared" ca="1" si="9"/>
        <v>#NAME?</v>
      </c>
      <c r="J16" s="95"/>
      <c r="K16" s="96"/>
      <c r="L16" s="95" t="e">
        <f t="shared" ca="1" si="0"/>
        <v>#NAME?</v>
      </c>
      <c r="M16" s="80">
        <f t="shared" si="6"/>
        <v>14</v>
      </c>
      <c r="N16" s="78">
        <f t="shared" si="1"/>
        <v>14</v>
      </c>
      <c r="O16" s="80">
        <f t="shared" si="7"/>
        <v>14</v>
      </c>
      <c r="P16" s="78">
        <f t="shared" si="2"/>
        <v>15</v>
      </c>
      <c r="Q16" s="80">
        <f t="shared" si="3"/>
        <v>9</v>
      </c>
      <c r="R16" s="79" t="str">
        <f t="shared" si="4"/>
        <v>m</v>
      </c>
      <c r="S16" s="93" t="e">
        <f t="shared" ca="1" si="5"/>
        <v>#NAME?</v>
      </c>
      <c r="U16" s="72" t="e">
        <f ca="1"/>
        <v>#NAME?</v>
      </c>
      <c r="V16" s="71" t="e">
        <f ca="1"/>
        <v>#NAME?</v>
      </c>
      <c r="W16"/>
      <c r="X16"/>
      <c r="Y16" s="80">
        <v>4</v>
      </c>
      <c r="Z16" s="80" t="e">
        <f ca="1">_xll.RtGet($AD$13,$AD$14&amp;$Y16&amp;$AD$15,Z$12)</f>
        <v>#NAME?</v>
      </c>
      <c r="AA16" s="78" t="e">
        <f ca="1">_xll.RtGet($AD$13,$AD$14&amp;$Y16&amp;$AD$15,AA$12)</f>
        <v>#NAME?</v>
      </c>
      <c r="AB16" s="67"/>
      <c r="AC16" s="67"/>
      <c r="AD16" s="67"/>
      <c r="AF16" s="25" t="s">
        <v>167</v>
      </c>
      <c r="AG16" s="168"/>
      <c r="AH16" s="168"/>
      <c r="AI16" s="167" t="e">
        <f ca="1">AI9*EXP(-$AI$13*_xll.xlYrfDayCount($C$3,AI6,$AI$11))</f>
        <v>#NAME?</v>
      </c>
    </row>
    <row r="17" spans="1:44" ht="11.25" customHeight="1" x14ac:dyDescent="0.2">
      <c r="A17" s="68"/>
      <c r="D17" s="66"/>
      <c r="E17" s="98" t="b">
        <v>1</v>
      </c>
      <c r="F17" s="267">
        <f t="shared" si="8"/>
        <v>9</v>
      </c>
      <c r="G17" s="80">
        <v>9</v>
      </c>
      <c r="H17" s="78" t="s">
        <v>81</v>
      </c>
      <c r="I17" s="97" t="e">
        <f t="shared" ca="1" si="9"/>
        <v>#NAME?</v>
      </c>
      <c r="J17" s="95"/>
      <c r="K17" s="96"/>
      <c r="L17" s="95" t="e">
        <f t="shared" ca="1" si="0"/>
        <v>#NAME?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 t="e">
        <f ca="1"/>
        <v>#NAME?</v>
      </c>
      <c r="V17" s="71" t="e">
        <f ca="1"/>
        <v>#NAME?</v>
      </c>
      <c r="W17"/>
      <c r="X17"/>
      <c r="Y17" s="80">
        <v>5</v>
      </c>
      <c r="Z17" s="80" t="e">
        <f ca="1">_xll.RtGet($AD$13,$AD$14&amp;$Y17&amp;$AD$15,Z$12)</f>
        <v>#NAME?</v>
      </c>
      <c r="AA17" s="78" t="e">
        <f ca="1">_xll.RtGet($AD$13,$AD$14&amp;$Y17&amp;$AD$15,AA$12)</f>
        <v>#NAME?</v>
      </c>
      <c r="AB17" s="67"/>
      <c r="AC17" s="67"/>
      <c r="AD17" s="67"/>
      <c r="AF17" s="24" t="s">
        <v>168</v>
      </c>
      <c r="AG17" s="68"/>
      <c r="AH17" s="68"/>
      <c r="AI17" s="170" t="e">
        <f ca="1">(1/AI14-1)/_xll.xlYrfDayCount($C$3,AI4,$AI$10)</f>
        <v>#NAME?</v>
      </c>
    </row>
    <row r="18" spans="1:44" ht="11.25" customHeight="1" x14ac:dyDescent="0.2">
      <c r="A18" s="68"/>
      <c r="C18" s="250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ca="1" si="9"/>
        <v>#NAME?</v>
      </c>
      <c r="J18" s="95"/>
      <c r="K18" s="96"/>
      <c r="L18" s="95" t="e">
        <f t="shared" ca="1" si="0"/>
        <v>#NAME?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 t="e">
        <f ca="1"/>
        <v>#NAME?</v>
      </c>
      <c r="V18" s="71" t="e">
        <f ca="1"/>
        <v>#NAME?</v>
      </c>
      <c r="W18"/>
      <c r="X18"/>
      <c r="Y18" s="80">
        <v>6</v>
      </c>
      <c r="Z18" s="80" t="e">
        <f ca="1">_xll.RtGet($AD$13,$AD$14&amp;$Y18&amp;$AD$15,Z$12)</f>
        <v>#NAME?</v>
      </c>
      <c r="AA18" s="78" t="e">
        <f ca="1">_xll.RtGet($AD$13,$AD$14&amp;$Y18&amp;$AD$15,AA$12)</f>
        <v>#NAME?</v>
      </c>
      <c r="AB18" s="67"/>
      <c r="AC18" s="67"/>
      <c r="AD18" s="67"/>
      <c r="AF18" s="24" t="s">
        <v>169</v>
      </c>
      <c r="AG18" s="68"/>
      <c r="AH18" s="68"/>
      <c r="AI18" s="170" t="e">
        <f ca="1">(AI14/AI15-1)/_xll.xlYrfDayCount(AI4,AI5,$AI$10)</f>
        <v>#NAME?</v>
      </c>
    </row>
    <row r="19" spans="1:44" ht="11.25" customHeight="1" x14ac:dyDescent="0.2">
      <c r="A19" s="68"/>
      <c r="C19" s="251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ca="1" si="9"/>
        <v>#NAME?</v>
      </c>
      <c r="J19" s="95"/>
      <c r="K19" s="96"/>
      <c r="L19" s="95" t="e">
        <f t="shared" ca="1" si="0"/>
        <v>#NAME?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 t="e">
        <f ca="1"/>
        <v>#NAME?</v>
      </c>
      <c r="V19" s="71" t="e">
        <f ca="1"/>
        <v>#NAME?</v>
      </c>
      <c r="W19"/>
      <c r="X19"/>
      <c r="Y19" s="80">
        <v>7</v>
      </c>
      <c r="Z19" s="80" t="e">
        <f ca="1">_xll.RtGet($AD$13,$AD$14&amp;$Y19&amp;$AD$15,Z$12)</f>
        <v>#NAME?</v>
      </c>
      <c r="AA19" s="78" t="e">
        <f ca="1">_xll.RtGet($AD$13,$AD$14&amp;$Y19&amp;$AD$15,AA$12)</f>
        <v>#NAME?</v>
      </c>
      <c r="AB19" s="67"/>
      <c r="AC19" s="67"/>
      <c r="AD19" s="67"/>
      <c r="AF19" s="24" t="s">
        <v>170</v>
      </c>
      <c r="AG19" s="68"/>
      <c r="AH19" s="68"/>
      <c r="AI19" s="170" t="e">
        <f ca="1">AI17*100-IF(J3&gt;0,J3,I3)</f>
        <v>#NAME?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ca="1" si="9"/>
        <v>#NAME?</v>
      </c>
      <c r="J20" s="88"/>
      <c r="K20" s="165"/>
      <c r="L20" s="88" t="e">
        <f t="shared" ca="1" si="0"/>
        <v>#NAME?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 t="e">
        <f ca="1"/>
        <v>#NAME?</v>
      </c>
      <c r="V20" s="71" t="e">
        <f ca="1"/>
        <v>#NAME?</v>
      </c>
      <c r="W20"/>
      <c r="X20"/>
      <c r="Y20" s="80">
        <v>8</v>
      </c>
      <c r="Z20" s="80" t="e">
        <f ca="1">_xll.RtGet($AD$13,$AD$14&amp;$Y20&amp;$AD$15,Z$12)</f>
        <v>#NAME?</v>
      </c>
      <c r="AA20" s="78" t="e">
        <f ca="1">_xll.RtGet($AD$13,$AD$14&amp;$Y20&amp;$AD$15,AA$12)</f>
        <v>#NAME?</v>
      </c>
      <c r="AB20" s="67"/>
      <c r="AC20" s="67"/>
      <c r="AD20" s="67"/>
      <c r="AF20" s="25" t="s">
        <v>171</v>
      </c>
      <c r="AG20" s="168"/>
      <c r="AH20" s="168"/>
      <c r="AI20" s="167" t="e">
        <f ca="1">AI18*100-IF(J4&gt;0,J4,I4)</f>
        <v>#NAME?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 t="e">
        <f ca="1"/>
        <v>#NAME?</v>
      </c>
      <c r="V21" s="71" t="e">
        <f ca="1"/>
        <v>#NAME?</v>
      </c>
      <c r="W21"/>
      <c r="X21"/>
      <c r="Y21" s="80">
        <v>9</v>
      </c>
      <c r="Z21" s="80" t="e">
        <f ca="1">_xll.RtGet($AD$13,$AD$14&amp;$Y21&amp;$AD$15,Z$12)</f>
        <v>#NAME?</v>
      </c>
      <c r="AA21" s="78" t="e">
        <f ca="1">_xll.RtGet($AD$13,$AD$14&amp;$Y21&amp;$AD$15,AA$12)</f>
        <v>#NAME?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 t="e">
        <f ca="1"/>
        <v>#NAME?</v>
      </c>
      <c r="V22" s="71" t="e">
        <f ca="1"/>
        <v>#NAME?</v>
      </c>
      <c r="W22"/>
      <c r="X22"/>
      <c r="Y22" s="80">
        <v>10</v>
      </c>
      <c r="Z22" s="80" t="e">
        <f ca="1">_xll.RtGet($AD$13,$AD$14&amp;$Y22&amp;$AD$15,Z$12)</f>
        <v>#NAME?</v>
      </c>
      <c r="AA22" s="78" t="e">
        <f ca="1">_xll.RtGet($AD$13,$AD$14&amp;$Y22&amp;$AD$15,AA$12)</f>
        <v>#NAME?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EUR2USD</v>
      </c>
      <c r="G23" s="67"/>
      <c r="H23" s="67"/>
      <c r="I23" s="162" t="e">
        <f ca="1">AVERAGE(Z27:AA27)</f>
        <v>#NAME?</v>
      </c>
      <c r="J23" s="160"/>
      <c r="K23" s="161"/>
      <c r="L23" s="160" t="e">
        <f ca="1">IF(ISNUMBER(J23),J23,I23)+K23</f>
        <v>#NAME?</v>
      </c>
      <c r="M23" s="67"/>
      <c r="N23" s="67"/>
      <c r="O23" s="67"/>
      <c r="P23" s="67"/>
      <c r="Q23" s="67"/>
      <c r="R23" s="67"/>
      <c r="S23" s="67"/>
      <c r="U23" s="72" t="e">
        <f ca="1"/>
        <v>#NAME?</v>
      </c>
      <c r="V23" s="71" t="e">
        <f ca="1"/>
        <v>#NAME?</v>
      </c>
      <c r="W23"/>
      <c r="X23"/>
      <c r="Y23" s="80">
        <v>11</v>
      </c>
      <c r="Z23" s="80" t="e">
        <f ca="1">_xll.RtGet($AD$13,$AD$14&amp;$Y23&amp;$AD$15,Z$12)</f>
        <v>#NAME?</v>
      </c>
      <c r="AA23" s="78" t="e">
        <f ca="1">_xll.RtGet($AD$13,$AD$14&amp;$Y23&amp;$AD$15,AA$12)</f>
        <v>#NAME?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314" t="s">
        <v>80</v>
      </c>
      <c r="C24" s="315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 t="e">
        <f ca="1"/>
        <v>#NAME?</v>
      </c>
      <c r="V24" s="71" t="e">
        <f ca="1"/>
        <v>#NAME?</v>
      </c>
      <c r="W24"/>
      <c r="X24"/>
      <c r="Y24" s="75">
        <v>12</v>
      </c>
      <c r="Z24" s="87" t="e">
        <f ca="1">_xll.RtGet($AD$13,$AD$14&amp;$Y24&amp;$AD$15,Z$12)</f>
        <v>#NAME?</v>
      </c>
      <c r="AA24" s="159" t="e">
        <f ca="1">_xll.RtGet($AD$13,$AD$14&amp;$Y24&amp;$AD$15,AA$12)</f>
        <v>#NAME?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 ca="1">SUM(1*E26:E67)</f>
        <v>0</v>
      </c>
      <c r="U25" s="72" t="e">
        <f ca="1"/>
        <v>#NAME?</v>
      </c>
      <c r="V25" s="71" t="e">
        <f ca="1"/>
        <v>#NAME?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5">
      <c r="A26" s="68"/>
      <c r="B26" s="155" t="s">
        <v>78</v>
      </c>
      <c r="C26" s="136" t="s">
        <v>24</v>
      </c>
      <c r="D26" s="66"/>
      <c r="E26" s="98" t="b">
        <f t="shared" ref="E26:E67" ca="1" si="10">LEN(F26)&gt;0</f>
        <v>0</v>
      </c>
      <c r="F26" s="216" t="str">
        <f t="shared" ref="F26:F67" ca="1" si="11">IF($C$19,IF(LEN(AQ31)&gt;0,AQ31,""),IF(LEN(AG31)&gt;0,AG31,""))</f>
        <v/>
      </c>
      <c r="G26" s="68"/>
      <c r="H26" s="68"/>
      <c r="I26" s="154" t="e">
        <f t="shared" ref="I26:I67" ca="1" si="12">IF($C$19,AR31,AF31)</f>
        <v>#NAME?</v>
      </c>
      <c r="J26" s="152"/>
      <c r="K26" s="153"/>
      <c r="L26" s="152" t="e">
        <f t="shared" ref="L26:L67" ca="1" si="13">IF(ISNUMBER(J26),J26,I26)+K26</f>
        <v>#NAME?</v>
      </c>
      <c r="M26" s="129">
        <v>1</v>
      </c>
      <c r="N26" s="127" t="str">
        <f t="shared" ref="N26:N67" ca="1" si="14">IF(E26,M26,"")</f>
        <v/>
      </c>
      <c r="O26" s="73" t="str">
        <f ca="1">IF($S$25&gt;0,1,"")</f>
        <v/>
      </c>
      <c r="P26" s="127" t="str">
        <f t="shared" ref="P26:P67" ca="1" si="15">IF(LEN(O26)&gt;0,SMALL($N$26:$N$67,O26),"")</f>
        <v/>
      </c>
      <c r="Q26" s="102"/>
      <c r="R26" s="151" t="str">
        <f t="shared" ref="R26:R67" ca="1" si="16">IF(LEN(P26)&gt;0,INDEX($F$26:$F$67,$P26),"")</f>
        <v/>
      </c>
      <c r="S26" s="150" t="str">
        <f t="shared" ref="S26:S67" ca="1" si="17">IF(LEN(P26)&gt;0,INDEX($L$26:$L$67,$P26),"")</f>
        <v/>
      </c>
      <c r="U26" s="72" t="e">
        <f ca="1"/>
        <v>#NAME?</v>
      </c>
      <c r="V26" s="71" t="e">
        <f ca="1"/>
        <v>#NAME?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ca="1" si="10"/>
        <v>0</v>
      </c>
      <c r="F27" s="169" t="str">
        <f t="shared" ca="1" si="11"/>
        <v/>
      </c>
      <c r="G27" s="68"/>
      <c r="I27" s="97" t="e">
        <f t="shared" ca="1" si="12"/>
        <v>#NAME?</v>
      </c>
      <c r="J27" s="95"/>
      <c r="K27" s="96"/>
      <c r="L27" s="95" t="e">
        <f t="shared" ca="1" si="13"/>
        <v>#NAME?</v>
      </c>
      <c r="M27" s="80">
        <f t="shared" ref="M27:M67" si="18">M26+1</f>
        <v>2</v>
      </c>
      <c r="N27" s="78" t="str">
        <f t="shared" ca="1" si="14"/>
        <v/>
      </c>
      <c r="O27" s="80" t="str">
        <f t="shared" ref="O27:O67" ca="1" si="19">IF(O26&lt;$S$25,O26+1,"")</f>
        <v/>
      </c>
      <c r="P27" s="78" t="str">
        <f t="shared" ca="1" si="15"/>
        <v/>
      </c>
      <c r="Q27" s="102"/>
      <c r="R27" s="94" t="str">
        <f t="shared" ca="1" si="16"/>
        <v/>
      </c>
      <c r="S27" s="93" t="str">
        <f t="shared" ca="1" si="17"/>
        <v/>
      </c>
      <c r="U27" s="72" t="e">
        <f ca="1"/>
        <v>#NAME?</v>
      </c>
      <c r="V27" s="71" t="e">
        <f ca="1"/>
        <v>#NAME?</v>
      </c>
      <c r="W27"/>
      <c r="X27"/>
      <c r="Y27" s="146" t="s">
        <v>100</v>
      </c>
      <c r="Z27" s="145" t="e">
        <f ca="1">_xll.RtGet($AD$26,$AD$27&amp;$Y27&amp;$AD$28,Z$26)</f>
        <v>#NAME?</v>
      </c>
      <c r="AA27" s="144" t="e">
        <f ca="1">_xll.RtGet($AD$26,$AD$27&amp;$Y27&amp;$AD$28,AA$26)</f>
        <v>#NAME?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ca="1" si="10"/>
        <v>0</v>
      </c>
      <c r="F28" s="169" t="str">
        <f t="shared" ca="1" si="11"/>
        <v/>
      </c>
      <c r="G28" s="68"/>
      <c r="I28" s="97" t="e">
        <f t="shared" ca="1" si="12"/>
        <v>#NAME?</v>
      </c>
      <c r="J28" s="95"/>
      <c r="K28" s="96"/>
      <c r="L28" s="95" t="e">
        <f t="shared" ca="1" si="13"/>
        <v>#NAME?</v>
      </c>
      <c r="M28" s="80">
        <f t="shared" si="18"/>
        <v>3</v>
      </c>
      <c r="N28" s="78" t="str">
        <f t="shared" ca="1" si="14"/>
        <v/>
      </c>
      <c r="O28" s="80" t="str">
        <f t="shared" ca="1" si="19"/>
        <v/>
      </c>
      <c r="P28" s="78" t="str">
        <f t="shared" ca="1" si="15"/>
        <v/>
      </c>
      <c r="Q28" s="68"/>
      <c r="R28" s="94" t="str">
        <f t="shared" ca="1" si="16"/>
        <v/>
      </c>
      <c r="S28" s="93" t="str">
        <f t="shared" ca="1" si="17"/>
        <v/>
      </c>
      <c r="U28" s="72" t="e">
        <f ca="1"/>
        <v>#NAME?</v>
      </c>
      <c r="V28" s="71" t="e">
        <f ca="1"/>
        <v>#NAME?</v>
      </c>
      <c r="W28"/>
      <c r="X28"/>
      <c r="AC28" s="118" t="s">
        <v>63</v>
      </c>
      <c r="AD28" s="215" t="s">
        <v>105</v>
      </c>
    </row>
    <row r="29" spans="1:44" ht="11.25" customHeight="1" x14ac:dyDescent="0.25">
      <c r="A29" s="122"/>
      <c r="B29" s="140" t="s">
        <v>112</v>
      </c>
      <c r="C29" s="139"/>
      <c r="E29" s="98" t="b">
        <f t="shared" ca="1" si="10"/>
        <v>0</v>
      </c>
      <c r="F29" s="169" t="str">
        <f t="shared" ca="1" si="11"/>
        <v/>
      </c>
      <c r="G29" s="68"/>
      <c r="I29" s="97" t="e">
        <f t="shared" ca="1" si="12"/>
        <v>#NAME?</v>
      </c>
      <c r="J29" s="95"/>
      <c r="K29" s="96"/>
      <c r="L29" s="95" t="e">
        <f t="shared" ca="1" si="13"/>
        <v>#NAME?</v>
      </c>
      <c r="M29" s="80">
        <f t="shared" si="18"/>
        <v>4</v>
      </c>
      <c r="N29" s="78" t="str">
        <f t="shared" ca="1" si="14"/>
        <v/>
      </c>
      <c r="O29" s="80" t="str">
        <f t="shared" ca="1" si="19"/>
        <v/>
      </c>
      <c r="P29" s="78" t="str">
        <f t="shared" ca="1" si="15"/>
        <v/>
      </c>
      <c r="Q29" s="68"/>
      <c r="R29" s="94" t="str">
        <f t="shared" ca="1" si="16"/>
        <v/>
      </c>
      <c r="S29" s="93" t="str">
        <f t="shared" ca="1" si="17"/>
        <v/>
      </c>
      <c r="U29" s="72" t="e">
        <f ca="1"/>
        <v>#NAME?</v>
      </c>
      <c r="V29" s="71" t="e">
        <f ca="1"/>
        <v>#NAME?</v>
      </c>
      <c r="W29"/>
      <c r="X29"/>
      <c r="Y29" s="133" t="s">
        <v>132</v>
      </c>
      <c r="Z29" s="73">
        <v>0.01</v>
      </c>
      <c r="AF29" s="217"/>
      <c r="AG29" s="218">
        <f ca="1">MAX(AG31:AG72)</f>
        <v>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5">
      <c r="A30" s="122"/>
      <c r="B30" s="137" t="s">
        <v>113</v>
      </c>
      <c r="C30" s="136" t="s">
        <v>158</v>
      </c>
      <c r="E30" s="98" t="b">
        <f t="shared" ca="1" si="10"/>
        <v>0</v>
      </c>
      <c r="F30" s="169" t="str">
        <f t="shared" ca="1" si="11"/>
        <v/>
      </c>
      <c r="G30" s="68"/>
      <c r="I30" s="97" t="e">
        <f t="shared" ca="1" si="12"/>
        <v>#NAME?</v>
      </c>
      <c r="J30" s="95"/>
      <c r="K30" s="96"/>
      <c r="L30" s="95" t="e">
        <f t="shared" ca="1" si="13"/>
        <v>#NAME?</v>
      </c>
      <c r="M30" s="80">
        <f t="shared" si="18"/>
        <v>5</v>
      </c>
      <c r="N30" s="78" t="str">
        <f t="shared" ca="1" si="14"/>
        <v/>
      </c>
      <c r="O30" s="80" t="str">
        <f t="shared" ca="1" si="19"/>
        <v/>
      </c>
      <c r="P30" s="78" t="str">
        <f t="shared" ca="1" si="15"/>
        <v/>
      </c>
      <c r="Q30" s="68"/>
      <c r="R30" s="94" t="str">
        <f t="shared" ca="1" si="16"/>
        <v/>
      </c>
      <c r="S30" s="93" t="str">
        <f t="shared" ca="1" si="17"/>
        <v/>
      </c>
      <c r="U30" s="72" t="e">
        <f ca="1"/>
        <v>#NAME?</v>
      </c>
      <c r="V30" s="71" t="e">
        <f ca="1"/>
        <v>#NAME?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189</v>
      </c>
      <c r="AH30" s="221" t="b">
        <f ca="1">AND(AQ29&gt;AG29,ISERROR(MATCH(AQ29,$AG$31:$AG$72,0)))</f>
        <v>1</v>
      </c>
      <c r="AI30" s="222"/>
      <c r="AJ30" s="222"/>
      <c r="AK30" s="222"/>
      <c r="AL30" s="223">
        <f ca="1">COUNT(AK31:AK72)</f>
        <v>1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ca="1" si="10"/>
        <v>0</v>
      </c>
      <c r="F31" s="169" t="str">
        <f t="shared" ca="1" si="11"/>
        <v/>
      </c>
      <c r="G31" s="68"/>
      <c r="I31" s="97" t="e">
        <f t="shared" ca="1" si="12"/>
        <v>#NAME?</v>
      </c>
      <c r="J31" s="95"/>
      <c r="K31" s="96"/>
      <c r="L31" s="95" t="e">
        <f t="shared" ca="1" si="13"/>
        <v>#NAME?</v>
      </c>
      <c r="M31" s="80">
        <f t="shared" si="18"/>
        <v>6</v>
      </c>
      <c r="N31" s="78" t="str">
        <f t="shared" ca="1" si="14"/>
        <v/>
      </c>
      <c r="O31" s="80" t="str">
        <f t="shared" ca="1" si="19"/>
        <v/>
      </c>
      <c r="P31" s="78" t="str">
        <f t="shared" ca="1" si="15"/>
        <v/>
      </c>
      <c r="Q31" s="68"/>
      <c r="R31" s="94" t="str">
        <f t="shared" ca="1" si="16"/>
        <v/>
      </c>
      <c r="S31" s="93" t="str">
        <f t="shared" ca="1" si="17"/>
        <v/>
      </c>
      <c r="U31" s="72" t="e">
        <f ca="1"/>
        <v>#NAME?</v>
      </c>
      <c r="V31" s="71" t="e">
        <f ca="1"/>
        <v>#NAME?</v>
      </c>
      <c r="W31"/>
      <c r="X31"/>
      <c r="Y31" s="130" t="s">
        <v>184</v>
      </c>
      <c r="Z31" s="129" t="e">
        <f ca="1">$Z$29*_xll.RtGet($AD$32,$AD$33&amp;$Y31&amp;$AD$34,Z$30)</f>
        <v>#NAME?</v>
      </c>
      <c r="AA31" s="127" t="e">
        <f ca="1">$Z$29*_xll.RtGet($AD$32,$AD$33&amp;$Y31&amp;$AD$34,AA$30)</f>
        <v>#NAME?</v>
      </c>
      <c r="AF31" s="225" t="e">
        <f t="shared" ref="AF31:AF72" ca="1" si="20">AVERAGE(Z31:AA31)</f>
        <v>#NAME?</v>
      </c>
      <c r="AG31" s="226" t="str">
        <f ca="1">IF(ISNUMBER(AF31),LEFT(Y31,LEN(Y31)-1)*IF(RIGHT(Y31,1)="Y",12,1),"")</f>
        <v/>
      </c>
      <c r="AH31" s="227" t="str">
        <f t="shared" ref="AH31:AH71" ca="1" si="21">IF(LEN(AG31)&gt;0,AG31,"")</f>
        <v/>
      </c>
      <c r="AI31" s="228" t="str">
        <f t="shared" ref="AI31:AI71" ca="1" si="22">IF(LEN(AG31)&gt;0,AF31,"")</f>
        <v/>
      </c>
      <c r="AJ31" s="229">
        <v>3</v>
      </c>
      <c r="AK31" s="224" t="str">
        <f ca="1">IF(LEN(AH31)&gt;0,AJ31,"")</f>
        <v/>
      </c>
      <c r="AL31" s="223">
        <f ca="1">IF(AL30&gt;0,1,"")</f>
        <v>1</v>
      </c>
      <c r="AM31" s="230" t="b">
        <f t="shared" ref="AM31:AM72" ca="1" si="23">LEN(AL31)&gt;0</f>
        <v>1</v>
      </c>
      <c r="AN31" s="231">
        <f t="shared" ref="AN31:AN72" ca="1" si="24">IF(AM31,SMALL($AK$31:$AK$72,AL31),"")</f>
        <v>840</v>
      </c>
      <c r="AO31" s="230" t="e">
        <f t="array" aca="1" ref="AO31:AP31" ca="1">IF(AM31,INDEX($AH$31:$AI$72,AN31,0),"")</f>
        <v>#REF!</v>
      </c>
      <c r="AP31" s="231" t="e">
        <f ca="1"/>
        <v>#REF!</v>
      </c>
      <c r="AQ31" s="230">
        <f t="array" ref="AQ31:AQ64">AJ31:AJ64</f>
        <v>3</v>
      </c>
      <c r="AR31" s="232" t="e">
        <f t="array" aca="1" ref="AR31:AR64" ca="1">_xll.xlInterp1D(AO31:INDEX(AO31:AO72,AL30),AP31:INDEX(AP31:AP72,AL30),AQ31:AQ72,"kruger")</f>
        <v>#NAME?</v>
      </c>
    </row>
    <row r="32" spans="1:44" ht="11.25" customHeight="1" x14ac:dyDescent="0.2">
      <c r="A32" s="122"/>
      <c r="B32" s="116" t="s">
        <v>115</v>
      </c>
      <c r="C32" s="125"/>
      <c r="E32" s="98" t="b">
        <f t="shared" ca="1" si="10"/>
        <v>0</v>
      </c>
      <c r="F32" s="169" t="str">
        <f t="shared" ca="1" si="11"/>
        <v/>
      </c>
      <c r="G32" s="68"/>
      <c r="I32" s="97" t="e">
        <f t="shared" ca="1" si="12"/>
        <v>#NAME?</v>
      </c>
      <c r="J32" s="95"/>
      <c r="K32" s="96"/>
      <c r="L32" s="95" t="e">
        <f t="shared" ca="1" si="13"/>
        <v>#NAME?</v>
      </c>
      <c r="M32" s="80">
        <f t="shared" si="18"/>
        <v>7</v>
      </c>
      <c r="N32" s="78" t="str">
        <f t="shared" ca="1" si="14"/>
        <v/>
      </c>
      <c r="O32" s="80" t="str">
        <f t="shared" ca="1" si="19"/>
        <v/>
      </c>
      <c r="P32" s="78" t="str">
        <f t="shared" ca="1" si="15"/>
        <v/>
      </c>
      <c r="Q32" s="68"/>
      <c r="R32" s="94" t="str">
        <f t="shared" ca="1" si="16"/>
        <v/>
      </c>
      <c r="S32" s="93" t="str">
        <f t="shared" ca="1" si="17"/>
        <v/>
      </c>
      <c r="U32" s="72" t="e">
        <f ca="1"/>
        <v>#NAME?</v>
      </c>
      <c r="V32" s="71" t="e">
        <f ca="1"/>
        <v>#NAME?</v>
      </c>
      <c r="W32"/>
      <c r="Y32" s="81" t="s">
        <v>185</v>
      </c>
      <c r="Z32" s="80" t="e">
        <f ca="1">$Z$29*_xll.RtGet($AD$32,$AD$33&amp;$Y32&amp;$AD$34,Z$30)</f>
        <v>#NAME?</v>
      </c>
      <c r="AA32" s="78" t="e">
        <f ca="1">$Z$29*_xll.RtGet($AD$32,$AD$33&amp;$Y32&amp;$AD$34,AA$30)</f>
        <v>#NAME?</v>
      </c>
      <c r="AC32" s="124" t="s">
        <v>68</v>
      </c>
      <c r="AD32" s="123" t="s">
        <v>67</v>
      </c>
      <c r="AF32" s="233" t="e">
        <f t="shared" ca="1" si="20"/>
        <v>#NAME?</v>
      </c>
      <c r="AG32" s="227" t="str">
        <f t="shared" ref="AG32:AG72" ca="1" si="25">IF(ISNUMBER(AF32),LEFT(Y32,LEN(Y32)-1)*IF(RIGHT(Y32,1)="Y",12,1),"")</f>
        <v/>
      </c>
      <c r="AH32" s="227" t="str">
        <f t="shared" ca="1" si="21"/>
        <v/>
      </c>
      <c r="AI32" s="234" t="str">
        <f t="shared" ca="1" si="22"/>
        <v/>
      </c>
      <c r="AJ32" s="235">
        <f>+AJ31+3</f>
        <v>6</v>
      </c>
      <c r="AK32" s="224" t="str">
        <f t="shared" ref="AK32:AK72" ca="1" si="26">IF(LEN(AH32)&gt;0,AJ32,"")</f>
        <v/>
      </c>
      <c r="AL32" s="224" t="str">
        <f t="shared" ref="AL32:AL72" ca="1" si="27">IF(AL31&lt;$AL$30,AL31+1,"")</f>
        <v/>
      </c>
      <c r="AM32" s="224" t="b">
        <f t="shared" ca="1" si="23"/>
        <v>0</v>
      </c>
      <c r="AN32" s="236" t="str">
        <f t="shared" ca="1" si="24"/>
        <v/>
      </c>
      <c r="AO32" s="235" t="str">
        <f t="array" aca="1" ref="AO32:AP32" ca="1">IF(AM32,INDEX($AH$31:$AI$72,AN32,0),"")</f>
        <v/>
      </c>
      <c r="AP32" s="236" t="str">
        <f ca="1"/>
        <v/>
      </c>
      <c r="AQ32" s="235">
        <v>6</v>
      </c>
      <c r="AR32" s="237" t="e">
        <f ca="1"/>
        <v>#NAME?</v>
      </c>
    </row>
    <row r="33" spans="1:44" ht="11.25" customHeight="1" x14ac:dyDescent="0.2">
      <c r="A33" s="122"/>
      <c r="B33" s="116" t="s">
        <v>116</v>
      </c>
      <c r="C33" s="119"/>
      <c r="E33" s="98" t="b">
        <f t="shared" ca="1" si="10"/>
        <v>0</v>
      </c>
      <c r="F33" s="169" t="str">
        <f t="shared" ca="1" si="11"/>
        <v/>
      </c>
      <c r="G33" s="68"/>
      <c r="I33" s="97" t="e">
        <f t="shared" ca="1" si="12"/>
        <v>#NAME?</v>
      </c>
      <c r="J33" s="95"/>
      <c r="K33" s="96"/>
      <c r="L33" s="95" t="e">
        <f t="shared" ca="1" si="13"/>
        <v>#NAME?</v>
      </c>
      <c r="M33" s="80">
        <f t="shared" si="18"/>
        <v>8</v>
      </c>
      <c r="N33" s="78" t="str">
        <f t="shared" ca="1" si="14"/>
        <v/>
      </c>
      <c r="O33" s="80" t="str">
        <f t="shared" ca="1" si="19"/>
        <v/>
      </c>
      <c r="P33" s="78" t="str">
        <f t="shared" ca="1" si="15"/>
        <v/>
      </c>
      <c r="Q33" s="68"/>
      <c r="R33" s="94" t="str">
        <f t="shared" ca="1" si="16"/>
        <v/>
      </c>
      <c r="S33" s="93" t="str">
        <f t="shared" ca="1" si="17"/>
        <v/>
      </c>
      <c r="U33" s="72" t="e">
        <f ca="1"/>
        <v>#NAME?</v>
      </c>
      <c r="V33" s="71" t="e">
        <f ca="1"/>
        <v>#NAME?</v>
      </c>
      <c r="W33"/>
      <c r="Y33" s="81" t="s">
        <v>186</v>
      </c>
      <c r="Z33" s="80" t="e">
        <f ca="1">$Z$29*_xll.RtGet($AD$32,$AD$33&amp;$Y33&amp;$AD$34,Z$30)</f>
        <v>#NAME?</v>
      </c>
      <c r="AA33" s="78" t="e">
        <f ca="1">$Z$29*_xll.RtGet($AD$32,$AD$33&amp;$Y33&amp;$AD$34,AA$30)</f>
        <v>#NAME?</v>
      </c>
      <c r="AC33" s="121" t="s">
        <v>66</v>
      </c>
      <c r="AD33" s="120" t="s">
        <v>206</v>
      </c>
      <c r="AF33" s="233" t="e">
        <f t="shared" ca="1" si="20"/>
        <v>#NAME?</v>
      </c>
      <c r="AG33" s="227" t="str">
        <f t="shared" ca="1" si="25"/>
        <v/>
      </c>
      <c r="AH33" s="227" t="str">
        <f t="shared" ca="1" si="21"/>
        <v/>
      </c>
      <c r="AI33" s="234" t="str">
        <f t="shared" ca="1" si="22"/>
        <v/>
      </c>
      <c r="AJ33" s="235">
        <f t="shared" ref="AJ33:AJ34" si="28">+AJ32+3</f>
        <v>9</v>
      </c>
      <c r="AK33" s="224" t="str">
        <f t="shared" ca="1" si="26"/>
        <v/>
      </c>
      <c r="AL33" s="224" t="str">
        <f t="shared" ca="1" si="27"/>
        <v/>
      </c>
      <c r="AM33" s="224" t="b">
        <f t="shared" ca="1" si="23"/>
        <v>0</v>
      </c>
      <c r="AN33" s="236" t="str">
        <f t="shared" ca="1" si="24"/>
        <v/>
      </c>
      <c r="AO33" s="235" t="str">
        <f t="array" aca="1" ref="AO33:AP33" ca="1">IF(AM33,INDEX($AH$31:$AI$72,AN33,0),"")</f>
        <v/>
      </c>
      <c r="AP33" s="236" t="str">
        <f ca="1"/>
        <v/>
      </c>
      <c r="AQ33" s="235">
        <v>9</v>
      </c>
      <c r="AR33" s="237" t="e">
        <f ca="1"/>
        <v>#NAME?</v>
      </c>
    </row>
    <row r="34" spans="1:44" ht="11.25" customHeight="1" x14ac:dyDescent="0.2">
      <c r="A34" s="66"/>
      <c r="B34" s="116" t="s">
        <v>117</v>
      </c>
      <c r="C34" s="119"/>
      <c r="E34" s="98" t="b">
        <f t="shared" ca="1" si="10"/>
        <v>0</v>
      </c>
      <c r="F34" s="169" t="str">
        <f t="shared" ca="1" si="11"/>
        <v/>
      </c>
      <c r="G34" s="68"/>
      <c r="I34" s="97" t="e">
        <f t="shared" ca="1" si="12"/>
        <v>#NAME?</v>
      </c>
      <c r="J34" s="95"/>
      <c r="K34" s="96"/>
      <c r="L34" s="95" t="e">
        <f t="shared" ca="1" si="13"/>
        <v>#NAME?</v>
      </c>
      <c r="M34" s="80">
        <f t="shared" si="18"/>
        <v>9</v>
      </c>
      <c r="N34" s="78" t="str">
        <f t="shared" ca="1" si="14"/>
        <v/>
      </c>
      <c r="O34" s="80" t="str">
        <f t="shared" ca="1" si="19"/>
        <v/>
      </c>
      <c r="P34" s="78" t="str">
        <f t="shared" ca="1" si="15"/>
        <v/>
      </c>
      <c r="Q34" s="68"/>
      <c r="R34" s="94" t="str">
        <f t="shared" ca="1" si="16"/>
        <v/>
      </c>
      <c r="S34" s="93" t="str">
        <f t="shared" ca="1" si="17"/>
        <v/>
      </c>
      <c r="U34" s="72" t="e">
        <f ca="1"/>
        <v>#NAME?</v>
      </c>
      <c r="V34" s="71" t="e">
        <f ca="1"/>
        <v>#NAME?</v>
      </c>
      <c r="W34"/>
      <c r="Y34" s="81" t="s">
        <v>175</v>
      </c>
      <c r="Z34" s="80" t="e">
        <f ca="1">$Z$29*_xll.RtGet($AD$32,$AD$33&amp;$Y34&amp;$AD$34,Z$30)</f>
        <v>#NAME?</v>
      </c>
      <c r="AA34" s="78" t="e">
        <f ca="1">$Z$29*_xll.RtGet($AD$32,$AD$33&amp;$Y34&amp;$AD$34,AA$30)</f>
        <v>#NAME?</v>
      </c>
      <c r="AC34" s="118" t="s">
        <v>63</v>
      </c>
      <c r="AD34" s="215" t="s">
        <v>176</v>
      </c>
      <c r="AF34" s="233" t="e">
        <f t="shared" ca="1" si="20"/>
        <v>#NAME?</v>
      </c>
      <c r="AG34" s="227" t="str">
        <f t="shared" ca="1" si="25"/>
        <v/>
      </c>
      <c r="AH34" s="227" t="str">
        <f t="shared" ca="1" si="21"/>
        <v/>
      </c>
      <c r="AI34" s="234" t="str">
        <f t="shared" ca="1" si="22"/>
        <v/>
      </c>
      <c r="AJ34" s="238">
        <f t="shared" si="28"/>
        <v>12</v>
      </c>
      <c r="AK34" s="224" t="str">
        <f t="shared" ca="1" si="26"/>
        <v/>
      </c>
      <c r="AL34" s="224" t="str">
        <f t="shared" ca="1" si="27"/>
        <v/>
      </c>
      <c r="AM34" s="224" t="b">
        <f t="shared" ca="1" si="23"/>
        <v>0</v>
      </c>
      <c r="AN34" s="236" t="str">
        <f t="shared" ca="1" si="24"/>
        <v/>
      </c>
      <c r="AO34" s="235" t="str">
        <f t="array" aca="1" ref="AO34:AP34" ca="1">IF(AM34,INDEX($AH$31:$AI$72,AN34,0),"")</f>
        <v/>
      </c>
      <c r="AP34" s="236" t="str">
        <f ca="1"/>
        <v/>
      </c>
      <c r="AQ34" s="235">
        <v>12</v>
      </c>
      <c r="AR34" s="237" t="e">
        <f ca="1"/>
        <v>#NAME?</v>
      </c>
    </row>
    <row r="35" spans="1:44" ht="11.25" customHeight="1" x14ac:dyDescent="0.2">
      <c r="A35" s="66"/>
      <c r="B35" s="116" t="s">
        <v>118</v>
      </c>
      <c r="C35" s="115"/>
      <c r="E35" s="98" t="b">
        <f t="shared" ca="1" si="10"/>
        <v>0</v>
      </c>
      <c r="F35" s="169" t="str">
        <f t="shared" ca="1" si="11"/>
        <v/>
      </c>
      <c r="G35" s="68"/>
      <c r="I35" s="97" t="e">
        <f t="shared" ca="1" si="12"/>
        <v>#NAME?</v>
      </c>
      <c r="J35" s="95"/>
      <c r="K35" s="96"/>
      <c r="L35" s="95" t="e">
        <f t="shared" ca="1" si="13"/>
        <v>#NAME?</v>
      </c>
      <c r="M35" s="80">
        <f t="shared" si="18"/>
        <v>10</v>
      </c>
      <c r="N35" s="78" t="str">
        <f t="shared" ca="1" si="14"/>
        <v/>
      </c>
      <c r="O35" s="80" t="str">
        <f t="shared" ca="1" si="19"/>
        <v/>
      </c>
      <c r="P35" s="78" t="str">
        <f t="shared" ca="1" si="15"/>
        <v/>
      </c>
      <c r="Q35" s="68"/>
      <c r="R35" s="94" t="str">
        <f t="shared" ca="1" si="16"/>
        <v/>
      </c>
      <c r="S35" s="93" t="str">
        <f t="shared" ca="1" si="17"/>
        <v/>
      </c>
      <c r="U35" s="72" t="e">
        <f ca="1"/>
        <v>#NAME?</v>
      </c>
      <c r="V35" s="71" t="e">
        <f ca="1"/>
        <v>#NAME?</v>
      </c>
      <c r="W35"/>
      <c r="Y35" s="81" t="s">
        <v>177</v>
      </c>
      <c r="Z35" s="80" t="e">
        <f ca="1">$Z$29*_xll.RtGet($AD$32,$AD$33&amp;$Y35&amp;$AD$34,Z$30)</f>
        <v>#NAME?</v>
      </c>
      <c r="AA35" s="78" t="e">
        <f ca="1">$Z$29*_xll.RtGet($AD$32,$AD$33&amp;$Y35&amp;$AD$34,AA$30)</f>
        <v>#NAME?</v>
      </c>
      <c r="AF35" s="233" t="e">
        <f t="shared" ca="1" si="20"/>
        <v>#NAME?</v>
      </c>
      <c r="AG35" s="227" t="str">
        <f t="shared" ca="1" si="25"/>
        <v/>
      </c>
      <c r="AH35" s="227" t="str">
        <f t="shared" ca="1" si="21"/>
        <v/>
      </c>
      <c r="AI35" s="234" t="str">
        <f t="shared" ca="1" si="22"/>
        <v/>
      </c>
      <c r="AJ35" s="235">
        <f>+AJ34+6</f>
        <v>18</v>
      </c>
      <c r="AK35" s="224" t="str">
        <f t="shared" ca="1" si="26"/>
        <v/>
      </c>
      <c r="AL35" s="224" t="str">
        <f t="shared" ca="1" si="27"/>
        <v/>
      </c>
      <c r="AM35" s="224" t="b">
        <f t="shared" ca="1" si="23"/>
        <v>0</v>
      </c>
      <c r="AN35" s="236" t="str">
        <f t="shared" ca="1" si="24"/>
        <v/>
      </c>
      <c r="AO35" s="235" t="str">
        <f t="array" aca="1" ref="AO35:AP35" ca="1">IF(AM35,INDEX($AH$31:$AI$72,AN35,0),"")</f>
        <v/>
      </c>
      <c r="AP35" s="236" t="str">
        <f ca="1"/>
        <v/>
      </c>
      <c r="AQ35" s="235">
        <v>18</v>
      </c>
      <c r="AR35" s="237" t="e">
        <f ca="1"/>
        <v>#NAME?</v>
      </c>
    </row>
    <row r="36" spans="1:44" ht="11.25" customHeight="1" x14ac:dyDescent="0.2">
      <c r="A36" s="66"/>
      <c r="B36" s="114" t="s">
        <v>119</v>
      </c>
      <c r="C36" s="113"/>
      <c r="E36" s="98" t="b">
        <f t="shared" ca="1" si="10"/>
        <v>0</v>
      </c>
      <c r="F36" s="169" t="str">
        <f t="shared" ca="1" si="11"/>
        <v/>
      </c>
      <c r="G36" s="68"/>
      <c r="I36" s="97" t="e">
        <f t="shared" ca="1" si="12"/>
        <v>#NAME?</v>
      </c>
      <c r="J36" s="95"/>
      <c r="K36" s="96"/>
      <c r="L36" s="95" t="e">
        <f t="shared" ca="1" si="13"/>
        <v>#NAME?</v>
      </c>
      <c r="M36" s="80">
        <f t="shared" si="18"/>
        <v>11</v>
      </c>
      <c r="N36" s="78" t="str">
        <f t="shared" ca="1" si="14"/>
        <v/>
      </c>
      <c r="O36" s="80" t="str">
        <f t="shared" ca="1" si="19"/>
        <v/>
      </c>
      <c r="P36" s="78" t="str">
        <f t="shared" ca="1" si="15"/>
        <v/>
      </c>
      <c r="Q36" s="68"/>
      <c r="R36" s="94" t="str">
        <f t="shared" ca="1" si="16"/>
        <v/>
      </c>
      <c r="S36" s="93" t="str">
        <f t="shared" ca="1" si="17"/>
        <v/>
      </c>
      <c r="U36" s="72" t="e">
        <f ca="1"/>
        <v>#NAME?</v>
      </c>
      <c r="V36" s="71" t="e">
        <f ca="1"/>
        <v>#NAME?</v>
      </c>
      <c r="W36"/>
      <c r="Y36" s="81" t="s">
        <v>178</v>
      </c>
      <c r="Z36" s="80" t="e">
        <f ca="1">$Z$29*_xll.RtGet($AD$32,$AD$33&amp;$Y36&amp;$AD$34,Z$30)</f>
        <v>#NAME?</v>
      </c>
      <c r="AA36" s="78" t="e">
        <f ca="1">$Z$29*_xll.RtGet($AD$32,$AD$33&amp;$Y36&amp;$AD$34,AA$30)</f>
        <v>#NAME?</v>
      </c>
      <c r="AF36" s="233" t="e">
        <f t="shared" ca="1" si="20"/>
        <v>#NAME?</v>
      </c>
      <c r="AG36" s="227" t="str">
        <f t="shared" ca="1" si="25"/>
        <v/>
      </c>
      <c r="AH36" s="227" t="str">
        <f t="shared" ca="1" si="21"/>
        <v/>
      </c>
      <c r="AI36" s="234" t="str">
        <f t="shared" ca="1" si="22"/>
        <v/>
      </c>
      <c r="AJ36" s="238">
        <f>+AJ35+6</f>
        <v>24</v>
      </c>
      <c r="AK36" s="224" t="str">
        <f t="shared" ca="1" si="26"/>
        <v/>
      </c>
      <c r="AL36" s="224" t="str">
        <f t="shared" ca="1" si="27"/>
        <v/>
      </c>
      <c r="AM36" s="224" t="b">
        <f t="shared" ca="1" si="23"/>
        <v>0</v>
      </c>
      <c r="AN36" s="236" t="str">
        <f t="shared" ca="1" si="24"/>
        <v/>
      </c>
      <c r="AO36" s="235" t="str">
        <f t="array" aca="1" ref="AO36:AP36" ca="1">IF(AM36,INDEX($AH$31:$AI$72,AN36,0),"")</f>
        <v/>
      </c>
      <c r="AP36" s="236" t="str">
        <f ca="1"/>
        <v/>
      </c>
      <c r="AQ36" s="235">
        <v>24</v>
      </c>
      <c r="AR36" s="237" t="e">
        <f ca="1"/>
        <v>#NAME?</v>
      </c>
    </row>
    <row r="37" spans="1:44" ht="11.25" customHeight="1" x14ac:dyDescent="0.2">
      <c r="A37" s="66"/>
      <c r="B37" s="114" t="s">
        <v>120</v>
      </c>
      <c r="C37" s="113"/>
      <c r="E37" s="98" t="b">
        <f t="shared" ca="1" si="10"/>
        <v>0</v>
      </c>
      <c r="F37" s="169" t="str">
        <f t="shared" ca="1" si="11"/>
        <v/>
      </c>
      <c r="G37" s="68"/>
      <c r="I37" s="97" t="e">
        <f t="shared" ca="1" si="12"/>
        <v>#NAME?</v>
      </c>
      <c r="J37" s="95"/>
      <c r="K37" s="96"/>
      <c r="L37" s="95" t="e">
        <f t="shared" ca="1" si="13"/>
        <v>#NAME?</v>
      </c>
      <c r="M37" s="80">
        <f t="shared" si="18"/>
        <v>12</v>
      </c>
      <c r="N37" s="78" t="str">
        <f t="shared" ca="1" si="14"/>
        <v/>
      </c>
      <c r="O37" s="80" t="str">
        <f t="shared" ca="1" si="19"/>
        <v/>
      </c>
      <c r="P37" s="78" t="str">
        <f t="shared" ca="1" si="15"/>
        <v/>
      </c>
      <c r="Q37" s="68"/>
      <c r="R37" s="94" t="str">
        <f t="shared" ca="1" si="16"/>
        <v/>
      </c>
      <c r="S37" s="93" t="str">
        <f t="shared" ca="1" si="17"/>
        <v/>
      </c>
      <c r="U37" s="72" t="e">
        <f ca="1"/>
        <v>#NAME?</v>
      </c>
      <c r="V37" s="71" t="e">
        <f ca="1"/>
        <v>#NAME?</v>
      </c>
      <c r="W37"/>
      <c r="Y37" s="81" t="s">
        <v>179</v>
      </c>
      <c r="Z37" s="80" t="e">
        <f ca="1">$Z$29*_xll.RtGet($AD$32,$AD$33&amp;$Y37&amp;$AD$34,Z$30)</f>
        <v>#NAME?</v>
      </c>
      <c r="AA37" s="78" t="e">
        <f ca="1">$Z$29*_xll.RtGet($AD$32,$AD$33&amp;$Y37&amp;$AD$34,AA$30)</f>
        <v>#NAME?</v>
      </c>
      <c r="AF37" s="233" t="e">
        <f t="shared" ca="1" si="20"/>
        <v>#NAME?</v>
      </c>
      <c r="AG37" s="227" t="str">
        <f t="shared" ca="1" si="25"/>
        <v/>
      </c>
      <c r="AH37" s="227" t="str">
        <f t="shared" ca="1" si="21"/>
        <v/>
      </c>
      <c r="AI37" s="234" t="str">
        <f t="shared" ca="1" si="22"/>
        <v/>
      </c>
      <c r="AJ37" s="235">
        <f>+AJ36+12</f>
        <v>36</v>
      </c>
      <c r="AK37" s="224" t="str">
        <f t="shared" ca="1" si="26"/>
        <v/>
      </c>
      <c r="AL37" s="224" t="str">
        <f t="shared" ca="1" si="27"/>
        <v/>
      </c>
      <c r="AM37" s="224" t="b">
        <f t="shared" ca="1" si="23"/>
        <v>0</v>
      </c>
      <c r="AN37" s="236" t="str">
        <f t="shared" ca="1" si="24"/>
        <v/>
      </c>
      <c r="AO37" s="235" t="str">
        <f t="array" aca="1" ref="AO37:AP37" ca="1">IF(AM37,INDEX($AH$31:$AI$72,AN37,0),"")</f>
        <v/>
      </c>
      <c r="AP37" s="236" t="str">
        <f ca="1"/>
        <v/>
      </c>
      <c r="AQ37" s="235">
        <v>36</v>
      </c>
      <c r="AR37" s="237" t="e">
        <f ca="1"/>
        <v>#NAME?</v>
      </c>
    </row>
    <row r="38" spans="1:44" ht="11.25" customHeight="1" x14ac:dyDescent="0.2">
      <c r="A38" s="66"/>
      <c r="B38" s="114" t="s">
        <v>121</v>
      </c>
      <c r="C38" s="113"/>
      <c r="E38" s="98" t="b">
        <f t="shared" ca="1" si="10"/>
        <v>0</v>
      </c>
      <c r="F38" s="169" t="str">
        <f t="shared" ca="1" si="11"/>
        <v/>
      </c>
      <c r="G38" s="68"/>
      <c r="I38" s="97" t="e">
        <f t="shared" ca="1" si="12"/>
        <v>#NAME?</v>
      </c>
      <c r="J38" s="95"/>
      <c r="K38" s="96"/>
      <c r="L38" s="95" t="e">
        <f t="shared" ca="1" si="13"/>
        <v>#NAME?</v>
      </c>
      <c r="M38" s="80">
        <f t="shared" si="18"/>
        <v>13</v>
      </c>
      <c r="N38" s="78" t="str">
        <f t="shared" ca="1" si="14"/>
        <v/>
      </c>
      <c r="O38" s="80" t="str">
        <f t="shared" ca="1" si="19"/>
        <v/>
      </c>
      <c r="P38" s="78" t="str">
        <f t="shared" ca="1" si="15"/>
        <v/>
      </c>
      <c r="Q38" s="68"/>
      <c r="R38" s="94" t="str">
        <f t="shared" ca="1" si="16"/>
        <v/>
      </c>
      <c r="S38" s="93" t="str">
        <f t="shared" ca="1" si="17"/>
        <v/>
      </c>
      <c r="U38" s="72" t="e">
        <f ca="1"/>
        <v>#NAME?</v>
      </c>
      <c r="V38" s="71" t="e">
        <f ca="1"/>
        <v>#NAME?</v>
      </c>
      <c r="W38"/>
      <c r="Y38" s="81" t="s">
        <v>180</v>
      </c>
      <c r="Z38" s="80" t="e">
        <f ca="1">$Z$29*_xll.RtGet($AD$32,$AD$33&amp;$Y38&amp;$AD$34,Z$30)</f>
        <v>#NAME?</v>
      </c>
      <c r="AA38" s="78" t="e">
        <f ca="1">$Z$29*_xll.RtGet($AD$32,$AD$33&amp;$Y38&amp;$AD$34,AA$30)</f>
        <v>#NAME?</v>
      </c>
      <c r="AF38" s="233" t="e">
        <f t="shared" ca="1" si="20"/>
        <v>#NAME?</v>
      </c>
      <c r="AG38" s="227" t="str">
        <f t="shared" ca="1" si="25"/>
        <v/>
      </c>
      <c r="AH38" s="227" t="str">
        <f t="shared" ca="1" si="21"/>
        <v/>
      </c>
      <c r="AI38" s="234" t="str">
        <f t="shared" ca="1" si="22"/>
        <v/>
      </c>
      <c r="AJ38" s="235">
        <f t="shared" ref="AJ38:AJ64" si="29">+AJ37+12</f>
        <v>48</v>
      </c>
      <c r="AK38" s="224" t="str">
        <f t="shared" ca="1" si="26"/>
        <v/>
      </c>
      <c r="AL38" s="224" t="str">
        <f t="shared" ca="1" si="27"/>
        <v/>
      </c>
      <c r="AM38" s="224" t="b">
        <f t="shared" ca="1" si="23"/>
        <v>0</v>
      </c>
      <c r="AN38" s="236" t="str">
        <f t="shared" ca="1" si="24"/>
        <v/>
      </c>
      <c r="AO38" s="235" t="str">
        <f t="array" aca="1" ref="AO38:AP38" ca="1">IF(AM38,INDEX($AH$31:$AI$72,AN38,0),"")</f>
        <v/>
      </c>
      <c r="AP38" s="236" t="str">
        <f ca="1"/>
        <v/>
      </c>
      <c r="AQ38" s="235">
        <v>48</v>
      </c>
      <c r="AR38" s="237" t="e">
        <f ca="1"/>
        <v>#NAME?</v>
      </c>
    </row>
    <row r="39" spans="1:44" ht="11.25" customHeight="1" x14ac:dyDescent="0.2">
      <c r="A39" s="66"/>
      <c r="B39" s="112" t="s">
        <v>122</v>
      </c>
      <c r="C39" s="111"/>
      <c r="E39" s="98" t="b">
        <f t="shared" ca="1" si="10"/>
        <v>0</v>
      </c>
      <c r="F39" s="169" t="str">
        <f t="shared" ca="1" si="11"/>
        <v/>
      </c>
      <c r="G39" s="68"/>
      <c r="H39" s="68"/>
      <c r="I39" s="97" t="e">
        <f t="shared" ca="1" si="12"/>
        <v>#NAME?</v>
      </c>
      <c r="J39" s="95"/>
      <c r="K39" s="96"/>
      <c r="L39" s="95" t="e">
        <f t="shared" ca="1" si="13"/>
        <v>#NAME?</v>
      </c>
      <c r="M39" s="80">
        <f t="shared" si="18"/>
        <v>14</v>
      </c>
      <c r="N39" s="78" t="str">
        <f t="shared" ca="1" si="14"/>
        <v/>
      </c>
      <c r="O39" s="80" t="str">
        <f t="shared" ca="1" si="19"/>
        <v/>
      </c>
      <c r="P39" s="78" t="str">
        <f t="shared" ca="1" si="15"/>
        <v/>
      </c>
      <c r="Q39" s="68"/>
      <c r="R39" s="94" t="str">
        <f t="shared" ca="1" si="16"/>
        <v/>
      </c>
      <c r="S39" s="93" t="str">
        <f t="shared" ca="1" si="17"/>
        <v/>
      </c>
      <c r="U39" s="72" t="e">
        <f ca="1"/>
        <v>#NAME?</v>
      </c>
      <c r="V39" s="71" t="e">
        <f ca="1"/>
        <v>#NAME?</v>
      </c>
      <c r="Y39" s="81" t="s">
        <v>181</v>
      </c>
      <c r="Z39" s="80" t="e">
        <f ca="1">$Z$29*_xll.RtGet($AD$32,$AD$33&amp;$Y39&amp;$AD$34,Z$30)</f>
        <v>#NAME?</v>
      </c>
      <c r="AA39" s="78" t="e">
        <f ca="1">$Z$29*_xll.RtGet($AD$32,$AD$33&amp;$Y39&amp;$AD$34,AA$30)</f>
        <v>#NAME?</v>
      </c>
      <c r="AF39" s="233" t="e">
        <f t="shared" ca="1" si="20"/>
        <v>#NAME?</v>
      </c>
      <c r="AG39" s="227" t="str">
        <f t="shared" ca="1" si="25"/>
        <v/>
      </c>
      <c r="AH39" s="227" t="str">
        <f t="shared" ca="1" si="21"/>
        <v/>
      </c>
      <c r="AI39" s="234" t="str">
        <f t="shared" ca="1" si="22"/>
        <v/>
      </c>
      <c r="AJ39" s="235">
        <f t="shared" si="29"/>
        <v>60</v>
      </c>
      <c r="AK39" s="224" t="str">
        <f t="shared" ca="1" si="26"/>
        <v/>
      </c>
      <c r="AL39" s="224" t="str">
        <f t="shared" ca="1" si="27"/>
        <v/>
      </c>
      <c r="AM39" s="224" t="b">
        <f t="shared" ca="1" si="23"/>
        <v>0</v>
      </c>
      <c r="AN39" s="236" t="str">
        <f t="shared" ca="1" si="24"/>
        <v/>
      </c>
      <c r="AO39" s="235" t="str">
        <f t="array" aca="1" ref="AO39:AP39" ca="1">IF(AM39,INDEX($AH$31:$AI$72,AN39,0),"")</f>
        <v/>
      </c>
      <c r="AP39" s="236" t="str">
        <f ca="1"/>
        <v/>
      </c>
      <c r="AQ39" s="235">
        <v>60</v>
      </c>
      <c r="AR39" s="237" t="e">
        <f ca="1"/>
        <v>#NAME?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ca="1" si="10"/>
        <v>0</v>
      </c>
      <c r="F40" s="169" t="str">
        <f t="shared" ca="1" si="11"/>
        <v/>
      </c>
      <c r="G40" s="68"/>
      <c r="H40" s="68"/>
      <c r="I40" s="97" t="e">
        <f t="shared" ca="1" si="12"/>
        <v>#NAME?</v>
      </c>
      <c r="J40" s="95"/>
      <c r="K40" s="96"/>
      <c r="L40" s="95" t="e">
        <f t="shared" ca="1" si="13"/>
        <v>#NAME?</v>
      </c>
      <c r="M40" s="80">
        <f t="shared" si="18"/>
        <v>15</v>
      </c>
      <c r="N40" s="78" t="str">
        <f t="shared" ca="1" si="14"/>
        <v/>
      </c>
      <c r="O40" s="80" t="str">
        <f t="shared" ca="1" si="19"/>
        <v/>
      </c>
      <c r="P40" s="78" t="str">
        <f t="shared" ca="1" si="15"/>
        <v/>
      </c>
      <c r="Q40" s="68"/>
      <c r="R40" s="94" t="str">
        <f t="shared" ca="1" si="16"/>
        <v/>
      </c>
      <c r="S40" s="93" t="str">
        <f t="shared" ca="1" si="17"/>
        <v/>
      </c>
      <c r="U40" s="72" t="e">
        <f ca="1"/>
        <v>#NAME?</v>
      </c>
      <c r="V40" s="71" t="e">
        <f ca="1"/>
        <v>#NAME?</v>
      </c>
      <c r="Y40" s="81" t="s">
        <v>182</v>
      </c>
      <c r="Z40" s="80" t="e">
        <f ca="1">$Z$29*_xll.RtGet($AD$32,$AD$33&amp;$Y40&amp;$AD$34,Z$30)</f>
        <v>#NAME?</v>
      </c>
      <c r="AA40" s="78" t="e">
        <f ca="1">$Z$29*_xll.RtGet($AD$32,$AD$33&amp;$Y40&amp;$AD$34,AA$30)</f>
        <v>#NAME?</v>
      </c>
      <c r="AF40" s="233" t="e">
        <f t="shared" ca="1" si="20"/>
        <v>#NAME?</v>
      </c>
      <c r="AG40" s="227" t="str">
        <f t="shared" ca="1" si="25"/>
        <v/>
      </c>
      <c r="AH40" s="227" t="str">
        <f t="shared" ca="1" si="21"/>
        <v/>
      </c>
      <c r="AI40" s="234" t="str">
        <f t="shared" ca="1" si="22"/>
        <v/>
      </c>
      <c r="AJ40" s="235">
        <f t="shared" si="29"/>
        <v>72</v>
      </c>
      <c r="AK40" s="224" t="str">
        <f t="shared" ca="1" si="26"/>
        <v/>
      </c>
      <c r="AL40" s="224" t="str">
        <f t="shared" ca="1" si="27"/>
        <v/>
      </c>
      <c r="AM40" s="224" t="b">
        <f t="shared" ca="1" si="23"/>
        <v>0</v>
      </c>
      <c r="AN40" s="236" t="str">
        <f t="shared" ca="1" si="24"/>
        <v/>
      </c>
      <c r="AO40" s="235" t="str">
        <f t="array" aca="1" ref="AO40:AP40" ca="1">IF(AM40,INDEX($AH$31:$AI$72,AN40,0),"")</f>
        <v/>
      </c>
      <c r="AP40" s="236" t="str">
        <f ca="1"/>
        <v/>
      </c>
      <c r="AQ40" s="235">
        <v>72</v>
      </c>
      <c r="AR40" s="237" t="e">
        <f ca="1"/>
        <v>#NAME?</v>
      </c>
    </row>
    <row r="41" spans="1:44" ht="11.25" customHeight="1" x14ac:dyDescent="0.2">
      <c r="A41" s="66"/>
      <c r="D41" s="102"/>
      <c r="E41" s="98" t="b">
        <f t="shared" ca="1" si="10"/>
        <v>0</v>
      </c>
      <c r="F41" s="169" t="str">
        <f t="shared" ca="1" si="11"/>
        <v/>
      </c>
      <c r="G41" s="68"/>
      <c r="H41" s="68"/>
      <c r="I41" s="97" t="e">
        <f t="shared" ca="1" si="12"/>
        <v>#NAME?</v>
      </c>
      <c r="J41" s="95"/>
      <c r="K41" s="96"/>
      <c r="L41" s="95" t="e">
        <f t="shared" ca="1" si="13"/>
        <v>#NAME?</v>
      </c>
      <c r="M41" s="80">
        <f t="shared" si="18"/>
        <v>16</v>
      </c>
      <c r="N41" s="78" t="str">
        <f t="shared" ca="1" si="14"/>
        <v/>
      </c>
      <c r="O41" s="80" t="str">
        <f t="shared" ca="1" si="19"/>
        <v/>
      </c>
      <c r="P41" s="78" t="str">
        <f t="shared" ca="1" si="15"/>
        <v/>
      </c>
      <c r="Q41" s="68"/>
      <c r="R41" s="94" t="str">
        <f t="shared" ca="1" si="16"/>
        <v/>
      </c>
      <c r="S41" s="93" t="str">
        <f t="shared" ca="1" si="17"/>
        <v/>
      </c>
      <c r="U41" s="72" t="e">
        <f ca="1"/>
        <v>#NAME?</v>
      </c>
      <c r="V41" s="71" t="e">
        <f ca="1"/>
        <v>#NAME?</v>
      </c>
      <c r="Y41" s="81" t="s">
        <v>183</v>
      </c>
      <c r="Z41" s="80" t="e">
        <f ca="1">$Z$29*_xll.RtGet($AD$32,$AD$33&amp;$Y41&amp;$AD$34,Z$30)</f>
        <v>#NAME?</v>
      </c>
      <c r="AA41" s="78" t="e">
        <f ca="1">$Z$29*_xll.RtGet($AD$32,$AD$33&amp;$Y41&amp;$AD$34,AA$30)</f>
        <v>#NAME?</v>
      </c>
      <c r="AF41" s="233" t="e">
        <f t="shared" ca="1" si="20"/>
        <v>#NAME?</v>
      </c>
      <c r="AG41" s="227" t="str">
        <f t="shared" ca="1" si="25"/>
        <v/>
      </c>
      <c r="AH41" s="227" t="str">
        <f t="shared" ca="1" si="21"/>
        <v/>
      </c>
      <c r="AI41" s="234" t="str">
        <f t="shared" ca="1" si="22"/>
        <v/>
      </c>
      <c r="AJ41" s="235">
        <f t="shared" si="29"/>
        <v>84</v>
      </c>
      <c r="AK41" s="224" t="str">
        <f t="shared" ca="1" si="26"/>
        <v/>
      </c>
      <c r="AL41" s="224" t="str">
        <f t="shared" ca="1" si="27"/>
        <v/>
      </c>
      <c r="AM41" s="224" t="b">
        <f t="shared" ca="1" si="23"/>
        <v>0</v>
      </c>
      <c r="AN41" s="236" t="str">
        <f t="shared" ca="1" si="24"/>
        <v/>
      </c>
      <c r="AO41" s="235" t="str">
        <f t="array" aca="1" ref="AO41:AP41" ca="1">IF(AM41,INDEX($AH$31:$AI$72,AN41,0),"")</f>
        <v/>
      </c>
      <c r="AP41" s="236" t="str">
        <f ca="1"/>
        <v/>
      </c>
      <c r="AQ41" s="235">
        <v>84</v>
      </c>
      <c r="AR41" s="237" t="e">
        <f ca="1"/>
        <v>#NAME?</v>
      </c>
    </row>
    <row r="42" spans="1:44" ht="11.25" customHeight="1" x14ac:dyDescent="0.2">
      <c r="A42" s="66"/>
      <c r="D42" s="102"/>
      <c r="E42" s="98" t="b">
        <f t="shared" ca="1" si="10"/>
        <v>0</v>
      </c>
      <c r="F42" s="169" t="str">
        <f t="shared" ca="1" si="11"/>
        <v/>
      </c>
      <c r="G42" s="68"/>
      <c r="H42" s="68"/>
      <c r="I42" s="97" t="e">
        <f t="shared" ca="1" si="12"/>
        <v>#NAME?</v>
      </c>
      <c r="J42" s="95"/>
      <c r="K42" s="96"/>
      <c r="L42" s="95" t="e">
        <f t="shared" ca="1" si="13"/>
        <v>#NAME?</v>
      </c>
      <c r="M42" s="80">
        <f t="shared" si="18"/>
        <v>17</v>
      </c>
      <c r="N42" s="78" t="str">
        <f t="shared" ca="1" si="14"/>
        <v/>
      </c>
      <c r="O42" s="80" t="str">
        <f t="shared" ca="1" si="19"/>
        <v/>
      </c>
      <c r="P42" s="78" t="str">
        <f t="shared" ca="1" si="15"/>
        <v/>
      </c>
      <c r="Q42" s="68"/>
      <c r="R42" s="94" t="str">
        <f t="shared" ca="1" si="16"/>
        <v/>
      </c>
      <c r="S42" s="93" t="str">
        <f t="shared" ca="1" si="17"/>
        <v/>
      </c>
      <c r="U42" s="72" t="e">
        <f ca="1"/>
        <v>#NAME?</v>
      </c>
      <c r="V42" s="71" t="e">
        <f ca="1"/>
        <v>#NAME?</v>
      </c>
      <c r="Y42" s="81" t="s">
        <v>187</v>
      </c>
      <c r="Z42" s="80" t="e">
        <f ca="1">$Z$29*_xll.RtGet($AD$32,$AD$33&amp;$Y42&amp;$AD$34,Z$30)</f>
        <v>#NAME?</v>
      </c>
      <c r="AA42" s="78" t="e">
        <f ca="1">$Z$29*_xll.RtGet($AD$32,$AD$33&amp;$Y42&amp;$AD$34,AA$30)</f>
        <v>#NAME?</v>
      </c>
      <c r="AF42" s="233" t="e">
        <f t="shared" ca="1" si="20"/>
        <v>#NAME?</v>
      </c>
      <c r="AG42" s="227" t="str">
        <f t="shared" ca="1" si="25"/>
        <v/>
      </c>
      <c r="AH42" s="227" t="str">
        <f t="shared" ca="1" si="21"/>
        <v/>
      </c>
      <c r="AI42" s="234" t="str">
        <f t="shared" ca="1" si="22"/>
        <v/>
      </c>
      <c r="AJ42" s="235">
        <f t="shared" si="29"/>
        <v>96</v>
      </c>
      <c r="AK42" s="224" t="str">
        <f t="shared" ca="1" si="26"/>
        <v/>
      </c>
      <c r="AL42" s="224" t="str">
        <f t="shared" ca="1" si="27"/>
        <v/>
      </c>
      <c r="AM42" s="224" t="b">
        <f t="shared" ca="1" si="23"/>
        <v>0</v>
      </c>
      <c r="AN42" s="236" t="str">
        <f t="shared" ca="1" si="24"/>
        <v/>
      </c>
      <c r="AO42" s="235" t="str">
        <f t="array" aca="1" ref="AO42:AP42" ca="1">IF(AM42,INDEX($AH$31:$AI$72,AN42,0),"")</f>
        <v/>
      </c>
      <c r="AP42" s="236" t="str">
        <f ca="1"/>
        <v/>
      </c>
      <c r="AQ42" s="235">
        <v>96</v>
      </c>
      <c r="AR42" s="237" t="e">
        <f ca="1"/>
        <v>#NAME?</v>
      </c>
    </row>
    <row r="43" spans="1:44" ht="11.25" customHeight="1" x14ac:dyDescent="0.2">
      <c r="A43" s="66"/>
      <c r="E43" s="98" t="b">
        <f t="shared" ca="1" si="10"/>
        <v>0</v>
      </c>
      <c r="F43" s="169" t="str">
        <f t="shared" ca="1" si="11"/>
        <v/>
      </c>
      <c r="G43" s="68"/>
      <c r="H43" s="68"/>
      <c r="I43" s="97" t="e">
        <f t="shared" ca="1" si="12"/>
        <v>#NAME?</v>
      </c>
      <c r="J43" s="95"/>
      <c r="K43" s="96"/>
      <c r="L43" s="95" t="e">
        <f t="shared" ca="1" si="13"/>
        <v>#NAME?</v>
      </c>
      <c r="M43" s="80">
        <f t="shared" si="18"/>
        <v>18</v>
      </c>
      <c r="N43" s="78" t="str">
        <f t="shared" ca="1" si="14"/>
        <v/>
      </c>
      <c r="O43" s="80" t="str">
        <f t="shared" ca="1" si="19"/>
        <v/>
      </c>
      <c r="P43" s="78" t="str">
        <f t="shared" ca="1" si="15"/>
        <v/>
      </c>
      <c r="Q43" s="68"/>
      <c r="R43" s="94" t="str">
        <f t="shared" ca="1" si="16"/>
        <v/>
      </c>
      <c r="S43" s="93" t="str">
        <f t="shared" ca="1" si="17"/>
        <v/>
      </c>
      <c r="U43" s="72" t="e">
        <f ca="1"/>
        <v>#NAME?</v>
      </c>
      <c r="V43" s="71" t="e">
        <f ca="1"/>
        <v>#NAME?</v>
      </c>
      <c r="Y43" s="81" t="s">
        <v>188</v>
      </c>
      <c r="Z43" s="80" t="e">
        <f ca="1">$Z$29*_xll.RtGet($AD$32,$AD$33&amp;$Y43&amp;$AD$34,Z$30)</f>
        <v>#NAME?</v>
      </c>
      <c r="AA43" s="78" t="e">
        <f ca="1">$Z$29*_xll.RtGet($AD$32,$AD$33&amp;$Y43&amp;$AD$34,AA$30)</f>
        <v>#NAME?</v>
      </c>
      <c r="AF43" s="233" t="e">
        <f t="shared" ca="1" si="20"/>
        <v>#NAME?</v>
      </c>
      <c r="AG43" s="227" t="str">
        <f t="shared" ca="1" si="25"/>
        <v/>
      </c>
      <c r="AH43" s="227" t="str">
        <f t="shared" ca="1" si="21"/>
        <v/>
      </c>
      <c r="AI43" s="234" t="str">
        <f t="shared" ca="1" si="22"/>
        <v/>
      </c>
      <c r="AJ43" s="235">
        <f t="shared" si="29"/>
        <v>108</v>
      </c>
      <c r="AK43" s="224" t="str">
        <f t="shared" ca="1" si="26"/>
        <v/>
      </c>
      <c r="AL43" s="224" t="str">
        <f t="shared" ca="1" si="27"/>
        <v/>
      </c>
      <c r="AM43" s="224" t="b">
        <f t="shared" ca="1" si="23"/>
        <v>0</v>
      </c>
      <c r="AN43" s="236" t="str">
        <f t="shared" ca="1" si="24"/>
        <v/>
      </c>
      <c r="AO43" s="235" t="str">
        <f t="array" aca="1" ref="AO43:AP43" ca="1">IF(AM43,INDEX($AH$31:$AI$72,AN43,0),"")</f>
        <v/>
      </c>
      <c r="AP43" s="236" t="str">
        <f ca="1"/>
        <v/>
      </c>
      <c r="AQ43" s="235">
        <v>108</v>
      </c>
      <c r="AR43" s="237" t="e">
        <f ca="1"/>
        <v>#NAME?</v>
      </c>
    </row>
    <row r="44" spans="1:44" ht="11.25" customHeight="1" x14ac:dyDescent="0.2">
      <c r="A44" s="66"/>
      <c r="E44" s="98" t="b">
        <f t="shared" ca="1" si="10"/>
        <v>0</v>
      </c>
      <c r="F44" s="169" t="str">
        <f t="shared" ca="1" si="11"/>
        <v/>
      </c>
      <c r="G44" s="68"/>
      <c r="H44" s="68"/>
      <c r="I44" s="97" t="e">
        <f t="shared" ca="1" si="12"/>
        <v>#NAME?</v>
      </c>
      <c r="J44" s="95"/>
      <c r="K44" s="96"/>
      <c r="L44" s="95" t="e">
        <f t="shared" ca="1" si="13"/>
        <v>#NAME?</v>
      </c>
      <c r="M44" s="80">
        <f t="shared" si="18"/>
        <v>19</v>
      </c>
      <c r="N44" s="78" t="str">
        <f t="shared" ca="1" si="14"/>
        <v/>
      </c>
      <c r="O44" s="80" t="str">
        <f t="shared" ca="1" si="19"/>
        <v/>
      </c>
      <c r="P44" s="78" t="str">
        <f t="shared" ca="1" si="15"/>
        <v/>
      </c>
      <c r="Q44" s="68"/>
      <c r="R44" s="94" t="str">
        <f t="shared" ca="1" si="16"/>
        <v/>
      </c>
      <c r="S44" s="93" t="str">
        <f t="shared" ca="1" si="17"/>
        <v/>
      </c>
      <c r="U44" s="72" t="e">
        <f ca="1"/>
        <v>#NAME?</v>
      </c>
      <c r="V44" s="71" t="e">
        <f ca="1"/>
        <v>#NAME?</v>
      </c>
      <c r="Y44" s="81"/>
      <c r="Z44" s="80" t="e">
        <f ca="1">$Z$29*_xll.RtGet($AD$32,$AD$33&amp;$Y44&amp;$AD$34,Z$30)</f>
        <v>#NAME?</v>
      </c>
      <c r="AA44" s="78" t="e">
        <f ca="1">$Z$29*_xll.RtGet($AD$32,$AD$33&amp;$Y44&amp;$AD$34,AA$30)</f>
        <v>#NAME?</v>
      </c>
      <c r="AF44" s="233" t="e">
        <f t="shared" ca="1" si="20"/>
        <v>#NAME?</v>
      </c>
      <c r="AG44" s="227" t="str">
        <f t="shared" ca="1" si="25"/>
        <v/>
      </c>
      <c r="AH44" s="227" t="str">
        <f t="shared" ca="1" si="21"/>
        <v/>
      </c>
      <c r="AI44" s="234" t="str">
        <f t="shared" ca="1" si="22"/>
        <v/>
      </c>
      <c r="AJ44" s="235">
        <f t="shared" si="29"/>
        <v>120</v>
      </c>
      <c r="AK44" s="224" t="str">
        <f t="shared" ca="1" si="26"/>
        <v/>
      </c>
      <c r="AL44" s="224" t="str">
        <f t="shared" ca="1" si="27"/>
        <v/>
      </c>
      <c r="AM44" s="224" t="b">
        <f t="shared" ca="1" si="23"/>
        <v>0</v>
      </c>
      <c r="AN44" s="236" t="str">
        <f t="shared" ca="1" si="24"/>
        <v/>
      </c>
      <c r="AO44" s="235" t="str">
        <f t="array" aca="1" ref="AO44:AP44" ca="1">IF(AM44,INDEX($AH$31:$AI$72,AN44,0),"")</f>
        <v/>
      </c>
      <c r="AP44" s="236" t="str">
        <f ca="1"/>
        <v/>
      </c>
      <c r="AQ44" s="235">
        <v>120</v>
      </c>
      <c r="AR44" s="237" t="e">
        <f ca="1"/>
        <v>#NAME?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ca="1" si="10"/>
        <v>0</v>
      </c>
      <c r="F45" s="169" t="str">
        <f t="shared" ca="1" si="11"/>
        <v/>
      </c>
      <c r="G45" s="68"/>
      <c r="H45" s="68"/>
      <c r="I45" s="97" t="e">
        <f t="shared" ca="1" si="12"/>
        <v>#NAME?</v>
      </c>
      <c r="J45" s="95"/>
      <c r="K45" s="96"/>
      <c r="L45" s="95" t="e">
        <f t="shared" ca="1" si="13"/>
        <v>#NAME?</v>
      </c>
      <c r="M45" s="80">
        <f t="shared" si="18"/>
        <v>20</v>
      </c>
      <c r="N45" s="78" t="str">
        <f t="shared" ca="1" si="14"/>
        <v/>
      </c>
      <c r="O45" s="80" t="str">
        <f t="shared" ca="1" si="19"/>
        <v/>
      </c>
      <c r="P45" s="78" t="str">
        <f t="shared" ca="1" si="15"/>
        <v/>
      </c>
      <c r="Q45" s="68"/>
      <c r="R45" s="94" t="str">
        <f t="shared" ca="1" si="16"/>
        <v/>
      </c>
      <c r="S45" s="93" t="str">
        <f t="shared" ca="1" si="17"/>
        <v/>
      </c>
      <c r="U45" s="72" t="e">
        <f ca="1"/>
        <v>#NAME?</v>
      </c>
      <c r="V45" s="71" t="e">
        <f ca="1"/>
        <v>#NAME?</v>
      </c>
      <c r="Y45" s="81"/>
      <c r="Z45" s="80" t="e">
        <f ca="1">$Z$29*_xll.RtGet($AD$32,$AD$33&amp;$Y45&amp;$AD$34,Z$30)</f>
        <v>#NAME?</v>
      </c>
      <c r="AA45" s="78" t="e">
        <f ca="1">$Z$29*_xll.RtGet($AD$32,$AD$33&amp;$Y45&amp;$AD$34,AA$30)</f>
        <v>#NAME?</v>
      </c>
      <c r="AF45" s="233" t="e">
        <f t="shared" ca="1" si="20"/>
        <v>#NAME?</v>
      </c>
      <c r="AG45" s="227" t="str">
        <f t="shared" ca="1" si="25"/>
        <v/>
      </c>
      <c r="AH45" s="227" t="str">
        <f t="shared" ca="1" si="21"/>
        <v/>
      </c>
      <c r="AI45" s="234" t="str">
        <f t="shared" ca="1" si="22"/>
        <v/>
      </c>
      <c r="AJ45" s="235">
        <f t="shared" si="29"/>
        <v>132</v>
      </c>
      <c r="AK45" s="224" t="str">
        <f t="shared" ca="1" si="26"/>
        <v/>
      </c>
      <c r="AL45" s="224" t="str">
        <f t="shared" ca="1" si="27"/>
        <v/>
      </c>
      <c r="AM45" s="224" t="b">
        <f t="shared" ca="1" si="23"/>
        <v>0</v>
      </c>
      <c r="AN45" s="236" t="str">
        <f t="shared" ca="1" si="24"/>
        <v/>
      </c>
      <c r="AO45" s="235" t="str">
        <f t="array" aca="1" ref="AO45:AP45" ca="1">IF(AM45,INDEX($AH$31:$AI$72,AN45,0),"")</f>
        <v/>
      </c>
      <c r="AP45" s="236" t="str">
        <f ca="1"/>
        <v/>
      </c>
      <c r="AQ45" s="235">
        <v>132</v>
      </c>
      <c r="AR45" s="237" t="e">
        <f ca="1"/>
        <v>#NAME?</v>
      </c>
    </row>
    <row r="46" spans="1:44" ht="11.25" customHeight="1" x14ac:dyDescent="0.2">
      <c r="E46" s="98" t="b">
        <f t="shared" ca="1" si="10"/>
        <v>0</v>
      </c>
      <c r="F46" s="169" t="str">
        <f t="shared" ca="1" si="11"/>
        <v/>
      </c>
      <c r="G46" s="68"/>
      <c r="H46" s="68"/>
      <c r="I46" s="97" t="e">
        <f t="shared" ca="1" si="12"/>
        <v>#NAME?</v>
      </c>
      <c r="J46" s="95"/>
      <c r="K46" s="96"/>
      <c r="L46" s="95" t="e">
        <f t="shared" ca="1" si="13"/>
        <v>#NAME?</v>
      </c>
      <c r="M46" s="80">
        <f t="shared" si="18"/>
        <v>21</v>
      </c>
      <c r="N46" s="78" t="str">
        <f t="shared" ca="1" si="14"/>
        <v/>
      </c>
      <c r="O46" s="80" t="str">
        <f t="shared" ca="1" si="19"/>
        <v/>
      </c>
      <c r="P46" s="78" t="str">
        <f t="shared" ca="1" si="15"/>
        <v/>
      </c>
      <c r="Q46" s="68"/>
      <c r="R46" s="94" t="str">
        <f t="shared" ca="1" si="16"/>
        <v/>
      </c>
      <c r="S46" s="93" t="str">
        <f t="shared" ca="1" si="17"/>
        <v/>
      </c>
      <c r="U46" s="72" t="e">
        <f ca="1"/>
        <v>#NAME?</v>
      </c>
      <c r="V46" s="71" t="e">
        <f ca="1"/>
        <v>#NAME?</v>
      </c>
      <c r="Y46" s="81"/>
      <c r="Z46" s="80" t="e">
        <f ca="1">$Z$29*_xll.RtGet($AD$32,$AD$33&amp;$Y46&amp;$AD$34,Z$30)</f>
        <v>#NAME?</v>
      </c>
      <c r="AA46" s="78" t="e">
        <f ca="1">$Z$29*_xll.RtGet($AD$32,$AD$33&amp;$Y46&amp;$AD$34,AA$30)</f>
        <v>#NAME?</v>
      </c>
      <c r="AF46" s="233" t="e">
        <f t="shared" ca="1" si="20"/>
        <v>#NAME?</v>
      </c>
      <c r="AG46" s="227" t="str">
        <f t="shared" ca="1" si="25"/>
        <v/>
      </c>
      <c r="AH46" s="227" t="str">
        <f t="shared" ca="1" si="21"/>
        <v/>
      </c>
      <c r="AI46" s="234" t="str">
        <f t="shared" ca="1" si="22"/>
        <v/>
      </c>
      <c r="AJ46" s="235">
        <f t="shared" si="29"/>
        <v>144</v>
      </c>
      <c r="AK46" s="224" t="str">
        <f t="shared" ca="1" si="26"/>
        <v/>
      </c>
      <c r="AL46" s="224" t="str">
        <f t="shared" ca="1" si="27"/>
        <v/>
      </c>
      <c r="AM46" s="224" t="b">
        <f t="shared" ca="1" si="23"/>
        <v>0</v>
      </c>
      <c r="AN46" s="236" t="str">
        <f t="shared" ca="1" si="24"/>
        <v/>
      </c>
      <c r="AO46" s="235" t="str">
        <f t="array" aca="1" ref="AO46:AP46" ca="1">IF(AM46,INDEX($AH$31:$AI$72,AN46,0),"")</f>
        <v/>
      </c>
      <c r="AP46" s="236" t="str">
        <f ca="1"/>
        <v/>
      </c>
      <c r="AQ46" s="235">
        <v>144</v>
      </c>
      <c r="AR46" s="237" t="e">
        <f ca="1"/>
        <v>#NAME?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ca="1" si="10"/>
        <v>0</v>
      </c>
      <c r="F47" s="169" t="str">
        <f t="shared" ca="1" si="11"/>
        <v/>
      </c>
      <c r="G47" s="68"/>
      <c r="H47" s="68"/>
      <c r="I47" s="97" t="e">
        <f t="shared" ca="1" si="12"/>
        <v>#NAME?</v>
      </c>
      <c r="J47" s="95"/>
      <c r="K47" s="96"/>
      <c r="L47" s="95" t="e">
        <f t="shared" ca="1" si="13"/>
        <v>#NAME?</v>
      </c>
      <c r="M47" s="80">
        <f t="shared" si="18"/>
        <v>22</v>
      </c>
      <c r="N47" s="78" t="str">
        <f t="shared" ca="1" si="14"/>
        <v/>
      </c>
      <c r="O47" s="80" t="str">
        <f t="shared" ca="1" si="19"/>
        <v/>
      </c>
      <c r="P47" s="78" t="str">
        <f t="shared" ca="1" si="15"/>
        <v/>
      </c>
      <c r="Q47" s="68"/>
      <c r="R47" s="94" t="str">
        <f t="shared" ca="1" si="16"/>
        <v/>
      </c>
      <c r="S47" s="93" t="str">
        <f t="shared" ca="1" si="17"/>
        <v/>
      </c>
      <c r="U47" s="72" t="e">
        <f ca="1"/>
        <v>#NAME?</v>
      </c>
      <c r="V47" s="71" t="e">
        <f ca="1"/>
        <v>#NAME?</v>
      </c>
      <c r="Y47" s="81"/>
      <c r="Z47" s="80" t="e">
        <f ca="1">$Z$29*_xll.RtGet($AD$32,$AD$33&amp;$Y47&amp;$AD$34,Z$30)</f>
        <v>#NAME?</v>
      </c>
      <c r="AA47" s="78" t="e">
        <f ca="1">$Z$29*_xll.RtGet($AD$32,$AD$33&amp;$Y47&amp;$AD$34,AA$30)</f>
        <v>#NAME?</v>
      </c>
      <c r="AF47" s="233" t="e">
        <f t="shared" ca="1" si="20"/>
        <v>#NAME?</v>
      </c>
      <c r="AG47" s="227" t="str">
        <f t="shared" ca="1" si="25"/>
        <v/>
      </c>
      <c r="AH47" s="227" t="str">
        <f t="shared" ca="1" si="21"/>
        <v/>
      </c>
      <c r="AI47" s="234" t="str">
        <f t="shared" ca="1" si="22"/>
        <v/>
      </c>
      <c r="AJ47" s="235">
        <f t="shared" si="29"/>
        <v>156</v>
      </c>
      <c r="AK47" s="224" t="str">
        <f t="shared" ca="1" si="26"/>
        <v/>
      </c>
      <c r="AL47" s="224" t="str">
        <f t="shared" ca="1" si="27"/>
        <v/>
      </c>
      <c r="AM47" s="224" t="b">
        <f t="shared" ca="1" si="23"/>
        <v>0</v>
      </c>
      <c r="AN47" s="236" t="str">
        <f t="shared" ca="1" si="24"/>
        <v/>
      </c>
      <c r="AO47" s="235" t="str">
        <f t="array" aca="1" ref="AO47:AP47" ca="1">IF(AM47,INDEX($AH$31:$AI$72,AN47,0),"")</f>
        <v/>
      </c>
      <c r="AP47" s="236" t="str">
        <f ca="1"/>
        <v/>
      </c>
      <c r="AQ47" s="235">
        <v>156</v>
      </c>
      <c r="AR47" s="237" t="e">
        <f ca="1"/>
        <v>#NAME?</v>
      </c>
    </row>
    <row r="48" spans="1:44" ht="11.25" customHeight="1" x14ac:dyDescent="0.2">
      <c r="B48" s="104" t="str">
        <f>"DomDiscCurveName"&amp;IF(ISBLANK(C8),"","#"&amp;C8)</f>
        <v>DomDiscCurveName#EURON_</v>
      </c>
      <c r="C48" s="103"/>
      <c r="E48" s="98" t="b">
        <f t="shared" ca="1" si="10"/>
        <v>0</v>
      </c>
      <c r="F48" s="169" t="str">
        <f t="shared" ca="1" si="11"/>
        <v/>
      </c>
      <c r="G48" s="68"/>
      <c r="H48" s="68"/>
      <c r="I48" s="97" t="e">
        <f t="shared" ca="1" si="12"/>
        <v>#NAME?</v>
      </c>
      <c r="J48" s="95"/>
      <c r="K48" s="96"/>
      <c r="L48" s="95" t="e">
        <f t="shared" ca="1" si="13"/>
        <v>#NAME?</v>
      </c>
      <c r="M48" s="80">
        <f t="shared" si="18"/>
        <v>23</v>
      </c>
      <c r="N48" s="78" t="str">
        <f t="shared" ca="1" si="14"/>
        <v/>
      </c>
      <c r="O48" s="80" t="str">
        <f t="shared" ca="1" si="19"/>
        <v/>
      </c>
      <c r="P48" s="78" t="str">
        <f t="shared" ca="1" si="15"/>
        <v/>
      </c>
      <c r="Q48" s="68"/>
      <c r="R48" s="94" t="str">
        <f t="shared" ca="1" si="16"/>
        <v/>
      </c>
      <c r="S48" s="93" t="str">
        <f t="shared" ca="1" si="17"/>
        <v/>
      </c>
      <c r="U48" s="72" t="e">
        <f ca="1"/>
        <v>#NAME?</v>
      </c>
      <c r="V48" s="71" t="e">
        <f ca="1"/>
        <v>#NAME?</v>
      </c>
      <c r="Y48" s="81"/>
      <c r="Z48" s="80" t="e">
        <f ca="1">$Z$29*_xll.RtGet($AD$32,$AD$33&amp;$Y48&amp;$AD$34,Z$30)</f>
        <v>#NAME?</v>
      </c>
      <c r="AA48" s="78" t="e">
        <f ca="1">$Z$29*_xll.RtGet($AD$32,$AD$33&amp;$Y48&amp;$AD$34,AA$30)</f>
        <v>#NAME?</v>
      </c>
      <c r="AF48" s="233" t="e">
        <f t="shared" ca="1" si="20"/>
        <v>#NAME?</v>
      </c>
      <c r="AG48" s="227" t="str">
        <f t="shared" ca="1" si="25"/>
        <v/>
      </c>
      <c r="AH48" s="227" t="str">
        <f t="shared" ca="1" si="21"/>
        <v/>
      </c>
      <c r="AI48" s="234" t="str">
        <f t="shared" ca="1" si="22"/>
        <v/>
      </c>
      <c r="AJ48" s="235">
        <f t="shared" si="29"/>
        <v>168</v>
      </c>
      <c r="AK48" s="224" t="str">
        <f t="shared" ca="1" si="26"/>
        <v/>
      </c>
      <c r="AL48" s="224" t="str">
        <f t="shared" ca="1" si="27"/>
        <v/>
      </c>
      <c r="AM48" s="224" t="b">
        <f t="shared" ca="1" si="23"/>
        <v>0</v>
      </c>
      <c r="AN48" s="236" t="str">
        <f t="shared" ca="1" si="24"/>
        <v/>
      </c>
      <c r="AO48" s="235" t="str">
        <f t="array" aca="1" ref="AO48:AP48" ca="1">IF(AM48,INDEX($AH$31:$AI$72,AN48,0),"")</f>
        <v/>
      </c>
      <c r="AP48" s="236" t="str">
        <f ca="1"/>
        <v/>
      </c>
      <c r="AQ48" s="235">
        <v>168</v>
      </c>
      <c r="AR48" s="237" t="e">
        <f ca="1"/>
        <v>#NAME?</v>
      </c>
    </row>
    <row r="49" spans="1:44" ht="11.25" customHeight="1" x14ac:dyDescent="0.2">
      <c r="B49" s="104" t="str">
        <f>"DomFwdCurveName"&amp;IF(ISBLANK(C9),"","#"&amp;C9)</f>
        <v>DomFwdCurveName#EUR3M_</v>
      </c>
      <c r="C49" s="103"/>
      <c r="E49" s="98" t="b">
        <f t="shared" ca="1" si="10"/>
        <v>0</v>
      </c>
      <c r="F49" s="169" t="str">
        <f t="shared" ca="1" si="11"/>
        <v/>
      </c>
      <c r="G49" s="68"/>
      <c r="H49" s="68"/>
      <c r="I49" s="97" t="e">
        <f t="shared" ca="1" si="12"/>
        <v>#NAME?</v>
      </c>
      <c r="J49" s="95"/>
      <c r="K49" s="96"/>
      <c r="L49" s="95" t="e">
        <f t="shared" ca="1" si="13"/>
        <v>#NAME?</v>
      </c>
      <c r="M49" s="80">
        <f t="shared" si="18"/>
        <v>24</v>
      </c>
      <c r="N49" s="78" t="str">
        <f t="shared" ca="1" si="14"/>
        <v/>
      </c>
      <c r="O49" s="80" t="str">
        <f t="shared" ca="1" si="19"/>
        <v/>
      </c>
      <c r="P49" s="78" t="str">
        <f t="shared" ca="1" si="15"/>
        <v/>
      </c>
      <c r="Q49" s="68"/>
      <c r="R49" s="94" t="str">
        <f t="shared" ca="1" si="16"/>
        <v/>
      </c>
      <c r="S49" s="93" t="str">
        <f t="shared" ca="1" si="17"/>
        <v/>
      </c>
      <c r="U49" s="72" t="e">
        <f ca="1"/>
        <v>#NAME?</v>
      </c>
      <c r="V49" s="71" t="e">
        <f ca="1"/>
        <v>#NAME?</v>
      </c>
      <c r="Y49" s="81"/>
      <c r="Z49" s="80" t="e">
        <f ca="1">$Z$29*_xll.RtGet($AD$32,$AD$33&amp;$Y49&amp;$AD$34,Z$30)</f>
        <v>#NAME?</v>
      </c>
      <c r="AA49" s="78" t="e">
        <f ca="1">$Z$29*_xll.RtGet($AD$32,$AD$33&amp;$Y49&amp;$AD$34,AA$30)</f>
        <v>#NAME?</v>
      </c>
      <c r="AF49" s="233" t="e">
        <f t="shared" ca="1" si="20"/>
        <v>#NAME?</v>
      </c>
      <c r="AG49" s="227" t="str">
        <f t="shared" ca="1" si="25"/>
        <v/>
      </c>
      <c r="AH49" s="227" t="str">
        <f t="shared" ca="1" si="21"/>
        <v/>
      </c>
      <c r="AI49" s="234" t="str">
        <f t="shared" ca="1" si="22"/>
        <v/>
      </c>
      <c r="AJ49" s="235">
        <f t="shared" si="29"/>
        <v>180</v>
      </c>
      <c r="AK49" s="224" t="str">
        <f t="shared" ca="1" si="26"/>
        <v/>
      </c>
      <c r="AL49" s="224" t="str">
        <f t="shared" ca="1" si="27"/>
        <v/>
      </c>
      <c r="AM49" s="224" t="b">
        <f t="shared" ca="1" si="23"/>
        <v>0</v>
      </c>
      <c r="AN49" s="236" t="str">
        <f t="shared" ca="1" si="24"/>
        <v/>
      </c>
      <c r="AO49" s="235" t="str">
        <f t="array" aca="1" ref="AO49:AP49" ca="1">IF(AM49,INDEX($AH$31:$AI$72,AN49,0),"")</f>
        <v/>
      </c>
      <c r="AP49" s="236" t="str">
        <f ca="1"/>
        <v/>
      </c>
      <c r="AQ49" s="235">
        <v>180</v>
      </c>
      <c r="AR49" s="237" t="e">
        <f ca="1"/>
        <v>#NAME?</v>
      </c>
    </row>
    <row r="50" spans="1:44" ht="11.25" customHeight="1" x14ac:dyDescent="0.2">
      <c r="B50" s="104" t="str">
        <f>"ForFwdCurveName"&amp;IF(ISBLANK(C10),"","#"&amp;C10)</f>
        <v>ForFwdCurveName#USD3M_</v>
      </c>
      <c r="C50" s="103"/>
      <c r="E50" s="98" t="b">
        <f t="shared" ca="1" si="10"/>
        <v>0</v>
      </c>
      <c r="F50" s="169" t="str">
        <f t="shared" ca="1" si="11"/>
        <v/>
      </c>
      <c r="G50" s="68"/>
      <c r="H50" s="68"/>
      <c r="I50" s="97" t="e">
        <f t="shared" ca="1" si="12"/>
        <v>#NAME?</v>
      </c>
      <c r="J50" s="95"/>
      <c r="K50" s="96"/>
      <c r="L50" s="95" t="e">
        <f t="shared" ca="1" si="13"/>
        <v>#NAME?</v>
      </c>
      <c r="M50" s="80">
        <f t="shared" si="18"/>
        <v>25</v>
      </c>
      <c r="N50" s="78" t="str">
        <f t="shared" ca="1" si="14"/>
        <v/>
      </c>
      <c r="O50" s="80" t="str">
        <f t="shared" ca="1" si="19"/>
        <v/>
      </c>
      <c r="P50" s="78" t="str">
        <f t="shared" ca="1" si="15"/>
        <v/>
      </c>
      <c r="Q50" s="68"/>
      <c r="R50" s="94" t="str">
        <f t="shared" ca="1" si="16"/>
        <v/>
      </c>
      <c r="S50" s="93" t="str">
        <f t="shared" ca="1" si="17"/>
        <v/>
      </c>
      <c r="U50" s="72" t="e">
        <f ca="1"/>
        <v>#NAME?</v>
      </c>
      <c r="V50" s="71" t="e">
        <f ca="1"/>
        <v>#NAME?</v>
      </c>
      <c r="Y50" s="81"/>
      <c r="Z50" s="80" t="e">
        <f ca="1">$Z$29*_xll.RtGet($AD$32,$AD$33&amp;$Y50&amp;$AD$34,Z$30)</f>
        <v>#NAME?</v>
      </c>
      <c r="AA50" s="78" t="e">
        <f ca="1">$Z$29*_xll.RtGet($AD$32,$AD$33&amp;$Y50&amp;$AD$34,AA$30)</f>
        <v>#NAME?</v>
      </c>
      <c r="AF50" s="233" t="e">
        <f t="shared" ca="1" si="20"/>
        <v>#NAME?</v>
      </c>
      <c r="AG50" s="227" t="str">
        <f t="shared" ca="1" si="25"/>
        <v/>
      </c>
      <c r="AH50" s="227" t="str">
        <f t="shared" ca="1" si="21"/>
        <v/>
      </c>
      <c r="AI50" s="234" t="str">
        <f t="shared" ca="1" si="22"/>
        <v/>
      </c>
      <c r="AJ50" s="235">
        <f t="shared" si="29"/>
        <v>192</v>
      </c>
      <c r="AK50" s="224" t="str">
        <f t="shared" ca="1" si="26"/>
        <v/>
      </c>
      <c r="AL50" s="224" t="str">
        <f t="shared" ca="1" si="27"/>
        <v/>
      </c>
      <c r="AM50" s="224" t="b">
        <f t="shared" ca="1" si="23"/>
        <v>0</v>
      </c>
      <c r="AN50" s="236" t="str">
        <f t="shared" ca="1" si="24"/>
        <v/>
      </c>
      <c r="AO50" s="235" t="str">
        <f t="array" aca="1" ref="AO50:AP50" ca="1">IF(AM50,INDEX($AH$31:$AI$72,AN50,0),"")</f>
        <v/>
      </c>
      <c r="AP50" s="236" t="str">
        <f ca="1"/>
        <v/>
      </c>
      <c r="AQ50" s="235">
        <v>192</v>
      </c>
      <c r="AR50" s="237" t="e">
        <f ca="1"/>
        <v>#NAME?</v>
      </c>
    </row>
    <row r="51" spans="1:44" ht="11.25" customHeight="1" x14ac:dyDescent="0.2">
      <c r="B51" s="104" t="str">
        <f>"CCSSpreadCurr"&amp;IF(ISBLANK(C7),"","#"&amp;C7)</f>
        <v>CCSSpreadCurr#EUR</v>
      </c>
      <c r="C51" s="103"/>
      <c r="E51" s="98" t="b">
        <f t="shared" ca="1" si="10"/>
        <v>0</v>
      </c>
      <c r="F51" s="169" t="str">
        <f t="shared" ca="1" si="11"/>
        <v/>
      </c>
      <c r="G51" s="68"/>
      <c r="H51" s="68"/>
      <c r="I51" s="97" t="e">
        <f t="shared" ca="1" si="12"/>
        <v>#NAME?</v>
      </c>
      <c r="J51" s="95"/>
      <c r="K51" s="96"/>
      <c r="L51" s="95" t="e">
        <f t="shared" ca="1" si="13"/>
        <v>#NAME?</v>
      </c>
      <c r="M51" s="80">
        <f t="shared" si="18"/>
        <v>26</v>
      </c>
      <c r="N51" s="78" t="str">
        <f t="shared" ca="1" si="14"/>
        <v/>
      </c>
      <c r="O51" s="80" t="str">
        <f t="shared" ca="1" si="19"/>
        <v/>
      </c>
      <c r="P51" s="78" t="str">
        <f t="shared" ca="1" si="15"/>
        <v/>
      </c>
      <c r="Q51" s="68"/>
      <c r="R51" s="94" t="str">
        <f t="shared" ca="1" si="16"/>
        <v/>
      </c>
      <c r="S51" s="93" t="str">
        <f t="shared" ca="1" si="17"/>
        <v/>
      </c>
      <c r="U51" s="72" t="e">
        <f ca="1"/>
        <v>#NAME?</v>
      </c>
      <c r="V51" s="71" t="e">
        <f ca="1"/>
        <v>#NAME?</v>
      </c>
      <c r="Y51" s="81"/>
      <c r="Z51" s="80" t="e">
        <f ca="1">$Z$29*_xll.RtGet($AD$32,$AD$33&amp;$Y51&amp;$AD$34,Z$30)</f>
        <v>#NAME?</v>
      </c>
      <c r="AA51" s="78" t="e">
        <f ca="1">$Z$29*_xll.RtGet($AD$32,$AD$33&amp;$Y51&amp;$AD$34,AA$30)</f>
        <v>#NAME?</v>
      </c>
      <c r="AF51" s="233" t="e">
        <f t="shared" ca="1" si="20"/>
        <v>#NAME?</v>
      </c>
      <c r="AG51" s="227" t="str">
        <f t="shared" ca="1" si="25"/>
        <v/>
      </c>
      <c r="AH51" s="227" t="str">
        <f t="shared" ca="1" si="21"/>
        <v/>
      </c>
      <c r="AI51" s="234" t="str">
        <f t="shared" ca="1" si="22"/>
        <v/>
      </c>
      <c r="AJ51" s="235">
        <f t="shared" si="29"/>
        <v>204</v>
      </c>
      <c r="AK51" s="224" t="str">
        <f t="shared" ca="1" si="26"/>
        <v/>
      </c>
      <c r="AL51" s="224" t="str">
        <f t="shared" ca="1" si="27"/>
        <v/>
      </c>
      <c r="AM51" s="224" t="b">
        <f t="shared" ca="1" si="23"/>
        <v>0</v>
      </c>
      <c r="AN51" s="236" t="str">
        <f t="shared" ca="1" si="24"/>
        <v/>
      </c>
      <c r="AO51" s="235" t="str">
        <f t="array" aca="1" ref="AO51:AP51" ca="1">IF(AM51,INDEX($AH$31:$AI$72,AN51,0),"")</f>
        <v/>
      </c>
      <c r="AP51" s="236" t="str">
        <f ca="1"/>
        <v/>
      </c>
      <c r="AQ51" s="235">
        <v>204</v>
      </c>
      <c r="AR51" s="237" t="e">
        <f ca="1"/>
        <v>#NAME?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ca="1" si="10"/>
        <v>0</v>
      </c>
      <c r="F52" s="169" t="str">
        <f t="shared" ca="1" si="11"/>
        <v/>
      </c>
      <c r="G52" s="68"/>
      <c r="H52" s="68"/>
      <c r="I52" s="97" t="e">
        <f t="shared" ca="1" si="12"/>
        <v>#NAME?</v>
      </c>
      <c r="J52" s="95"/>
      <c r="K52" s="96"/>
      <c r="L52" s="95" t="e">
        <f t="shared" ca="1" si="13"/>
        <v>#NAME?</v>
      </c>
      <c r="M52" s="80">
        <f t="shared" si="18"/>
        <v>27</v>
      </c>
      <c r="N52" s="78" t="str">
        <f t="shared" ca="1" si="14"/>
        <v/>
      </c>
      <c r="O52" s="80" t="str">
        <f t="shared" ca="1" si="19"/>
        <v/>
      </c>
      <c r="P52" s="78" t="str">
        <f t="shared" ca="1" si="15"/>
        <v/>
      </c>
      <c r="Q52" s="68"/>
      <c r="R52" s="94" t="str">
        <f t="shared" ca="1" si="16"/>
        <v/>
      </c>
      <c r="S52" s="93" t="str">
        <f t="shared" ca="1" si="17"/>
        <v/>
      </c>
      <c r="U52" s="72" t="e">
        <f ca="1"/>
        <v>#NAME?</v>
      </c>
      <c r="V52" s="71" t="e">
        <f ca="1"/>
        <v>#NAME?</v>
      </c>
      <c r="Y52" s="81"/>
      <c r="Z52" s="80" t="e">
        <f ca="1">$Z$29*_xll.RtGet($AD$32,$AD$33&amp;$Y52&amp;$AD$34,Z$30)</f>
        <v>#NAME?</v>
      </c>
      <c r="AA52" s="78" t="e">
        <f ca="1">$Z$29*_xll.RtGet($AD$32,$AD$33&amp;$Y52&amp;$AD$34,AA$30)</f>
        <v>#NAME?</v>
      </c>
      <c r="AF52" s="233" t="e">
        <f t="shared" ca="1" si="20"/>
        <v>#NAME?</v>
      </c>
      <c r="AG52" s="227" t="str">
        <f t="shared" ca="1" si="25"/>
        <v/>
      </c>
      <c r="AH52" s="227" t="str">
        <f t="shared" ca="1" si="21"/>
        <v/>
      </c>
      <c r="AI52" s="234" t="str">
        <f t="shared" ca="1" si="22"/>
        <v/>
      </c>
      <c r="AJ52" s="235">
        <f t="shared" si="29"/>
        <v>216</v>
      </c>
      <c r="AK52" s="224" t="str">
        <f t="shared" ca="1" si="26"/>
        <v/>
      </c>
      <c r="AL52" s="224" t="str">
        <f t="shared" ca="1" si="27"/>
        <v/>
      </c>
      <c r="AM52" s="224" t="b">
        <f t="shared" ca="1" si="23"/>
        <v>0</v>
      </c>
      <c r="AN52" s="236" t="str">
        <f t="shared" ca="1" si="24"/>
        <v/>
      </c>
      <c r="AO52" s="235" t="str">
        <f t="array" aca="1" ref="AO52:AP52" ca="1">IF(AM52,INDEX($AH$31:$AI$72,AN52,0),"")</f>
        <v/>
      </c>
      <c r="AP52" s="236" t="str">
        <f ca="1"/>
        <v/>
      </c>
      <c r="AQ52" s="235">
        <v>216</v>
      </c>
      <c r="AR52" s="237" t="e">
        <f ca="1"/>
        <v>#NAME?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ca="1" si="10"/>
        <v>0</v>
      </c>
      <c r="F53" s="169" t="str">
        <f t="shared" ca="1" si="11"/>
        <v/>
      </c>
      <c r="G53" s="68"/>
      <c r="H53" s="68"/>
      <c r="I53" s="97" t="e">
        <f t="shared" ca="1" si="12"/>
        <v>#NAME?</v>
      </c>
      <c r="J53" s="95"/>
      <c r="K53" s="96"/>
      <c r="L53" s="95" t="e">
        <f t="shared" ca="1" si="13"/>
        <v>#NAME?</v>
      </c>
      <c r="M53" s="80">
        <f t="shared" si="18"/>
        <v>28</v>
      </c>
      <c r="N53" s="78" t="str">
        <f t="shared" ca="1" si="14"/>
        <v/>
      </c>
      <c r="O53" s="80" t="str">
        <f t="shared" ca="1" si="19"/>
        <v/>
      </c>
      <c r="P53" s="78" t="str">
        <f t="shared" ca="1" si="15"/>
        <v/>
      </c>
      <c r="Q53" s="68"/>
      <c r="R53" s="94" t="str">
        <f t="shared" ca="1" si="16"/>
        <v/>
      </c>
      <c r="S53" s="93" t="str">
        <f t="shared" ca="1" si="17"/>
        <v/>
      </c>
      <c r="U53" s="72" t="e">
        <f ca="1"/>
        <v>#NAME?</v>
      </c>
      <c r="V53" s="71" t="e">
        <f ca="1"/>
        <v>#NAME?</v>
      </c>
      <c r="Y53" s="81"/>
      <c r="Z53" s="80" t="e">
        <f ca="1">$Z$29*_xll.RtGet($AD$32,$AD$33&amp;$Y53&amp;$AD$34,Z$30)</f>
        <v>#NAME?</v>
      </c>
      <c r="AA53" s="78" t="e">
        <f ca="1">$Z$29*_xll.RtGet($AD$32,$AD$33&amp;$Y53&amp;$AD$34,AA$30)</f>
        <v>#NAME?</v>
      </c>
      <c r="AF53" s="233" t="e">
        <f t="shared" ca="1" si="20"/>
        <v>#NAME?</v>
      </c>
      <c r="AG53" s="227" t="str">
        <f t="shared" ca="1" si="25"/>
        <v/>
      </c>
      <c r="AH53" s="227" t="str">
        <f t="shared" ca="1" si="21"/>
        <v/>
      </c>
      <c r="AI53" s="234" t="str">
        <f t="shared" ca="1" si="22"/>
        <v/>
      </c>
      <c r="AJ53" s="235">
        <f t="shared" si="29"/>
        <v>228</v>
      </c>
      <c r="AK53" s="224" t="str">
        <f t="shared" ca="1" si="26"/>
        <v/>
      </c>
      <c r="AL53" s="224" t="str">
        <f t="shared" ca="1" si="27"/>
        <v/>
      </c>
      <c r="AM53" s="224" t="b">
        <f t="shared" ca="1" si="23"/>
        <v>0</v>
      </c>
      <c r="AN53" s="236" t="str">
        <f t="shared" ca="1" si="24"/>
        <v/>
      </c>
      <c r="AO53" s="235" t="str">
        <f t="array" aca="1" ref="AO53:AP53" ca="1">IF(AM53,INDEX($AH$31:$AI$72,AN53,0),"")</f>
        <v/>
      </c>
      <c r="AP53" s="236" t="str">
        <f ca="1"/>
        <v/>
      </c>
      <c r="AQ53" s="235">
        <v>228</v>
      </c>
      <c r="AR53" s="237" t="e">
        <f ca="1"/>
        <v>#NAME?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ca="1" si="10"/>
        <v>0</v>
      </c>
      <c r="F54" s="169" t="str">
        <f t="shared" ca="1" si="11"/>
        <v/>
      </c>
      <c r="G54" s="68"/>
      <c r="H54" s="68"/>
      <c r="I54" s="97" t="e">
        <f t="shared" ca="1" si="12"/>
        <v>#NAME?</v>
      </c>
      <c r="J54" s="95"/>
      <c r="K54" s="96"/>
      <c r="L54" s="95" t="e">
        <f t="shared" ca="1" si="13"/>
        <v>#NAME?</v>
      </c>
      <c r="M54" s="80">
        <f t="shared" si="18"/>
        <v>29</v>
      </c>
      <c r="N54" s="78" t="str">
        <f t="shared" ca="1" si="14"/>
        <v/>
      </c>
      <c r="O54" s="80" t="str">
        <f t="shared" ca="1" si="19"/>
        <v/>
      </c>
      <c r="P54" s="78" t="str">
        <f t="shared" ca="1" si="15"/>
        <v/>
      </c>
      <c r="Q54" s="68"/>
      <c r="R54" s="94" t="str">
        <f t="shared" ca="1" si="16"/>
        <v/>
      </c>
      <c r="S54" s="93" t="str">
        <f t="shared" ca="1" si="17"/>
        <v/>
      </c>
      <c r="U54" s="72" t="e">
        <f ca="1"/>
        <v>#NAME?</v>
      </c>
      <c r="V54" s="71" t="e">
        <f ca="1"/>
        <v>#NAME?</v>
      </c>
      <c r="Y54" s="81"/>
      <c r="Z54" s="80" t="e">
        <f ca="1">$Z$29*_xll.RtGet($AD$32,$AD$33&amp;$Y54&amp;$AD$34,Z$30)</f>
        <v>#NAME?</v>
      </c>
      <c r="AA54" s="78" t="e">
        <f ca="1">$Z$29*_xll.RtGet($AD$32,$AD$33&amp;$Y54&amp;$AD$34,AA$30)</f>
        <v>#NAME?</v>
      </c>
      <c r="AF54" s="233" t="e">
        <f t="shared" ca="1" si="20"/>
        <v>#NAME?</v>
      </c>
      <c r="AG54" s="227" t="str">
        <f t="shared" ca="1" si="25"/>
        <v/>
      </c>
      <c r="AH54" s="227" t="str">
        <f t="shared" ca="1" si="21"/>
        <v/>
      </c>
      <c r="AI54" s="234" t="str">
        <f t="shared" ca="1" si="22"/>
        <v/>
      </c>
      <c r="AJ54" s="235">
        <f t="shared" si="29"/>
        <v>240</v>
      </c>
      <c r="AK54" s="224" t="str">
        <f t="shared" ca="1" si="26"/>
        <v/>
      </c>
      <c r="AL54" s="224" t="str">
        <f t="shared" ca="1" si="27"/>
        <v/>
      </c>
      <c r="AM54" s="224" t="b">
        <f t="shared" ca="1" si="23"/>
        <v>0</v>
      </c>
      <c r="AN54" s="236" t="str">
        <f t="shared" ca="1" si="24"/>
        <v/>
      </c>
      <c r="AO54" s="235" t="str">
        <f t="array" aca="1" ref="AO54:AP54" ca="1">IF(AM54,INDEX($AH$31:$AI$72,AN54,0),"")</f>
        <v/>
      </c>
      <c r="AP54" s="236" t="str">
        <f ca="1"/>
        <v/>
      </c>
      <c r="AQ54" s="235">
        <v>240</v>
      </c>
      <c r="AR54" s="237" t="e">
        <f ca="1"/>
        <v>#NAME?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ca="1" si="10"/>
        <v>0</v>
      </c>
      <c r="F55" s="169" t="str">
        <f t="shared" ca="1" si="11"/>
        <v/>
      </c>
      <c r="G55" s="68"/>
      <c r="H55" s="68"/>
      <c r="I55" s="97" t="e">
        <f t="shared" ca="1" si="12"/>
        <v>#NAME?</v>
      </c>
      <c r="J55" s="95"/>
      <c r="K55" s="96"/>
      <c r="L55" s="95" t="e">
        <f t="shared" ca="1" si="13"/>
        <v>#NAME?</v>
      </c>
      <c r="M55" s="80">
        <f t="shared" si="18"/>
        <v>30</v>
      </c>
      <c r="N55" s="78" t="str">
        <f t="shared" ca="1" si="14"/>
        <v/>
      </c>
      <c r="O55" s="80" t="str">
        <f t="shared" ca="1" si="19"/>
        <v/>
      </c>
      <c r="P55" s="78" t="str">
        <f t="shared" ca="1" si="15"/>
        <v/>
      </c>
      <c r="Q55" s="68"/>
      <c r="R55" s="94" t="str">
        <f t="shared" ca="1" si="16"/>
        <v/>
      </c>
      <c r="S55" s="93" t="str">
        <f t="shared" ca="1" si="17"/>
        <v/>
      </c>
      <c r="U55" s="72" t="e">
        <f ca="1"/>
        <v>#NAME?</v>
      </c>
      <c r="V55" s="71" t="e">
        <f ca="1"/>
        <v>#NAME?</v>
      </c>
      <c r="Y55" s="81"/>
      <c r="Z55" s="80" t="e">
        <f ca="1">$Z$29*_xll.RtGet($AD$32,$AD$33&amp;$Y55&amp;$AD$34,Z$30)</f>
        <v>#NAME?</v>
      </c>
      <c r="AA55" s="78" t="e">
        <f ca="1">$Z$29*_xll.RtGet($AD$32,$AD$33&amp;$Y55&amp;$AD$34,AA$30)</f>
        <v>#NAME?</v>
      </c>
      <c r="AF55" s="233" t="e">
        <f t="shared" ca="1" si="20"/>
        <v>#NAME?</v>
      </c>
      <c r="AG55" s="227" t="str">
        <f t="shared" ca="1" si="25"/>
        <v/>
      </c>
      <c r="AH55" s="227" t="str">
        <f t="shared" ca="1" si="21"/>
        <v/>
      </c>
      <c r="AI55" s="234" t="str">
        <f t="shared" ca="1" si="22"/>
        <v/>
      </c>
      <c r="AJ55" s="235">
        <f t="shared" si="29"/>
        <v>252</v>
      </c>
      <c r="AK55" s="224" t="str">
        <f t="shared" ca="1" si="26"/>
        <v/>
      </c>
      <c r="AL55" s="224" t="str">
        <f t="shared" ca="1" si="27"/>
        <v/>
      </c>
      <c r="AM55" s="224" t="b">
        <f t="shared" ca="1" si="23"/>
        <v>0</v>
      </c>
      <c r="AN55" s="236" t="str">
        <f t="shared" ca="1" si="24"/>
        <v/>
      </c>
      <c r="AO55" s="235" t="str">
        <f t="array" aca="1" ref="AO55:AP55" ca="1">IF(AM55,INDEX($AH$31:$AI$72,AN55,0),"")</f>
        <v/>
      </c>
      <c r="AP55" s="236" t="str">
        <f ca="1"/>
        <v/>
      </c>
      <c r="AQ55" s="235">
        <v>252</v>
      </c>
      <c r="AR55" s="237" t="e">
        <f ca="1"/>
        <v>#NAME?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ca="1" si="10"/>
        <v>0</v>
      </c>
      <c r="F56" s="169" t="str">
        <f t="shared" ca="1" si="11"/>
        <v/>
      </c>
      <c r="G56" s="68"/>
      <c r="H56" s="68"/>
      <c r="I56" s="97" t="e">
        <f t="shared" ca="1" si="12"/>
        <v>#NAME?</v>
      </c>
      <c r="J56" s="95"/>
      <c r="K56" s="96"/>
      <c r="L56" s="95" t="e">
        <f t="shared" ca="1" si="13"/>
        <v>#NAME?</v>
      </c>
      <c r="M56" s="80">
        <f t="shared" si="18"/>
        <v>31</v>
      </c>
      <c r="N56" s="78" t="str">
        <f t="shared" ca="1" si="14"/>
        <v/>
      </c>
      <c r="O56" s="80" t="str">
        <f t="shared" ca="1" si="19"/>
        <v/>
      </c>
      <c r="P56" s="78" t="str">
        <f t="shared" ca="1" si="15"/>
        <v/>
      </c>
      <c r="Q56" s="68"/>
      <c r="R56" s="94" t="str">
        <f t="shared" ca="1" si="16"/>
        <v/>
      </c>
      <c r="S56" s="93" t="str">
        <f t="shared" ca="1" si="17"/>
        <v/>
      </c>
      <c r="U56" s="72" t="e">
        <f ca="1"/>
        <v>#NAME?</v>
      </c>
      <c r="V56" s="71" t="e">
        <f ca="1"/>
        <v>#NAME?</v>
      </c>
      <c r="Y56" s="81"/>
      <c r="Z56" s="80" t="e">
        <f ca="1">$Z$29*_xll.RtGet($AD$32,$AD$33&amp;$Y56&amp;$AD$34,Z$30)</f>
        <v>#NAME?</v>
      </c>
      <c r="AA56" s="78" t="e">
        <f ca="1">$Z$29*_xll.RtGet($AD$32,$AD$33&amp;$Y56&amp;$AD$34,AA$30)</f>
        <v>#NAME?</v>
      </c>
      <c r="AF56" s="233" t="e">
        <f t="shared" ca="1" si="20"/>
        <v>#NAME?</v>
      </c>
      <c r="AG56" s="227" t="str">
        <f t="shared" ca="1" si="25"/>
        <v/>
      </c>
      <c r="AH56" s="227" t="str">
        <f t="shared" ca="1" si="21"/>
        <v/>
      </c>
      <c r="AI56" s="234" t="str">
        <f t="shared" ca="1" si="22"/>
        <v/>
      </c>
      <c r="AJ56" s="235">
        <f t="shared" si="29"/>
        <v>264</v>
      </c>
      <c r="AK56" s="224" t="str">
        <f t="shared" ca="1" si="26"/>
        <v/>
      </c>
      <c r="AL56" s="224" t="str">
        <f t="shared" ca="1" si="27"/>
        <v/>
      </c>
      <c r="AM56" s="224" t="b">
        <f t="shared" ca="1" si="23"/>
        <v>0</v>
      </c>
      <c r="AN56" s="236" t="str">
        <f t="shared" ca="1" si="24"/>
        <v/>
      </c>
      <c r="AO56" s="235" t="str">
        <f t="array" aca="1" ref="AO56:AP56" ca="1">IF(AM56,INDEX($AH$31:$AI$72,AN56,0),"")</f>
        <v/>
      </c>
      <c r="AP56" s="236" t="str">
        <f ca="1"/>
        <v/>
      </c>
      <c r="AQ56" s="235">
        <v>264</v>
      </c>
      <c r="AR56" s="237" t="e">
        <f ca="1"/>
        <v>#NAME?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ca="1" si="10"/>
        <v>0</v>
      </c>
      <c r="F57" s="169" t="str">
        <f t="shared" ca="1" si="11"/>
        <v/>
      </c>
      <c r="G57" s="68"/>
      <c r="H57" s="68"/>
      <c r="I57" s="97" t="e">
        <f t="shared" ca="1" si="12"/>
        <v>#NAME?</v>
      </c>
      <c r="J57" s="95"/>
      <c r="K57" s="96"/>
      <c r="L57" s="95" t="e">
        <f t="shared" ca="1" si="13"/>
        <v>#NAME?</v>
      </c>
      <c r="M57" s="80">
        <f t="shared" si="18"/>
        <v>32</v>
      </c>
      <c r="N57" s="78" t="str">
        <f t="shared" ca="1" si="14"/>
        <v/>
      </c>
      <c r="O57" s="80" t="str">
        <f t="shared" ca="1" si="19"/>
        <v/>
      </c>
      <c r="P57" s="78" t="str">
        <f t="shared" ca="1" si="15"/>
        <v/>
      </c>
      <c r="Q57" s="68"/>
      <c r="R57" s="94" t="str">
        <f t="shared" ca="1" si="16"/>
        <v/>
      </c>
      <c r="S57" s="93" t="str">
        <f t="shared" ca="1" si="17"/>
        <v/>
      </c>
      <c r="U57" s="72" t="e">
        <f ca="1"/>
        <v>#NAME?</v>
      </c>
      <c r="V57" s="71" t="e">
        <f ca="1"/>
        <v>#NAME?</v>
      </c>
      <c r="Y57" s="81"/>
      <c r="Z57" s="80" t="e">
        <f ca="1">$Z$29*_xll.RtGet($AD$32,$AD$33&amp;$Y57&amp;$AD$34,Z$30)</f>
        <v>#NAME?</v>
      </c>
      <c r="AA57" s="78" t="e">
        <f ca="1">$Z$29*_xll.RtGet($AD$32,$AD$33&amp;$Y57&amp;$AD$34,AA$30)</f>
        <v>#NAME?</v>
      </c>
      <c r="AF57" s="233" t="e">
        <f t="shared" ca="1" si="20"/>
        <v>#NAME?</v>
      </c>
      <c r="AG57" s="227" t="str">
        <f t="shared" ca="1" si="25"/>
        <v/>
      </c>
      <c r="AH57" s="227" t="str">
        <f t="shared" ca="1" si="21"/>
        <v/>
      </c>
      <c r="AI57" s="234" t="str">
        <f t="shared" ca="1" si="22"/>
        <v/>
      </c>
      <c r="AJ57" s="235">
        <f t="shared" si="29"/>
        <v>276</v>
      </c>
      <c r="AK57" s="224" t="str">
        <f t="shared" ca="1" si="26"/>
        <v/>
      </c>
      <c r="AL57" s="224" t="str">
        <f t="shared" ca="1" si="27"/>
        <v/>
      </c>
      <c r="AM57" s="224" t="b">
        <f t="shared" ca="1" si="23"/>
        <v>0</v>
      </c>
      <c r="AN57" s="236" t="str">
        <f t="shared" ca="1" si="24"/>
        <v/>
      </c>
      <c r="AO57" s="235" t="str">
        <f t="array" aca="1" ref="AO57:AP57" ca="1">IF(AM57,INDEX($AH$31:$AI$72,AN57,0),"")</f>
        <v/>
      </c>
      <c r="AP57" s="236" t="str">
        <f ca="1"/>
        <v/>
      </c>
      <c r="AQ57" s="235">
        <v>276</v>
      </c>
      <c r="AR57" s="237" t="e">
        <f ca="1"/>
        <v>#NAME?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ca="1" si="10"/>
        <v>0</v>
      </c>
      <c r="F58" s="169" t="str">
        <f t="shared" ca="1" si="11"/>
        <v/>
      </c>
      <c r="G58" s="68"/>
      <c r="H58" s="68"/>
      <c r="I58" s="97" t="e">
        <f t="shared" ca="1" si="12"/>
        <v>#NAME?</v>
      </c>
      <c r="J58" s="95"/>
      <c r="K58" s="96"/>
      <c r="L58" s="95" t="e">
        <f t="shared" ca="1" si="13"/>
        <v>#NAME?</v>
      </c>
      <c r="M58" s="80">
        <f t="shared" si="18"/>
        <v>33</v>
      </c>
      <c r="N58" s="78" t="str">
        <f t="shared" ca="1" si="14"/>
        <v/>
      </c>
      <c r="O58" s="80" t="str">
        <f t="shared" ca="1" si="19"/>
        <v/>
      </c>
      <c r="P58" s="78" t="str">
        <f t="shared" ca="1" si="15"/>
        <v/>
      </c>
      <c r="Q58" s="68"/>
      <c r="R58" s="94" t="str">
        <f t="shared" ca="1" si="16"/>
        <v/>
      </c>
      <c r="S58" s="93" t="str">
        <f t="shared" ca="1" si="17"/>
        <v/>
      </c>
      <c r="U58" s="72" t="e">
        <f ca="1"/>
        <v>#NAME?</v>
      </c>
      <c r="V58" s="71" t="e">
        <f ca="1"/>
        <v>#NAME?</v>
      </c>
      <c r="Y58" s="81"/>
      <c r="Z58" s="80" t="e">
        <f ca="1">$Z$29*_xll.RtGet($AD$32,$AD$33&amp;$Y58&amp;$AD$34,Z$30)</f>
        <v>#NAME?</v>
      </c>
      <c r="AA58" s="78" t="e">
        <f ca="1">$Z$29*_xll.RtGet($AD$32,$AD$33&amp;$Y58&amp;$AD$34,AA$30)</f>
        <v>#NAME?</v>
      </c>
      <c r="AF58" s="233" t="e">
        <f t="shared" ca="1" si="20"/>
        <v>#NAME?</v>
      </c>
      <c r="AG58" s="227" t="str">
        <f t="shared" ca="1" si="25"/>
        <v/>
      </c>
      <c r="AH58" s="227" t="str">
        <f t="shared" ca="1" si="21"/>
        <v/>
      </c>
      <c r="AI58" s="234" t="str">
        <f t="shared" ca="1" si="22"/>
        <v/>
      </c>
      <c r="AJ58" s="235">
        <f t="shared" si="29"/>
        <v>288</v>
      </c>
      <c r="AK58" s="224" t="str">
        <f t="shared" ca="1" si="26"/>
        <v/>
      </c>
      <c r="AL58" s="224" t="str">
        <f t="shared" ca="1" si="27"/>
        <v/>
      </c>
      <c r="AM58" s="224" t="b">
        <f t="shared" ca="1" si="23"/>
        <v>0</v>
      </c>
      <c r="AN58" s="236" t="str">
        <f t="shared" ca="1" si="24"/>
        <v/>
      </c>
      <c r="AO58" s="235" t="str">
        <f t="array" aca="1" ref="AO58:AP58" ca="1">IF(AM58,INDEX($AH$31:$AI$72,AN58,0),"")</f>
        <v/>
      </c>
      <c r="AP58" s="236" t="str">
        <f ca="1"/>
        <v/>
      </c>
      <c r="AQ58" s="235">
        <v>288</v>
      </c>
      <c r="AR58" s="237" t="e">
        <f ca="1"/>
        <v>#NAME?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ca="1" si="10"/>
        <v>0</v>
      </c>
      <c r="F59" s="169" t="str">
        <f t="shared" ca="1" si="11"/>
        <v/>
      </c>
      <c r="G59" s="68"/>
      <c r="H59" s="68"/>
      <c r="I59" s="97" t="e">
        <f t="shared" ca="1" si="12"/>
        <v>#NAME?</v>
      </c>
      <c r="J59" s="95"/>
      <c r="K59" s="96"/>
      <c r="L59" s="95" t="e">
        <f t="shared" ca="1" si="13"/>
        <v>#NAME?</v>
      </c>
      <c r="M59" s="80">
        <f t="shared" si="18"/>
        <v>34</v>
      </c>
      <c r="N59" s="78" t="str">
        <f t="shared" ca="1" si="14"/>
        <v/>
      </c>
      <c r="O59" s="80" t="str">
        <f t="shared" ca="1" si="19"/>
        <v/>
      </c>
      <c r="P59" s="78" t="str">
        <f t="shared" ca="1" si="15"/>
        <v/>
      </c>
      <c r="Q59" s="68"/>
      <c r="R59" s="94" t="str">
        <f t="shared" ca="1" si="16"/>
        <v/>
      </c>
      <c r="S59" s="93" t="str">
        <f t="shared" ca="1" si="17"/>
        <v/>
      </c>
      <c r="U59" s="72" t="e">
        <f ca="1"/>
        <v>#NAME?</v>
      </c>
      <c r="V59" s="71" t="e">
        <f ca="1"/>
        <v>#NAME?</v>
      </c>
      <c r="Y59" s="81"/>
      <c r="Z59" s="80" t="e">
        <f ca="1">$Z$29*_xll.RtGet($AD$32,$AD$33&amp;$Y59&amp;$AD$34,Z$30)</f>
        <v>#NAME?</v>
      </c>
      <c r="AA59" s="78" t="e">
        <f ca="1">$Z$29*_xll.RtGet($AD$32,$AD$33&amp;$Y59&amp;$AD$34,AA$30)</f>
        <v>#NAME?</v>
      </c>
      <c r="AF59" s="233" t="e">
        <f t="shared" ca="1" si="20"/>
        <v>#NAME?</v>
      </c>
      <c r="AG59" s="227" t="str">
        <f t="shared" ca="1" si="25"/>
        <v/>
      </c>
      <c r="AH59" s="227" t="str">
        <f t="shared" ca="1" si="21"/>
        <v/>
      </c>
      <c r="AI59" s="234" t="str">
        <f t="shared" ca="1" si="22"/>
        <v/>
      </c>
      <c r="AJ59" s="235">
        <f t="shared" si="29"/>
        <v>300</v>
      </c>
      <c r="AK59" s="224" t="str">
        <f t="shared" ca="1" si="26"/>
        <v/>
      </c>
      <c r="AL59" s="224" t="str">
        <f t="shared" ca="1" si="27"/>
        <v/>
      </c>
      <c r="AM59" s="224" t="b">
        <f t="shared" ca="1" si="23"/>
        <v>0</v>
      </c>
      <c r="AN59" s="236" t="str">
        <f t="shared" ca="1" si="24"/>
        <v/>
      </c>
      <c r="AO59" s="235" t="str">
        <f t="array" aca="1" ref="AO59:AP59" ca="1">IF(AM59,INDEX($AH$31:$AI$72,AN59,0),"")</f>
        <v/>
      </c>
      <c r="AP59" s="236" t="str">
        <f ca="1"/>
        <v/>
      </c>
      <c r="AQ59" s="235">
        <v>300</v>
      </c>
      <c r="AR59" s="237" t="e">
        <f ca="1"/>
        <v>#NAME?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ca="1" si="10"/>
        <v>0</v>
      </c>
      <c r="F60" s="169" t="str">
        <f t="shared" ca="1" si="11"/>
        <v/>
      </c>
      <c r="G60" s="68"/>
      <c r="H60" s="68"/>
      <c r="I60" s="97" t="e">
        <f t="shared" ca="1" si="12"/>
        <v>#NAME?</v>
      </c>
      <c r="J60" s="95"/>
      <c r="K60" s="96"/>
      <c r="L60" s="95" t="e">
        <f t="shared" ca="1" si="13"/>
        <v>#NAME?</v>
      </c>
      <c r="M60" s="80">
        <f t="shared" si="18"/>
        <v>35</v>
      </c>
      <c r="N60" s="78" t="str">
        <f t="shared" ca="1" si="14"/>
        <v/>
      </c>
      <c r="O60" s="80" t="str">
        <f t="shared" ca="1" si="19"/>
        <v/>
      </c>
      <c r="P60" s="78" t="str">
        <f t="shared" ca="1" si="15"/>
        <v/>
      </c>
      <c r="Q60" s="68"/>
      <c r="R60" s="94" t="str">
        <f t="shared" ca="1" si="16"/>
        <v/>
      </c>
      <c r="S60" s="93" t="str">
        <f t="shared" ca="1" si="17"/>
        <v/>
      </c>
      <c r="U60" s="72" t="e">
        <f ca="1"/>
        <v>#NAME?</v>
      </c>
      <c r="V60" s="71" t="e">
        <f ca="1"/>
        <v>#NAME?</v>
      </c>
      <c r="Y60" s="81"/>
      <c r="Z60" s="80" t="e">
        <f ca="1">$Z$29*_xll.RtGet($AD$32,$AD$33&amp;$Y60&amp;$AD$34,Z$30)</f>
        <v>#NAME?</v>
      </c>
      <c r="AA60" s="78" t="e">
        <f ca="1">$Z$29*_xll.RtGet($AD$32,$AD$33&amp;$Y60&amp;$AD$34,AA$30)</f>
        <v>#NAME?</v>
      </c>
      <c r="AF60" s="233" t="e">
        <f t="shared" ca="1" si="20"/>
        <v>#NAME?</v>
      </c>
      <c r="AG60" s="227" t="str">
        <f t="shared" ca="1" si="25"/>
        <v/>
      </c>
      <c r="AH60" s="227" t="str">
        <f t="shared" ca="1" si="21"/>
        <v/>
      </c>
      <c r="AI60" s="234" t="str">
        <f t="shared" ca="1" si="22"/>
        <v/>
      </c>
      <c r="AJ60" s="235">
        <f t="shared" si="29"/>
        <v>312</v>
      </c>
      <c r="AK60" s="224" t="str">
        <f t="shared" ca="1" si="26"/>
        <v/>
      </c>
      <c r="AL60" s="224" t="str">
        <f t="shared" ca="1" si="27"/>
        <v/>
      </c>
      <c r="AM60" s="224" t="b">
        <f t="shared" ca="1" si="23"/>
        <v>0</v>
      </c>
      <c r="AN60" s="236" t="str">
        <f t="shared" ca="1" si="24"/>
        <v/>
      </c>
      <c r="AO60" s="235" t="str">
        <f t="array" aca="1" ref="AO60:AP60" ca="1">IF(AM60,INDEX($AH$31:$AI$72,AN60,0),"")</f>
        <v/>
      </c>
      <c r="AP60" s="236" t="str">
        <f ca="1"/>
        <v/>
      </c>
      <c r="AQ60" s="235">
        <v>312</v>
      </c>
      <c r="AR60" s="237" t="e">
        <f ca="1"/>
        <v>#NAME?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ca="1" si="10"/>
        <v>0</v>
      </c>
      <c r="F61" s="169" t="str">
        <f t="shared" ca="1" si="11"/>
        <v/>
      </c>
      <c r="G61" s="68"/>
      <c r="H61" s="68"/>
      <c r="I61" s="97" t="e">
        <f t="shared" ca="1" si="12"/>
        <v>#NAME?</v>
      </c>
      <c r="J61" s="95"/>
      <c r="K61" s="96"/>
      <c r="L61" s="95" t="e">
        <f t="shared" ca="1" si="13"/>
        <v>#NAME?</v>
      </c>
      <c r="M61" s="80">
        <f t="shared" si="18"/>
        <v>36</v>
      </c>
      <c r="N61" s="78" t="str">
        <f t="shared" ca="1" si="14"/>
        <v/>
      </c>
      <c r="O61" s="80" t="str">
        <f t="shared" ca="1" si="19"/>
        <v/>
      </c>
      <c r="P61" s="78" t="str">
        <f t="shared" ca="1" si="15"/>
        <v/>
      </c>
      <c r="Q61" s="68"/>
      <c r="R61" s="94" t="str">
        <f t="shared" ca="1" si="16"/>
        <v/>
      </c>
      <c r="S61" s="93" t="str">
        <f t="shared" ca="1" si="17"/>
        <v/>
      </c>
      <c r="U61" s="72" t="e">
        <f ca="1"/>
        <v>#NAME?</v>
      </c>
      <c r="V61" s="71" t="e">
        <f ca="1"/>
        <v>#NAME?</v>
      </c>
      <c r="Y61" s="81"/>
      <c r="Z61" s="80" t="e">
        <f ca="1">$Z$29*_xll.RtGet($AD$32,$AD$33&amp;$Y61&amp;$AD$34,Z$30)</f>
        <v>#NAME?</v>
      </c>
      <c r="AA61" s="78" t="e">
        <f ca="1">$Z$29*_xll.RtGet($AD$32,$AD$33&amp;$Y61&amp;$AD$34,AA$30)</f>
        <v>#NAME?</v>
      </c>
      <c r="AF61" s="233" t="e">
        <f t="shared" ca="1" si="20"/>
        <v>#NAME?</v>
      </c>
      <c r="AG61" s="227" t="str">
        <f t="shared" ca="1" si="25"/>
        <v/>
      </c>
      <c r="AH61" s="227" t="str">
        <f t="shared" ca="1" si="21"/>
        <v/>
      </c>
      <c r="AI61" s="234" t="str">
        <f t="shared" ca="1" si="22"/>
        <v/>
      </c>
      <c r="AJ61" s="235">
        <f t="shared" si="29"/>
        <v>324</v>
      </c>
      <c r="AK61" s="224" t="str">
        <f t="shared" ca="1" si="26"/>
        <v/>
      </c>
      <c r="AL61" s="224" t="str">
        <f t="shared" ca="1" si="27"/>
        <v/>
      </c>
      <c r="AM61" s="224" t="b">
        <f t="shared" ca="1" si="23"/>
        <v>0</v>
      </c>
      <c r="AN61" s="236" t="str">
        <f t="shared" ca="1" si="24"/>
        <v/>
      </c>
      <c r="AO61" s="239"/>
      <c r="AP61" s="240"/>
      <c r="AQ61" s="235">
        <v>324</v>
      </c>
      <c r="AR61" s="237" t="e">
        <f ca="1"/>
        <v>#NAME?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ca="1" si="10"/>
        <v>0</v>
      </c>
      <c r="F62" s="169" t="str">
        <f t="shared" ca="1" si="11"/>
        <v/>
      </c>
      <c r="G62" s="68"/>
      <c r="H62" s="68"/>
      <c r="I62" s="97" t="e">
        <f t="shared" ca="1" si="12"/>
        <v>#NAME?</v>
      </c>
      <c r="J62" s="95"/>
      <c r="K62" s="96"/>
      <c r="L62" s="95" t="e">
        <f t="shared" ca="1" si="13"/>
        <v>#NAME?</v>
      </c>
      <c r="M62" s="80">
        <f t="shared" si="18"/>
        <v>37</v>
      </c>
      <c r="N62" s="78" t="str">
        <f t="shared" ca="1" si="14"/>
        <v/>
      </c>
      <c r="O62" s="80" t="str">
        <f t="shared" ca="1" si="19"/>
        <v/>
      </c>
      <c r="P62" s="78" t="str">
        <f t="shared" ca="1" si="15"/>
        <v/>
      </c>
      <c r="Q62" s="68"/>
      <c r="R62" s="94" t="str">
        <f t="shared" ca="1" si="16"/>
        <v/>
      </c>
      <c r="S62" s="93" t="str">
        <f t="shared" ca="1" si="17"/>
        <v/>
      </c>
      <c r="U62" s="72" t="e">
        <f ca="1"/>
        <v>#NAME?</v>
      </c>
      <c r="V62" s="71" t="e">
        <f ca="1"/>
        <v>#NAME?</v>
      </c>
      <c r="Y62" s="81"/>
      <c r="Z62" s="80" t="e">
        <f ca="1">$Z$29*_xll.RtGet($AD$32,$AD$33&amp;$Y62&amp;$AD$34,Z$30)</f>
        <v>#NAME?</v>
      </c>
      <c r="AA62" s="78" t="e">
        <f ca="1">$Z$29*_xll.RtGet($AD$32,$AD$33&amp;$Y62&amp;$AD$34,AA$30)</f>
        <v>#NAME?</v>
      </c>
      <c r="AF62" s="233" t="e">
        <f t="shared" ca="1" si="20"/>
        <v>#NAME?</v>
      </c>
      <c r="AG62" s="227" t="str">
        <f t="shared" ca="1" si="25"/>
        <v/>
      </c>
      <c r="AH62" s="227" t="str">
        <f t="shared" ca="1" si="21"/>
        <v/>
      </c>
      <c r="AI62" s="234" t="str">
        <f t="shared" ca="1" si="22"/>
        <v/>
      </c>
      <c r="AJ62" s="235">
        <f t="shared" si="29"/>
        <v>336</v>
      </c>
      <c r="AK62" s="224" t="str">
        <f t="shared" ca="1" si="26"/>
        <v/>
      </c>
      <c r="AL62" s="224" t="str">
        <f t="shared" ca="1" si="27"/>
        <v/>
      </c>
      <c r="AM62" s="224" t="b">
        <f t="shared" ca="1" si="23"/>
        <v>0</v>
      </c>
      <c r="AN62" s="236" t="str">
        <f t="shared" ca="1" si="24"/>
        <v/>
      </c>
      <c r="AO62" s="239"/>
      <c r="AP62" s="240"/>
      <c r="AQ62" s="235">
        <v>336</v>
      </c>
      <c r="AR62" s="237" t="e">
        <f ca="1"/>
        <v>#NAME?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ca="1" si="10"/>
        <v>0</v>
      </c>
      <c r="F63" s="169" t="str">
        <f t="shared" ca="1" si="11"/>
        <v/>
      </c>
      <c r="G63" s="68"/>
      <c r="H63" s="68"/>
      <c r="I63" s="97" t="e">
        <f t="shared" ca="1" si="12"/>
        <v>#NAME?</v>
      </c>
      <c r="J63" s="95"/>
      <c r="K63" s="96"/>
      <c r="L63" s="95" t="e">
        <f t="shared" ca="1" si="13"/>
        <v>#NAME?</v>
      </c>
      <c r="M63" s="80">
        <f t="shared" si="18"/>
        <v>38</v>
      </c>
      <c r="N63" s="78" t="str">
        <f t="shared" ca="1" si="14"/>
        <v/>
      </c>
      <c r="O63" s="80" t="str">
        <f t="shared" ca="1" si="19"/>
        <v/>
      </c>
      <c r="P63" s="78" t="str">
        <f t="shared" ca="1" si="15"/>
        <v/>
      </c>
      <c r="Q63" s="68"/>
      <c r="R63" s="94" t="str">
        <f t="shared" ca="1" si="16"/>
        <v/>
      </c>
      <c r="S63" s="93" t="str">
        <f t="shared" ca="1" si="17"/>
        <v/>
      </c>
      <c r="U63" s="72" t="e">
        <f ca="1"/>
        <v>#NAME?</v>
      </c>
      <c r="V63" s="71" t="e">
        <f ca="1"/>
        <v>#NAME?</v>
      </c>
      <c r="Y63" s="81"/>
      <c r="Z63" s="80" t="e">
        <f ca="1">$Z$29*_xll.RtGet($AD$32,$AD$33&amp;$Y63&amp;$AD$34,Z$30)</f>
        <v>#NAME?</v>
      </c>
      <c r="AA63" s="78" t="e">
        <f ca="1">$Z$29*_xll.RtGet($AD$32,$AD$33&amp;$Y63&amp;$AD$34,AA$30)</f>
        <v>#NAME?</v>
      </c>
      <c r="AF63" s="233" t="e">
        <f t="shared" ca="1" si="20"/>
        <v>#NAME?</v>
      </c>
      <c r="AG63" s="227" t="str">
        <f t="shared" ca="1" si="25"/>
        <v/>
      </c>
      <c r="AH63" s="227" t="str">
        <f t="shared" ca="1" si="21"/>
        <v/>
      </c>
      <c r="AI63" s="234" t="str">
        <f t="shared" ca="1" si="22"/>
        <v/>
      </c>
      <c r="AJ63" s="235">
        <f t="shared" si="29"/>
        <v>348</v>
      </c>
      <c r="AK63" s="224" t="str">
        <f t="shared" ca="1" si="26"/>
        <v/>
      </c>
      <c r="AL63" s="224" t="str">
        <f t="shared" ca="1" si="27"/>
        <v/>
      </c>
      <c r="AM63" s="224" t="b">
        <f t="shared" ca="1" si="23"/>
        <v>0</v>
      </c>
      <c r="AN63" s="236" t="str">
        <f t="shared" ca="1" si="24"/>
        <v/>
      </c>
      <c r="AO63" s="235" t="str">
        <f t="array" aca="1" ref="AO63:AP63" ca="1">IF(AM63,INDEX($AH$31:$AI$72,AN63,0),"")</f>
        <v/>
      </c>
      <c r="AP63" s="236" t="str">
        <f ca="1"/>
        <v/>
      </c>
      <c r="AQ63" s="235">
        <v>348</v>
      </c>
      <c r="AR63" s="237" t="e">
        <f ca="1"/>
        <v>#NAME?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ca="1" si="10"/>
        <v>0</v>
      </c>
      <c r="F64" s="169" t="str">
        <f t="shared" ca="1" si="11"/>
        <v/>
      </c>
      <c r="G64" s="68"/>
      <c r="H64" s="68"/>
      <c r="I64" s="97" t="e">
        <f t="shared" ca="1" si="12"/>
        <v>#NAME?</v>
      </c>
      <c r="J64" s="95"/>
      <c r="K64" s="96"/>
      <c r="L64" s="95" t="e">
        <f t="shared" ca="1" si="13"/>
        <v>#NAME?</v>
      </c>
      <c r="M64" s="80">
        <f t="shared" si="18"/>
        <v>39</v>
      </c>
      <c r="N64" s="78" t="str">
        <f t="shared" ca="1" si="14"/>
        <v/>
      </c>
      <c r="O64" s="80" t="str">
        <f t="shared" ca="1" si="19"/>
        <v/>
      </c>
      <c r="P64" s="78" t="str">
        <f t="shared" ca="1" si="15"/>
        <v/>
      </c>
      <c r="Q64" s="68"/>
      <c r="R64" s="94" t="str">
        <f t="shared" ca="1" si="16"/>
        <v/>
      </c>
      <c r="S64" s="93" t="str">
        <f t="shared" ca="1" si="17"/>
        <v/>
      </c>
      <c r="U64" s="72" t="e">
        <f ca="1"/>
        <v>#NAME?</v>
      </c>
      <c r="V64" s="71" t="e">
        <f ca="1"/>
        <v>#NAME?</v>
      </c>
      <c r="Y64" s="81"/>
      <c r="Z64" s="80" t="e">
        <f ca="1">$Z$29*_xll.RtGet($AD$32,$AD$33&amp;$Y64&amp;$AD$34,Z$30)</f>
        <v>#NAME?</v>
      </c>
      <c r="AA64" s="78" t="e">
        <f ca="1">$Z$29*_xll.RtGet($AD$32,$AD$33&amp;$Y64&amp;$AD$34,AA$30)</f>
        <v>#NAME?</v>
      </c>
      <c r="AF64" s="233" t="e">
        <f t="shared" ca="1" si="20"/>
        <v>#NAME?</v>
      </c>
      <c r="AG64" s="227" t="str">
        <f t="shared" ca="1" si="25"/>
        <v/>
      </c>
      <c r="AH64" s="227" t="str">
        <f t="shared" ca="1" si="21"/>
        <v/>
      </c>
      <c r="AI64" s="234" t="str">
        <f t="shared" ca="1" si="22"/>
        <v/>
      </c>
      <c r="AJ64" s="238">
        <f t="shared" si="29"/>
        <v>360</v>
      </c>
      <c r="AK64" s="224" t="str">
        <f t="shared" ca="1" si="26"/>
        <v/>
      </c>
      <c r="AL64" s="224" t="str">
        <f t="shared" ca="1" si="27"/>
        <v/>
      </c>
      <c r="AM64" s="224" t="b">
        <f t="shared" ca="1" si="23"/>
        <v>0</v>
      </c>
      <c r="AN64" s="236" t="str">
        <f t="shared" ca="1" si="24"/>
        <v/>
      </c>
      <c r="AO64" s="235" t="str">
        <f t="array" aca="1" ref="AO64:AP64" ca="1">IF(AM64,INDEX($AH$31:$AI$72,AN64,0),"")</f>
        <v/>
      </c>
      <c r="AP64" s="236" t="str">
        <f ca="1"/>
        <v/>
      </c>
      <c r="AQ64" s="238">
        <v>360</v>
      </c>
      <c r="AR64" s="241" t="e">
        <f ca="1"/>
        <v>#NAME?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ca="1" si="10"/>
        <v>0</v>
      </c>
      <c r="F65" s="169" t="str">
        <f t="shared" ca="1" si="11"/>
        <v/>
      </c>
      <c r="G65" s="68"/>
      <c r="H65" s="68"/>
      <c r="I65" s="97" t="e">
        <f t="shared" ca="1" si="12"/>
        <v>#NAME?</v>
      </c>
      <c r="J65" s="95"/>
      <c r="K65" s="96"/>
      <c r="L65" s="95" t="e">
        <f t="shared" ca="1" si="13"/>
        <v>#NAME?</v>
      </c>
      <c r="M65" s="80">
        <f t="shared" si="18"/>
        <v>40</v>
      </c>
      <c r="N65" s="78" t="str">
        <f t="shared" ca="1" si="14"/>
        <v/>
      </c>
      <c r="O65" s="80" t="str">
        <f t="shared" ca="1" si="19"/>
        <v/>
      </c>
      <c r="P65" s="78" t="str">
        <f t="shared" ca="1" si="15"/>
        <v/>
      </c>
      <c r="Q65" s="68"/>
      <c r="R65" s="94" t="str">
        <f t="shared" ca="1" si="16"/>
        <v/>
      </c>
      <c r="S65" s="93" t="str">
        <f t="shared" ca="1" si="17"/>
        <v/>
      </c>
      <c r="U65" s="72" t="e">
        <f ca="1"/>
        <v>#NAME?</v>
      </c>
      <c r="V65" s="71" t="e">
        <f ca="1"/>
        <v>#NAME?</v>
      </c>
      <c r="Y65" s="81"/>
      <c r="Z65" s="80" t="e">
        <f ca="1">$Z$29*_xll.RtGet($AD$32,$AD$33&amp;$Y65&amp;$AD$34,Z$30)</f>
        <v>#NAME?</v>
      </c>
      <c r="AA65" s="78" t="e">
        <f ca="1">$Z$29*_xll.RtGet($AD$32,$AD$33&amp;$Y65&amp;$AD$34,AA$30)</f>
        <v>#NAME?</v>
      </c>
      <c r="AF65" s="233" t="e">
        <f t="shared" ca="1" si="20"/>
        <v>#NAME?</v>
      </c>
      <c r="AG65" s="227" t="str">
        <f t="shared" ca="1" si="25"/>
        <v/>
      </c>
      <c r="AH65" s="227" t="str">
        <f t="shared" ca="1" si="21"/>
        <v/>
      </c>
      <c r="AI65" s="234" t="str">
        <f t="shared" ca="1" si="22"/>
        <v/>
      </c>
      <c r="AJ65" s="235">
        <f>+AJ64+60</f>
        <v>420</v>
      </c>
      <c r="AK65" s="224" t="str">
        <f t="shared" ca="1" si="26"/>
        <v/>
      </c>
      <c r="AL65" s="224" t="str">
        <f t="shared" ca="1" si="27"/>
        <v/>
      </c>
      <c r="AM65" s="224" t="b">
        <f t="shared" ca="1" si="23"/>
        <v>0</v>
      </c>
      <c r="AN65" s="236" t="str">
        <f t="shared" ca="1" si="24"/>
        <v/>
      </c>
      <c r="AO65" s="235" t="str">
        <f t="array" aca="1" ref="AO65:AP65" ca="1">IF(AM65,INDEX($AH$31:$AI$72,AN65,0),"")</f>
        <v/>
      </c>
      <c r="AP65" s="236" t="str">
        <f ca="1"/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ca="1" si="10"/>
        <v>0</v>
      </c>
      <c r="F66" s="169" t="str">
        <f t="shared" ca="1" si="11"/>
        <v/>
      </c>
      <c r="G66" s="68"/>
      <c r="H66" s="68"/>
      <c r="I66" s="97" t="e">
        <f t="shared" ca="1" si="12"/>
        <v>#NAME?</v>
      </c>
      <c r="J66" s="95"/>
      <c r="K66" s="96"/>
      <c r="L66" s="95" t="e">
        <f t="shared" ca="1" si="13"/>
        <v>#NAME?</v>
      </c>
      <c r="M66" s="80">
        <f t="shared" si="18"/>
        <v>41</v>
      </c>
      <c r="N66" s="78" t="str">
        <f t="shared" ca="1" si="14"/>
        <v/>
      </c>
      <c r="O66" s="80" t="str">
        <f t="shared" ca="1" si="19"/>
        <v/>
      </c>
      <c r="P66" s="78" t="str">
        <f t="shared" ca="1" si="15"/>
        <v/>
      </c>
      <c r="Q66" s="68"/>
      <c r="R66" s="94" t="str">
        <f t="shared" ca="1" si="16"/>
        <v/>
      </c>
      <c r="S66" s="93" t="str">
        <f t="shared" ca="1" si="17"/>
        <v/>
      </c>
      <c r="U66" s="72" t="e">
        <f ca="1"/>
        <v>#NAME?</v>
      </c>
      <c r="V66" s="71" t="e">
        <f ca="1"/>
        <v>#NAME?</v>
      </c>
      <c r="Y66" s="81"/>
      <c r="Z66" s="80" t="e">
        <f ca="1">$Z$29*_xll.RtGet($AD$32,$AD$33&amp;$Y66&amp;$AD$34,Z$30)</f>
        <v>#NAME?</v>
      </c>
      <c r="AA66" s="78" t="e">
        <f ca="1">$Z$29*_xll.RtGet($AD$32,$AD$33&amp;$Y66&amp;$AD$34,AA$30)</f>
        <v>#NAME?</v>
      </c>
      <c r="AF66" s="233" t="e">
        <f t="shared" ca="1" si="20"/>
        <v>#NAME?</v>
      </c>
      <c r="AG66" s="227" t="str">
        <f t="shared" ca="1" si="25"/>
        <v/>
      </c>
      <c r="AH66" s="227" t="str">
        <f t="shared" ca="1" si="21"/>
        <v/>
      </c>
      <c r="AI66" s="234" t="str">
        <f t="shared" ca="1" si="22"/>
        <v/>
      </c>
      <c r="AJ66" s="235">
        <f t="shared" ref="AJ66:AJ72" si="30">+AJ65+60</f>
        <v>480</v>
      </c>
      <c r="AK66" s="224" t="str">
        <f t="shared" ca="1" si="26"/>
        <v/>
      </c>
      <c r="AL66" s="224" t="str">
        <f t="shared" ca="1" si="27"/>
        <v/>
      </c>
      <c r="AM66" s="224" t="b">
        <f t="shared" ca="1" si="23"/>
        <v>0</v>
      </c>
      <c r="AN66" s="236" t="str">
        <f t="shared" ca="1" si="24"/>
        <v/>
      </c>
      <c r="AO66" s="235" t="str">
        <f t="array" aca="1" ref="AO66:AP66" ca="1">IF(AM66,INDEX($AH$31:$AI$72,AN66,0),"")</f>
        <v/>
      </c>
      <c r="AP66" s="236" t="str">
        <f ca="1"/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ca="1" si="10"/>
        <v>0</v>
      </c>
      <c r="F67" s="166" t="str">
        <f t="shared" ca="1" si="11"/>
        <v/>
      </c>
      <c r="I67" s="90" t="e">
        <f t="shared" ca="1" si="12"/>
        <v>#NAME?</v>
      </c>
      <c r="J67" s="88"/>
      <c r="K67" s="89"/>
      <c r="L67" s="88" t="e">
        <f t="shared" ca="1" si="13"/>
        <v>#NAME?</v>
      </c>
      <c r="M67" s="75">
        <f t="shared" si="18"/>
        <v>42</v>
      </c>
      <c r="N67" s="76" t="str">
        <f t="shared" ca="1" si="14"/>
        <v/>
      </c>
      <c r="O67" s="75" t="str">
        <f t="shared" ca="1" si="19"/>
        <v/>
      </c>
      <c r="P67" s="76" t="str">
        <f t="shared" ca="1" si="15"/>
        <v/>
      </c>
      <c r="R67" s="87" t="str">
        <f t="shared" ca="1" si="16"/>
        <v/>
      </c>
      <c r="S67" s="86" t="str">
        <f t="shared" ca="1" si="17"/>
        <v/>
      </c>
      <c r="U67" s="72" t="e">
        <f ca="1"/>
        <v>#NAME?</v>
      </c>
      <c r="V67" s="71" t="e">
        <f ca="1"/>
        <v>#NAME?</v>
      </c>
      <c r="Y67" s="81"/>
      <c r="Z67" s="80" t="e">
        <f ca="1">$Z$29*_xll.RtGet($AD$32,$AD$33&amp;$Y67&amp;$AD$34,Z$30)</f>
        <v>#NAME?</v>
      </c>
      <c r="AA67" s="78" t="e">
        <f ca="1">$Z$29*_xll.RtGet($AD$32,$AD$33&amp;$Y67&amp;$AD$34,AA$30)</f>
        <v>#NAME?</v>
      </c>
      <c r="AF67" s="233" t="e">
        <f t="shared" ca="1" si="20"/>
        <v>#NAME?</v>
      </c>
      <c r="AG67" s="227" t="str">
        <f t="shared" ca="1" si="25"/>
        <v/>
      </c>
      <c r="AH67" s="227" t="str">
        <f t="shared" ca="1" si="21"/>
        <v/>
      </c>
      <c r="AI67" s="234" t="str">
        <f t="shared" ca="1" si="22"/>
        <v/>
      </c>
      <c r="AJ67" s="235">
        <f t="shared" si="30"/>
        <v>540</v>
      </c>
      <c r="AK67" s="224" t="str">
        <f t="shared" ca="1" si="26"/>
        <v/>
      </c>
      <c r="AL67" s="224" t="str">
        <f t="shared" ca="1" si="27"/>
        <v/>
      </c>
      <c r="AM67" s="224" t="b">
        <f t="shared" ca="1" si="23"/>
        <v>0</v>
      </c>
      <c r="AN67" s="236" t="str">
        <f t="shared" ca="1" si="24"/>
        <v/>
      </c>
      <c r="AO67" s="235" t="str">
        <f t="array" aca="1" ref="AO67:AP67" ca="1">IF(AM67,INDEX($AH$31:$AI$72,AN67,0),"")</f>
        <v/>
      </c>
      <c r="AP67" s="236" t="str">
        <f ca="1"/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f ca="1"/>
        <v>#NAME?</v>
      </c>
      <c r="V68" s="71" t="e">
        <f ca="1"/>
        <v>#NAME?</v>
      </c>
      <c r="Y68" s="81"/>
      <c r="Z68" s="80" t="e">
        <f ca="1">$Z$29*_xll.RtGet($AD$32,$AD$33&amp;$Y68&amp;$AD$34,Z$30)</f>
        <v>#NAME?</v>
      </c>
      <c r="AA68" s="78" t="e">
        <f ca="1">$Z$29*_xll.RtGet($AD$32,$AD$33&amp;$Y68&amp;$AD$34,AA$30)</f>
        <v>#NAME?</v>
      </c>
      <c r="AF68" s="233" t="e">
        <f t="shared" ca="1" si="20"/>
        <v>#NAME?</v>
      </c>
      <c r="AG68" s="227" t="str">
        <f t="shared" ca="1" si="25"/>
        <v/>
      </c>
      <c r="AH68" s="227" t="str">
        <f t="shared" ca="1" si="21"/>
        <v/>
      </c>
      <c r="AI68" s="234" t="str">
        <f t="shared" ca="1" si="22"/>
        <v/>
      </c>
      <c r="AJ68" s="235">
        <f t="shared" si="30"/>
        <v>600</v>
      </c>
      <c r="AK68" s="224" t="str">
        <f t="shared" ca="1" si="26"/>
        <v/>
      </c>
      <c r="AL68" s="224" t="str">
        <f t="shared" ca="1" si="27"/>
        <v/>
      </c>
      <c r="AM68" s="224" t="b">
        <f t="shared" ca="1" si="23"/>
        <v>0</v>
      </c>
      <c r="AN68" s="236" t="str">
        <f t="shared" ca="1" si="24"/>
        <v/>
      </c>
      <c r="AO68" s="235" t="str">
        <f t="array" aca="1" ref="AO68:AP68" ca="1">IF(AM68,INDEX($AH$31:$AI$72,AN68,0),"")</f>
        <v/>
      </c>
      <c r="AP68" s="236" t="str">
        <f ca="1"/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f ca="1"/>
        <v>#NAME?</v>
      </c>
      <c r="V69" s="71" t="e">
        <f ca="1"/>
        <v>#NAME?</v>
      </c>
      <c r="Y69" s="81"/>
      <c r="Z69" s="80" t="e">
        <f ca="1">$Z$29*_xll.RtGet($AD$32,$AD$33&amp;$Y69&amp;$AD$34,Z$30)</f>
        <v>#NAME?</v>
      </c>
      <c r="AA69" s="78" t="e">
        <f ca="1">$Z$29*_xll.RtGet($AD$32,$AD$33&amp;$Y69&amp;$AD$34,AA$30)</f>
        <v>#NAME?</v>
      </c>
      <c r="AF69" s="233" t="e">
        <f t="shared" ca="1" si="20"/>
        <v>#NAME?</v>
      </c>
      <c r="AG69" s="227" t="str">
        <f t="shared" ca="1" si="25"/>
        <v/>
      </c>
      <c r="AH69" s="227" t="str">
        <f t="shared" ca="1" si="21"/>
        <v/>
      </c>
      <c r="AI69" s="234" t="str">
        <f t="shared" ca="1" si="22"/>
        <v/>
      </c>
      <c r="AJ69" s="235">
        <f t="shared" si="30"/>
        <v>660</v>
      </c>
      <c r="AK69" s="224" t="str">
        <f t="shared" ca="1" si="26"/>
        <v/>
      </c>
      <c r="AL69" s="224" t="str">
        <f t="shared" ca="1" si="27"/>
        <v/>
      </c>
      <c r="AM69" s="224" t="b">
        <f t="shared" ca="1" si="23"/>
        <v>0</v>
      </c>
      <c r="AN69" s="236" t="str">
        <f t="shared" ca="1" si="24"/>
        <v/>
      </c>
      <c r="AO69" s="235" t="str">
        <f t="array" aca="1" ref="AO69:AP69" ca="1">IF(AM69,INDEX($AH$31:$AI$72,AN69,0),"")</f>
        <v/>
      </c>
      <c r="AP69" s="236" t="str">
        <f ca="1"/>
        <v/>
      </c>
      <c r="AQ69" s="242"/>
      <c r="AR69" s="243"/>
    </row>
    <row r="70" spans="2:44" ht="11.25" customHeight="1" x14ac:dyDescent="0.2">
      <c r="B70" s="254" t="s">
        <v>195</v>
      </c>
      <c r="C70" s="254" t="b">
        <v>1</v>
      </c>
      <c r="N70" s="67"/>
      <c r="O70" s="67"/>
      <c r="U70" s="72" t="e">
        <f ca="1"/>
        <v>#NAME?</v>
      </c>
      <c r="V70" s="71" t="e">
        <f ca="1"/>
        <v>#NAME?</v>
      </c>
      <c r="Y70" s="81"/>
      <c r="Z70" s="80" t="e">
        <f ca="1">$Z$29*_xll.RtGet($AD$32,$AD$33&amp;$Y70&amp;$AD$34,Z$30)</f>
        <v>#NAME?</v>
      </c>
      <c r="AA70" s="78" t="e">
        <f ca="1">$Z$29*_xll.RtGet($AD$32,$AD$33&amp;$Y70&amp;$AD$34,AA$30)</f>
        <v>#NAME?</v>
      </c>
      <c r="AF70" s="233" t="e">
        <f t="shared" ca="1" si="20"/>
        <v>#NAME?</v>
      </c>
      <c r="AG70" s="227" t="str">
        <f t="shared" ca="1" si="25"/>
        <v/>
      </c>
      <c r="AH70" s="227" t="str">
        <f t="shared" ca="1" si="21"/>
        <v/>
      </c>
      <c r="AI70" s="234" t="str">
        <f t="shared" ca="1" si="22"/>
        <v/>
      </c>
      <c r="AJ70" s="235">
        <f t="shared" si="30"/>
        <v>720</v>
      </c>
      <c r="AK70" s="224" t="str">
        <f t="shared" ca="1" si="26"/>
        <v/>
      </c>
      <c r="AL70" s="224" t="str">
        <f t="shared" ca="1" si="27"/>
        <v/>
      </c>
      <c r="AM70" s="224" t="b">
        <f t="shared" ca="1" si="23"/>
        <v>0</v>
      </c>
      <c r="AN70" s="236" t="str">
        <f t="shared" ca="1" si="24"/>
        <v/>
      </c>
      <c r="AO70" s="235" t="str">
        <f t="array" aca="1" ref="AO70:AP70" ca="1">IF(AM70,INDEX($AH$31:$AI$72,AN70,0),"")</f>
        <v/>
      </c>
      <c r="AP70" s="236" t="str">
        <f ca="1"/>
        <v/>
      </c>
      <c r="AQ70" s="242"/>
      <c r="AR70" s="243"/>
    </row>
    <row r="71" spans="2:44" ht="11.25" customHeight="1" x14ac:dyDescent="0.2">
      <c r="N71" s="67"/>
      <c r="O71" s="67"/>
      <c r="U71" s="72" t="e">
        <f ca="1"/>
        <v>#NAME?</v>
      </c>
      <c r="V71" s="71" t="e">
        <f ca="1"/>
        <v>#NAME?</v>
      </c>
      <c r="Y71" s="81"/>
      <c r="Z71" s="80" t="e">
        <f ca="1">$Z$29*_xll.RtGet($AD$32,$AD$33&amp;$Y71&amp;$AD$34,Z$30)</f>
        <v>#NAME?</v>
      </c>
      <c r="AA71" s="78" t="e">
        <f ca="1">$Z$29*_xll.RtGet($AD$32,$AD$33&amp;$Y71&amp;$AD$34,AA$30)</f>
        <v>#NAME?</v>
      </c>
      <c r="AF71" s="233" t="e">
        <f t="shared" ca="1" si="20"/>
        <v>#NAME?</v>
      </c>
      <c r="AG71" s="227" t="str">
        <f t="shared" ca="1" si="25"/>
        <v/>
      </c>
      <c r="AH71" s="227" t="str">
        <f t="shared" ca="1" si="21"/>
        <v/>
      </c>
      <c r="AI71" s="234" t="str">
        <f t="shared" ca="1" si="22"/>
        <v/>
      </c>
      <c r="AJ71" s="235">
        <f t="shared" si="30"/>
        <v>780</v>
      </c>
      <c r="AK71" s="224" t="str">
        <f t="shared" ca="1" si="26"/>
        <v/>
      </c>
      <c r="AL71" s="224" t="str">
        <f t="shared" ca="1" si="27"/>
        <v/>
      </c>
      <c r="AM71" s="224" t="b">
        <f t="shared" ca="1" si="23"/>
        <v>0</v>
      </c>
      <c r="AN71" s="236" t="str">
        <f t="shared" ca="1" si="24"/>
        <v/>
      </c>
      <c r="AO71" s="235" t="str">
        <f t="array" aca="1" ref="AO71:AP71" ca="1">IF(AM71,INDEX($AH$31:$AI$72,AN71,0),"")</f>
        <v/>
      </c>
      <c r="AP71" s="236" t="str">
        <f ca="1"/>
        <v/>
      </c>
      <c r="AQ71" s="242"/>
      <c r="AR71" s="243"/>
    </row>
    <row r="72" spans="2:44" ht="11.25" customHeight="1" x14ac:dyDescent="0.2">
      <c r="N72" s="67"/>
      <c r="O72" s="67"/>
      <c r="U72" s="72" t="e">
        <f ca="1"/>
        <v>#NAME?</v>
      </c>
      <c r="V72" s="71" t="e">
        <f ca="1"/>
        <v>#NAME?</v>
      </c>
      <c r="Y72" s="77"/>
      <c r="Z72" s="75" t="e">
        <f ca="1">$Z$29*_xll.RtGet($AD$32,$AD$33&amp;$Y72&amp;$AD$34,Z$30)</f>
        <v>#NAME?</v>
      </c>
      <c r="AA72" s="76" t="e">
        <f ca="1">$Z$29*_xll.RtGet($AD$32,$AD$33&amp;$Y72&amp;$AD$34,AA$30)</f>
        <v>#NAME?</v>
      </c>
      <c r="AF72" s="221" t="e">
        <f t="shared" ca="1" si="20"/>
        <v>#NAME?</v>
      </c>
      <c r="AG72" s="244" t="str">
        <f t="shared" ca="1" si="25"/>
        <v/>
      </c>
      <c r="AH72" s="245">
        <f ca="1">IF(AH30,AQ29,AG72)</f>
        <v>360</v>
      </c>
      <c r="AI72" s="245" t="e">
        <f ca="1">IF(AH30,INDEX(AF31:AF72,MATCH(AG29,AG31:AG72,0)),AF72)</f>
        <v>#N/A</v>
      </c>
      <c r="AJ72" s="238">
        <f t="shared" si="30"/>
        <v>840</v>
      </c>
      <c r="AK72" s="246">
        <f t="shared" ca="1" si="26"/>
        <v>840</v>
      </c>
      <c r="AL72" s="246" t="str">
        <f t="shared" ca="1" si="27"/>
        <v/>
      </c>
      <c r="AM72" s="246" t="b">
        <f t="shared" ca="1" si="23"/>
        <v>0</v>
      </c>
      <c r="AN72" s="247" t="str">
        <f t="shared" ca="1" si="24"/>
        <v/>
      </c>
      <c r="AO72" s="238" t="str">
        <f t="array" aca="1" ref="AO72:AP72" ca="1">IF(AM72,INDEX($AH$31:$AI$72,AN72,0),"")</f>
        <v/>
      </c>
      <c r="AP72" s="247" t="str">
        <f ca="1"/>
        <v/>
      </c>
      <c r="AQ72" s="248"/>
      <c r="AR72" s="249"/>
    </row>
    <row r="73" spans="2:44" ht="11.25" customHeight="1" x14ac:dyDescent="0.2">
      <c r="N73" s="67"/>
      <c r="O73" s="67"/>
      <c r="U73" s="72" t="e">
        <f ca="1"/>
        <v>#NAME?</v>
      </c>
      <c r="V73" s="71" t="e">
        <f ca="1"/>
        <v>#NAME?</v>
      </c>
    </row>
    <row r="74" spans="2:44" ht="11.25" customHeight="1" x14ac:dyDescent="0.2">
      <c r="N74" s="67"/>
      <c r="O74" s="67"/>
      <c r="U74" s="72" t="e">
        <f ca="1"/>
        <v>#NAME?</v>
      </c>
      <c r="V74" s="71" t="e">
        <f ca="1"/>
        <v>#NAME?</v>
      </c>
    </row>
    <row r="75" spans="2:44" ht="11.25" customHeight="1" x14ac:dyDescent="0.2">
      <c r="N75" s="67"/>
      <c r="O75" s="67"/>
      <c r="U75" s="72" t="e">
        <f ca="1"/>
        <v>#NAME?</v>
      </c>
      <c r="V75" s="71" t="e">
        <f ca="1"/>
        <v>#NAME?</v>
      </c>
    </row>
    <row r="76" spans="2:44" ht="11.25" customHeight="1" x14ac:dyDescent="0.2">
      <c r="N76" s="67"/>
      <c r="O76" s="67"/>
      <c r="U76" s="72" t="e">
        <f ca="1"/>
        <v>#NAME?</v>
      </c>
      <c r="V76" s="71" t="e">
        <f ca="1"/>
        <v>#NAME?</v>
      </c>
    </row>
    <row r="77" spans="2:44" ht="11.25" customHeight="1" x14ac:dyDescent="0.2">
      <c r="N77" s="67"/>
      <c r="O77" s="67"/>
      <c r="U77" s="72" t="e">
        <f ca="1"/>
        <v>#NAME?</v>
      </c>
      <c r="V77" s="71" t="e">
        <f ca="1"/>
        <v>#NAME?</v>
      </c>
    </row>
    <row r="78" spans="2:44" ht="11.25" customHeight="1" x14ac:dyDescent="0.2">
      <c r="N78" s="67"/>
      <c r="O78" s="67"/>
      <c r="U78" s="72" t="e">
        <f ca="1"/>
        <v>#NAME?</v>
      </c>
      <c r="V78" s="71" t="e">
        <f ca="1"/>
        <v>#NAME?</v>
      </c>
    </row>
    <row r="79" spans="2:44" ht="11.25" customHeight="1" x14ac:dyDescent="0.2">
      <c r="N79" s="67"/>
      <c r="O79" s="67"/>
      <c r="U79" s="70" t="e">
        <f ca="1"/>
        <v>#NAME?</v>
      </c>
      <c r="V79" s="69" t="e">
        <f ca="1"/>
        <v>#NAME?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19" priority="10" stopIfTrue="1" operator="equal">
      <formula>FALSE</formula>
    </cfRule>
  </conditionalFormatting>
  <conditionalFormatting sqref="I3:L20 I23:L23">
    <cfRule type="expression" dxfId="18" priority="5" stopIfTrue="1">
      <formula>NOT($E3)</formula>
    </cfRule>
  </conditionalFormatting>
  <conditionalFormatting sqref="I26:L67">
    <cfRule type="expression" dxfId="17" priority="2" stopIfTrue="1">
      <formula>NOT($E26)</formula>
    </cfRule>
  </conditionalFormatting>
  <conditionalFormatting sqref="L3:L20">
    <cfRule type="expression" dxfId="16" priority="6" stopIfTrue="1">
      <formula>ISNUMBER(J3)</formula>
    </cfRule>
    <cfRule type="expression" dxfId="15" priority="9" stopIfTrue="1">
      <formula>ISNUMBER(K3)</formula>
    </cfRule>
  </conditionalFormatting>
  <conditionalFormatting sqref="L23">
    <cfRule type="expression" dxfId="14" priority="4" stopIfTrue="1">
      <formula>ISNUMBER(J23)</formula>
    </cfRule>
    <cfRule type="expression" dxfId="13" priority="8" stopIfTrue="1">
      <formula>ISNUMBER(K23)</formula>
    </cfRule>
  </conditionalFormatting>
  <conditionalFormatting sqref="L26:L67">
    <cfRule type="expression" dxfId="12" priority="3" stopIfTrue="1">
      <formula>ISNUMBER(J26)</formula>
    </cfRule>
    <cfRule type="expression" dxfId="11" priority="7" stopIfTrue="1">
      <formula>ISNUMBER(K26)</formula>
    </cfRule>
  </conditionalFormatting>
  <conditionalFormatting sqref="E3:E20">
    <cfRule type="cellIs" dxfId="10" priority="1" stopIfTrue="1" operator="equal">
      <formula>FALSE</formula>
    </cfRule>
  </conditionalFormatting>
  <dataValidations count="8">
    <dataValidation type="list" allowBlank="1" showInputMessage="1" showErrorMessage="1" sqref="C40">
      <formula1>INDEX(dvCurveBootstrapperOutputType,0,1)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4 C33 C37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3" r:id="rId4" name="Button 5">
              <controlPr defaultSize="0" print="0" autoFill="0" autoPict="0" macro="[0]!rtRun">
                <anchor moveWithCells="1" sizeWithCells="1">
                  <from>
                    <xdr:col>1</xdr:col>
                    <xdr:colOff>8626</xdr:colOff>
                    <xdr:row>16</xdr:row>
                    <xdr:rowOff>129396</xdr:rowOff>
                  </from>
                  <to>
                    <xdr:col>1</xdr:col>
                    <xdr:colOff>923026</xdr:colOff>
                    <xdr:row>18</xdr:row>
                    <xdr:rowOff>94891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5" name="Button 7">
              <controlPr defaultSize="0" print="0" autoFill="0" autoPict="0" macro="[0]!rtFreeze">
                <anchor moveWithCells="1" sizeWithCells="1">
                  <from>
                    <xdr:col>1</xdr:col>
                    <xdr:colOff>8626</xdr:colOff>
                    <xdr:row>18</xdr:row>
                    <xdr:rowOff>94891</xdr:rowOff>
                  </from>
                  <to>
                    <xdr:col>1</xdr:col>
                    <xdr:colOff>923026</xdr:colOff>
                    <xdr:row>20</xdr:row>
                    <xdr:rowOff>60385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  <outlinePr summaryRight="0"/>
  </sheetPr>
  <dimension ref="A1:AR97"/>
  <sheetViews>
    <sheetView showGridLines="0" workbookViewId="0">
      <selection activeCell="F9" sqref="F9"/>
    </sheetView>
  </sheetViews>
  <sheetFormatPr defaultColWidth="9.28515625" defaultRowHeight="11.25" customHeight="1" outlineLevelCol="1" x14ac:dyDescent="0.2"/>
  <cols>
    <col min="1" max="1" width="3.85546875" style="67" customWidth="1"/>
    <col min="2" max="2" width="25.85546875" style="67" customWidth="1"/>
    <col min="3" max="3" width="20.85546875" style="67" customWidth="1"/>
    <col min="4" max="4" width="2.85546875" style="67" customWidth="1"/>
    <col min="5" max="5" width="9.28515625" style="66"/>
    <col min="6" max="6" width="9.28515625" style="66" collapsed="1"/>
    <col min="7" max="8" width="9.28515625" style="66" hidden="1" customWidth="1" outlineLevel="1"/>
    <col min="9" max="11" width="9.28515625" style="66"/>
    <col min="12" max="12" width="9.28515625" style="66" collapsed="1"/>
    <col min="13" max="17" width="9.28515625" style="66" hidden="1" customWidth="1" outlineLevel="1"/>
    <col min="18" max="18" width="10.85546875" style="66" hidden="1" customWidth="1" outlineLevel="1"/>
    <col min="19" max="19" width="9.28515625" style="66" hidden="1" customWidth="1" outlineLevel="1"/>
    <col min="20" max="20" width="2.85546875" style="66" customWidth="1"/>
    <col min="21" max="21" width="10.85546875" style="68" customWidth="1"/>
    <col min="22" max="22" width="12.85546875" style="68" customWidth="1"/>
    <col min="23" max="23" width="9.28515625" style="67"/>
    <col min="24" max="24" width="9.28515625" style="67" customWidth="1"/>
    <col min="25" max="25" width="11.85546875" style="66" customWidth="1"/>
    <col min="26" max="27" width="9.42578125" style="66" bestFit="1" customWidth="1"/>
    <col min="28" max="28" width="2.85546875" style="66" customWidth="1"/>
    <col min="29" max="29" width="10.28515625" style="66" customWidth="1"/>
    <col min="30" max="32" width="9.28515625" style="66"/>
    <col min="33" max="33" width="14.7109375" style="66" bestFit="1" customWidth="1"/>
    <col min="34" max="34" width="10.85546875" style="66" customWidth="1"/>
    <col min="35" max="35" width="19.42578125" style="66" customWidth="1"/>
    <col min="36" max="39" width="9.28515625" style="66"/>
    <col min="40" max="42" width="9.140625" customWidth="1"/>
    <col min="43" max="16384" width="9.285156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5">
      <c r="A2" s="66"/>
      <c r="B2" s="314" t="s">
        <v>97</v>
      </c>
      <c r="C2" s="315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12</v>
      </c>
      <c r="U2" s="199" t="s">
        <v>96</v>
      </c>
      <c r="V2" s="199" t="s">
        <v>145</v>
      </c>
      <c r="W2"/>
      <c r="X2"/>
      <c r="Y2" s="220" t="s">
        <v>82</v>
      </c>
      <c r="Z2" s="255" t="s">
        <v>71</v>
      </c>
      <c r="AA2" s="256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 t="e">
        <f ca="1">EvaluationDate</f>
        <v>#NAME?</v>
      </c>
      <c r="D3" s="66"/>
      <c r="E3" s="203" t="b">
        <v>1</v>
      </c>
      <c r="F3" s="204" t="str">
        <f>Y3</f>
        <v>ON</v>
      </c>
      <c r="G3" s="180">
        <v>0</v>
      </c>
      <c r="H3" s="205" t="s">
        <v>24</v>
      </c>
      <c r="I3" s="201" t="e">
        <f t="array" ref="I3:I4" ca="1">100*AI17:AI18</f>
        <v>#NAME?</v>
      </c>
      <c r="J3" s="206"/>
      <c r="K3" s="207"/>
      <c r="L3" s="206" t="e">
        <f t="shared" ref="L3:L20" ca="1" si="0">IF(ISNUMBER(J3),J3,I3)+K3</f>
        <v>#NAME?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 t="e">
        <f t="shared" ref="S3:S20" ca="1" si="5">IF(LEN(P3)&gt;0,INDEX($L$3:$L$20,$P3),"")</f>
        <v>#NAME?</v>
      </c>
      <c r="U3" s="193" t="e">
        <f t="array" aca="1" ref="U3:V79" ca="1">_xll.xlCCBasisCurveBootstrapper(C4,C3,C5,C6,L23,S2,Q3:S20,0,U2:V2,S25,R26:S67,C11,C12,C13,C45,B48:B69,C48:C69,C15)</f>
        <v>#NAME?</v>
      </c>
      <c r="V3" s="192" t="e">
        <f ca="1"/>
        <v>#NAME?</v>
      </c>
      <c r="W3"/>
      <c r="X3"/>
      <c r="Y3" s="225" t="s">
        <v>94</v>
      </c>
      <c r="Z3" s="225" t="e">
        <f ca="1">_xll.RtGet($AD$3,$AD$4&amp;$Y3&amp;$AD$5,Z$2)</f>
        <v>#NAME?</v>
      </c>
      <c r="AA3" s="228" t="e">
        <f ca="1">_xll.RtGet($AD$3,$AD$4&amp;$Y3&amp;$AD$5,AA$2)</f>
        <v>#NAME?</v>
      </c>
      <c r="AB3" s="217"/>
      <c r="AC3" s="257" t="s">
        <v>68</v>
      </c>
      <c r="AD3" s="258" t="s">
        <v>67</v>
      </c>
      <c r="AF3" s="191" t="s">
        <v>172</v>
      </c>
      <c r="AG3" s="190"/>
      <c r="AH3" s="190"/>
      <c r="AI3" s="214" t="s">
        <v>213</v>
      </c>
    </row>
    <row r="4" spans="1:35" ht="11.25" customHeight="1" x14ac:dyDescent="0.2">
      <c r="A4" s="66"/>
      <c r="B4" s="189" t="s">
        <v>91</v>
      </c>
      <c r="C4" s="188" t="s">
        <v>210</v>
      </c>
      <c r="D4" s="66"/>
      <c r="E4" s="208" t="b">
        <v>1</v>
      </c>
      <c r="F4" s="209" t="str">
        <f>Y4</f>
        <v>TN</v>
      </c>
      <c r="G4" s="210">
        <v>0</v>
      </c>
      <c r="H4" s="211" t="s">
        <v>93</v>
      </c>
      <c r="I4" s="202" t="e">
        <f ca="1"/>
        <v>#NAME?</v>
      </c>
      <c r="J4" s="212"/>
      <c r="K4" s="213"/>
      <c r="L4" s="212" t="e">
        <f t="shared" ca="1" si="0"/>
        <v>#NAME?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 t="e">
        <f t="shared" ca="1" si="5"/>
        <v>#NAME?</v>
      </c>
      <c r="U4" s="72" t="e">
        <f ca="1"/>
        <v>#NAME?</v>
      </c>
      <c r="V4" s="71" t="e">
        <f ca="1"/>
        <v>#NAME?</v>
      </c>
      <c r="W4"/>
      <c r="X4"/>
      <c r="Y4" s="233" t="s">
        <v>92</v>
      </c>
      <c r="Z4" s="233" t="e">
        <f ca="1">_xll.RtGet($AD$3,$AD$4&amp;$Y4&amp;$AD$5,Z$2)</f>
        <v>#NAME?</v>
      </c>
      <c r="AA4" s="234" t="e">
        <f ca="1">_xll.RtGet($AD$3,$AD$4&amp;$Y4&amp;$AD$5,AA$2)</f>
        <v>#NAME?</v>
      </c>
      <c r="AB4" s="217"/>
      <c r="AC4" s="259" t="s">
        <v>66</v>
      </c>
      <c r="AD4" s="260" t="s">
        <v>158</v>
      </c>
      <c r="AF4" s="124" t="s">
        <v>128</v>
      </c>
      <c r="AG4" s="177"/>
      <c r="AH4" s="177"/>
      <c r="AI4" s="187" t="e">
        <f ca="1">_xll.xlDateWorkFw($C$6,$C$3+1,0)</f>
        <v>#NAME?</v>
      </c>
    </row>
    <row r="5" spans="1:35" ht="11.25" customHeight="1" x14ac:dyDescent="0.2">
      <c r="A5" s="68"/>
      <c r="B5" s="186" t="s">
        <v>98</v>
      </c>
      <c r="C5" s="157" t="s">
        <v>158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 t="e">
        <f ca="1">AVERAGE(Z5:AA5)</f>
        <v>#NAME?</v>
      </c>
      <c r="J5" s="88"/>
      <c r="K5" s="89"/>
      <c r="L5" s="88" t="e">
        <f t="shared" ca="1" si="0"/>
        <v>#NAME?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 t="e">
        <f t="shared" ca="1" si="5"/>
        <v>#NAME?</v>
      </c>
      <c r="U5" s="72" t="e">
        <f ca="1"/>
        <v>#NAME?</v>
      </c>
      <c r="V5" s="71" t="e">
        <f ca="1"/>
        <v>#NAME?</v>
      </c>
      <c r="W5"/>
      <c r="X5"/>
      <c r="Y5" s="221" t="s">
        <v>89</v>
      </c>
      <c r="Z5" s="221" t="e">
        <f ca="1">_xll.RtGet($AD$3,$AD$4&amp;$Y5&amp;$AD$5,Z$2)</f>
        <v>#NAME?</v>
      </c>
      <c r="AA5" s="261" t="e">
        <f ca="1">_xll.RtGet($AD$3,$AD$4&amp;$Y5&amp;$AD$5,AA$2)</f>
        <v>#NAME?</v>
      </c>
      <c r="AB5" s="217"/>
      <c r="AC5" s="262" t="s">
        <v>63</v>
      </c>
      <c r="AD5" s="263" t="s">
        <v>152</v>
      </c>
      <c r="AF5" s="121" t="s">
        <v>129</v>
      </c>
      <c r="AG5" s="68"/>
      <c r="AH5" s="68"/>
      <c r="AI5" s="184" t="e">
        <f ca="1">_xll.xlDateWorkFw($C$6,$AI$4+1,0)</f>
        <v>#NAME?</v>
      </c>
    </row>
    <row r="6" spans="1:35" ht="11.25" customHeight="1" x14ac:dyDescent="0.2">
      <c r="A6" s="68"/>
      <c r="B6" s="183" t="s">
        <v>99</v>
      </c>
      <c r="C6" s="119" t="s">
        <v>153</v>
      </c>
      <c r="D6" s="66"/>
      <c r="E6" s="182" t="b">
        <v>1</v>
      </c>
      <c r="F6" s="264">
        <v>1</v>
      </c>
      <c r="G6" s="129">
        <v>1</v>
      </c>
      <c r="H6" s="127" t="s">
        <v>86</v>
      </c>
      <c r="I6" s="154" t="e">
        <f ca="1">AVERAGE(Z8:AA8)</f>
        <v>#NAME?</v>
      </c>
      <c r="J6" s="152"/>
      <c r="K6" s="153"/>
      <c r="L6" s="152" t="e">
        <f t="shared" ca="1" si="0"/>
        <v>#NAME?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 t="e">
        <f t="shared" ca="1" si="5"/>
        <v>#NAME?</v>
      </c>
      <c r="U6" s="72" t="e">
        <f ca="1"/>
        <v>#NAME?</v>
      </c>
      <c r="V6" s="71" t="e">
        <f ca="1"/>
        <v>#NAME?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 t="e">
        <f ca="1">_xll.xlDateWorkFw($C$6,$AI$5+7,0)</f>
        <v>#NAME?</v>
      </c>
    </row>
    <row r="7" spans="1:35" ht="11.25" customHeight="1" x14ac:dyDescent="0.25">
      <c r="A7" s="68"/>
      <c r="B7" s="147" t="s">
        <v>123</v>
      </c>
      <c r="C7" s="136" t="s">
        <v>153</v>
      </c>
      <c r="D7" s="66"/>
      <c r="E7" s="98" t="b">
        <v>1</v>
      </c>
      <c r="F7" s="265">
        <f>Y9</f>
        <v>2</v>
      </c>
      <c r="G7" s="80">
        <v>2</v>
      </c>
      <c r="H7" s="78" t="s">
        <v>86</v>
      </c>
      <c r="I7" s="97" t="e">
        <f ca="1">AVERAGE(Z9:AA9)</f>
        <v>#NAME?</v>
      </c>
      <c r="J7" s="95"/>
      <c r="K7" s="96"/>
      <c r="L7" s="95" t="e">
        <f t="shared" ca="1" si="0"/>
        <v>#NAME?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 t="e">
        <f t="shared" ca="1" si="5"/>
        <v>#NAME?</v>
      </c>
      <c r="U7" s="72" t="e">
        <f ca="1"/>
        <v>#NAME?</v>
      </c>
      <c r="V7" s="71" t="e">
        <f ca="1"/>
        <v>#NAME?</v>
      </c>
      <c r="W7"/>
      <c r="X7"/>
      <c r="Y7" s="133" t="s">
        <v>82</v>
      </c>
      <c r="Z7" s="135" t="s">
        <v>71</v>
      </c>
      <c r="AA7" s="134" t="s">
        <v>70</v>
      </c>
      <c r="AF7" s="124" t="s">
        <v>214</v>
      </c>
      <c r="AG7" s="177"/>
      <c r="AH7" s="177"/>
      <c r="AI7" s="176" t="e">
        <f t="array" aca="1" ref="AI7:AI9" ca="1">_xll.xlShmInterpDisc($AI$3,AI4:AI6+0*TYPE(ObjectsTrigger))</f>
        <v>#NAME?</v>
      </c>
    </row>
    <row r="8" spans="1:35" ht="11.25" customHeight="1" x14ac:dyDescent="0.2">
      <c r="A8" s="68"/>
      <c r="B8" s="140" t="s">
        <v>107</v>
      </c>
      <c r="C8" s="119" t="str">
        <f>+'USDBASIS(EURON)'!$C$4</f>
        <v>USDBASIS.EURON</v>
      </c>
      <c r="D8" s="66"/>
      <c r="E8" s="91" t="b">
        <v>1</v>
      </c>
      <c r="F8" s="266">
        <f>Y10</f>
        <v>3</v>
      </c>
      <c r="G8" s="75">
        <v>3</v>
      </c>
      <c r="H8" s="76" t="s">
        <v>86</v>
      </c>
      <c r="I8" s="90" t="e">
        <f ca="1">AVERAGE(Z10:AA10)</f>
        <v>#NAME?</v>
      </c>
      <c r="J8" s="88"/>
      <c r="K8" s="89"/>
      <c r="L8" s="88" t="e">
        <f t="shared" ca="1" si="0"/>
        <v>#NAME?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 t="e">
        <f t="shared" ca="1" si="5"/>
        <v>#NAME?</v>
      </c>
      <c r="U8" s="72" t="e">
        <f ca="1"/>
        <v>#NAME?</v>
      </c>
      <c r="V8" s="71" t="e">
        <f ca="1"/>
        <v>#NAME?</v>
      </c>
      <c r="W8"/>
      <c r="X8"/>
      <c r="Y8" s="180" t="s">
        <v>85</v>
      </c>
      <c r="Z8" s="129" t="e">
        <f ca="1">_xll.RtGet($AD$8,$AD$9&amp;$Y8&amp;$AD$10,Z$7)</f>
        <v>#NAME?</v>
      </c>
      <c r="AA8" s="127" t="e">
        <f ca="1">_xll.RtGet($AD$8,$AD$9&amp;$Y8&amp;$AD$10,AA$7)</f>
        <v>#NAME?</v>
      </c>
      <c r="AC8" s="124" t="s">
        <v>68</v>
      </c>
      <c r="AD8" s="123" t="s">
        <v>102</v>
      </c>
      <c r="AF8" s="24" t="s">
        <v>215</v>
      </c>
      <c r="AG8" s="68"/>
      <c r="AH8" s="68"/>
      <c r="AI8" s="170" t="e">
        <f ca="1"/>
        <v>#NAME?</v>
      </c>
    </row>
    <row r="9" spans="1:35" ht="11.25" customHeight="1" x14ac:dyDescent="0.2">
      <c r="A9" s="68"/>
      <c r="B9" s="140" t="s">
        <v>108</v>
      </c>
      <c r="C9" s="119" t="s">
        <v>160</v>
      </c>
      <c r="D9" s="66"/>
      <c r="E9" s="98" t="b">
        <v>1</v>
      </c>
      <c r="F9" s="267">
        <f t="shared" ref="F9:F20" si="8">Y13</f>
        <v>1</v>
      </c>
      <c r="G9" s="80">
        <v>1</v>
      </c>
      <c r="H9" s="78" t="s">
        <v>81</v>
      </c>
      <c r="I9" s="97" t="e">
        <f t="shared" ref="I9:I20" ca="1" si="9">AVERAGE(Z13:AA13)</f>
        <v>#NAME?</v>
      </c>
      <c r="J9" s="95"/>
      <c r="K9" s="96"/>
      <c r="L9" s="95" t="e">
        <f t="shared" ca="1" si="0"/>
        <v>#NAME?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 t="e">
        <f t="shared" ca="1" si="5"/>
        <v>#NAME?</v>
      </c>
      <c r="U9" s="72" t="e">
        <f ca="1"/>
        <v>#NAME?</v>
      </c>
      <c r="V9" s="71" t="e">
        <f ca="1"/>
        <v>#NAME?</v>
      </c>
      <c r="W9"/>
      <c r="X9"/>
      <c r="Y9" s="80">
        <v>2</v>
      </c>
      <c r="Z9" s="80" t="e">
        <f ca="1">_xll.RtGet($AD$8,$AD$9&amp;$Y9&amp;$AD$10,Z$7)</f>
        <v>#NAME?</v>
      </c>
      <c r="AA9" s="78" t="e">
        <f ca="1">_xll.RtGet($AD$8,$AD$9&amp;$Y9&amp;$AD$10,AA$7)</f>
        <v>#NAME?</v>
      </c>
      <c r="AC9" s="121" t="s">
        <v>66</v>
      </c>
      <c r="AD9" s="120" t="s">
        <v>225</v>
      </c>
      <c r="AF9" s="25" t="s">
        <v>216</v>
      </c>
      <c r="AG9" s="168"/>
      <c r="AH9" s="168"/>
      <c r="AI9" s="167" t="e">
        <f ca="1"/>
        <v>#NAME?</v>
      </c>
    </row>
    <row r="10" spans="1:35" ht="11.25" customHeight="1" x14ac:dyDescent="0.2">
      <c r="A10" s="68"/>
      <c r="B10" s="179" t="s">
        <v>109</v>
      </c>
      <c r="C10" s="119" t="s">
        <v>211</v>
      </c>
      <c r="D10" s="66"/>
      <c r="E10" s="98" t="b">
        <v>1</v>
      </c>
      <c r="F10" s="267">
        <f t="shared" si="8"/>
        <v>2</v>
      </c>
      <c r="G10" s="80">
        <v>2</v>
      </c>
      <c r="H10" s="78" t="s">
        <v>81</v>
      </c>
      <c r="I10" s="97" t="e">
        <f t="shared" ca="1" si="9"/>
        <v>#NAME?</v>
      </c>
      <c r="J10" s="95"/>
      <c r="K10" s="96"/>
      <c r="L10" s="95" t="e">
        <f t="shared" ca="1" si="0"/>
        <v>#NAME?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 t="e">
        <f t="shared" ca="1" si="5"/>
        <v>#NAME?</v>
      </c>
      <c r="U10" s="72" t="e">
        <f ca="1"/>
        <v>#NAME?</v>
      </c>
      <c r="V10" s="71" t="e">
        <f ca="1"/>
        <v>#NAME?</v>
      </c>
      <c r="W10"/>
      <c r="X10"/>
      <c r="Y10" s="75">
        <v>3</v>
      </c>
      <c r="Z10" s="75" t="e">
        <f ca="1">_xll.RtGet($AD$8,$AD$9&amp;$Y10&amp;$AD$10,Z$7)</f>
        <v>#NAME?</v>
      </c>
      <c r="AA10" s="76" t="e">
        <f ca="1">_xll.RtGet($AD$8,$AD$9&amp;$Y10&amp;$AD$10,AA$7)</f>
        <v>#NAME?</v>
      </c>
      <c r="AC10" s="118" t="s">
        <v>63</v>
      </c>
      <c r="AD10" s="117" t="s">
        <v>103</v>
      </c>
      <c r="AF10" s="178" t="s">
        <v>217</v>
      </c>
      <c r="AG10" s="177"/>
      <c r="AH10" s="177"/>
      <c r="AI10" s="126">
        <v>5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1</v>
      </c>
      <c r="F11" s="267">
        <f t="shared" si="8"/>
        <v>3</v>
      </c>
      <c r="G11" s="80">
        <v>3</v>
      </c>
      <c r="H11" s="78" t="s">
        <v>81</v>
      </c>
      <c r="I11" s="97" t="e">
        <f t="shared" ca="1" si="9"/>
        <v>#NAME?</v>
      </c>
      <c r="J11" s="95"/>
      <c r="K11" s="96"/>
      <c r="L11" s="95" t="e">
        <f t="shared" ca="1" si="0"/>
        <v>#NAME?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 t="e">
        <f t="shared" ca="1" si="5"/>
        <v>#NAME?</v>
      </c>
      <c r="U11" s="72" t="e">
        <f ca="1"/>
        <v>#NAME?</v>
      </c>
      <c r="V11" s="71" t="e">
        <f ca="1"/>
        <v>#NAME?</v>
      </c>
      <c r="W11"/>
      <c r="X11"/>
      <c r="Y11" s="79"/>
      <c r="Z11" s="79"/>
      <c r="AA11" s="79"/>
      <c r="AF11" s="118" t="s">
        <v>194</v>
      </c>
      <c r="AG11" s="168"/>
      <c r="AH11" s="168"/>
      <c r="AI11" s="252">
        <f>VLOOKUP($C$14,dvCurveBootstrapperDayCount,2,FALSE)</f>
        <v>5</v>
      </c>
    </row>
    <row r="12" spans="1:35" ht="11.25" customHeight="1" x14ac:dyDescent="0.25">
      <c r="A12" s="68"/>
      <c r="B12" s="174" t="s">
        <v>87</v>
      </c>
      <c r="C12" s="119" t="s">
        <v>12</v>
      </c>
      <c r="D12" s="66"/>
      <c r="E12" s="98" t="b">
        <v>1</v>
      </c>
      <c r="F12" s="267">
        <f t="shared" si="8"/>
        <v>4</v>
      </c>
      <c r="G12" s="80">
        <v>4</v>
      </c>
      <c r="H12" s="78" t="s">
        <v>81</v>
      </c>
      <c r="I12" s="97" t="e">
        <f t="shared" ca="1" si="9"/>
        <v>#NAME?</v>
      </c>
      <c r="J12" s="95"/>
      <c r="K12" s="96"/>
      <c r="L12" s="95" t="e">
        <f t="shared" ca="1" si="0"/>
        <v>#NAME?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 t="e">
        <f t="shared" ca="1" si="5"/>
        <v>#NAME?</v>
      </c>
      <c r="U12" s="72" t="e">
        <f ca="1"/>
        <v>#NAME?</v>
      </c>
      <c r="V12" s="71" t="e">
        <f ca="1"/>
        <v>#NAME?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193</v>
      </c>
      <c r="AG12" s="177"/>
      <c r="AH12" s="177"/>
      <c r="AI12" s="176" t="e">
        <f ca="1">_xll.xlYrfDayCount(AI5,AI6,AI10)</f>
        <v>#NAME?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1</v>
      </c>
      <c r="F13" s="267">
        <f t="shared" si="8"/>
        <v>5</v>
      </c>
      <c r="G13" s="80">
        <v>5</v>
      </c>
      <c r="H13" s="78" t="s">
        <v>81</v>
      </c>
      <c r="I13" s="97" t="e">
        <f t="shared" ca="1" si="9"/>
        <v>#NAME?</v>
      </c>
      <c r="J13" s="95"/>
      <c r="K13" s="96"/>
      <c r="L13" s="95" t="e">
        <f t="shared" ca="1" si="0"/>
        <v>#NAME?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 t="e">
        <f t="shared" ca="1" si="5"/>
        <v>#NAME?</v>
      </c>
      <c r="U13" s="72" t="e">
        <f ca="1"/>
        <v>#NAME?</v>
      </c>
      <c r="V13" s="71" t="e">
        <f ca="1"/>
        <v>#NAME?</v>
      </c>
      <c r="W13"/>
      <c r="X13"/>
      <c r="Y13" s="80">
        <v>1</v>
      </c>
      <c r="Z13" s="80" t="e">
        <f ca="1">_xll.RtGet($AD$13,$AD$14&amp;$Y13&amp;$AD$15,Z$12)</f>
        <v>#NAME?</v>
      </c>
      <c r="AA13" s="78" t="e">
        <f ca="1">_xll.RtGet($AD$13,$AD$14&amp;$Y13&amp;$AD$15,AA$12)</f>
        <v>#NAME?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 t="e">
        <f ca="1">LN((1+$AI$12*L6/100)*(AI9/AI8))/_xll.xlYrfDayCount($AI$5,$AI$6,$AI$11)</f>
        <v>#NAME?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1</v>
      </c>
      <c r="F14" s="267">
        <f t="shared" si="8"/>
        <v>6</v>
      </c>
      <c r="G14" s="80">
        <v>6</v>
      </c>
      <c r="H14" s="78" t="s">
        <v>81</v>
      </c>
      <c r="I14" s="97" t="e">
        <f t="shared" ca="1" si="9"/>
        <v>#NAME?</v>
      </c>
      <c r="J14" s="95"/>
      <c r="K14" s="96"/>
      <c r="L14" s="95" t="e">
        <f t="shared" ca="1" si="0"/>
        <v>#NAME?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15</v>
      </c>
      <c r="Q14" s="80">
        <f t="shared" si="3"/>
        <v>9</v>
      </c>
      <c r="R14" s="79" t="str">
        <f t="shared" si="4"/>
        <v>m</v>
      </c>
      <c r="S14" s="93" t="e">
        <f t="shared" ca="1" si="5"/>
        <v>#NAME?</v>
      </c>
      <c r="U14" s="72" t="e">
        <f ca="1"/>
        <v>#NAME?</v>
      </c>
      <c r="V14" s="71" t="e">
        <f ca="1"/>
        <v>#NAME?</v>
      </c>
      <c r="W14"/>
      <c r="X14"/>
      <c r="Y14" s="80">
        <v>2</v>
      </c>
      <c r="Z14" s="80" t="e">
        <f ca="1">_xll.RtGet($AD$13,$AD$14&amp;$Y14&amp;$AD$15,Z$12)</f>
        <v>#NAME?</v>
      </c>
      <c r="AA14" s="78" t="e">
        <f ca="1">_xll.RtGet($AD$13,$AD$14&amp;$Y14&amp;$AD$15,AA$12)</f>
        <v>#NAME?</v>
      </c>
      <c r="AC14" s="121" t="s">
        <v>66</v>
      </c>
      <c r="AD14" s="120" t="s">
        <v>225</v>
      </c>
      <c r="AF14" s="24" t="s">
        <v>218</v>
      </c>
      <c r="AG14" s="68"/>
      <c r="AH14" s="68"/>
      <c r="AI14" s="170" t="e">
        <f ca="1">AI7*EXP(-$AI$13*_xll.xlYrfDayCount($C$3,AI4,$AI$11))</f>
        <v>#NAME?</v>
      </c>
    </row>
    <row r="15" spans="1:35" ht="11.25" customHeight="1" x14ac:dyDescent="0.2">
      <c r="A15" s="173">
        <v>30</v>
      </c>
      <c r="B15" s="172" t="s">
        <v>101</v>
      </c>
      <c r="C15" s="171" t="e">
        <f ca="1">_xll.RtNow(A15&amp;"s")</f>
        <v>#NAME?</v>
      </c>
      <c r="D15" s="66"/>
      <c r="E15" s="98" t="b">
        <v>0</v>
      </c>
      <c r="F15" s="267">
        <f t="shared" si="8"/>
        <v>7</v>
      </c>
      <c r="G15" s="80">
        <v>7</v>
      </c>
      <c r="H15" s="78" t="s">
        <v>81</v>
      </c>
      <c r="I15" s="97" t="e">
        <f t="shared" ca="1" si="9"/>
        <v>#NAME?</v>
      </c>
      <c r="J15" s="95"/>
      <c r="K15" s="96"/>
      <c r="L15" s="95" t="e">
        <f t="shared" ca="1" si="0"/>
        <v>#NAME?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 t="e">
        <f ca="1"/>
        <v>#NAME?</v>
      </c>
      <c r="V15" s="71" t="e">
        <f ca="1"/>
        <v>#NAME?</v>
      </c>
      <c r="W15"/>
      <c r="X15"/>
      <c r="Y15" s="80">
        <v>3</v>
      </c>
      <c r="Z15" s="80" t="e">
        <f ca="1">_xll.RtGet($AD$13,$AD$14&amp;$Y15&amp;$AD$15,Z$12)</f>
        <v>#NAME?</v>
      </c>
      <c r="AA15" s="78" t="e">
        <f ca="1">_xll.RtGet($AD$13,$AD$14&amp;$Y15&amp;$AD$15,AA$12)</f>
        <v>#NAME?</v>
      </c>
      <c r="AB15" s="67"/>
      <c r="AC15" s="118" t="s">
        <v>63</v>
      </c>
      <c r="AD15" s="117" t="s">
        <v>104</v>
      </c>
      <c r="AF15" s="24" t="s">
        <v>219</v>
      </c>
      <c r="AG15" s="68"/>
      <c r="AH15" s="68"/>
      <c r="AI15" s="170" t="e">
        <f ca="1">AI8*EXP(-$AI$13*_xll.xlYrfDayCount($C$3,AI5,$AI$11))</f>
        <v>#NAME?</v>
      </c>
    </row>
    <row r="16" spans="1:35" ht="11.25" customHeight="1" x14ac:dyDescent="0.2">
      <c r="A16" s="68"/>
      <c r="D16" s="66"/>
      <c r="E16" s="98" t="b">
        <v>0</v>
      </c>
      <c r="F16" s="267">
        <f t="shared" si="8"/>
        <v>8</v>
      </c>
      <c r="G16" s="80">
        <v>8</v>
      </c>
      <c r="H16" s="78" t="s">
        <v>81</v>
      </c>
      <c r="I16" s="97" t="e">
        <f t="shared" ca="1" si="9"/>
        <v>#NAME?</v>
      </c>
      <c r="J16" s="95"/>
      <c r="K16" s="96"/>
      <c r="L16" s="95" t="e">
        <f t="shared" ca="1" si="0"/>
        <v>#NAME?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 t="e">
        <f ca="1"/>
        <v>#NAME?</v>
      </c>
      <c r="V16" s="71" t="e">
        <f ca="1"/>
        <v>#NAME?</v>
      </c>
      <c r="W16"/>
      <c r="X16"/>
      <c r="Y16" s="80">
        <v>4</v>
      </c>
      <c r="Z16" s="80" t="e">
        <f ca="1">_xll.RtGet($AD$13,$AD$14&amp;$Y16&amp;$AD$15,Z$12)</f>
        <v>#NAME?</v>
      </c>
      <c r="AA16" s="78" t="e">
        <f ca="1">_xll.RtGet($AD$13,$AD$14&amp;$Y16&amp;$AD$15,AA$12)</f>
        <v>#NAME?</v>
      </c>
      <c r="AB16" s="67"/>
      <c r="AC16" s="67"/>
      <c r="AD16" s="67"/>
      <c r="AF16" s="25" t="s">
        <v>220</v>
      </c>
      <c r="AG16" s="168"/>
      <c r="AH16" s="168"/>
      <c r="AI16" s="167" t="e">
        <f ca="1">AI9*EXP(-$AI$13*_xll.xlYrfDayCount($C$3,AI6,$AI$11))</f>
        <v>#NAME?</v>
      </c>
    </row>
    <row r="17" spans="1:44" ht="11.25" customHeight="1" x14ac:dyDescent="0.2">
      <c r="A17" s="68"/>
      <c r="D17" s="66"/>
      <c r="E17" s="98" t="b">
        <v>1</v>
      </c>
      <c r="F17" s="267">
        <f t="shared" si="8"/>
        <v>9</v>
      </c>
      <c r="G17" s="80">
        <v>9</v>
      </c>
      <c r="H17" s="78" t="s">
        <v>81</v>
      </c>
      <c r="I17" s="97" t="e">
        <f t="shared" ca="1" si="9"/>
        <v>#NAME?</v>
      </c>
      <c r="J17" s="95"/>
      <c r="K17" s="96"/>
      <c r="L17" s="95" t="e">
        <f t="shared" ca="1" si="0"/>
        <v>#NAME?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 t="e">
        <f ca="1"/>
        <v>#NAME?</v>
      </c>
      <c r="V17" s="71" t="e">
        <f ca="1"/>
        <v>#NAME?</v>
      </c>
      <c r="W17"/>
      <c r="X17"/>
      <c r="Y17" s="80">
        <v>5</v>
      </c>
      <c r="Z17" s="80" t="e">
        <f ca="1">_xll.RtGet($AD$13,$AD$14&amp;$Y17&amp;$AD$15,Z$12)</f>
        <v>#NAME?</v>
      </c>
      <c r="AA17" s="78" t="e">
        <f ca="1">_xll.RtGet($AD$13,$AD$14&amp;$Y17&amp;$AD$15,AA$12)</f>
        <v>#NAME?</v>
      </c>
      <c r="AB17" s="67"/>
      <c r="AC17" s="67"/>
      <c r="AD17" s="67"/>
      <c r="AF17" s="24" t="s">
        <v>221</v>
      </c>
      <c r="AG17" s="68"/>
      <c r="AH17" s="68"/>
      <c r="AI17" s="170" t="e">
        <f ca="1">(1/AI14-1)/_xll.xlYrfDayCount($C$3,AI4,$AI$10)</f>
        <v>#NAME?</v>
      </c>
    </row>
    <row r="18" spans="1:44" ht="11.25" customHeight="1" x14ac:dyDescent="0.2">
      <c r="A18" s="68"/>
      <c r="C18" s="250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ca="1" si="9"/>
        <v>#NAME?</v>
      </c>
      <c r="J18" s="95"/>
      <c r="K18" s="96"/>
      <c r="L18" s="95" t="e">
        <f t="shared" ca="1" si="0"/>
        <v>#NAME?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 t="e">
        <f ca="1"/>
        <v>#NAME?</v>
      </c>
      <c r="V18" s="71" t="e">
        <f ca="1"/>
        <v>#NAME?</v>
      </c>
      <c r="W18"/>
      <c r="X18"/>
      <c r="Y18" s="80">
        <v>6</v>
      </c>
      <c r="Z18" s="80" t="e">
        <f ca="1">_xll.RtGet($AD$13,$AD$14&amp;$Y18&amp;$AD$15,Z$12)</f>
        <v>#NAME?</v>
      </c>
      <c r="AA18" s="78" t="e">
        <f ca="1">_xll.RtGet($AD$13,$AD$14&amp;$Y18&amp;$AD$15,AA$12)</f>
        <v>#NAME?</v>
      </c>
      <c r="AB18" s="67"/>
      <c r="AC18" s="67"/>
      <c r="AD18" s="67"/>
      <c r="AF18" s="24" t="s">
        <v>222</v>
      </c>
      <c r="AG18" s="68"/>
      <c r="AH18" s="68"/>
      <c r="AI18" s="170" t="e">
        <f ca="1">(AI14/AI15-1)/_xll.xlYrfDayCount(AI4,AI5,$AI$10)</f>
        <v>#NAME?</v>
      </c>
    </row>
    <row r="19" spans="1:44" ht="11.25" customHeight="1" x14ac:dyDescent="0.2">
      <c r="A19" s="68"/>
      <c r="C19" s="251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ca="1" si="9"/>
        <v>#NAME?</v>
      </c>
      <c r="J19" s="95"/>
      <c r="K19" s="96"/>
      <c r="L19" s="95" t="e">
        <f t="shared" ca="1" si="0"/>
        <v>#NAME?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 t="e">
        <f ca="1"/>
        <v>#NAME?</v>
      </c>
      <c r="V19" s="71" t="e">
        <f ca="1"/>
        <v>#NAME?</v>
      </c>
      <c r="W19"/>
      <c r="X19"/>
      <c r="Y19" s="80">
        <v>7</v>
      </c>
      <c r="Z19" s="80" t="e">
        <f ca="1">_xll.RtGet($AD$13,$AD$14&amp;$Y19&amp;$AD$15,Z$12)</f>
        <v>#NAME?</v>
      </c>
      <c r="AA19" s="78" t="e">
        <f ca="1">_xll.RtGet($AD$13,$AD$14&amp;$Y19&amp;$AD$15,AA$12)</f>
        <v>#NAME?</v>
      </c>
      <c r="AB19" s="67"/>
      <c r="AC19" s="67"/>
      <c r="AD19" s="67"/>
      <c r="AF19" s="24" t="s">
        <v>223</v>
      </c>
      <c r="AG19" s="68"/>
      <c r="AH19" s="68"/>
      <c r="AI19" s="170" t="e">
        <f ca="1">AI17*100-IF(J3&gt;0,J3,I3)</f>
        <v>#NAME?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ca="1" si="9"/>
        <v>#NAME?</v>
      </c>
      <c r="J20" s="88"/>
      <c r="K20" s="165"/>
      <c r="L20" s="88" t="e">
        <f t="shared" ca="1" si="0"/>
        <v>#NAME?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 t="e">
        <f ca="1"/>
        <v>#NAME?</v>
      </c>
      <c r="V20" s="71" t="e">
        <f ca="1"/>
        <v>#NAME?</v>
      </c>
      <c r="W20"/>
      <c r="X20"/>
      <c r="Y20" s="80">
        <v>8</v>
      </c>
      <c r="Z20" s="80" t="e">
        <f ca="1">_xll.RtGet($AD$13,$AD$14&amp;$Y20&amp;$AD$15,Z$12)</f>
        <v>#NAME?</v>
      </c>
      <c r="AA20" s="78" t="e">
        <f ca="1">_xll.RtGet($AD$13,$AD$14&amp;$Y20&amp;$AD$15,AA$12)</f>
        <v>#NAME?</v>
      </c>
      <c r="AB20" s="67"/>
      <c r="AC20" s="67"/>
      <c r="AD20" s="67"/>
      <c r="AF20" s="25" t="s">
        <v>224</v>
      </c>
      <c r="AG20" s="168"/>
      <c r="AH20" s="168"/>
      <c r="AI20" s="167" t="e">
        <f ca="1">AI18*100-IF(J4&gt;0,J4,I4)</f>
        <v>#NAME?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 t="e">
        <f ca="1"/>
        <v>#NAME?</v>
      </c>
      <c r="V21" s="71" t="e">
        <f ca="1"/>
        <v>#NAME?</v>
      </c>
      <c r="W21"/>
      <c r="X21"/>
      <c r="Y21" s="80">
        <v>9</v>
      </c>
      <c r="Z21" s="80" t="e">
        <f ca="1">_xll.RtGet($AD$13,$AD$14&amp;$Y21&amp;$AD$15,Z$12)</f>
        <v>#NAME?</v>
      </c>
      <c r="AA21" s="78" t="e">
        <f ca="1">_xll.RtGet($AD$13,$AD$14&amp;$Y21&amp;$AD$15,AA$12)</f>
        <v>#NAME?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 t="e">
        <f ca="1"/>
        <v>#NAME?</v>
      </c>
      <c r="V22" s="71" t="e">
        <f ca="1"/>
        <v>#NAME?</v>
      </c>
      <c r="W22"/>
      <c r="X22"/>
      <c r="Y22" s="80">
        <v>10</v>
      </c>
      <c r="Z22" s="80" t="e">
        <f ca="1">_xll.RtGet($AD$13,$AD$14&amp;$Y22&amp;$AD$15,Z$12)</f>
        <v>#NAME?</v>
      </c>
      <c r="AA22" s="78" t="e">
        <f ca="1">_xll.RtGet($AD$13,$AD$14&amp;$Y22&amp;$AD$15,AA$12)</f>
        <v>#NAME?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USD2GBP</v>
      </c>
      <c r="G23" s="67"/>
      <c r="H23" s="67"/>
      <c r="I23" s="162" t="e">
        <f ca="1">AVERAGE(Z27:AA27)</f>
        <v>#NAME?</v>
      </c>
      <c r="J23" s="160"/>
      <c r="K23" s="161"/>
      <c r="L23" s="160" t="e">
        <f ca="1">IF(ISNUMBER(J23),J23,I23)+K23</f>
        <v>#NAME?</v>
      </c>
      <c r="M23" s="67"/>
      <c r="N23" s="67"/>
      <c r="O23" s="67"/>
      <c r="P23" s="67"/>
      <c r="Q23" s="67"/>
      <c r="R23" s="67"/>
      <c r="S23" s="67"/>
      <c r="U23" s="72" t="e">
        <f ca="1"/>
        <v>#NAME?</v>
      </c>
      <c r="V23" s="71" t="e">
        <f ca="1"/>
        <v>#NAME?</v>
      </c>
      <c r="W23"/>
      <c r="X23"/>
      <c r="Y23" s="80">
        <v>11</v>
      </c>
      <c r="Z23" s="80" t="e">
        <f ca="1">_xll.RtGet($AD$13,$AD$14&amp;$Y23&amp;$AD$15,Z$12)</f>
        <v>#NAME?</v>
      </c>
      <c r="AA23" s="78" t="e">
        <f ca="1">_xll.RtGet($AD$13,$AD$14&amp;$Y23&amp;$AD$15,AA$12)</f>
        <v>#NAME?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314" t="s">
        <v>80</v>
      </c>
      <c r="C24" s="315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 t="e">
        <f ca="1"/>
        <v>#NAME?</v>
      </c>
      <c r="V24" s="71" t="e">
        <f ca="1"/>
        <v>#NAME?</v>
      </c>
      <c r="W24"/>
      <c r="X24"/>
      <c r="Y24" s="75">
        <v>12</v>
      </c>
      <c r="Z24" s="87" t="e">
        <f ca="1">_xll.RtGet($AD$13,$AD$14&amp;$Y24&amp;$AD$15,Z$12)</f>
        <v>#NAME?</v>
      </c>
      <c r="AA24" s="159" t="e">
        <f ca="1">_xll.RtGet($AD$13,$AD$14&amp;$Y24&amp;$AD$15,AA$12)</f>
        <v>#NAME?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 ca="1">SUM(1*E26:E67)</f>
        <v>0</v>
      </c>
      <c r="U25" s="72" t="e">
        <f ca="1"/>
        <v>#NAME?</v>
      </c>
      <c r="V25" s="71" t="e">
        <f ca="1"/>
        <v>#NAME?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5">
      <c r="A26" s="68"/>
      <c r="B26" s="155" t="s">
        <v>78</v>
      </c>
      <c r="C26" s="136" t="s">
        <v>24</v>
      </c>
      <c r="D26" s="66"/>
      <c r="E26" s="98" t="b">
        <f t="shared" ref="E26:E67" ca="1" si="10">LEN(F26)&gt;0</f>
        <v>0</v>
      </c>
      <c r="F26" s="216" t="str">
        <f t="shared" ref="F26:F67" ca="1" si="11">IF($C$19,IF(LEN(AQ31)&gt;0,AQ31,""),IF(LEN(AG31)&gt;0,AG31,""))</f>
        <v/>
      </c>
      <c r="G26" s="68"/>
      <c r="H26" s="68"/>
      <c r="I26" s="154" t="e">
        <f t="shared" ref="I26:I67" ca="1" si="12">IF($C$19,AR31,AF31)</f>
        <v>#NAME?</v>
      </c>
      <c r="J26" s="152"/>
      <c r="K26" s="153"/>
      <c r="L26" s="152" t="e">
        <f t="shared" ref="L26:L67" ca="1" si="13">IF(ISNUMBER(J26),J26,I26)+K26</f>
        <v>#NAME?</v>
      </c>
      <c r="M26" s="129">
        <v>1</v>
      </c>
      <c r="N26" s="127" t="str">
        <f t="shared" ref="N26:N67" ca="1" si="14">IF(E26,M26,"")</f>
        <v/>
      </c>
      <c r="O26" s="73" t="str">
        <f ca="1">IF($S$25&gt;0,1,"")</f>
        <v/>
      </c>
      <c r="P26" s="127" t="str">
        <f t="shared" ref="P26:P67" ca="1" si="15">IF(LEN(O26)&gt;0,SMALL($N$26:$N$67,O26),"")</f>
        <v/>
      </c>
      <c r="Q26" s="102"/>
      <c r="R26" s="151" t="str">
        <f t="shared" ref="R26:R67" ca="1" si="16">IF(LEN(P26)&gt;0,INDEX($F$26:$F$67,$P26),"")</f>
        <v/>
      </c>
      <c r="S26" s="150" t="str">
        <f t="shared" ref="S26:S67" ca="1" si="17">IF(LEN(P26)&gt;0,INDEX($L$26:$L$67,$P26),"")</f>
        <v/>
      </c>
      <c r="U26" s="72" t="e">
        <f ca="1"/>
        <v>#NAME?</v>
      </c>
      <c r="V26" s="71" t="e">
        <f ca="1"/>
        <v>#NAME?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ca="1" si="10"/>
        <v>0</v>
      </c>
      <c r="F27" s="169" t="str">
        <f t="shared" ca="1" si="11"/>
        <v/>
      </c>
      <c r="G27" s="68"/>
      <c r="I27" s="97" t="e">
        <f t="shared" ca="1" si="12"/>
        <v>#NAME?</v>
      </c>
      <c r="J27" s="95"/>
      <c r="K27" s="96"/>
      <c r="L27" s="95" t="e">
        <f t="shared" ca="1" si="13"/>
        <v>#NAME?</v>
      </c>
      <c r="M27" s="80">
        <f t="shared" ref="M27:M67" si="18">M26+1</f>
        <v>2</v>
      </c>
      <c r="N27" s="78" t="str">
        <f t="shared" ca="1" si="14"/>
        <v/>
      </c>
      <c r="O27" s="80" t="str">
        <f t="shared" ref="O27:O67" ca="1" si="19">IF(O26&lt;$S$25,O26+1,"")</f>
        <v/>
      </c>
      <c r="P27" s="78" t="str">
        <f t="shared" ca="1" si="15"/>
        <v/>
      </c>
      <c r="Q27" s="102"/>
      <c r="R27" s="94" t="str">
        <f t="shared" ca="1" si="16"/>
        <v/>
      </c>
      <c r="S27" s="93" t="str">
        <f t="shared" ca="1" si="17"/>
        <v/>
      </c>
      <c r="U27" s="72" t="e">
        <f ca="1"/>
        <v>#NAME?</v>
      </c>
      <c r="V27" s="71" t="e">
        <f ca="1"/>
        <v>#NAME?</v>
      </c>
      <c r="W27"/>
      <c r="X27"/>
      <c r="Y27" s="280" t="s">
        <v>153</v>
      </c>
      <c r="Z27" s="280" t="e">
        <f ca="1">1/_xll.RtGet($AD$26,$AD$27&amp;$Y27&amp;$AD$28,Z$26)</f>
        <v>#NAME?</v>
      </c>
      <c r="AA27" s="281" t="e">
        <f ca="1">1/_xll.RtGet($AD$26,$AD$27&amp;$Y27&amp;$AD$28,AA$26)</f>
        <v>#NAME?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ca="1" si="10"/>
        <v>0</v>
      </c>
      <c r="F28" s="169" t="str">
        <f t="shared" ca="1" si="11"/>
        <v/>
      </c>
      <c r="G28" s="68"/>
      <c r="I28" s="97" t="e">
        <f t="shared" ca="1" si="12"/>
        <v>#NAME?</v>
      </c>
      <c r="J28" s="95"/>
      <c r="K28" s="96"/>
      <c r="L28" s="95" t="e">
        <f t="shared" ca="1" si="13"/>
        <v>#NAME?</v>
      </c>
      <c r="M28" s="80">
        <f t="shared" si="18"/>
        <v>3</v>
      </c>
      <c r="N28" s="78" t="str">
        <f t="shared" ca="1" si="14"/>
        <v/>
      </c>
      <c r="O28" s="80" t="str">
        <f t="shared" ca="1" si="19"/>
        <v/>
      </c>
      <c r="P28" s="78" t="str">
        <f t="shared" ca="1" si="15"/>
        <v/>
      </c>
      <c r="Q28" s="68"/>
      <c r="R28" s="94" t="str">
        <f t="shared" ca="1" si="16"/>
        <v/>
      </c>
      <c r="S28" s="93" t="str">
        <f t="shared" ca="1" si="17"/>
        <v/>
      </c>
      <c r="U28" s="72" t="e">
        <f ca="1"/>
        <v>#NAME?</v>
      </c>
      <c r="V28" s="71" t="e">
        <f ca="1"/>
        <v>#NAME?</v>
      </c>
      <c r="W28"/>
      <c r="X28"/>
      <c r="AC28" s="118" t="s">
        <v>63</v>
      </c>
      <c r="AD28" s="215" t="s">
        <v>105</v>
      </c>
    </row>
    <row r="29" spans="1:44" ht="11.25" customHeight="1" x14ac:dyDescent="0.25">
      <c r="A29" s="122"/>
      <c r="B29" s="140" t="s">
        <v>112</v>
      </c>
      <c r="C29" s="139"/>
      <c r="E29" s="98" t="b">
        <f t="shared" ca="1" si="10"/>
        <v>0</v>
      </c>
      <c r="F29" s="169" t="str">
        <f t="shared" ca="1" si="11"/>
        <v/>
      </c>
      <c r="G29" s="68"/>
      <c r="I29" s="97" t="e">
        <f t="shared" ca="1" si="12"/>
        <v>#NAME?</v>
      </c>
      <c r="J29" s="95"/>
      <c r="K29" s="96"/>
      <c r="L29" s="95" t="e">
        <f t="shared" ca="1" si="13"/>
        <v>#NAME?</v>
      </c>
      <c r="M29" s="80">
        <f t="shared" si="18"/>
        <v>4</v>
      </c>
      <c r="N29" s="78" t="str">
        <f t="shared" ca="1" si="14"/>
        <v/>
      </c>
      <c r="O29" s="80" t="str">
        <f t="shared" ca="1" si="19"/>
        <v/>
      </c>
      <c r="P29" s="78" t="str">
        <f t="shared" ca="1" si="15"/>
        <v/>
      </c>
      <c r="Q29" s="68"/>
      <c r="R29" s="94" t="str">
        <f t="shared" ca="1" si="16"/>
        <v/>
      </c>
      <c r="S29" s="93" t="str">
        <f t="shared" ca="1" si="17"/>
        <v/>
      </c>
      <c r="U29" s="72" t="e">
        <f ca="1"/>
        <v>#NAME?</v>
      </c>
      <c r="V29" s="71" t="e">
        <f ca="1"/>
        <v>#NAME?</v>
      </c>
      <c r="W29"/>
      <c r="X29"/>
      <c r="Y29" s="133" t="s">
        <v>132</v>
      </c>
      <c r="Z29" s="73">
        <v>0.01</v>
      </c>
      <c r="AF29" s="217"/>
      <c r="AG29" s="218">
        <f ca="1">MAX(AG31:AG72)</f>
        <v>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5">
      <c r="A30" s="122"/>
      <c r="B30" s="137" t="s">
        <v>113</v>
      </c>
      <c r="C30" s="136" t="s">
        <v>158</v>
      </c>
      <c r="E30" s="98" t="b">
        <f t="shared" ca="1" si="10"/>
        <v>0</v>
      </c>
      <c r="F30" s="169" t="str">
        <f t="shared" ca="1" si="11"/>
        <v/>
      </c>
      <c r="G30" s="68"/>
      <c r="I30" s="97" t="e">
        <f t="shared" ca="1" si="12"/>
        <v>#NAME?</v>
      </c>
      <c r="J30" s="95"/>
      <c r="K30" s="96"/>
      <c r="L30" s="95" t="e">
        <f t="shared" ca="1" si="13"/>
        <v>#NAME?</v>
      </c>
      <c r="M30" s="80">
        <f t="shared" si="18"/>
        <v>5</v>
      </c>
      <c r="N30" s="78" t="str">
        <f t="shared" ca="1" si="14"/>
        <v/>
      </c>
      <c r="O30" s="80" t="str">
        <f t="shared" ca="1" si="19"/>
        <v/>
      </c>
      <c r="P30" s="78" t="str">
        <f t="shared" ca="1" si="15"/>
        <v/>
      </c>
      <c r="Q30" s="68"/>
      <c r="R30" s="94" t="str">
        <f t="shared" ca="1" si="16"/>
        <v/>
      </c>
      <c r="S30" s="93" t="str">
        <f t="shared" ca="1" si="17"/>
        <v/>
      </c>
      <c r="U30" s="72" t="e">
        <f ca="1"/>
        <v>#NAME?</v>
      </c>
      <c r="V30" s="71" t="e">
        <f ca="1"/>
        <v>#NAME?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189</v>
      </c>
      <c r="AH30" s="221" t="b">
        <f ca="1">AND(AQ29&gt;AG29,ISERROR(MATCH(AQ29,$AG$31:$AG$72,0)))</f>
        <v>1</v>
      </c>
      <c r="AI30" s="222"/>
      <c r="AJ30" s="222"/>
      <c r="AK30" s="222"/>
      <c r="AL30" s="223">
        <f ca="1">COUNT(AK31:AK72)</f>
        <v>1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ca="1" si="10"/>
        <v>0</v>
      </c>
      <c r="F31" s="169" t="str">
        <f t="shared" ca="1" si="11"/>
        <v/>
      </c>
      <c r="G31" s="68"/>
      <c r="I31" s="97" t="e">
        <f t="shared" ca="1" si="12"/>
        <v>#NAME?</v>
      </c>
      <c r="J31" s="95"/>
      <c r="K31" s="96"/>
      <c r="L31" s="95" t="e">
        <f t="shared" ca="1" si="13"/>
        <v>#NAME?</v>
      </c>
      <c r="M31" s="80">
        <f t="shared" si="18"/>
        <v>6</v>
      </c>
      <c r="N31" s="78" t="str">
        <f t="shared" ca="1" si="14"/>
        <v/>
      </c>
      <c r="O31" s="80" t="str">
        <f t="shared" ca="1" si="19"/>
        <v/>
      </c>
      <c r="P31" s="78" t="str">
        <f t="shared" ca="1" si="15"/>
        <v/>
      </c>
      <c r="Q31" s="68"/>
      <c r="R31" s="94" t="str">
        <f t="shared" ca="1" si="16"/>
        <v/>
      </c>
      <c r="S31" s="93" t="str">
        <f t="shared" ca="1" si="17"/>
        <v/>
      </c>
      <c r="U31" s="72" t="e">
        <f ca="1"/>
        <v>#NAME?</v>
      </c>
      <c r="V31" s="71" t="e">
        <f ca="1"/>
        <v>#NAME?</v>
      </c>
      <c r="W31"/>
      <c r="X31"/>
      <c r="Y31" s="130" t="s">
        <v>184</v>
      </c>
      <c r="Z31" s="129" t="e">
        <f ca="1">$Z$29*_xll.RtGet($AD$32,$AD$33&amp;$Y31&amp;$AD$34,Z$30)</f>
        <v>#NAME?</v>
      </c>
      <c r="AA31" s="127" t="e">
        <f ca="1">$Z$29*_xll.RtGet($AD$32,$AD$33&amp;$Y31&amp;$AD$34,AA$30)</f>
        <v>#NAME?</v>
      </c>
      <c r="AF31" s="225" t="e">
        <f t="shared" ref="AF31:AF72" ca="1" si="20">AVERAGE(Z31:AA31)</f>
        <v>#NAME?</v>
      </c>
      <c r="AG31" s="226" t="str">
        <f ca="1">IF(ISNUMBER(AF31),LEFT(Y31,LEN(Y31)-1)*IF(RIGHT(Y31,1)="Y",12,1),"")</f>
        <v/>
      </c>
      <c r="AH31" s="227" t="str">
        <f t="shared" ref="AH31:AH71" ca="1" si="21">IF(LEN(AG31)&gt;0,AG31,"")</f>
        <v/>
      </c>
      <c r="AI31" s="228" t="str">
        <f t="shared" ref="AI31:AI71" ca="1" si="22">IF(LEN(AG31)&gt;0,AF31,"")</f>
        <v/>
      </c>
      <c r="AJ31" s="229">
        <v>3</v>
      </c>
      <c r="AK31" s="224" t="str">
        <f ca="1">IF(LEN(AH31)&gt;0,AJ31,"")</f>
        <v/>
      </c>
      <c r="AL31" s="223">
        <f ca="1">IF(AL30&gt;0,1,"")</f>
        <v>1</v>
      </c>
      <c r="AM31" s="230" t="b">
        <f t="shared" ref="AM31:AM72" ca="1" si="23">LEN(AL31)&gt;0</f>
        <v>1</v>
      </c>
      <c r="AN31" s="231">
        <f t="shared" ref="AN31:AN72" ca="1" si="24">IF(AM31,SMALL($AK$31:$AK$72,AL31),"")</f>
        <v>840</v>
      </c>
      <c r="AO31" s="230" t="e">
        <f t="array" aca="1" ref="AO31:AP31" ca="1">IF(AM31,INDEX($AH$31:$AI$72,AN31,0),"")</f>
        <v>#REF!</v>
      </c>
      <c r="AP31" s="231" t="e">
        <f ca="1"/>
        <v>#REF!</v>
      </c>
      <c r="AQ31" s="230">
        <f t="array" ref="AQ31:AQ64">AJ31:AJ64</f>
        <v>3</v>
      </c>
      <c r="AR31" s="232" t="e">
        <f t="array" aca="1" ref="AR31:AR64" ca="1">_xll.xlInterp1D(AO31:INDEX(AO31:AO72,AL30),AP31:INDEX(AP31:AP72,AL30),AQ31:AQ72,"kruger")</f>
        <v>#NAME?</v>
      </c>
    </row>
    <row r="32" spans="1:44" ht="11.25" customHeight="1" x14ac:dyDescent="0.2">
      <c r="A32" s="122"/>
      <c r="B32" s="116" t="s">
        <v>115</v>
      </c>
      <c r="C32" s="125"/>
      <c r="E32" s="98" t="b">
        <f t="shared" ca="1" si="10"/>
        <v>0</v>
      </c>
      <c r="F32" s="169" t="str">
        <f t="shared" ca="1" si="11"/>
        <v/>
      </c>
      <c r="G32" s="68"/>
      <c r="I32" s="97" t="e">
        <f t="shared" ca="1" si="12"/>
        <v>#NAME?</v>
      </c>
      <c r="J32" s="95"/>
      <c r="K32" s="96"/>
      <c r="L32" s="95" t="e">
        <f t="shared" ca="1" si="13"/>
        <v>#NAME?</v>
      </c>
      <c r="M32" s="80">
        <f t="shared" si="18"/>
        <v>7</v>
      </c>
      <c r="N32" s="78" t="str">
        <f t="shared" ca="1" si="14"/>
        <v/>
      </c>
      <c r="O32" s="80" t="str">
        <f t="shared" ca="1" si="19"/>
        <v/>
      </c>
      <c r="P32" s="78" t="str">
        <f t="shared" ca="1" si="15"/>
        <v/>
      </c>
      <c r="Q32" s="68"/>
      <c r="R32" s="94" t="str">
        <f t="shared" ca="1" si="16"/>
        <v/>
      </c>
      <c r="S32" s="93" t="str">
        <f t="shared" ca="1" si="17"/>
        <v/>
      </c>
      <c r="U32" s="72" t="e">
        <f ca="1"/>
        <v>#NAME?</v>
      </c>
      <c r="V32" s="71" t="e">
        <f ca="1"/>
        <v>#NAME?</v>
      </c>
      <c r="W32"/>
      <c r="Y32" s="81" t="s">
        <v>185</v>
      </c>
      <c r="Z32" s="80" t="e">
        <f ca="1">$Z$29*_xll.RtGet($AD$32,$AD$33&amp;$Y32&amp;$AD$34,Z$30)</f>
        <v>#NAME?</v>
      </c>
      <c r="AA32" s="78" t="e">
        <f ca="1">$Z$29*_xll.RtGet($AD$32,$AD$33&amp;$Y32&amp;$AD$34,AA$30)</f>
        <v>#NAME?</v>
      </c>
      <c r="AC32" s="124" t="s">
        <v>68</v>
      </c>
      <c r="AD32" s="123" t="s">
        <v>67</v>
      </c>
      <c r="AF32" s="233" t="e">
        <f t="shared" ca="1" si="20"/>
        <v>#NAME?</v>
      </c>
      <c r="AG32" s="227" t="str">
        <f t="shared" ref="AG32:AG72" ca="1" si="25">IF(ISNUMBER(AF32),LEFT(Y32,LEN(Y32)-1)*IF(RIGHT(Y32,1)="Y",12,1),"")</f>
        <v/>
      </c>
      <c r="AH32" s="227" t="str">
        <f t="shared" ca="1" si="21"/>
        <v/>
      </c>
      <c r="AI32" s="234" t="str">
        <f t="shared" ca="1" si="22"/>
        <v/>
      </c>
      <c r="AJ32" s="235">
        <f>+AJ31+3</f>
        <v>6</v>
      </c>
      <c r="AK32" s="224" t="str">
        <f t="shared" ref="AK32:AK72" ca="1" si="26">IF(LEN(AH32)&gt;0,AJ32,"")</f>
        <v/>
      </c>
      <c r="AL32" s="224" t="str">
        <f t="shared" ref="AL32:AL72" ca="1" si="27">IF(AL31&lt;$AL$30,AL31+1,"")</f>
        <v/>
      </c>
      <c r="AM32" s="224" t="b">
        <f t="shared" ca="1" si="23"/>
        <v>0</v>
      </c>
      <c r="AN32" s="236" t="str">
        <f t="shared" ca="1" si="24"/>
        <v/>
      </c>
      <c r="AO32" s="235" t="str">
        <f t="array" aca="1" ref="AO32:AP32" ca="1">IF(AM32,INDEX($AH$31:$AI$72,AN32,0),"")</f>
        <v/>
      </c>
      <c r="AP32" s="236" t="str">
        <f ca="1"/>
        <v/>
      </c>
      <c r="AQ32" s="235">
        <v>6</v>
      </c>
      <c r="AR32" s="237" t="e">
        <f ca="1"/>
        <v>#NAME?</v>
      </c>
    </row>
    <row r="33" spans="1:44" ht="11.25" customHeight="1" x14ac:dyDescent="0.2">
      <c r="A33" s="122"/>
      <c r="B33" s="116" t="s">
        <v>116</v>
      </c>
      <c r="C33" s="119"/>
      <c r="E33" s="98" t="b">
        <f t="shared" ca="1" si="10"/>
        <v>0</v>
      </c>
      <c r="F33" s="169" t="str">
        <f t="shared" ca="1" si="11"/>
        <v/>
      </c>
      <c r="G33" s="68"/>
      <c r="I33" s="97" t="e">
        <f t="shared" ca="1" si="12"/>
        <v>#NAME?</v>
      </c>
      <c r="J33" s="95"/>
      <c r="K33" s="96"/>
      <c r="L33" s="95" t="e">
        <f t="shared" ca="1" si="13"/>
        <v>#NAME?</v>
      </c>
      <c r="M33" s="80">
        <f t="shared" si="18"/>
        <v>8</v>
      </c>
      <c r="N33" s="78" t="str">
        <f t="shared" ca="1" si="14"/>
        <v/>
      </c>
      <c r="O33" s="80" t="str">
        <f t="shared" ca="1" si="19"/>
        <v/>
      </c>
      <c r="P33" s="78" t="str">
        <f t="shared" ca="1" si="15"/>
        <v/>
      </c>
      <c r="Q33" s="68"/>
      <c r="R33" s="94" t="str">
        <f t="shared" ca="1" si="16"/>
        <v/>
      </c>
      <c r="S33" s="93" t="str">
        <f t="shared" ca="1" si="17"/>
        <v/>
      </c>
      <c r="U33" s="72" t="e">
        <f ca="1"/>
        <v>#NAME?</v>
      </c>
      <c r="V33" s="71" t="e">
        <f ca="1"/>
        <v>#NAME?</v>
      </c>
      <c r="W33"/>
      <c r="Y33" s="81" t="s">
        <v>186</v>
      </c>
      <c r="Z33" s="80" t="e">
        <f ca="1">$Z$29*_xll.RtGet($AD$32,$AD$33&amp;$Y33&amp;$AD$34,Z$30)</f>
        <v>#NAME?</v>
      </c>
      <c r="AA33" s="78" t="e">
        <f ca="1">$Z$29*_xll.RtGet($AD$32,$AD$33&amp;$Y33&amp;$AD$34,AA$30)</f>
        <v>#NAME?</v>
      </c>
      <c r="AC33" s="121" t="s">
        <v>66</v>
      </c>
      <c r="AD33" s="120" t="s">
        <v>212</v>
      </c>
      <c r="AF33" s="233" t="e">
        <f t="shared" ca="1" si="20"/>
        <v>#NAME?</v>
      </c>
      <c r="AG33" s="227" t="str">
        <f t="shared" ca="1" si="25"/>
        <v/>
      </c>
      <c r="AH33" s="227" t="str">
        <f t="shared" ca="1" si="21"/>
        <v/>
      </c>
      <c r="AI33" s="234" t="str">
        <f t="shared" ca="1" si="22"/>
        <v/>
      </c>
      <c r="AJ33" s="235">
        <f t="shared" ref="AJ33:AJ34" si="28">+AJ32+3</f>
        <v>9</v>
      </c>
      <c r="AK33" s="224" t="str">
        <f t="shared" ca="1" si="26"/>
        <v/>
      </c>
      <c r="AL33" s="224" t="str">
        <f t="shared" ca="1" si="27"/>
        <v/>
      </c>
      <c r="AM33" s="224" t="b">
        <f t="shared" ca="1" si="23"/>
        <v>0</v>
      </c>
      <c r="AN33" s="236" t="str">
        <f t="shared" ca="1" si="24"/>
        <v/>
      </c>
      <c r="AO33" s="235" t="str">
        <f t="array" aca="1" ref="AO33:AP33" ca="1">IF(AM33,INDEX($AH$31:$AI$72,AN33,0),"")</f>
        <v/>
      </c>
      <c r="AP33" s="236" t="str">
        <f ca="1"/>
        <v/>
      </c>
      <c r="AQ33" s="235">
        <v>9</v>
      </c>
      <c r="AR33" s="237" t="e">
        <f ca="1"/>
        <v>#NAME?</v>
      </c>
    </row>
    <row r="34" spans="1:44" ht="11.25" customHeight="1" x14ac:dyDescent="0.2">
      <c r="A34" s="66"/>
      <c r="B34" s="116" t="s">
        <v>117</v>
      </c>
      <c r="C34" s="119"/>
      <c r="E34" s="98" t="b">
        <f t="shared" ca="1" si="10"/>
        <v>0</v>
      </c>
      <c r="F34" s="169" t="str">
        <f t="shared" ca="1" si="11"/>
        <v/>
      </c>
      <c r="G34" s="68"/>
      <c r="I34" s="97" t="e">
        <f t="shared" ca="1" si="12"/>
        <v>#NAME?</v>
      </c>
      <c r="J34" s="95"/>
      <c r="K34" s="96"/>
      <c r="L34" s="95" t="e">
        <f t="shared" ca="1" si="13"/>
        <v>#NAME?</v>
      </c>
      <c r="M34" s="80">
        <f t="shared" si="18"/>
        <v>9</v>
      </c>
      <c r="N34" s="78" t="str">
        <f t="shared" ca="1" si="14"/>
        <v/>
      </c>
      <c r="O34" s="80" t="str">
        <f t="shared" ca="1" si="19"/>
        <v/>
      </c>
      <c r="P34" s="78" t="str">
        <f t="shared" ca="1" si="15"/>
        <v/>
      </c>
      <c r="Q34" s="68"/>
      <c r="R34" s="94" t="str">
        <f t="shared" ca="1" si="16"/>
        <v/>
      </c>
      <c r="S34" s="93" t="str">
        <f t="shared" ca="1" si="17"/>
        <v/>
      </c>
      <c r="U34" s="72" t="e">
        <f ca="1"/>
        <v>#NAME?</v>
      </c>
      <c r="V34" s="71" t="e">
        <f ca="1"/>
        <v>#NAME?</v>
      </c>
      <c r="W34"/>
      <c r="Y34" s="81" t="s">
        <v>175</v>
      </c>
      <c r="Z34" s="80" t="e">
        <f ca="1">$Z$29*_xll.RtGet($AD$32,$AD$33&amp;$Y34&amp;$AD$34,Z$30)</f>
        <v>#NAME?</v>
      </c>
      <c r="AA34" s="78" t="e">
        <f ca="1">$Z$29*_xll.RtGet($AD$32,$AD$33&amp;$Y34&amp;$AD$34,AA$30)</f>
        <v>#NAME?</v>
      </c>
      <c r="AC34" s="118" t="s">
        <v>63</v>
      </c>
      <c r="AD34" s="215" t="s">
        <v>176</v>
      </c>
      <c r="AF34" s="233" t="e">
        <f t="shared" ca="1" si="20"/>
        <v>#NAME?</v>
      </c>
      <c r="AG34" s="227" t="str">
        <f t="shared" ca="1" si="25"/>
        <v/>
      </c>
      <c r="AH34" s="227" t="str">
        <f t="shared" ca="1" si="21"/>
        <v/>
      </c>
      <c r="AI34" s="234" t="str">
        <f t="shared" ca="1" si="22"/>
        <v/>
      </c>
      <c r="AJ34" s="238">
        <f t="shared" si="28"/>
        <v>12</v>
      </c>
      <c r="AK34" s="224" t="str">
        <f t="shared" ca="1" si="26"/>
        <v/>
      </c>
      <c r="AL34" s="224" t="str">
        <f t="shared" ca="1" si="27"/>
        <v/>
      </c>
      <c r="AM34" s="224" t="b">
        <f t="shared" ca="1" si="23"/>
        <v>0</v>
      </c>
      <c r="AN34" s="236" t="str">
        <f t="shared" ca="1" si="24"/>
        <v/>
      </c>
      <c r="AO34" s="235" t="str">
        <f t="array" aca="1" ref="AO34:AP34" ca="1">IF(AM34,INDEX($AH$31:$AI$72,AN34,0),"")</f>
        <v/>
      </c>
      <c r="AP34" s="236" t="str">
        <f ca="1"/>
        <v/>
      </c>
      <c r="AQ34" s="235">
        <v>12</v>
      </c>
      <c r="AR34" s="237" t="e">
        <f ca="1"/>
        <v>#NAME?</v>
      </c>
    </row>
    <row r="35" spans="1:44" ht="11.25" customHeight="1" x14ac:dyDescent="0.2">
      <c r="A35" s="66"/>
      <c r="B35" s="116" t="s">
        <v>118</v>
      </c>
      <c r="C35" s="115"/>
      <c r="E35" s="98" t="b">
        <f t="shared" ca="1" si="10"/>
        <v>0</v>
      </c>
      <c r="F35" s="169" t="str">
        <f t="shared" ca="1" si="11"/>
        <v/>
      </c>
      <c r="G35" s="68"/>
      <c r="I35" s="97" t="e">
        <f t="shared" ca="1" si="12"/>
        <v>#NAME?</v>
      </c>
      <c r="J35" s="95"/>
      <c r="K35" s="96"/>
      <c r="L35" s="95" t="e">
        <f t="shared" ca="1" si="13"/>
        <v>#NAME?</v>
      </c>
      <c r="M35" s="80">
        <f t="shared" si="18"/>
        <v>10</v>
      </c>
      <c r="N35" s="78" t="str">
        <f t="shared" ca="1" si="14"/>
        <v/>
      </c>
      <c r="O35" s="80" t="str">
        <f t="shared" ca="1" si="19"/>
        <v/>
      </c>
      <c r="P35" s="78" t="str">
        <f t="shared" ca="1" si="15"/>
        <v/>
      </c>
      <c r="Q35" s="68"/>
      <c r="R35" s="94" t="str">
        <f t="shared" ca="1" si="16"/>
        <v/>
      </c>
      <c r="S35" s="93" t="str">
        <f t="shared" ca="1" si="17"/>
        <v/>
      </c>
      <c r="U35" s="72" t="e">
        <f ca="1"/>
        <v>#NAME?</v>
      </c>
      <c r="V35" s="71" t="e">
        <f ca="1"/>
        <v>#NAME?</v>
      </c>
      <c r="W35"/>
      <c r="Y35" s="81" t="s">
        <v>177</v>
      </c>
      <c r="Z35" s="80" t="e">
        <f ca="1">$Z$29*_xll.RtGet($AD$32,$AD$33&amp;$Y35&amp;$AD$34,Z$30)</f>
        <v>#NAME?</v>
      </c>
      <c r="AA35" s="78" t="e">
        <f ca="1">$Z$29*_xll.RtGet($AD$32,$AD$33&amp;$Y35&amp;$AD$34,AA$30)</f>
        <v>#NAME?</v>
      </c>
      <c r="AF35" s="233" t="e">
        <f t="shared" ca="1" si="20"/>
        <v>#NAME?</v>
      </c>
      <c r="AG35" s="227" t="str">
        <f t="shared" ca="1" si="25"/>
        <v/>
      </c>
      <c r="AH35" s="227" t="str">
        <f t="shared" ca="1" si="21"/>
        <v/>
      </c>
      <c r="AI35" s="234" t="str">
        <f t="shared" ca="1" si="22"/>
        <v/>
      </c>
      <c r="AJ35" s="235">
        <f>+AJ34+6</f>
        <v>18</v>
      </c>
      <c r="AK35" s="224" t="str">
        <f t="shared" ca="1" si="26"/>
        <v/>
      </c>
      <c r="AL35" s="224" t="str">
        <f t="shared" ca="1" si="27"/>
        <v/>
      </c>
      <c r="AM35" s="224" t="b">
        <f t="shared" ca="1" si="23"/>
        <v>0</v>
      </c>
      <c r="AN35" s="236" t="str">
        <f t="shared" ca="1" si="24"/>
        <v/>
      </c>
      <c r="AO35" s="235" t="str">
        <f t="array" aca="1" ref="AO35:AP35" ca="1">IF(AM35,INDEX($AH$31:$AI$72,AN35,0),"")</f>
        <v/>
      </c>
      <c r="AP35" s="236" t="str">
        <f ca="1"/>
        <v/>
      </c>
      <c r="AQ35" s="235">
        <v>18</v>
      </c>
      <c r="AR35" s="237" t="e">
        <f ca="1"/>
        <v>#NAME?</v>
      </c>
    </row>
    <row r="36" spans="1:44" ht="11.25" customHeight="1" x14ac:dyDescent="0.2">
      <c r="A36" s="66"/>
      <c r="B36" s="114" t="s">
        <v>119</v>
      </c>
      <c r="C36" s="113"/>
      <c r="E36" s="98" t="b">
        <f t="shared" ca="1" si="10"/>
        <v>0</v>
      </c>
      <c r="F36" s="169" t="str">
        <f t="shared" ca="1" si="11"/>
        <v/>
      </c>
      <c r="G36" s="68"/>
      <c r="I36" s="97" t="e">
        <f t="shared" ca="1" si="12"/>
        <v>#NAME?</v>
      </c>
      <c r="J36" s="95"/>
      <c r="K36" s="96"/>
      <c r="L36" s="95" t="e">
        <f t="shared" ca="1" si="13"/>
        <v>#NAME?</v>
      </c>
      <c r="M36" s="80">
        <f t="shared" si="18"/>
        <v>11</v>
      </c>
      <c r="N36" s="78" t="str">
        <f t="shared" ca="1" si="14"/>
        <v/>
      </c>
      <c r="O36" s="80" t="str">
        <f t="shared" ca="1" si="19"/>
        <v/>
      </c>
      <c r="P36" s="78" t="str">
        <f t="shared" ca="1" si="15"/>
        <v/>
      </c>
      <c r="Q36" s="68"/>
      <c r="R36" s="94" t="str">
        <f t="shared" ca="1" si="16"/>
        <v/>
      </c>
      <c r="S36" s="93" t="str">
        <f t="shared" ca="1" si="17"/>
        <v/>
      </c>
      <c r="U36" s="72" t="e">
        <f ca="1"/>
        <v>#NAME?</v>
      </c>
      <c r="V36" s="71" t="e">
        <f ca="1"/>
        <v>#NAME?</v>
      </c>
      <c r="W36"/>
      <c r="Y36" s="81" t="s">
        <v>178</v>
      </c>
      <c r="Z36" s="80" t="e">
        <f ca="1">$Z$29*_xll.RtGet($AD$32,$AD$33&amp;$Y36&amp;$AD$34,Z$30)</f>
        <v>#NAME?</v>
      </c>
      <c r="AA36" s="78" t="e">
        <f ca="1">$Z$29*_xll.RtGet($AD$32,$AD$33&amp;$Y36&amp;$AD$34,AA$30)</f>
        <v>#NAME?</v>
      </c>
      <c r="AF36" s="233" t="e">
        <f t="shared" ca="1" si="20"/>
        <v>#NAME?</v>
      </c>
      <c r="AG36" s="227" t="str">
        <f t="shared" ca="1" si="25"/>
        <v/>
      </c>
      <c r="AH36" s="227" t="str">
        <f t="shared" ca="1" si="21"/>
        <v/>
      </c>
      <c r="AI36" s="234" t="str">
        <f t="shared" ca="1" si="22"/>
        <v/>
      </c>
      <c r="AJ36" s="238">
        <f>+AJ35+6</f>
        <v>24</v>
      </c>
      <c r="AK36" s="224" t="str">
        <f t="shared" ca="1" si="26"/>
        <v/>
      </c>
      <c r="AL36" s="224" t="str">
        <f t="shared" ca="1" si="27"/>
        <v/>
      </c>
      <c r="AM36" s="224" t="b">
        <f t="shared" ca="1" si="23"/>
        <v>0</v>
      </c>
      <c r="AN36" s="236" t="str">
        <f t="shared" ca="1" si="24"/>
        <v/>
      </c>
      <c r="AO36" s="235" t="str">
        <f t="array" aca="1" ref="AO36:AP36" ca="1">IF(AM36,INDEX($AH$31:$AI$72,AN36,0),"")</f>
        <v/>
      </c>
      <c r="AP36" s="236" t="str">
        <f ca="1"/>
        <v/>
      </c>
      <c r="AQ36" s="235">
        <v>24</v>
      </c>
      <c r="AR36" s="237" t="e">
        <f ca="1"/>
        <v>#NAME?</v>
      </c>
    </row>
    <row r="37" spans="1:44" ht="11.25" customHeight="1" x14ac:dyDescent="0.2">
      <c r="A37" s="66"/>
      <c r="B37" s="114" t="s">
        <v>120</v>
      </c>
      <c r="C37" s="113"/>
      <c r="E37" s="98" t="b">
        <f t="shared" ca="1" si="10"/>
        <v>0</v>
      </c>
      <c r="F37" s="169" t="str">
        <f t="shared" ca="1" si="11"/>
        <v/>
      </c>
      <c r="G37" s="68"/>
      <c r="I37" s="97" t="e">
        <f t="shared" ca="1" si="12"/>
        <v>#NAME?</v>
      </c>
      <c r="J37" s="95"/>
      <c r="K37" s="96"/>
      <c r="L37" s="95" t="e">
        <f t="shared" ca="1" si="13"/>
        <v>#NAME?</v>
      </c>
      <c r="M37" s="80">
        <f t="shared" si="18"/>
        <v>12</v>
      </c>
      <c r="N37" s="78" t="str">
        <f t="shared" ca="1" si="14"/>
        <v/>
      </c>
      <c r="O37" s="80" t="str">
        <f t="shared" ca="1" si="19"/>
        <v/>
      </c>
      <c r="P37" s="78" t="str">
        <f t="shared" ca="1" si="15"/>
        <v/>
      </c>
      <c r="Q37" s="68"/>
      <c r="R37" s="94" t="str">
        <f t="shared" ca="1" si="16"/>
        <v/>
      </c>
      <c r="S37" s="93" t="str">
        <f t="shared" ca="1" si="17"/>
        <v/>
      </c>
      <c r="U37" s="72" t="e">
        <f ca="1"/>
        <v>#NAME?</v>
      </c>
      <c r="V37" s="71" t="e">
        <f ca="1"/>
        <v>#NAME?</v>
      </c>
      <c r="W37"/>
      <c r="Y37" s="81" t="s">
        <v>179</v>
      </c>
      <c r="Z37" s="80" t="e">
        <f ca="1">$Z$29*_xll.RtGet($AD$32,$AD$33&amp;$Y37&amp;$AD$34,Z$30)</f>
        <v>#NAME?</v>
      </c>
      <c r="AA37" s="78" t="e">
        <f ca="1">$Z$29*_xll.RtGet($AD$32,$AD$33&amp;$Y37&amp;$AD$34,AA$30)</f>
        <v>#NAME?</v>
      </c>
      <c r="AF37" s="233" t="e">
        <f t="shared" ca="1" si="20"/>
        <v>#NAME?</v>
      </c>
      <c r="AG37" s="227" t="str">
        <f t="shared" ca="1" si="25"/>
        <v/>
      </c>
      <c r="AH37" s="227" t="str">
        <f t="shared" ca="1" si="21"/>
        <v/>
      </c>
      <c r="AI37" s="234" t="str">
        <f t="shared" ca="1" si="22"/>
        <v/>
      </c>
      <c r="AJ37" s="235">
        <f>+AJ36+12</f>
        <v>36</v>
      </c>
      <c r="AK37" s="224" t="str">
        <f t="shared" ca="1" si="26"/>
        <v/>
      </c>
      <c r="AL37" s="224" t="str">
        <f t="shared" ca="1" si="27"/>
        <v/>
      </c>
      <c r="AM37" s="224" t="b">
        <f t="shared" ca="1" si="23"/>
        <v>0</v>
      </c>
      <c r="AN37" s="236" t="str">
        <f t="shared" ca="1" si="24"/>
        <v/>
      </c>
      <c r="AO37" s="235" t="str">
        <f t="array" aca="1" ref="AO37:AP37" ca="1">IF(AM37,INDEX($AH$31:$AI$72,AN37,0),"")</f>
        <v/>
      </c>
      <c r="AP37" s="236" t="str">
        <f ca="1"/>
        <v/>
      </c>
      <c r="AQ37" s="235">
        <v>36</v>
      </c>
      <c r="AR37" s="237" t="e">
        <f ca="1"/>
        <v>#NAME?</v>
      </c>
    </row>
    <row r="38" spans="1:44" ht="11.25" customHeight="1" x14ac:dyDescent="0.2">
      <c r="A38" s="66"/>
      <c r="B38" s="114" t="s">
        <v>121</v>
      </c>
      <c r="C38" s="113"/>
      <c r="E38" s="98" t="b">
        <f t="shared" ca="1" si="10"/>
        <v>0</v>
      </c>
      <c r="F38" s="169" t="str">
        <f t="shared" ca="1" si="11"/>
        <v/>
      </c>
      <c r="G38" s="68"/>
      <c r="I38" s="97" t="e">
        <f t="shared" ca="1" si="12"/>
        <v>#NAME?</v>
      </c>
      <c r="J38" s="95"/>
      <c r="K38" s="96"/>
      <c r="L38" s="95" t="e">
        <f t="shared" ca="1" si="13"/>
        <v>#NAME?</v>
      </c>
      <c r="M38" s="80">
        <f t="shared" si="18"/>
        <v>13</v>
      </c>
      <c r="N38" s="78" t="str">
        <f t="shared" ca="1" si="14"/>
        <v/>
      </c>
      <c r="O38" s="80" t="str">
        <f t="shared" ca="1" si="19"/>
        <v/>
      </c>
      <c r="P38" s="78" t="str">
        <f t="shared" ca="1" si="15"/>
        <v/>
      </c>
      <c r="Q38" s="68"/>
      <c r="R38" s="94" t="str">
        <f t="shared" ca="1" si="16"/>
        <v/>
      </c>
      <c r="S38" s="93" t="str">
        <f t="shared" ca="1" si="17"/>
        <v/>
      </c>
      <c r="U38" s="72" t="e">
        <f ca="1"/>
        <v>#NAME?</v>
      </c>
      <c r="V38" s="71" t="e">
        <f ca="1"/>
        <v>#NAME?</v>
      </c>
      <c r="W38"/>
      <c r="Y38" s="81" t="s">
        <v>180</v>
      </c>
      <c r="Z38" s="80" t="e">
        <f ca="1">$Z$29*_xll.RtGet($AD$32,$AD$33&amp;$Y38&amp;$AD$34,Z$30)</f>
        <v>#NAME?</v>
      </c>
      <c r="AA38" s="78" t="e">
        <f ca="1">$Z$29*_xll.RtGet($AD$32,$AD$33&amp;$Y38&amp;$AD$34,AA$30)</f>
        <v>#NAME?</v>
      </c>
      <c r="AF38" s="233" t="e">
        <f t="shared" ca="1" si="20"/>
        <v>#NAME?</v>
      </c>
      <c r="AG38" s="227" t="str">
        <f t="shared" ca="1" si="25"/>
        <v/>
      </c>
      <c r="AH38" s="227" t="str">
        <f t="shared" ca="1" si="21"/>
        <v/>
      </c>
      <c r="AI38" s="234" t="str">
        <f t="shared" ca="1" si="22"/>
        <v/>
      </c>
      <c r="AJ38" s="235">
        <f t="shared" ref="AJ38:AJ64" si="29">+AJ37+12</f>
        <v>48</v>
      </c>
      <c r="AK38" s="224" t="str">
        <f t="shared" ca="1" si="26"/>
        <v/>
      </c>
      <c r="AL38" s="224" t="str">
        <f t="shared" ca="1" si="27"/>
        <v/>
      </c>
      <c r="AM38" s="224" t="b">
        <f t="shared" ca="1" si="23"/>
        <v>0</v>
      </c>
      <c r="AN38" s="236" t="str">
        <f t="shared" ca="1" si="24"/>
        <v/>
      </c>
      <c r="AO38" s="235" t="str">
        <f t="array" aca="1" ref="AO38:AP38" ca="1">IF(AM38,INDEX($AH$31:$AI$72,AN38,0),"")</f>
        <v/>
      </c>
      <c r="AP38" s="236" t="str">
        <f ca="1"/>
        <v/>
      </c>
      <c r="AQ38" s="235">
        <v>48</v>
      </c>
      <c r="AR38" s="237" t="e">
        <f ca="1"/>
        <v>#NAME?</v>
      </c>
    </row>
    <row r="39" spans="1:44" ht="11.25" customHeight="1" x14ac:dyDescent="0.2">
      <c r="A39" s="66"/>
      <c r="B39" s="112" t="s">
        <v>122</v>
      </c>
      <c r="C39" s="111"/>
      <c r="E39" s="98" t="b">
        <f t="shared" ca="1" si="10"/>
        <v>0</v>
      </c>
      <c r="F39" s="169" t="str">
        <f t="shared" ca="1" si="11"/>
        <v/>
      </c>
      <c r="G39" s="68"/>
      <c r="H39" s="68"/>
      <c r="I39" s="97" t="e">
        <f t="shared" ca="1" si="12"/>
        <v>#NAME?</v>
      </c>
      <c r="J39" s="95"/>
      <c r="K39" s="96"/>
      <c r="L39" s="95" t="e">
        <f t="shared" ca="1" si="13"/>
        <v>#NAME?</v>
      </c>
      <c r="M39" s="80">
        <f t="shared" si="18"/>
        <v>14</v>
      </c>
      <c r="N39" s="78" t="str">
        <f t="shared" ca="1" si="14"/>
        <v/>
      </c>
      <c r="O39" s="80" t="str">
        <f t="shared" ca="1" si="19"/>
        <v/>
      </c>
      <c r="P39" s="78" t="str">
        <f t="shared" ca="1" si="15"/>
        <v/>
      </c>
      <c r="Q39" s="68"/>
      <c r="R39" s="94" t="str">
        <f t="shared" ca="1" si="16"/>
        <v/>
      </c>
      <c r="S39" s="93" t="str">
        <f t="shared" ca="1" si="17"/>
        <v/>
      </c>
      <c r="U39" s="72" t="e">
        <f ca="1"/>
        <v>#NAME?</v>
      </c>
      <c r="V39" s="71" t="e">
        <f ca="1"/>
        <v>#NAME?</v>
      </c>
      <c r="Y39" s="81" t="s">
        <v>181</v>
      </c>
      <c r="Z39" s="80" t="e">
        <f ca="1">$Z$29*_xll.RtGet($AD$32,$AD$33&amp;$Y39&amp;$AD$34,Z$30)</f>
        <v>#NAME?</v>
      </c>
      <c r="AA39" s="78" t="e">
        <f ca="1">$Z$29*_xll.RtGet($AD$32,$AD$33&amp;$Y39&amp;$AD$34,AA$30)</f>
        <v>#NAME?</v>
      </c>
      <c r="AF39" s="233" t="e">
        <f t="shared" ca="1" si="20"/>
        <v>#NAME?</v>
      </c>
      <c r="AG39" s="227" t="str">
        <f t="shared" ca="1" si="25"/>
        <v/>
      </c>
      <c r="AH39" s="227" t="str">
        <f t="shared" ca="1" si="21"/>
        <v/>
      </c>
      <c r="AI39" s="234" t="str">
        <f t="shared" ca="1" si="22"/>
        <v/>
      </c>
      <c r="AJ39" s="235">
        <f t="shared" si="29"/>
        <v>60</v>
      </c>
      <c r="AK39" s="224" t="str">
        <f t="shared" ca="1" si="26"/>
        <v/>
      </c>
      <c r="AL39" s="224" t="str">
        <f t="shared" ca="1" si="27"/>
        <v/>
      </c>
      <c r="AM39" s="224" t="b">
        <f t="shared" ca="1" si="23"/>
        <v>0</v>
      </c>
      <c r="AN39" s="236" t="str">
        <f t="shared" ca="1" si="24"/>
        <v/>
      </c>
      <c r="AO39" s="235" t="str">
        <f t="array" aca="1" ref="AO39:AP39" ca="1">IF(AM39,INDEX($AH$31:$AI$72,AN39,0),"")</f>
        <v/>
      </c>
      <c r="AP39" s="236" t="str">
        <f ca="1"/>
        <v/>
      </c>
      <c r="AQ39" s="235">
        <v>60</v>
      </c>
      <c r="AR39" s="237" t="e">
        <f ca="1"/>
        <v>#NAME?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ca="1" si="10"/>
        <v>0</v>
      </c>
      <c r="F40" s="169" t="str">
        <f t="shared" ca="1" si="11"/>
        <v/>
      </c>
      <c r="G40" s="68"/>
      <c r="H40" s="68"/>
      <c r="I40" s="97" t="e">
        <f t="shared" ca="1" si="12"/>
        <v>#NAME?</v>
      </c>
      <c r="J40" s="95"/>
      <c r="K40" s="96"/>
      <c r="L40" s="95" t="e">
        <f t="shared" ca="1" si="13"/>
        <v>#NAME?</v>
      </c>
      <c r="M40" s="80">
        <f t="shared" si="18"/>
        <v>15</v>
      </c>
      <c r="N40" s="78" t="str">
        <f t="shared" ca="1" si="14"/>
        <v/>
      </c>
      <c r="O40" s="80" t="str">
        <f t="shared" ca="1" si="19"/>
        <v/>
      </c>
      <c r="P40" s="78" t="str">
        <f t="shared" ca="1" si="15"/>
        <v/>
      </c>
      <c r="Q40" s="68"/>
      <c r="R40" s="94" t="str">
        <f t="shared" ca="1" si="16"/>
        <v/>
      </c>
      <c r="S40" s="93" t="str">
        <f t="shared" ca="1" si="17"/>
        <v/>
      </c>
      <c r="U40" s="72" t="e">
        <f ca="1"/>
        <v>#NAME?</v>
      </c>
      <c r="V40" s="71" t="e">
        <f ca="1"/>
        <v>#NAME?</v>
      </c>
      <c r="Y40" s="81" t="s">
        <v>182</v>
      </c>
      <c r="Z40" s="80" t="e">
        <f ca="1">$Z$29*_xll.RtGet($AD$32,$AD$33&amp;$Y40&amp;$AD$34,Z$30)</f>
        <v>#NAME?</v>
      </c>
      <c r="AA40" s="78" t="e">
        <f ca="1">$Z$29*_xll.RtGet($AD$32,$AD$33&amp;$Y40&amp;$AD$34,AA$30)</f>
        <v>#NAME?</v>
      </c>
      <c r="AF40" s="233" t="e">
        <f t="shared" ca="1" si="20"/>
        <v>#NAME?</v>
      </c>
      <c r="AG40" s="227" t="str">
        <f t="shared" ca="1" si="25"/>
        <v/>
      </c>
      <c r="AH40" s="227" t="str">
        <f t="shared" ca="1" si="21"/>
        <v/>
      </c>
      <c r="AI40" s="234" t="str">
        <f t="shared" ca="1" si="22"/>
        <v/>
      </c>
      <c r="AJ40" s="235">
        <f t="shared" si="29"/>
        <v>72</v>
      </c>
      <c r="AK40" s="224" t="str">
        <f t="shared" ca="1" si="26"/>
        <v/>
      </c>
      <c r="AL40" s="224" t="str">
        <f t="shared" ca="1" si="27"/>
        <v/>
      </c>
      <c r="AM40" s="224" t="b">
        <f t="shared" ca="1" si="23"/>
        <v>0</v>
      </c>
      <c r="AN40" s="236" t="str">
        <f t="shared" ca="1" si="24"/>
        <v/>
      </c>
      <c r="AO40" s="235" t="str">
        <f t="array" aca="1" ref="AO40:AP40" ca="1">IF(AM40,INDEX($AH$31:$AI$72,AN40,0),"")</f>
        <v/>
      </c>
      <c r="AP40" s="236" t="str">
        <f ca="1"/>
        <v/>
      </c>
      <c r="AQ40" s="235">
        <v>72</v>
      </c>
      <c r="AR40" s="237" t="e">
        <f ca="1"/>
        <v>#NAME?</v>
      </c>
    </row>
    <row r="41" spans="1:44" ht="11.25" customHeight="1" x14ac:dyDescent="0.2">
      <c r="A41" s="66"/>
      <c r="D41" s="102"/>
      <c r="E41" s="98" t="b">
        <f t="shared" ca="1" si="10"/>
        <v>0</v>
      </c>
      <c r="F41" s="169" t="str">
        <f t="shared" ca="1" si="11"/>
        <v/>
      </c>
      <c r="G41" s="68"/>
      <c r="H41" s="68"/>
      <c r="I41" s="97" t="e">
        <f t="shared" ca="1" si="12"/>
        <v>#NAME?</v>
      </c>
      <c r="J41" s="95"/>
      <c r="K41" s="96"/>
      <c r="L41" s="95" t="e">
        <f t="shared" ca="1" si="13"/>
        <v>#NAME?</v>
      </c>
      <c r="M41" s="80">
        <f t="shared" si="18"/>
        <v>16</v>
      </c>
      <c r="N41" s="78" t="str">
        <f t="shared" ca="1" si="14"/>
        <v/>
      </c>
      <c r="O41" s="80" t="str">
        <f t="shared" ca="1" si="19"/>
        <v/>
      </c>
      <c r="P41" s="78" t="str">
        <f t="shared" ca="1" si="15"/>
        <v/>
      </c>
      <c r="Q41" s="68"/>
      <c r="R41" s="94" t="str">
        <f t="shared" ca="1" si="16"/>
        <v/>
      </c>
      <c r="S41" s="93" t="str">
        <f t="shared" ca="1" si="17"/>
        <v/>
      </c>
      <c r="U41" s="72" t="e">
        <f ca="1"/>
        <v>#NAME?</v>
      </c>
      <c r="V41" s="71" t="e">
        <f ca="1"/>
        <v>#NAME?</v>
      </c>
      <c r="Y41" s="81" t="s">
        <v>183</v>
      </c>
      <c r="Z41" s="80" t="e">
        <f ca="1">$Z$29*_xll.RtGet($AD$32,$AD$33&amp;$Y41&amp;$AD$34,Z$30)</f>
        <v>#NAME?</v>
      </c>
      <c r="AA41" s="78" t="e">
        <f ca="1">$Z$29*_xll.RtGet($AD$32,$AD$33&amp;$Y41&amp;$AD$34,AA$30)</f>
        <v>#NAME?</v>
      </c>
      <c r="AF41" s="233" t="e">
        <f t="shared" ca="1" si="20"/>
        <v>#NAME?</v>
      </c>
      <c r="AG41" s="227" t="str">
        <f t="shared" ca="1" si="25"/>
        <v/>
      </c>
      <c r="AH41" s="227" t="str">
        <f t="shared" ca="1" si="21"/>
        <v/>
      </c>
      <c r="AI41" s="234" t="str">
        <f t="shared" ca="1" si="22"/>
        <v/>
      </c>
      <c r="AJ41" s="235">
        <f t="shared" si="29"/>
        <v>84</v>
      </c>
      <c r="AK41" s="224" t="str">
        <f t="shared" ca="1" si="26"/>
        <v/>
      </c>
      <c r="AL41" s="224" t="str">
        <f t="shared" ca="1" si="27"/>
        <v/>
      </c>
      <c r="AM41" s="224" t="b">
        <f t="shared" ca="1" si="23"/>
        <v>0</v>
      </c>
      <c r="AN41" s="236" t="str">
        <f t="shared" ca="1" si="24"/>
        <v/>
      </c>
      <c r="AO41" s="235" t="str">
        <f t="array" aca="1" ref="AO41:AP41" ca="1">IF(AM41,INDEX($AH$31:$AI$72,AN41,0),"")</f>
        <v/>
      </c>
      <c r="AP41" s="236" t="str">
        <f ca="1"/>
        <v/>
      </c>
      <c r="AQ41" s="235">
        <v>84</v>
      </c>
      <c r="AR41" s="237" t="e">
        <f ca="1"/>
        <v>#NAME?</v>
      </c>
    </row>
    <row r="42" spans="1:44" ht="11.25" customHeight="1" x14ac:dyDescent="0.2">
      <c r="A42" s="66"/>
      <c r="D42" s="102"/>
      <c r="E42" s="98" t="b">
        <f t="shared" ca="1" si="10"/>
        <v>0</v>
      </c>
      <c r="F42" s="169" t="str">
        <f t="shared" ca="1" si="11"/>
        <v/>
      </c>
      <c r="G42" s="68"/>
      <c r="H42" s="68"/>
      <c r="I42" s="97" t="e">
        <f t="shared" ca="1" si="12"/>
        <v>#NAME?</v>
      </c>
      <c r="J42" s="95"/>
      <c r="K42" s="96"/>
      <c r="L42" s="95" t="e">
        <f t="shared" ca="1" si="13"/>
        <v>#NAME?</v>
      </c>
      <c r="M42" s="80">
        <f t="shared" si="18"/>
        <v>17</v>
      </c>
      <c r="N42" s="78" t="str">
        <f t="shared" ca="1" si="14"/>
        <v/>
      </c>
      <c r="O42" s="80" t="str">
        <f t="shared" ca="1" si="19"/>
        <v/>
      </c>
      <c r="P42" s="78" t="str">
        <f t="shared" ca="1" si="15"/>
        <v/>
      </c>
      <c r="Q42" s="68"/>
      <c r="R42" s="94" t="str">
        <f t="shared" ca="1" si="16"/>
        <v/>
      </c>
      <c r="S42" s="93" t="str">
        <f t="shared" ca="1" si="17"/>
        <v/>
      </c>
      <c r="U42" s="72" t="e">
        <f ca="1"/>
        <v>#NAME?</v>
      </c>
      <c r="V42" s="71" t="e">
        <f ca="1"/>
        <v>#NAME?</v>
      </c>
      <c r="Y42" s="81" t="s">
        <v>187</v>
      </c>
      <c r="Z42" s="80" t="e">
        <f ca="1">$Z$29*_xll.RtGet($AD$32,$AD$33&amp;$Y42&amp;$AD$34,Z$30)</f>
        <v>#NAME?</v>
      </c>
      <c r="AA42" s="78" t="e">
        <f ca="1">$Z$29*_xll.RtGet($AD$32,$AD$33&amp;$Y42&amp;$AD$34,AA$30)</f>
        <v>#NAME?</v>
      </c>
      <c r="AF42" s="233" t="e">
        <f t="shared" ca="1" si="20"/>
        <v>#NAME?</v>
      </c>
      <c r="AG42" s="227" t="str">
        <f t="shared" ca="1" si="25"/>
        <v/>
      </c>
      <c r="AH42" s="227" t="str">
        <f t="shared" ca="1" si="21"/>
        <v/>
      </c>
      <c r="AI42" s="234" t="str">
        <f t="shared" ca="1" si="22"/>
        <v/>
      </c>
      <c r="AJ42" s="235">
        <f t="shared" si="29"/>
        <v>96</v>
      </c>
      <c r="AK42" s="224" t="str">
        <f t="shared" ca="1" si="26"/>
        <v/>
      </c>
      <c r="AL42" s="224" t="str">
        <f t="shared" ca="1" si="27"/>
        <v/>
      </c>
      <c r="AM42" s="224" t="b">
        <f t="shared" ca="1" si="23"/>
        <v>0</v>
      </c>
      <c r="AN42" s="236" t="str">
        <f t="shared" ca="1" si="24"/>
        <v/>
      </c>
      <c r="AO42" s="235" t="str">
        <f t="array" aca="1" ref="AO42:AP42" ca="1">IF(AM42,INDEX($AH$31:$AI$72,AN42,0),"")</f>
        <v/>
      </c>
      <c r="AP42" s="236" t="str">
        <f ca="1"/>
        <v/>
      </c>
      <c r="AQ42" s="235">
        <v>96</v>
      </c>
      <c r="AR42" s="237" t="e">
        <f ca="1"/>
        <v>#NAME?</v>
      </c>
    </row>
    <row r="43" spans="1:44" ht="11.25" customHeight="1" x14ac:dyDescent="0.2">
      <c r="A43" s="66"/>
      <c r="E43" s="98" t="b">
        <f t="shared" ca="1" si="10"/>
        <v>0</v>
      </c>
      <c r="F43" s="169" t="str">
        <f t="shared" ca="1" si="11"/>
        <v/>
      </c>
      <c r="G43" s="68"/>
      <c r="H43" s="68"/>
      <c r="I43" s="97" t="e">
        <f t="shared" ca="1" si="12"/>
        <v>#NAME?</v>
      </c>
      <c r="J43" s="95"/>
      <c r="K43" s="96"/>
      <c r="L43" s="95" t="e">
        <f t="shared" ca="1" si="13"/>
        <v>#NAME?</v>
      </c>
      <c r="M43" s="80">
        <f t="shared" si="18"/>
        <v>18</v>
      </c>
      <c r="N43" s="78" t="str">
        <f t="shared" ca="1" si="14"/>
        <v/>
      </c>
      <c r="O43" s="80" t="str">
        <f t="shared" ca="1" si="19"/>
        <v/>
      </c>
      <c r="P43" s="78" t="str">
        <f t="shared" ca="1" si="15"/>
        <v/>
      </c>
      <c r="Q43" s="68"/>
      <c r="R43" s="94" t="str">
        <f t="shared" ca="1" si="16"/>
        <v/>
      </c>
      <c r="S43" s="93" t="str">
        <f t="shared" ca="1" si="17"/>
        <v/>
      </c>
      <c r="U43" s="72" t="e">
        <f ca="1"/>
        <v>#NAME?</v>
      </c>
      <c r="V43" s="71" t="e">
        <f ca="1"/>
        <v>#NAME?</v>
      </c>
      <c r="Y43" s="81" t="s">
        <v>188</v>
      </c>
      <c r="Z43" s="80" t="e">
        <f ca="1">$Z$29*_xll.RtGet($AD$32,$AD$33&amp;$Y43&amp;$AD$34,Z$30)</f>
        <v>#NAME?</v>
      </c>
      <c r="AA43" s="78" t="e">
        <f ca="1">$Z$29*_xll.RtGet($AD$32,$AD$33&amp;$Y43&amp;$AD$34,AA$30)</f>
        <v>#NAME?</v>
      </c>
      <c r="AF43" s="233" t="e">
        <f t="shared" ca="1" si="20"/>
        <v>#NAME?</v>
      </c>
      <c r="AG43" s="227" t="str">
        <f t="shared" ca="1" si="25"/>
        <v/>
      </c>
      <c r="AH43" s="227" t="str">
        <f t="shared" ca="1" si="21"/>
        <v/>
      </c>
      <c r="AI43" s="234" t="str">
        <f t="shared" ca="1" si="22"/>
        <v/>
      </c>
      <c r="AJ43" s="235">
        <f t="shared" si="29"/>
        <v>108</v>
      </c>
      <c r="AK43" s="224" t="str">
        <f t="shared" ca="1" si="26"/>
        <v/>
      </c>
      <c r="AL43" s="224" t="str">
        <f t="shared" ca="1" si="27"/>
        <v/>
      </c>
      <c r="AM43" s="224" t="b">
        <f t="shared" ca="1" si="23"/>
        <v>0</v>
      </c>
      <c r="AN43" s="236" t="str">
        <f t="shared" ca="1" si="24"/>
        <v/>
      </c>
      <c r="AO43" s="235" t="str">
        <f t="array" aca="1" ref="AO43:AP43" ca="1">IF(AM43,INDEX($AH$31:$AI$72,AN43,0),"")</f>
        <v/>
      </c>
      <c r="AP43" s="236" t="str">
        <f ca="1"/>
        <v/>
      </c>
      <c r="AQ43" s="235">
        <v>108</v>
      </c>
      <c r="AR43" s="237" t="e">
        <f ca="1"/>
        <v>#NAME?</v>
      </c>
    </row>
    <row r="44" spans="1:44" ht="11.25" customHeight="1" x14ac:dyDescent="0.2">
      <c r="A44" s="66"/>
      <c r="E44" s="98" t="b">
        <f t="shared" ca="1" si="10"/>
        <v>0</v>
      </c>
      <c r="F44" s="169" t="str">
        <f t="shared" ca="1" si="11"/>
        <v/>
      </c>
      <c r="G44" s="68"/>
      <c r="H44" s="68"/>
      <c r="I44" s="97" t="e">
        <f t="shared" ca="1" si="12"/>
        <v>#NAME?</v>
      </c>
      <c r="J44" s="95"/>
      <c r="K44" s="96"/>
      <c r="L44" s="95" t="e">
        <f t="shared" ca="1" si="13"/>
        <v>#NAME?</v>
      </c>
      <c r="M44" s="80">
        <f t="shared" si="18"/>
        <v>19</v>
      </c>
      <c r="N44" s="78" t="str">
        <f t="shared" ca="1" si="14"/>
        <v/>
      </c>
      <c r="O44" s="80" t="str">
        <f t="shared" ca="1" si="19"/>
        <v/>
      </c>
      <c r="P44" s="78" t="str">
        <f t="shared" ca="1" si="15"/>
        <v/>
      </c>
      <c r="Q44" s="68"/>
      <c r="R44" s="94" t="str">
        <f t="shared" ca="1" si="16"/>
        <v/>
      </c>
      <c r="S44" s="93" t="str">
        <f t="shared" ca="1" si="17"/>
        <v/>
      </c>
      <c r="U44" s="72" t="e">
        <f ca="1"/>
        <v>#NAME?</v>
      </c>
      <c r="V44" s="71" t="e">
        <f ca="1"/>
        <v>#NAME?</v>
      </c>
      <c r="Y44" s="81"/>
      <c r="Z44" s="80" t="e">
        <f ca="1">$Z$29*_xll.RtGet($AD$32,$AD$33&amp;$Y44&amp;$AD$34,Z$30)</f>
        <v>#NAME?</v>
      </c>
      <c r="AA44" s="78" t="e">
        <f ca="1">$Z$29*_xll.RtGet($AD$32,$AD$33&amp;$Y44&amp;$AD$34,AA$30)</f>
        <v>#NAME?</v>
      </c>
      <c r="AF44" s="233" t="e">
        <f t="shared" ca="1" si="20"/>
        <v>#NAME?</v>
      </c>
      <c r="AG44" s="227" t="str">
        <f t="shared" ca="1" si="25"/>
        <v/>
      </c>
      <c r="AH44" s="227" t="str">
        <f t="shared" ca="1" si="21"/>
        <v/>
      </c>
      <c r="AI44" s="234" t="str">
        <f t="shared" ca="1" si="22"/>
        <v/>
      </c>
      <c r="AJ44" s="235">
        <f t="shared" si="29"/>
        <v>120</v>
      </c>
      <c r="AK44" s="224" t="str">
        <f t="shared" ca="1" si="26"/>
        <v/>
      </c>
      <c r="AL44" s="224" t="str">
        <f t="shared" ca="1" si="27"/>
        <v/>
      </c>
      <c r="AM44" s="224" t="b">
        <f t="shared" ca="1" si="23"/>
        <v>0</v>
      </c>
      <c r="AN44" s="236" t="str">
        <f t="shared" ca="1" si="24"/>
        <v/>
      </c>
      <c r="AO44" s="235" t="str">
        <f t="array" aca="1" ref="AO44:AP44" ca="1">IF(AM44,INDEX($AH$31:$AI$72,AN44,0),"")</f>
        <v/>
      </c>
      <c r="AP44" s="236" t="str">
        <f ca="1"/>
        <v/>
      </c>
      <c r="AQ44" s="235">
        <v>120</v>
      </c>
      <c r="AR44" s="237" t="e">
        <f ca="1"/>
        <v>#NAME?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ca="1" si="10"/>
        <v>0</v>
      </c>
      <c r="F45" s="169" t="str">
        <f t="shared" ca="1" si="11"/>
        <v/>
      </c>
      <c r="G45" s="68"/>
      <c r="H45" s="68"/>
      <c r="I45" s="97" t="e">
        <f t="shared" ca="1" si="12"/>
        <v>#NAME?</v>
      </c>
      <c r="J45" s="95"/>
      <c r="K45" s="96"/>
      <c r="L45" s="95" t="e">
        <f t="shared" ca="1" si="13"/>
        <v>#NAME?</v>
      </c>
      <c r="M45" s="80">
        <f t="shared" si="18"/>
        <v>20</v>
      </c>
      <c r="N45" s="78" t="str">
        <f t="shared" ca="1" si="14"/>
        <v/>
      </c>
      <c r="O45" s="80" t="str">
        <f t="shared" ca="1" si="19"/>
        <v/>
      </c>
      <c r="P45" s="78" t="str">
        <f t="shared" ca="1" si="15"/>
        <v/>
      </c>
      <c r="Q45" s="68"/>
      <c r="R45" s="94" t="str">
        <f t="shared" ca="1" si="16"/>
        <v/>
      </c>
      <c r="S45" s="93" t="str">
        <f t="shared" ca="1" si="17"/>
        <v/>
      </c>
      <c r="U45" s="72" t="e">
        <f ca="1"/>
        <v>#NAME?</v>
      </c>
      <c r="V45" s="71" t="e">
        <f ca="1"/>
        <v>#NAME?</v>
      </c>
      <c r="Y45" s="81"/>
      <c r="Z45" s="80" t="e">
        <f ca="1">$Z$29*_xll.RtGet($AD$32,$AD$33&amp;$Y45&amp;$AD$34,Z$30)</f>
        <v>#NAME?</v>
      </c>
      <c r="AA45" s="78" t="e">
        <f ca="1">$Z$29*_xll.RtGet($AD$32,$AD$33&amp;$Y45&amp;$AD$34,AA$30)</f>
        <v>#NAME?</v>
      </c>
      <c r="AF45" s="233" t="e">
        <f t="shared" ca="1" si="20"/>
        <v>#NAME?</v>
      </c>
      <c r="AG45" s="227" t="str">
        <f t="shared" ca="1" si="25"/>
        <v/>
      </c>
      <c r="AH45" s="227" t="str">
        <f t="shared" ca="1" si="21"/>
        <v/>
      </c>
      <c r="AI45" s="234" t="str">
        <f t="shared" ca="1" si="22"/>
        <v/>
      </c>
      <c r="AJ45" s="235">
        <f t="shared" si="29"/>
        <v>132</v>
      </c>
      <c r="AK45" s="224" t="str">
        <f t="shared" ca="1" si="26"/>
        <v/>
      </c>
      <c r="AL45" s="224" t="str">
        <f t="shared" ca="1" si="27"/>
        <v/>
      </c>
      <c r="AM45" s="224" t="b">
        <f t="shared" ca="1" si="23"/>
        <v>0</v>
      </c>
      <c r="AN45" s="236" t="str">
        <f t="shared" ca="1" si="24"/>
        <v/>
      </c>
      <c r="AO45" s="235" t="str">
        <f t="array" aca="1" ref="AO45:AP45" ca="1">IF(AM45,INDEX($AH$31:$AI$72,AN45,0),"")</f>
        <v/>
      </c>
      <c r="AP45" s="236" t="str">
        <f ca="1"/>
        <v/>
      </c>
      <c r="AQ45" s="235">
        <v>132</v>
      </c>
      <c r="AR45" s="237" t="e">
        <f ca="1"/>
        <v>#NAME?</v>
      </c>
    </row>
    <row r="46" spans="1:44" ht="11.25" customHeight="1" x14ac:dyDescent="0.2">
      <c r="E46" s="98" t="b">
        <f t="shared" ca="1" si="10"/>
        <v>0</v>
      </c>
      <c r="F46" s="169" t="str">
        <f t="shared" ca="1" si="11"/>
        <v/>
      </c>
      <c r="G46" s="68"/>
      <c r="H46" s="68"/>
      <c r="I46" s="97" t="e">
        <f t="shared" ca="1" si="12"/>
        <v>#NAME?</v>
      </c>
      <c r="J46" s="95"/>
      <c r="K46" s="96"/>
      <c r="L46" s="95" t="e">
        <f t="shared" ca="1" si="13"/>
        <v>#NAME?</v>
      </c>
      <c r="M46" s="80">
        <f t="shared" si="18"/>
        <v>21</v>
      </c>
      <c r="N46" s="78" t="str">
        <f t="shared" ca="1" si="14"/>
        <v/>
      </c>
      <c r="O46" s="80" t="str">
        <f t="shared" ca="1" si="19"/>
        <v/>
      </c>
      <c r="P46" s="78" t="str">
        <f t="shared" ca="1" si="15"/>
        <v/>
      </c>
      <c r="Q46" s="68"/>
      <c r="R46" s="94" t="str">
        <f t="shared" ca="1" si="16"/>
        <v/>
      </c>
      <c r="S46" s="93" t="str">
        <f t="shared" ca="1" si="17"/>
        <v/>
      </c>
      <c r="U46" s="72" t="e">
        <f ca="1"/>
        <v>#NAME?</v>
      </c>
      <c r="V46" s="71" t="e">
        <f ca="1"/>
        <v>#NAME?</v>
      </c>
      <c r="Y46" s="81"/>
      <c r="Z46" s="80" t="e">
        <f ca="1">$Z$29*_xll.RtGet($AD$32,$AD$33&amp;$Y46&amp;$AD$34,Z$30)</f>
        <v>#NAME?</v>
      </c>
      <c r="AA46" s="78" t="e">
        <f ca="1">$Z$29*_xll.RtGet($AD$32,$AD$33&amp;$Y46&amp;$AD$34,AA$30)</f>
        <v>#NAME?</v>
      </c>
      <c r="AF46" s="233" t="e">
        <f t="shared" ca="1" si="20"/>
        <v>#NAME?</v>
      </c>
      <c r="AG46" s="227" t="str">
        <f t="shared" ca="1" si="25"/>
        <v/>
      </c>
      <c r="AH46" s="227" t="str">
        <f t="shared" ca="1" si="21"/>
        <v/>
      </c>
      <c r="AI46" s="234" t="str">
        <f t="shared" ca="1" si="22"/>
        <v/>
      </c>
      <c r="AJ46" s="235">
        <f t="shared" si="29"/>
        <v>144</v>
      </c>
      <c r="AK46" s="224" t="str">
        <f t="shared" ca="1" si="26"/>
        <v/>
      </c>
      <c r="AL46" s="224" t="str">
        <f t="shared" ca="1" si="27"/>
        <v/>
      </c>
      <c r="AM46" s="224" t="b">
        <f t="shared" ca="1" si="23"/>
        <v>0</v>
      </c>
      <c r="AN46" s="236" t="str">
        <f t="shared" ca="1" si="24"/>
        <v/>
      </c>
      <c r="AO46" s="235" t="str">
        <f t="array" aca="1" ref="AO46:AP46" ca="1">IF(AM46,INDEX($AH$31:$AI$72,AN46,0),"")</f>
        <v/>
      </c>
      <c r="AP46" s="236" t="str">
        <f ca="1"/>
        <v/>
      </c>
      <c r="AQ46" s="235">
        <v>144</v>
      </c>
      <c r="AR46" s="237" t="e">
        <f ca="1"/>
        <v>#NAME?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ca="1" si="10"/>
        <v>0</v>
      </c>
      <c r="F47" s="169" t="str">
        <f t="shared" ca="1" si="11"/>
        <v/>
      </c>
      <c r="G47" s="68"/>
      <c r="H47" s="68"/>
      <c r="I47" s="97" t="e">
        <f t="shared" ca="1" si="12"/>
        <v>#NAME?</v>
      </c>
      <c r="J47" s="95"/>
      <c r="K47" s="96"/>
      <c r="L47" s="95" t="e">
        <f t="shared" ca="1" si="13"/>
        <v>#NAME?</v>
      </c>
      <c r="M47" s="80">
        <f t="shared" si="18"/>
        <v>22</v>
      </c>
      <c r="N47" s="78" t="str">
        <f t="shared" ca="1" si="14"/>
        <v/>
      </c>
      <c r="O47" s="80" t="str">
        <f t="shared" ca="1" si="19"/>
        <v/>
      </c>
      <c r="P47" s="78" t="str">
        <f t="shared" ca="1" si="15"/>
        <v/>
      </c>
      <c r="Q47" s="68"/>
      <c r="R47" s="94" t="str">
        <f t="shared" ca="1" si="16"/>
        <v/>
      </c>
      <c r="S47" s="93" t="str">
        <f t="shared" ca="1" si="17"/>
        <v/>
      </c>
      <c r="U47" s="72" t="e">
        <f ca="1"/>
        <v>#NAME?</v>
      </c>
      <c r="V47" s="71" t="e">
        <f ca="1"/>
        <v>#NAME?</v>
      </c>
      <c r="Y47" s="81"/>
      <c r="Z47" s="80" t="e">
        <f ca="1">$Z$29*_xll.RtGet($AD$32,$AD$33&amp;$Y47&amp;$AD$34,Z$30)</f>
        <v>#NAME?</v>
      </c>
      <c r="AA47" s="78" t="e">
        <f ca="1">$Z$29*_xll.RtGet($AD$32,$AD$33&amp;$Y47&amp;$AD$34,AA$30)</f>
        <v>#NAME?</v>
      </c>
      <c r="AF47" s="233" t="e">
        <f t="shared" ca="1" si="20"/>
        <v>#NAME?</v>
      </c>
      <c r="AG47" s="227" t="str">
        <f t="shared" ca="1" si="25"/>
        <v/>
      </c>
      <c r="AH47" s="227" t="str">
        <f t="shared" ca="1" si="21"/>
        <v/>
      </c>
      <c r="AI47" s="234" t="str">
        <f t="shared" ca="1" si="22"/>
        <v/>
      </c>
      <c r="AJ47" s="235">
        <f t="shared" si="29"/>
        <v>156</v>
      </c>
      <c r="AK47" s="224" t="str">
        <f t="shared" ca="1" si="26"/>
        <v/>
      </c>
      <c r="AL47" s="224" t="str">
        <f t="shared" ca="1" si="27"/>
        <v/>
      </c>
      <c r="AM47" s="224" t="b">
        <f t="shared" ca="1" si="23"/>
        <v>0</v>
      </c>
      <c r="AN47" s="236" t="str">
        <f t="shared" ca="1" si="24"/>
        <v/>
      </c>
      <c r="AO47" s="235" t="str">
        <f t="array" aca="1" ref="AO47:AP47" ca="1">IF(AM47,INDEX($AH$31:$AI$72,AN47,0),"")</f>
        <v/>
      </c>
      <c r="AP47" s="236" t="str">
        <f ca="1"/>
        <v/>
      </c>
      <c r="AQ47" s="235">
        <v>156</v>
      </c>
      <c r="AR47" s="237" t="e">
        <f ca="1"/>
        <v>#NAME?</v>
      </c>
    </row>
    <row r="48" spans="1:44" ht="11.25" customHeight="1" x14ac:dyDescent="0.2">
      <c r="B48" s="104" t="str">
        <f>"DomDiscCurveName"&amp;IF(ISBLANK(C8),"","#"&amp;C8)</f>
        <v>DomDiscCurveName#USDBASIS.EURON</v>
      </c>
      <c r="C48" s="103"/>
      <c r="E48" s="98" t="b">
        <f t="shared" ca="1" si="10"/>
        <v>0</v>
      </c>
      <c r="F48" s="169" t="str">
        <f t="shared" ca="1" si="11"/>
        <v/>
      </c>
      <c r="G48" s="68"/>
      <c r="H48" s="68"/>
      <c r="I48" s="97" t="e">
        <f t="shared" ca="1" si="12"/>
        <v>#NAME?</v>
      </c>
      <c r="J48" s="95"/>
      <c r="K48" s="96"/>
      <c r="L48" s="95" t="e">
        <f t="shared" ca="1" si="13"/>
        <v>#NAME?</v>
      </c>
      <c r="M48" s="80">
        <f t="shared" si="18"/>
        <v>23</v>
      </c>
      <c r="N48" s="78" t="str">
        <f t="shared" ca="1" si="14"/>
        <v/>
      </c>
      <c r="O48" s="80" t="str">
        <f t="shared" ca="1" si="19"/>
        <v/>
      </c>
      <c r="P48" s="78" t="str">
        <f t="shared" ca="1" si="15"/>
        <v/>
      </c>
      <c r="Q48" s="68"/>
      <c r="R48" s="94" t="str">
        <f t="shared" ca="1" si="16"/>
        <v/>
      </c>
      <c r="S48" s="93" t="str">
        <f t="shared" ca="1" si="17"/>
        <v/>
      </c>
      <c r="U48" s="72" t="e">
        <f ca="1"/>
        <v>#NAME?</v>
      </c>
      <c r="V48" s="71" t="e">
        <f ca="1"/>
        <v>#NAME?</v>
      </c>
      <c r="Y48" s="81"/>
      <c r="Z48" s="80" t="e">
        <f ca="1">$Z$29*_xll.RtGet($AD$32,$AD$33&amp;$Y48&amp;$AD$34,Z$30)</f>
        <v>#NAME?</v>
      </c>
      <c r="AA48" s="78" t="e">
        <f ca="1">$Z$29*_xll.RtGet($AD$32,$AD$33&amp;$Y48&amp;$AD$34,AA$30)</f>
        <v>#NAME?</v>
      </c>
      <c r="AF48" s="233" t="e">
        <f t="shared" ca="1" si="20"/>
        <v>#NAME?</v>
      </c>
      <c r="AG48" s="227" t="str">
        <f t="shared" ca="1" si="25"/>
        <v/>
      </c>
      <c r="AH48" s="227" t="str">
        <f t="shared" ca="1" si="21"/>
        <v/>
      </c>
      <c r="AI48" s="234" t="str">
        <f t="shared" ca="1" si="22"/>
        <v/>
      </c>
      <c r="AJ48" s="235">
        <f t="shared" si="29"/>
        <v>168</v>
      </c>
      <c r="AK48" s="224" t="str">
        <f t="shared" ca="1" si="26"/>
        <v/>
      </c>
      <c r="AL48" s="224" t="str">
        <f t="shared" ca="1" si="27"/>
        <v/>
      </c>
      <c r="AM48" s="224" t="b">
        <f t="shared" ca="1" si="23"/>
        <v>0</v>
      </c>
      <c r="AN48" s="236" t="str">
        <f t="shared" ca="1" si="24"/>
        <v/>
      </c>
      <c r="AO48" s="235" t="str">
        <f t="array" aca="1" ref="AO48:AP48" ca="1">IF(AM48,INDEX($AH$31:$AI$72,AN48,0),"")</f>
        <v/>
      </c>
      <c r="AP48" s="236" t="str">
        <f ca="1"/>
        <v/>
      </c>
      <c r="AQ48" s="235">
        <v>168</v>
      </c>
      <c r="AR48" s="237" t="e">
        <f ca="1"/>
        <v>#NAME?</v>
      </c>
    </row>
    <row r="49" spans="1:44" ht="11.25" customHeight="1" x14ac:dyDescent="0.2">
      <c r="B49" s="104" t="str">
        <f>"DomFwdCurveName"&amp;IF(ISBLANK(C9),"","#"&amp;C9)</f>
        <v>DomFwdCurveName#USD3M_</v>
      </c>
      <c r="C49" s="103"/>
      <c r="E49" s="98" t="b">
        <f t="shared" ca="1" si="10"/>
        <v>0</v>
      </c>
      <c r="F49" s="169" t="str">
        <f t="shared" ca="1" si="11"/>
        <v/>
      </c>
      <c r="G49" s="68"/>
      <c r="H49" s="68"/>
      <c r="I49" s="97" t="e">
        <f t="shared" ca="1" si="12"/>
        <v>#NAME?</v>
      </c>
      <c r="J49" s="95"/>
      <c r="K49" s="96"/>
      <c r="L49" s="95" t="e">
        <f t="shared" ca="1" si="13"/>
        <v>#NAME?</v>
      </c>
      <c r="M49" s="80">
        <f t="shared" si="18"/>
        <v>24</v>
      </c>
      <c r="N49" s="78" t="str">
        <f t="shared" ca="1" si="14"/>
        <v/>
      </c>
      <c r="O49" s="80" t="str">
        <f t="shared" ca="1" si="19"/>
        <v/>
      </c>
      <c r="P49" s="78" t="str">
        <f t="shared" ca="1" si="15"/>
        <v/>
      </c>
      <c r="Q49" s="68"/>
      <c r="R49" s="94" t="str">
        <f t="shared" ca="1" si="16"/>
        <v/>
      </c>
      <c r="S49" s="93" t="str">
        <f t="shared" ca="1" si="17"/>
        <v/>
      </c>
      <c r="U49" s="72" t="e">
        <f ca="1"/>
        <v>#NAME?</v>
      </c>
      <c r="V49" s="71" t="e">
        <f ca="1"/>
        <v>#NAME?</v>
      </c>
      <c r="Y49" s="81"/>
      <c r="Z49" s="80" t="e">
        <f ca="1">$Z$29*_xll.RtGet($AD$32,$AD$33&amp;$Y49&amp;$AD$34,Z$30)</f>
        <v>#NAME?</v>
      </c>
      <c r="AA49" s="78" t="e">
        <f ca="1">$Z$29*_xll.RtGet($AD$32,$AD$33&amp;$Y49&amp;$AD$34,AA$30)</f>
        <v>#NAME?</v>
      </c>
      <c r="AF49" s="233" t="e">
        <f t="shared" ca="1" si="20"/>
        <v>#NAME?</v>
      </c>
      <c r="AG49" s="227" t="str">
        <f t="shared" ca="1" si="25"/>
        <v/>
      </c>
      <c r="AH49" s="227" t="str">
        <f t="shared" ca="1" si="21"/>
        <v/>
      </c>
      <c r="AI49" s="234" t="str">
        <f t="shared" ca="1" si="22"/>
        <v/>
      </c>
      <c r="AJ49" s="235">
        <f t="shared" si="29"/>
        <v>180</v>
      </c>
      <c r="AK49" s="224" t="str">
        <f t="shared" ca="1" si="26"/>
        <v/>
      </c>
      <c r="AL49" s="224" t="str">
        <f t="shared" ca="1" si="27"/>
        <v/>
      </c>
      <c r="AM49" s="224" t="b">
        <f t="shared" ca="1" si="23"/>
        <v>0</v>
      </c>
      <c r="AN49" s="236" t="str">
        <f t="shared" ca="1" si="24"/>
        <v/>
      </c>
      <c r="AO49" s="235" t="str">
        <f t="array" aca="1" ref="AO49:AP49" ca="1">IF(AM49,INDEX($AH$31:$AI$72,AN49,0),"")</f>
        <v/>
      </c>
      <c r="AP49" s="236" t="str">
        <f ca="1"/>
        <v/>
      </c>
      <c r="AQ49" s="235">
        <v>180</v>
      </c>
      <c r="AR49" s="237" t="e">
        <f ca="1"/>
        <v>#NAME?</v>
      </c>
    </row>
    <row r="50" spans="1:44" ht="11.25" customHeight="1" x14ac:dyDescent="0.2">
      <c r="B50" s="104" t="str">
        <f>"ForFwdCurveName"&amp;IF(ISBLANK(C10),"","#"&amp;C10)</f>
        <v>ForFwdCurveName#GBP3M_</v>
      </c>
      <c r="C50" s="103"/>
      <c r="E50" s="98" t="b">
        <f t="shared" ca="1" si="10"/>
        <v>0</v>
      </c>
      <c r="F50" s="169" t="str">
        <f t="shared" ca="1" si="11"/>
        <v/>
      </c>
      <c r="G50" s="68"/>
      <c r="H50" s="68"/>
      <c r="I50" s="97" t="e">
        <f t="shared" ca="1" si="12"/>
        <v>#NAME?</v>
      </c>
      <c r="J50" s="95"/>
      <c r="K50" s="96"/>
      <c r="L50" s="95" t="e">
        <f t="shared" ca="1" si="13"/>
        <v>#NAME?</v>
      </c>
      <c r="M50" s="80">
        <f t="shared" si="18"/>
        <v>25</v>
      </c>
      <c r="N50" s="78" t="str">
        <f t="shared" ca="1" si="14"/>
        <v/>
      </c>
      <c r="O50" s="80" t="str">
        <f t="shared" ca="1" si="19"/>
        <v/>
      </c>
      <c r="P50" s="78" t="str">
        <f t="shared" ca="1" si="15"/>
        <v/>
      </c>
      <c r="Q50" s="68"/>
      <c r="R50" s="94" t="str">
        <f t="shared" ca="1" si="16"/>
        <v/>
      </c>
      <c r="S50" s="93" t="str">
        <f t="shared" ca="1" si="17"/>
        <v/>
      </c>
      <c r="U50" s="72" t="e">
        <f ca="1"/>
        <v>#NAME?</v>
      </c>
      <c r="V50" s="71" t="e">
        <f ca="1"/>
        <v>#NAME?</v>
      </c>
      <c r="Y50" s="81"/>
      <c r="Z50" s="80" t="e">
        <f ca="1">$Z$29*_xll.RtGet($AD$32,$AD$33&amp;$Y50&amp;$AD$34,Z$30)</f>
        <v>#NAME?</v>
      </c>
      <c r="AA50" s="78" t="e">
        <f ca="1">$Z$29*_xll.RtGet($AD$32,$AD$33&amp;$Y50&amp;$AD$34,AA$30)</f>
        <v>#NAME?</v>
      </c>
      <c r="AF50" s="233" t="e">
        <f t="shared" ca="1" si="20"/>
        <v>#NAME?</v>
      </c>
      <c r="AG50" s="227" t="str">
        <f t="shared" ca="1" si="25"/>
        <v/>
      </c>
      <c r="AH50" s="227" t="str">
        <f t="shared" ca="1" si="21"/>
        <v/>
      </c>
      <c r="AI50" s="234" t="str">
        <f t="shared" ca="1" si="22"/>
        <v/>
      </c>
      <c r="AJ50" s="235">
        <f t="shared" si="29"/>
        <v>192</v>
      </c>
      <c r="AK50" s="224" t="str">
        <f t="shared" ca="1" si="26"/>
        <v/>
      </c>
      <c r="AL50" s="224" t="str">
        <f t="shared" ca="1" si="27"/>
        <v/>
      </c>
      <c r="AM50" s="224" t="b">
        <f t="shared" ca="1" si="23"/>
        <v>0</v>
      </c>
      <c r="AN50" s="236" t="str">
        <f t="shared" ca="1" si="24"/>
        <v/>
      </c>
      <c r="AO50" s="235" t="str">
        <f t="array" aca="1" ref="AO50:AP50" ca="1">IF(AM50,INDEX($AH$31:$AI$72,AN50,0),"")</f>
        <v/>
      </c>
      <c r="AP50" s="236" t="str">
        <f ca="1"/>
        <v/>
      </c>
      <c r="AQ50" s="235">
        <v>192</v>
      </c>
      <c r="AR50" s="237" t="e">
        <f ca="1"/>
        <v>#NAME?</v>
      </c>
    </row>
    <row r="51" spans="1:44" ht="11.25" customHeight="1" x14ac:dyDescent="0.2">
      <c r="B51" s="104" t="str">
        <f>"CCSSpreadCurr"&amp;IF(ISBLANK(C7),"","#"&amp;C7)</f>
        <v>CCSSpreadCurr#GBP</v>
      </c>
      <c r="C51" s="103"/>
      <c r="E51" s="98" t="b">
        <f t="shared" ca="1" si="10"/>
        <v>0</v>
      </c>
      <c r="F51" s="169" t="str">
        <f t="shared" ca="1" si="11"/>
        <v/>
      </c>
      <c r="G51" s="68"/>
      <c r="H51" s="68"/>
      <c r="I51" s="97" t="e">
        <f t="shared" ca="1" si="12"/>
        <v>#NAME?</v>
      </c>
      <c r="J51" s="95"/>
      <c r="K51" s="96"/>
      <c r="L51" s="95" t="e">
        <f t="shared" ca="1" si="13"/>
        <v>#NAME?</v>
      </c>
      <c r="M51" s="80">
        <f t="shared" si="18"/>
        <v>26</v>
      </c>
      <c r="N51" s="78" t="str">
        <f t="shared" ca="1" si="14"/>
        <v/>
      </c>
      <c r="O51" s="80" t="str">
        <f t="shared" ca="1" si="19"/>
        <v/>
      </c>
      <c r="P51" s="78" t="str">
        <f t="shared" ca="1" si="15"/>
        <v/>
      </c>
      <c r="Q51" s="68"/>
      <c r="R51" s="94" t="str">
        <f t="shared" ca="1" si="16"/>
        <v/>
      </c>
      <c r="S51" s="93" t="str">
        <f t="shared" ca="1" si="17"/>
        <v/>
      </c>
      <c r="U51" s="72" t="e">
        <f ca="1"/>
        <v>#NAME?</v>
      </c>
      <c r="V51" s="71" t="e">
        <f ca="1"/>
        <v>#NAME?</v>
      </c>
      <c r="Y51" s="81"/>
      <c r="Z51" s="80" t="e">
        <f ca="1">$Z$29*_xll.RtGet($AD$32,$AD$33&amp;$Y51&amp;$AD$34,Z$30)</f>
        <v>#NAME?</v>
      </c>
      <c r="AA51" s="78" t="e">
        <f ca="1">$Z$29*_xll.RtGet($AD$32,$AD$33&amp;$Y51&amp;$AD$34,AA$30)</f>
        <v>#NAME?</v>
      </c>
      <c r="AF51" s="233" t="e">
        <f t="shared" ca="1" si="20"/>
        <v>#NAME?</v>
      </c>
      <c r="AG51" s="227" t="str">
        <f t="shared" ca="1" si="25"/>
        <v/>
      </c>
      <c r="AH51" s="227" t="str">
        <f t="shared" ca="1" si="21"/>
        <v/>
      </c>
      <c r="AI51" s="234" t="str">
        <f t="shared" ca="1" si="22"/>
        <v/>
      </c>
      <c r="AJ51" s="235">
        <f t="shared" si="29"/>
        <v>204</v>
      </c>
      <c r="AK51" s="224" t="str">
        <f t="shared" ca="1" si="26"/>
        <v/>
      </c>
      <c r="AL51" s="224" t="str">
        <f t="shared" ca="1" si="27"/>
        <v/>
      </c>
      <c r="AM51" s="224" t="b">
        <f t="shared" ca="1" si="23"/>
        <v>0</v>
      </c>
      <c r="AN51" s="236" t="str">
        <f t="shared" ca="1" si="24"/>
        <v/>
      </c>
      <c r="AO51" s="235" t="str">
        <f t="array" aca="1" ref="AO51:AP51" ca="1">IF(AM51,INDEX($AH$31:$AI$72,AN51,0),"")</f>
        <v/>
      </c>
      <c r="AP51" s="236" t="str">
        <f ca="1"/>
        <v/>
      </c>
      <c r="AQ51" s="235">
        <v>204</v>
      </c>
      <c r="AR51" s="237" t="e">
        <f ca="1"/>
        <v>#NAME?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ca="1" si="10"/>
        <v>0</v>
      </c>
      <c r="F52" s="169" t="str">
        <f t="shared" ca="1" si="11"/>
        <v/>
      </c>
      <c r="G52" s="68"/>
      <c r="H52" s="68"/>
      <c r="I52" s="97" t="e">
        <f t="shared" ca="1" si="12"/>
        <v>#NAME?</v>
      </c>
      <c r="J52" s="95"/>
      <c r="K52" s="96"/>
      <c r="L52" s="95" t="e">
        <f t="shared" ca="1" si="13"/>
        <v>#NAME?</v>
      </c>
      <c r="M52" s="80">
        <f t="shared" si="18"/>
        <v>27</v>
      </c>
      <c r="N52" s="78" t="str">
        <f t="shared" ca="1" si="14"/>
        <v/>
      </c>
      <c r="O52" s="80" t="str">
        <f t="shared" ca="1" si="19"/>
        <v/>
      </c>
      <c r="P52" s="78" t="str">
        <f t="shared" ca="1" si="15"/>
        <v/>
      </c>
      <c r="Q52" s="68"/>
      <c r="R52" s="94" t="str">
        <f t="shared" ca="1" si="16"/>
        <v/>
      </c>
      <c r="S52" s="93" t="str">
        <f t="shared" ca="1" si="17"/>
        <v/>
      </c>
      <c r="U52" s="72" t="e">
        <f ca="1"/>
        <v>#NAME?</v>
      </c>
      <c r="V52" s="71" t="e">
        <f ca="1"/>
        <v>#NAME?</v>
      </c>
      <c r="Y52" s="81"/>
      <c r="Z52" s="80" t="e">
        <f ca="1">$Z$29*_xll.RtGet($AD$32,$AD$33&amp;$Y52&amp;$AD$34,Z$30)</f>
        <v>#NAME?</v>
      </c>
      <c r="AA52" s="78" t="e">
        <f ca="1">$Z$29*_xll.RtGet($AD$32,$AD$33&amp;$Y52&amp;$AD$34,AA$30)</f>
        <v>#NAME?</v>
      </c>
      <c r="AF52" s="233" t="e">
        <f t="shared" ca="1" si="20"/>
        <v>#NAME?</v>
      </c>
      <c r="AG52" s="227" t="str">
        <f t="shared" ca="1" si="25"/>
        <v/>
      </c>
      <c r="AH52" s="227" t="str">
        <f t="shared" ca="1" si="21"/>
        <v/>
      </c>
      <c r="AI52" s="234" t="str">
        <f t="shared" ca="1" si="22"/>
        <v/>
      </c>
      <c r="AJ52" s="235">
        <f t="shared" si="29"/>
        <v>216</v>
      </c>
      <c r="AK52" s="224" t="str">
        <f t="shared" ca="1" si="26"/>
        <v/>
      </c>
      <c r="AL52" s="224" t="str">
        <f t="shared" ca="1" si="27"/>
        <v/>
      </c>
      <c r="AM52" s="224" t="b">
        <f t="shared" ca="1" si="23"/>
        <v>0</v>
      </c>
      <c r="AN52" s="236" t="str">
        <f t="shared" ca="1" si="24"/>
        <v/>
      </c>
      <c r="AO52" s="235" t="str">
        <f t="array" aca="1" ref="AO52:AP52" ca="1">IF(AM52,INDEX($AH$31:$AI$72,AN52,0),"")</f>
        <v/>
      </c>
      <c r="AP52" s="236" t="str">
        <f ca="1"/>
        <v/>
      </c>
      <c r="AQ52" s="235">
        <v>216</v>
      </c>
      <c r="AR52" s="237" t="e">
        <f ca="1"/>
        <v>#NAME?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ca="1" si="10"/>
        <v>0</v>
      </c>
      <c r="F53" s="169" t="str">
        <f t="shared" ca="1" si="11"/>
        <v/>
      </c>
      <c r="G53" s="68"/>
      <c r="H53" s="68"/>
      <c r="I53" s="97" t="e">
        <f t="shared" ca="1" si="12"/>
        <v>#NAME?</v>
      </c>
      <c r="J53" s="95"/>
      <c r="K53" s="96"/>
      <c r="L53" s="95" t="e">
        <f t="shared" ca="1" si="13"/>
        <v>#NAME?</v>
      </c>
      <c r="M53" s="80">
        <f t="shared" si="18"/>
        <v>28</v>
      </c>
      <c r="N53" s="78" t="str">
        <f t="shared" ca="1" si="14"/>
        <v/>
      </c>
      <c r="O53" s="80" t="str">
        <f t="shared" ca="1" si="19"/>
        <v/>
      </c>
      <c r="P53" s="78" t="str">
        <f t="shared" ca="1" si="15"/>
        <v/>
      </c>
      <c r="Q53" s="68"/>
      <c r="R53" s="94" t="str">
        <f t="shared" ca="1" si="16"/>
        <v/>
      </c>
      <c r="S53" s="93" t="str">
        <f t="shared" ca="1" si="17"/>
        <v/>
      </c>
      <c r="U53" s="72" t="e">
        <f ca="1"/>
        <v>#NAME?</v>
      </c>
      <c r="V53" s="71" t="e">
        <f ca="1"/>
        <v>#NAME?</v>
      </c>
      <c r="Y53" s="81"/>
      <c r="Z53" s="80" t="e">
        <f ca="1">$Z$29*_xll.RtGet($AD$32,$AD$33&amp;$Y53&amp;$AD$34,Z$30)</f>
        <v>#NAME?</v>
      </c>
      <c r="AA53" s="78" t="e">
        <f ca="1">$Z$29*_xll.RtGet($AD$32,$AD$33&amp;$Y53&amp;$AD$34,AA$30)</f>
        <v>#NAME?</v>
      </c>
      <c r="AF53" s="233" t="e">
        <f t="shared" ca="1" si="20"/>
        <v>#NAME?</v>
      </c>
      <c r="AG53" s="227" t="str">
        <f t="shared" ca="1" si="25"/>
        <v/>
      </c>
      <c r="AH53" s="227" t="str">
        <f t="shared" ca="1" si="21"/>
        <v/>
      </c>
      <c r="AI53" s="234" t="str">
        <f t="shared" ca="1" si="22"/>
        <v/>
      </c>
      <c r="AJ53" s="235">
        <f t="shared" si="29"/>
        <v>228</v>
      </c>
      <c r="AK53" s="224" t="str">
        <f t="shared" ca="1" si="26"/>
        <v/>
      </c>
      <c r="AL53" s="224" t="str">
        <f t="shared" ca="1" si="27"/>
        <v/>
      </c>
      <c r="AM53" s="224" t="b">
        <f t="shared" ca="1" si="23"/>
        <v>0</v>
      </c>
      <c r="AN53" s="236" t="str">
        <f t="shared" ca="1" si="24"/>
        <v/>
      </c>
      <c r="AO53" s="235" t="str">
        <f t="array" aca="1" ref="AO53:AP53" ca="1">IF(AM53,INDEX($AH$31:$AI$72,AN53,0),"")</f>
        <v/>
      </c>
      <c r="AP53" s="236" t="str">
        <f ca="1"/>
        <v/>
      </c>
      <c r="AQ53" s="235">
        <v>228</v>
      </c>
      <c r="AR53" s="237" t="e">
        <f ca="1"/>
        <v>#NAME?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ca="1" si="10"/>
        <v>0</v>
      </c>
      <c r="F54" s="169" t="str">
        <f t="shared" ca="1" si="11"/>
        <v/>
      </c>
      <c r="G54" s="68"/>
      <c r="H54" s="68"/>
      <c r="I54" s="97" t="e">
        <f t="shared" ca="1" si="12"/>
        <v>#NAME?</v>
      </c>
      <c r="J54" s="95"/>
      <c r="K54" s="96"/>
      <c r="L54" s="95" t="e">
        <f t="shared" ca="1" si="13"/>
        <v>#NAME?</v>
      </c>
      <c r="M54" s="80">
        <f t="shared" si="18"/>
        <v>29</v>
      </c>
      <c r="N54" s="78" t="str">
        <f t="shared" ca="1" si="14"/>
        <v/>
      </c>
      <c r="O54" s="80" t="str">
        <f t="shared" ca="1" si="19"/>
        <v/>
      </c>
      <c r="P54" s="78" t="str">
        <f t="shared" ca="1" si="15"/>
        <v/>
      </c>
      <c r="Q54" s="68"/>
      <c r="R54" s="94" t="str">
        <f t="shared" ca="1" si="16"/>
        <v/>
      </c>
      <c r="S54" s="93" t="str">
        <f t="shared" ca="1" si="17"/>
        <v/>
      </c>
      <c r="U54" s="72" t="e">
        <f ca="1"/>
        <v>#NAME?</v>
      </c>
      <c r="V54" s="71" t="e">
        <f ca="1"/>
        <v>#NAME?</v>
      </c>
      <c r="Y54" s="81"/>
      <c r="Z54" s="80" t="e">
        <f ca="1">$Z$29*_xll.RtGet($AD$32,$AD$33&amp;$Y54&amp;$AD$34,Z$30)</f>
        <v>#NAME?</v>
      </c>
      <c r="AA54" s="78" t="e">
        <f ca="1">$Z$29*_xll.RtGet($AD$32,$AD$33&amp;$Y54&amp;$AD$34,AA$30)</f>
        <v>#NAME?</v>
      </c>
      <c r="AF54" s="233" t="e">
        <f t="shared" ca="1" si="20"/>
        <v>#NAME?</v>
      </c>
      <c r="AG54" s="227" t="str">
        <f t="shared" ca="1" si="25"/>
        <v/>
      </c>
      <c r="AH54" s="227" t="str">
        <f t="shared" ca="1" si="21"/>
        <v/>
      </c>
      <c r="AI54" s="234" t="str">
        <f t="shared" ca="1" si="22"/>
        <v/>
      </c>
      <c r="AJ54" s="235">
        <f t="shared" si="29"/>
        <v>240</v>
      </c>
      <c r="AK54" s="224" t="str">
        <f t="shared" ca="1" si="26"/>
        <v/>
      </c>
      <c r="AL54" s="224" t="str">
        <f t="shared" ca="1" si="27"/>
        <v/>
      </c>
      <c r="AM54" s="224" t="b">
        <f t="shared" ca="1" si="23"/>
        <v>0</v>
      </c>
      <c r="AN54" s="236" t="str">
        <f t="shared" ca="1" si="24"/>
        <v/>
      </c>
      <c r="AO54" s="235" t="str">
        <f t="array" aca="1" ref="AO54:AP54" ca="1">IF(AM54,INDEX($AH$31:$AI$72,AN54,0),"")</f>
        <v/>
      </c>
      <c r="AP54" s="236" t="str">
        <f ca="1"/>
        <v/>
      </c>
      <c r="AQ54" s="235">
        <v>240</v>
      </c>
      <c r="AR54" s="237" t="e">
        <f ca="1"/>
        <v>#NAME?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ca="1" si="10"/>
        <v>0</v>
      </c>
      <c r="F55" s="169" t="str">
        <f t="shared" ca="1" si="11"/>
        <v/>
      </c>
      <c r="G55" s="68"/>
      <c r="H55" s="68"/>
      <c r="I55" s="97" t="e">
        <f t="shared" ca="1" si="12"/>
        <v>#NAME?</v>
      </c>
      <c r="J55" s="95"/>
      <c r="K55" s="96"/>
      <c r="L55" s="95" t="e">
        <f t="shared" ca="1" si="13"/>
        <v>#NAME?</v>
      </c>
      <c r="M55" s="80">
        <f t="shared" si="18"/>
        <v>30</v>
      </c>
      <c r="N55" s="78" t="str">
        <f t="shared" ca="1" si="14"/>
        <v/>
      </c>
      <c r="O55" s="80" t="str">
        <f t="shared" ca="1" si="19"/>
        <v/>
      </c>
      <c r="P55" s="78" t="str">
        <f t="shared" ca="1" si="15"/>
        <v/>
      </c>
      <c r="Q55" s="68"/>
      <c r="R55" s="94" t="str">
        <f t="shared" ca="1" si="16"/>
        <v/>
      </c>
      <c r="S55" s="93" t="str">
        <f t="shared" ca="1" si="17"/>
        <v/>
      </c>
      <c r="U55" s="72" t="e">
        <f ca="1"/>
        <v>#NAME?</v>
      </c>
      <c r="V55" s="71" t="e">
        <f ca="1"/>
        <v>#NAME?</v>
      </c>
      <c r="Y55" s="81"/>
      <c r="Z55" s="80" t="e">
        <f ca="1">$Z$29*_xll.RtGet($AD$32,$AD$33&amp;$Y55&amp;$AD$34,Z$30)</f>
        <v>#NAME?</v>
      </c>
      <c r="AA55" s="78" t="e">
        <f ca="1">$Z$29*_xll.RtGet($AD$32,$AD$33&amp;$Y55&amp;$AD$34,AA$30)</f>
        <v>#NAME?</v>
      </c>
      <c r="AF55" s="233" t="e">
        <f t="shared" ca="1" si="20"/>
        <v>#NAME?</v>
      </c>
      <c r="AG55" s="227" t="str">
        <f t="shared" ca="1" si="25"/>
        <v/>
      </c>
      <c r="AH55" s="227" t="str">
        <f t="shared" ca="1" si="21"/>
        <v/>
      </c>
      <c r="AI55" s="234" t="str">
        <f t="shared" ca="1" si="22"/>
        <v/>
      </c>
      <c r="AJ55" s="235">
        <f t="shared" si="29"/>
        <v>252</v>
      </c>
      <c r="AK55" s="224" t="str">
        <f t="shared" ca="1" si="26"/>
        <v/>
      </c>
      <c r="AL55" s="224" t="str">
        <f t="shared" ca="1" si="27"/>
        <v/>
      </c>
      <c r="AM55" s="224" t="b">
        <f t="shared" ca="1" si="23"/>
        <v>0</v>
      </c>
      <c r="AN55" s="236" t="str">
        <f t="shared" ca="1" si="24"/>
        <v/>
      </c>
      <c r="AO55" s="235" t="str">
        <f t="array" aca="1" ref="AO55:AP55" ca="1">IF(AM55,INDEX($AH$31:$AI$72,AN55,0),"")</f>
        <v/>
      </c>
      <c r="AP55" s="236" t="str">
        <f ca="1"/>
        <v/>
      </c>
      <c r="AQ55" s="235">
        <v>252</v>
      </c>
      <c r="AR55" s="237" t="e">
        <f ca="1"/>
        <v>#NAME?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ca="1" si="10"/>
        <v>0</v>
      </c>
      <c r="F56" s="169" t="str">
        <f t="shared" ca="1" si="11"/>
        <v/>
      </c>
      <c r="G56" s="68"/>
      <c r="H56" s="68"/>
      <c r="I56" s="97" t="e">
        <f t="shared" ca="1" si="12"/>
        <v>#NAME?</v>
      </c>
      <c r="J56" s="95"/>
      <c r="K56" s="96"/>
      <c r="L56" s="95" t="e">
        <f t="shared" ca="1" si="13"/>
        <v>#NAME?</v>
      </c>
      <c r="M56" s="80">
        <f t="shared" si="18"/>
        <v>31</v>
      </c>
      <c r="N56" s="78" t="str">
        <f t="shared" ca="1" si="14"/>
        <v/>
      </c>
      <c r="O56" s="80" t="str">
        <f t="shared" ca="1" si="19"/>
        <v/>
      </c>
      <c r="P56" s="78" t="str">
        <f t="shared" ca="1" si="15"/>
        <v/>
      </c>
      <c r="Q56" s="68"/>
      <c r="R56" s="94" t="str">
        <f t="shared" ca="1" si="16"/>
        <v/>
      </c>
      <c r="S56" s="93" t="str">
        <f t="shared" ca="1" si="17"/>
        <v/>
      </c>
      <c r="U56" s="72" t="e">
        <f ca="1"/>
        <v>#NAME?</v>
      </c>
      <c r="V56" s="71" t="e">
        <f ca="1"/>
        <v>#NAME?</v>
      </c>
      <c r="Y56" s="81"/>
      <c r="Z56" s="80" t="e">
        <f ca="1">$Z$29*_xll.RtGet($AD$32,$AD$33&amp;$Y56&amp;$AD$34,Z$30)</f>
        <v>#NAME?</v>
      </c>
      <c r="AA56" s="78" t="e">
        <f ca="1">$Z$29*_xll.RtGet($AD$32,$AD$33&amp;$Y56&amp;$AD$34,AA$30)</f>
        <v>#NAME?</v>
      </c>
      <c r="AF56" s="233" t="e">
        <f t="shared" ca="1" si="20"/>
        <v>#NAME?</v>
      </c>
      <c r="AG56" s="227" t="str">
        <f t="shared" ca="1" si="25"/>
        <v/>
      </c>
      <c r="AH56" s="227" t="str">
        <f t="shared" ca="1" si="21"/>
        <v/>
      </c>
      <c r="AI56" s="234" t="str">
        <f t="shared" ca="1" si="22"/>
        <v/>
      </c>
      <c r="AJ56" s="235">
        <f t="shared" si="29"/>
        <v>264</v>
      </c>
      <c r="AK56" s="224" t="str">
        <f t="shared" ca="1" si="26"/>
        <v/>
      </c>
      <c r="AL56" s="224" t="str">
        <f t="shared" ca="1" si="27"/>
        <v/>
      </c>
      <c r="AM56" s="224" t="b">
        <f t="shared" ca="1" si="23"/>
        <v>0</v>
      </c>
      <c r="AN56" s="236" t="str">
        <f t="shared" ca="1" si="24"/>
        <v/>
      </c>
      <c r="AO56" s="235" t="str">
        <f t="array" aca="1" ref="AO56:AP56" ca="1">IF(AM56,INDEX($AH$31:$AI$72,AN56,0),"")</f>
        <v/>
      </c>
      <c r="AP56" s="236" t="str">
        <f ca="1"/>
        <v/>
      </c>
      <c r="AQ56" s="235">
        <v>264</v>
      </c>
      <c r="AR56" s="237" t="e">
        <f ca="1"/>
        <v>#NAME?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ca="1" si="10"/>
        <v>0</v>
      </c>
      <c r="F57" s="169" t="str">
        <f t="shared" ca="1" si="11"/>
        <v/>
      </c>
      <c r="G57" s="68"/>
      <c r="H57" s="68"/>
      <c r="I57" s="97" t="e">
        <f t="shared" ca="1" si="12"/>
        <v>#NAME?</v>
      </c>
      <c r="J57" s="95"/>
      <c r="K57" s="96"/>
      <c r="L57" s="95" t="e">
        <f t="shared" ca="1" si="13"/>
        <v>#NAME?</v>
      </c>
      <c r="M57" s="80">
        <f t="shared" si="18"/>
        <v>32</v>
      </c>
      <c r="N57" s="78" t="str">
        <f t="shared" ca="1" si="14"/>
        <v/>
      </c>
      <c r="O57" s="80" t="str">
        <f t="shared" ca="1" si="19"/>
        <v/>
      </c>
      <c r="P57" s="78" t="str">
        <f t="shared" ca="1" si="15"/>
        <v/>
      </c>
      <c r="Q57" s="68"/>
      <c r="R57" s="94" t="str">
        <f t="shared" ca="1" si="16"/>
        <v/>
      </c>
      <c r="S57" s="93" t="str">
        <f t="shared" ca="1" si="17"/>
        <v/>
      </c>
      <c r="U57" s="72" t="e">
        <f ca="1"/>
        <v>#NAME?</v>
      </c>
      <c r="V57" s="71" t="e">
        <f ca="1"/>
        <v>#NAME?</v>
      </c>
      <c r="Y57" s="81"/>
      <c r="Z57" s="80" t="e">
        <f ca="1">$Z$29*_xll.RtGet($AD$32,$AD$33&amp;$Y57&amp;$AD$34,Z$30)</f>
        <v>#NAME?</v>
      </c>
      <c r="AA57" s="78" t="e">
        <f ca="1">$Z$29*_xll.RtGet($AD$32,$AD$33&amp;$Y57&amp;$AD$34,AA$30)</f>
        <v>#NAME?</v>
      </c>
      <c r="AF57" s="233" t="e">
        <f t="shared" ca="1" si="20"/>
        <v>#NAME?</v>
      </c>
      <c r="AG57" s="227" t="str">
        <f t="shared" ca="1" si="25"/>
        <v/>
      </c>
      <c r="AH57" s="227" t="str">
        <f t="shared" ca="1" si="21"/>
        <v/>
      </c>
      <c r="AI57" s="234" t="str">
        <f t="shared" ca="1" si="22"/>
        <v/>
      </c>
      <c r="AJ57" s="235">
        <f t="shared" si="29"/>
        <v>276</v>
      </c>
      <c r="AK57" s="224" t="str">
        <f t="shared" ca="1" si="26"/>
        <v/>
      </c>
      <c r="AL57" s="224" t="str">
        <f t="shared" ca="1" si="27"/>
        <v/>
      </c>
      <c r="AM57" s="224" t="b">
        <f t="shared" ca="1" si="23"/>
        <v>0</v>
      </c>
      <c r="AN57" s="236" t="str">
        <f t="shared" ca="1" si="24"/>
        <v/>
      </c>
      <c r="AO57" s="235" t="str">
        <f t="array" aca="1" ref="AO57:AP57" ca="1">IF(AM57,INDEX($AH$31:$AI$72,AN57,0),"")</f>
        <v/>
      </c>
      <c r="AP57" s="236" t="str">
        <f ca="1"/>
        <v/>
      </c>
      <c r="AQ57" s="235">
        <v>276</v>
      </c>
      <c r="AR57" s="237" t="e">
        <f ca="1"/>
        <v>#NAME?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ca="1" si="10"/>
        <v>0</v>
      </c>
      <c r="F58" s="169" t="str">
        <f t="shared" ca="1" si="11"/>
        <v/>
      </c>
      <c r="G58" s="68"/>
      <c r="H58" s="68"/>
      <c r="I58" s="97" t="e">
        <f t="shared" ca="1" si="12"/>
        <v>#NAME?</v>
      </c>
      <c r="J58" s="95"/>
      <c r="K58" s="96"/>
      <c r="L58" s="95" t="e">
        <f t="shared" ca="1" si="13"/>
        <v>#NAME?</v>
      </c>
      <c r="M58" s="80">
        <f t="shared" si="18"/>
        <v>33</v>
      </c>
      <c r="N58" s="78" t="str">
        <f t="shared" ca="1" si="14"/>
        <v/>
      </c>
      <c r="O58" s="80" t="str">
        <f t="shared" ca="1" si="19"/>
        <v/>
      </c>
      <c r="P58" s="78" t="str">
        <f t="shared" ca="1" si="15"/>
        <v/>
      </c>
      <c r="Q58" s="68"/>
      <c r="R58" s="94" t="str">
        <f t="shared" ca="1" si="16"/>
        <v/>
      </c>
      <c r="S58" s="93" t="str">
        <f t="shared" ca="1" si="17"/>
        <v/>
      </c>
      <c r="U58" s="72" t="e">
        <f ca="1"/>
        <v>#NAME?</v>
      </c>
      <c r="V58" s="71" t="e">
        <f ca="1"/>
        <v>#NAME?</v>
      </c>
      <c r="Y58" s="81"/>
      <c r="Z58" s="80" t="e">
        <f ca="1">$Z$29*_xll.RtGet($AD$32,$AD$33&amp;$Y58&amp;$AD$34,Z$30)</f>
        <v>#NAME?</v>
      </c>
      <c r="AA58" s="78" t="e">
        <f ca="1">$Z$29*_xll.RtGet($AD$32,$AD$33&amp;$Y58&amp;$AD$34,AA$30)</f>
        <v>#NAME?</v>
      </c>
      <c r="AF58" s="233" t="e">
        <f t="shared" ca="1" si="20"/>
        <v>#NAME?</v>
      </c>
      <c r="AG58" s="227" t="str">
        <f t="shared" ca="1" si="25"/>
        <v/>
      </c>
      <c r="AH58" s="227" t="str">
        <f t="shared" ca="1" si="21"/>
        <v/>
      </c>
      <c r="AI58" s="234" t="str">
        <f t="shared" ca="1" si="22"/>
        <v/>
      </c>
      <c r="AJ58" s="235">
        <f t="shared" si="29"/>
        <v>288</v>
      </c>
      <c r="AK58" s="224" t="str">
        <f t="shared" ca="1" si="26"/>
        <v/>
      </c>
      <c r="AL58" s="224" t="str">
        <f t="shared" ca="1" si="27"/>
        <v/>
      </c>
      <c r="AM58" s="224" t="b">
        <f t="shared" ca="1" si="23"/>
        <v>0</v>
      </c>
      <c r="AN58" s="236" t="str">
        <f t="shared" ca="1" si="24"/>
        <v/>
      </c>
      <c r="AO58" s="235" t="str">
        <f t="array" aca="1" ref="AO58:AP58" ca="1">IF(AM58,INDEX($AH$31:$AI$72,AN58,0),"")</f>
        <v/>
      </c>
      <c r="AP58" s="236" t="str">
        <f ca="1"/>
        <v/>
      </c>
      <c r="AQ58" s="235">
        <v>288</v>
      </c>
      <c r="AR58" s="237" t="e">
        <f ca="1"/>
        <v>#NAME?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ca="1" si="10"/>
        <v>0</v>
      </c>
      <c r="F59" s="169" t="str">
        <f t="shared" ca="1" si="11"/>
        <v/>
      </c>
      <c r="G59" s="68"/>
      <c r="H59" s="68"/>
      <c r="I59" s="97" t="e">
        <f t="shared" ca="1" si="12"/>
        <v>#NAME?</v>
      </c>
      <c r="J59" s="95"/>
      <c r="K59" s="96"/>
      <c r="L59" s="95" t="e">
        <f t="shared" ca="1" si="13"/>
        <v>#NAME?</v>
      </c>
      <c r="M59" s="80">
        <f t="shared" si="18"/>
        <v>34</v>
      </c>
      <c r="N59" s="78" t="str">
        <f t="shared" ca="1" si="14"/>
        <v/>
      </c>
      <c r="O59" s="80" t="str">
        <f t="shared" ca="1" si="19"/>
        <v/>
      </c>
      <c r="P59" s="78" t="str">
        <f t="shared" ca="1" si="15"/>
        <v/>
      </c>
      <c r="Q59" s="68"/>
      <c r="R59" s="94" t="str">
        <f t="shared" ca="1" si="16"/>
        <v/>
      </c>
      <c r="S59" s="93" t="str">
        <f t="shared" ca="1" si="17"/>
        <v/>
      </c>
      <c r="U59" s="72" t="e">
        <f ca="1"/>
        <v>#NAME?</v>
      </c>
      <c r="V59" s="71" t="e">
        <f ca="1"/>
        <v>#NAME?</v>
      </c>
      <c r="Y59" s="81"/>
      <c r="Z59" s="80" t="e">
        <f ca="1">$Z$29*_xll.RtGet($AD$32,$AD$33&amp;$Y59&amp;$AD$34,Z$30)</f>
        <v>#NAME?</v>
      </c>
      <c r="AA59" s="78" t="e">
        <f ca="1">$Z$29*_xll.RtGet($AD$32,$AD$33&amp;$Y59&amp;$AD$34,AA$30)</f>
        <v>#NAME?</v>
      </c>
      <c r="AF59" s="233" t="e">
        <f t="shared" ca="1" si="20"/>
        <v>#NAME?</v>
      </c>
      <c r="AG59" s="227" t="str">
        <f t="shared" ca="1" si="25"/>
        <v/>
      </c>
      <c r="AH59" s="227" t="str">
        <f t="shared" ca="1" si="21"/>
        <v/>
      </c>
      <c r="AI59" s="234" t="str">
        <f t="shared" ca="1" si="22"/>
        <v/>
      </c>
      <c r="AJ59" s="235">
        <f t="shared" si="29"/>
        <v>300</v>
      </c>
      <c r="AK59" s="224" t="str">
        <f t="shared" ca="1" si="26"/>
        <v/>
      </c>
      <c r="AL59" s="224" t="str">
        <f t="shared" ca="1" si="27"/>
        <v/>
      </c>
      <c r="AM59" s="224" t="b">
        <f t="shared" ca="1" si="23"/>
        <v>0</v>
      </c>
      <c r="AN59" s="236" t="str">
        <f t="shared" ca="1" si="24"/>
        <v/>
      </c>
      <c r="AO59" s="235" t="str">
        <f t="array" aca="1" ref="AO59:AP59" ca="1">IF(AM59,INDEX($AH$31:$AI$72,AN59,0),"")</f>
        <v/>
      </c>
      <c r="AP59" s="236" t="str">
        <f ca="1"/>
        <v/>
      </c>
      <c r="AQ59" s="235">
        <v>300</v>
      </c>
      <c r="AR59" s="237" t="e">
        <f ca="1"/>
        <v>#NAME?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ca="1" si="10"/>
        <v>0</v>
      </c>
      <c r="F60" s="169" t="str">
        <f t="shared" ca="1" si="11"/>
        <v/>
      </c>
      <c r="G60" s="68"/>
      <c r="H60" s="68"/>
      <c r="I60" s="97" t="e">
        <f t="shared" ca="1" si="12"/>
        <v>#NAME?</v>
      </c>
      <c r="J60" s="95"/>
      <c r="K60" s="96"/>
      <c r="L60" s="95" t="e">
        <f t="shared" ca="1" si="13"/>
        <v>#NAME?</v>
      </c>
      <c r="M60" s="80">
        <f t="shared" si="18"/>
        <v>35</v>
      </c>
      <c r="N60" s="78" t="str">
        <f t="shared" ca="1" si="14"/>
        <v/>
      </c>
      <c r="O60" s="80" t="str">
        <f t="shared" ca="1" si="19"/>
        <v/>
      </c>
      <c r="P60" s="78" t="str">
        <f t="shared" ca="1" si="15"/>
        <v/>
      </c>
      <c r="Q60" s="68"/>
      <c r="R60" s="94" t="str">
        <f t="shared" ca="1" si="16"/>
        <v/>
      </c>
      <c r="S60" s="93" t="str">
        <f t="shared" ca="1" si="17"/>
        <v/>
      </c>
      <c r="U60" s="72" t="e">
        <f ca="1"/>
        <v>#NAME?</v>
      </c>
      <c r="V60" s="71" t="e">
        <f ca="1"/>
        <v>#NAME?</v>
      </c>
      <c r="Y60" s="81"/>
      <c r="Z60" s="80" t="e">
        <f ca="1">$Z$29*_xll.RtGet($AD$32,$AD$33&amp;$Y60&amp;$AD$34,Z$30)</f>
        <v>#NAME?</v>
      </c>
      <c r="AA60" s="78" t="e">
        <f ca="1">$Z$29*_xll.RtGet($AD$32,$AD$33&amp;$Y60&amp;$AD$34,AA$30)</f>
        <v>#NAME?</v>
      </c>
      <c r="AF60" s="233" t="e">
        <f t="shared" ca="1" si="20"/>
        <v>#NAME?</v>
      </c>
      <c r="AG60" s="227" t="str">
        <f t="shared" ca="1" si="25"/>
        <v/>
      </c>
      <c r="AH60" s="227" t="str">
        <f t="shared" ca="1" si="21"/>
        <v/>
      </c>
      <c r="AI60" s="234" t="str">
        <f t="shared" ca="1" si="22"/>
        <v/>
      </c>
      <c r="AJ60" s="235">
        <f t="shared" si="29"/>
        <v>312</v>
      </c>
      <c r="AK60" s="224" t="str">
        <f t="shared" ca="1" si="26"/>
        <v/>
      </c>
      <c r="AL60" s="224" t="str">
        <f t="shared" ca="1" si="27"/>
        <v/>
      </c>
      <c r="AM60" s="224" t="b">
        <f t="shared" ca="1" si="23"/>
        <v>0</v>
      </c>
      <c r="AN60" s="236" t="str">
        <f t="shared" ca="1" si="24"/>
        <v/>
      </c>
      <c r="AO60" s="235" t="str">
        <f t="array" aca="1" ref="AO60:AP60" ca="1">IF(AM60,INDEX($AH$31:$AI$72,AN60,0),"")</f>
        <v/>
      </c>
      <c r="AP60" s="236" t="str">
        <f ca="1"/>
        <v/>
      </c>
      <c r="AQ60" s="235">
        <v>312</v>
      </c>
      <c r="AR60" s="237" t="e">
        <f ca="1"/>
        <v>#NAME?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ca="1" si="10"/>
        <v>0</v>
      </c>
      <c r="F61" s="169" t="str">
        <f t="shared" ca="1" si="11"/>
        <v/>
      </c>
      <c r="G61" s="68"/>
      <c r="H61" s="68"/>
      <c r="I61" s="97" t="e">
        <f t="shared" ca="1" si="12"/>
        <v>#NAME?</v>
      </c>
      <c r="J61" s="95"/>
      <c r="K61" s="96"/>
      <c r="L61" s="95" t="e">
        <f t="shared" ca="1" si="13"/>
        <v>#NAME?</v>
      </c>
      <c r="M61" s="80">
        <f t="shared" si="18"/>
        <v>36</v>
      </c>
      <c r="N61" s="78" t="str">
        <f t="shared" ca="1" si="14"/>
        <v/>
      </c>
      <c r="O61" s="80" t="str">
        <f t="shared" ca="1" si="19"/>
        <v/>
      </c>
      <c r="P61" s="78" t="str">
        <f t="shared" ca="1" si="15"/>
        <v/>
      </c>
      <c r="Q61" s="68"/>
      <c r="R61" s="94" t="str">
        <f t="shared" ca="1" si="16"/>
        <v/>
      </c>
      <c r="S61" s="93" t="str">
        <f t="shared" ca="1" si="17"/>
        <v/>
      </c>
      <c r="U61" s="72" t="e">
        <f ca="1"/>
        <v>#NAME?</v>
      </c>
      <c r="V61" s="71" t="e">
        <f ca="1"/>
        <v>#NAME?</v>
      </c>
      <c r="Y61" s="81"/>
      <c r="Z61" s="80" t="e">
        <f ca="1">$Z$29*_xll.RtGet($AD$32,$AD$33&amp;$Y61&amp;$AD$34,Z$30)</f>
        <v>#NAME?</v>
      </c>
      <c r="AA61" s="78" t="e">
        <f ca="1">$Z$29*_xll.RtGet($AD$32,$AD$33&amp;$Y61&amp;$AD$34,AA$30)</f>
        <v>#NAME?</v>
      </c>
      <c r="AF61" s="233" t="e">
        <f t="shared" ca="1" si="20"/>
        <v>#NAME?</v>
      </c>
      <c r="AG61" s="227" t="str">
        <f t="shared" ca="1" si="25"/>
        <v/>
      </c>
      <c r="AH61" s="227" t="str">
        <f t="shared" ca="1" si="21"/>
        <v/>
      </c>
      <c r="AI61" s="234" t="str">
        <f t="shared" ca="1" si="22"/>
        <v/>
      </c>
      <c r="AJ61" s="235">
        <f t="shared" si="29"/>
        <v>324</v>
      </c>
      <c r="AK61" s="224" t="str">
        <f t="shared" ca="1" si="26"/>
        <v/>
      </c>
      <c r="AL61" s="224" t="str">
        <f t="shared" ca="1" si="27"/>
        <v/>
      </c>
      <c r="AM61" s="224" t="b">
        <f t="shared" ca="1" si="23"/>
        <v>0</v>
      </c>
      <c r="AN61" s="236" t="str">
        <f t="shared" ca="1" si="24"/>
        <v/>
      </c>
      <c r="AO61" s="239"/>
      <c r="AP61" s="240"/>
      <c r="AQ61" s="235">
        <v>324</v>
      </c>
      <c r="AR61" s="237" t="e">
        <f ca="1"/>
        <v>#NAME?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ca="1" si="10"/>
        <v>0</v>
      </c>
      <c r="F62" s="169" t="str">
        <f t="shared" ca="1" si="11"/>
        <v/>
      </c>
      <c r="G62" s="68"/>
      <c r="H62" s="68"/>
      <c r="I62" s="97" t="e">
        <f t="shared" ca="1" si="12"/>
        <v>#NAME?</v>
      </c>
      <c r="J62" s="95"/>
      <c r="K62" s="96"/>
      <c r="L62" s="95" t="e">
        <f t="shared" ca="1" si="13"/>
        <v>#NAME?</v>
      </c>
      <c r="M62" s="80">
        <f t="shared" si="18"/>
        <v>37</v>
      </c>
      <c r="N62" s="78" t="str">
        <f t="shared" ca="1" si="14"/>
        <v/>
      </c>
      <c r="O62" s="80" t="str">
        <f t="shared" ca="1" si="19"/>
        <v/>
      </c>
      <c r="P62" s="78" t="str">
        <f t="shared" ca="1" si="15"/>
        <v/>
      </c>
      <c r="Q62" s="68"/>
      <c r="R62" s="94" t="str">
        <f t="shared" ca="1" si="16"/>
        <v/>
      </c>
      <c r="S62" s="93" t="str">
        <f t="shared" ca="1" si="17"/>
        <v/>
      </c>
      <c r="U62" s="72" t="e">
        <f ca="1"/>
        <v>#NAME?</v>
      </c>
      <c r="V62" s="71" t="e">
        <f ca="1"/>
        <v>#NAME?</v>
      </c>
      <c r="Y62" s="81"/>
      <c r="Z62" s="80" t="e">
        <f ca="1">$Z$29*_xll.RtGet($AD$32,$AD$33&amp;$Y62&amp;$AD$34,Z$30)</f>
        <v>#NAME?</v>
      </c>
      <c r="AA62" s="78" t="e">
        <f ca="1">$Z$29*_xll.RtGet($AD$32,$AD$33&amp;$Y62&amp;$AD$34,AA$30)</f>
        <v>#NAME?</v>
      </c>
      <c r="AF62" s="233" t="e">
        <f t="shared" ca="1" si="20"/>
        <v>#NAME?</v>
      </c>
      <c r="AG62" s="227" t="str">
        <f t="shared" ca="1" si="25"/>
        <v/>
      </c>
      <c r="AH62" s="227" t="str">
        <f t="shared" ca="1" si="21"/>
        <v/>
      </c>
      <c r="AI62" s="234" t="str">
        <f t="shared" ca="1" si="22"/>
        <v/>
      </c>
      <c r="AJ62" s="235">
        <f t="shared" si="29"/>
        <v>336</v>
      </c>
      <c r="AK62" s="224" t="str">
        <f t="shared" ca="1" si="26"/>
        <v/>
      </c>
      <c r="AL62" s="224" t="str">
        <f t="shared" ca="1" si="27"/>
        <v/>
      </c>
      <c r="AM62" s="224" t="b">
        <f t="shared" ca="1" si="23"/>
        <v>0</v>
      </c>
      <c r="AN62" s="236" t="str">
        <f t="shared" ca="1" si="24"/>
        <v/>
      </c>
      <c r="AO62" s="239"/>
      <c r="AP62" s="240"/>
      <c r="AQ62" s="235">
        <v>336</v>
      </c>
      <c r="AR62" s="237" t="e">
        <f ca="1"/>
        <v>#NAME?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ca="1" si="10"/>
        <v>0</v>
      </c>
      <c r="F63" s="169" t="str">
        <f t="shared" ca="1" si="11"/>
        <v/>
      </c>
      <c r="G63" s="68"/>
      <c r="H63" s="68"/>
      <c r="I63" s="97" t="e">
        <f t="shared" ca="1" si="12"/>
        <v>#NAME?</v>
      </c>
      <c r="J63" s="95"/>
      <c r="K63" s="96"/>
      <c r="L63" s="95" t="e">
        <f t="shared" ca="1" si="13"/>
        <v>#NAME?</v>
      </c>
      <c r="M63" s="80">
        <f t="shared" si="18"/>
        <v>38</v>
      </c>
      <c r="N63" s="78" t="str">
        <f t="shared" ca="1" si="14"/>
        <v/>
      </c>
      <c r="O63" s="80" t="str">
        <f t="shared" ca="1" si="19"/>
        <v/>
      </c>
      <c r="P63" s="78" t="str">
        <f t="shared" ca="1" si="15"/>
        <v/>
      </c>
      <c r="Q63" s="68"/>
      <c r="R63" s="94" t="str">
        <f t="shared" ca="1" si="16"/>
        <v/>
      </c>
      <c r="S63" s="93" t="str">
        <f t="shared" ca="1" si="17"/>
        <v/>
      </c>
      <c r="U63" s="72" t="e">
        <f ca="1"/>
        <v>#NAME?</v>
      </c>
      <c r="V63" s="71" t="e">
        <f ca="1"/>
        <v>#NAME?</v>
      </c>
      <c r="Y63" s="81"/>
      <c r="Z63" s="80" t="e">
        <f ca="1">$Z$29*_xll.RtGet($AD$32,$AD$33&amp;$Y63&amp;$AD$34,Z$30)</f>
        <v>#NAME?</v>
      </c>
      <c r="AA63" s="78" t="e">
        <f ca="1">$Z$29*_xll.RtGet($AD$32,$AD$33&amp;$Y63&amp;$AD$34,AA$30)</f>
        <v>#NAME?</v>
      </c>
      <c r="AF63" s="233" t="e">
        <f t="shared" ca="1" si="20"/>
        <v>#NAME?</v>
      </c>
      <c r="AG63" s="227" t="str">
        <f t="shared" ca="1" si="25"/>
        <v/>
      </c>
      <c r="AH63" s="227" t="str">
        <f t="shared" ca="1" si="21"/>
        <v/>
      </c>
      <c r="AI63" s="234" t="str">
        <f t="shared" ca="1" si="22"/>
        <v/>
      </c>
      <c r="AJ63" s="235">
        <f t="shared" si="29"/>
        <v>348</v>
      </c>
      <c r="AK63" s="224" t="str">
        <f t="shared" ca="1" si="26"/>
        <v/>
      </c>
      <c r="AL63" s="224" t="str">
        <f t="shared" ca="1" si="27"/>
        <v/>
      </c>
      <c r="AM63" s="224" t="b">
        <f t="shared" ca="1" si="23"/>
        <v>0</v>
      </c>
      <c r="AN63" s="236" t="str">
        <f t="shared" ca="1" si="24"/>
        <v/>
      </c>
      <c r="AO63" s="235" t="str">
        <f t="array" aca="1" ref="AO63:AP63" ca="1">IF(AM63,INDEX($AH$31:$AI$72,AN63,0),"")</f>
        <v/>
      </c>
      <c r="AP63" s="236" t="str">
        <f ca="1"/>
        <v/>
      </c>
      <c r="AQ63" s="235">
        <v>348</v>
      </c>
      <c r="AR63" s="237" t="e">
        <f ca="1"/>
        <v>#NAME?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ca="1" si="10"/>
        <v>0</v>
      </c>
      <c r="F64" s="169" t="str">
        <f t="shared" ca="1" si="11"/>
        <v/>
      </c>
      <c r="G64" s="68"/>
      <c r="H64" s="68"/>
      <c r="I64" s="97" t="e">
        <f t="shared" ca="1" si="12"/>
        <v>#NAME?</v>
      </c>
      <c r="J64" s="95"/>
      <c r="K64" s="96"/>
      <c r="L64" s="95" t="e">
        <f t="shared" ca="1" si="13"/>
        <v>#NAME?</v>
      </c>
      <c r="M64" s="80">
        <f t="shared" si="18"/>
        <v>39</v>
      </c>
      <c r="N64" s="78" t="str">
        <f t="shared" ca="1" si="14"/>
        <v/>
      </c>
      <c r="O64" s="80" t="str">
        <f t="shared" ca="1" si="19"/>
        <v/>
      </c>
      <c r="P64" s="78" t="str">
        <f t="shared" ca="1" si="15"/>
        <v/>
      </c>
      <c r="Q64" s="68"/>
      <c r="R64" s="94" t="str">
        <f t="shared" ca="1" si="16"/>
        <v/>
      </c>
      <c r="S64" s="93" t="str">
        <f t="shared" ca="1" si="17"/>
        <v/>
      </c>
      <c r="U64" s="72" t="e">
        <f ca="1"/>
        <v>#NAME?</v>
      </c>
      <c r="V64" s="71" t="e">
        <f ca="1"/>
        <v>#NAME?</v>
      </c>
      <c r="Y64" s="81"/>
      <c r="Z64" s="80" t="e">
        <f ca="1">$Z$29*_xll.RtGet($AD$32,$AD$33&amp;$Y64&amp;$AD$34,Z$30)</f>
        <v>#NAME?</v>
      </c>
      <c r="AA64" s="78" t="e">
        <f ca="1">$Z$29*_xll.RtGet($AD$32,$AD$33&amp;$Y64&amp;$AD$34,AA$30)</f>
        <v>#NAME?</v>
      </c>
      <c r="AF64" s="233" t="e">
        <f t="shared" ca="1" si="20"/>
        <v>#NAME?</v>
      </c>
      <c r="AG64" s="227" t="str">
        <f t="shared" ca="1" si="25"/>
        <v/>
      </c>
      <c r="AH64" s="227" t="str">
        <f t="shared" ca="1" si="21"/>
        <v/>
      </c>
      <c r="AI64" s="234" t="str">
        <f t="shared" ca="1" si="22"/>
        <v/>
      </c>
      <c r="AJ64" s="238">
        <f t="shared" si="29"/>
        <v>360</v>
      </c>
      <c r="AK64" s="224" t="str">
        <f t="shared" ca="1" si="26"/>
        <v/>
      </c>
      <c r="AL64" s="224" t="str">
        <f t="shared" ca="1" si="27"/>
        <v/>
      </c>
      <c r="AM64" s="224" t="b">
        <f t="shared" ca="1" si="23"/>
        <v>0</v>
      </c>
      <c r="AN64" s="236" t="str">
        <f t="shared" ca="1" si="24"/>
        <v/>
      </c>
      <c r="AO64" s="235" t="str">
        <f t="array" aca="1" ref="AO64:AP64" ca="1">IF(AM64,INDEX($AH$31:$AI$72,AN64,0),"")</f>
        <v/>
      </c>
      <c r="AP64" s="236" t="str">
        <f ca="1"/>
        <v/>
      </c>
      <c r="AQ64" s="238">
        <v>360</v>
      </c>
      <c r="AR64" s="241" t="e">
        <f ca="1"/>
        <v>#NAME?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ca="1" si="10"/>
        <v>0</v>
      </c>
      <c r="F65" s="169" t="str">
        <f t="shared" ca="1" si="11"/>
        <v/>
      </c>
      <c r="G65" s="68"/>
      <c r="H65" s="68"/>
      <c r="I65" s="97" t="e">
        <f t="shared" ca="1" si="12"/>
        <v>#NAME?</v>
      </c>
      <c r="J65" s="95"/>
      <c r="K65" s="96"/>
      <c r="L65" s="95" t="e">
        <f t="shared" ca="1" si="13"/>
        <v>#NAME?</v>
      </c>
      <c r="M65" s="80">
        <f t="shared" si="18"/>
        <v>40</v>
      </c>
      <c r="N65" s="78" t="str">
        <f t="shared" ca="1" si="14"/>
        <v/>
      </c>
      <c r="O65" s="80" t="str">
        <f t="shared" ca="1" si="19"/>
        <v/>
      </c>
      <c r="P65" s="78" t="str">
        <f t="shared" ca="1" si="15"/>
        <v/>
      </c>
      <c r="Q65" s="68"/>
      <c r="R65" s="94" t="str">
        <f t="shared" ca="1" si="16"/>
        <v/>
      </c>
      <c r="S65" s="93" t="str">
        <f t="shared" ca="1" si="17"/>
        <v/>
      </c>
      <c r="U65" s="72" t="e">
        <f ca="1"/>
        <v>#NAME?</v>
      </c>
      <c r="V65" s="71" t="e">
        <f ca="1"/>
        <v>#NAME?</v>
      </c>
      <c r="Y65" s="81"/>
      <c r="Z65" s="80" t="e">
        <f ca="1">$Z$29*_xll.RtGet($AD$32,$AD$33&amp;$Y65&amp;$AD$34,Z$30)</f>
        <v>#NAME?</v>
      </c>
      <c r="AA65" s="78" t="e">
        <f ca="1">$Z$29*_xll.RtGet($AD$32,$AD$33&amp;$Y65&amp;$AD$34,AA$30)</f>
        <v>#NAME?</v>
      </c>
      <c r="AF65" s="233" t="e">
        <f t="shared" ca="1" si="20"/>
        <v>#NAME?</v>
      </c>
      <c r="AG65" s="227" t="str">
        <f t="shared" ca="1" si="25"/>
        <v/>
      </c>
      <c r="AH65" s="227" t="str">
        <f t="shared" ca="1" si="21"/>
        <v/>
      </c>
      <c r="AI65" s="234" t="str">
        <f t="shared" ca="1" si="22"/>
        <v/>
      </c>
      <c r="AJ65" s="235">
        <f>+AJ64+60</f>
        <v>420</v>
      </c>
      <c r="AK65" s="224" t="str">
        <f t="shared" ca="1" si="26"/>
        <v/>
      </c>
      <c r="AL65" s="224" t="str">
        <f t="shared" ca="1" si="27"/>
        <v/>
      </c>
      <c r="AM65" s="224" t="b">
        <f t="shared" ca="1" si="23"/>
        <v>0</v>
      </c>
      <c r="AN65" s="236" t="str">
        <f t="shared" ca="1" si="24"/>
        <v/>
      </c>
      <c r="AO65" s="235" t="str">
        <f t="array" aca="1" ref="AO65:AP65" ca="1">IF(AM65,INDEX($AH$31:$AI$72,AN65,0),"")</f>
        <v/>
      </c>
      <c r="AP65" s="236" t="str">
        <f ca="1"/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ca="1" si="10"/>
        <v>0</v>
      </c>
      <c r="F66" s="169" t="str">
        <f t="shared" ca="1" si="11"/>
        <v/>
      </c>
      <c r="G66" s="68"/>
      <c r="H66" s="68"/>
      <c r="I66" s="97" t="e">
        <f t="shared" ca="1" si="12"/>
        <v>#NAME?</v>
      </c>
      <c r="J66" s="95"/>
      <c r="K66" s="96"/>
      <c r="L66" s="95" t="e">
        <f t="shared" ca="1" si="13"/>
        <v>#NAME?</v>
      </c>
      <c r="M66" s="80">
        <f t="shared" si="18"/>
        <v>41</v>
      </c>
      <c r="N66" s="78" t="str">
        <f t="shared" ca="1" si="14"/>
        <v/>
      </c>
      <c r="O66" s="80" t="str">
        <f t="shared" ca="1" si="19"/>
        <v/>
      </c>
      <c r="P66" s="78" t="str">
        <f t="shared" ca="1" si="15"/>
        <v/>
      </c>
      <c r="Q66" s="68"/>
      <c r="R66" s="94" t="str">
        <f t="shared" ca="1" si="16"/>
        <v/>
      </c>
      <c r="S66" s="93" t="str">
        <f t="shared" ca="1" si="17"/>
        <v/>
      </c>
      <c r="U66" s="72" t="e">
        <f ca="1"/>
        <v>#NAME?</v>
      </c>
      <c r="V66" s="71" t="e">
        <f ca="1"/>
        <v>#NAME?</v>
      </c>
      <c r="Y66" s="81"/>
      <c r="Z66" s="80" t="e">
        <f ca="1">$Z$29*_xll.RtGet($AD$32,$AD$33&amp;$Y66&amp;$AD$34,Z$30)</f>
        <v>#NAME?</v>
      </c>
      <c r="AA66" s="78" t="e">
        <f ca="1">$Z$29*_xll.RtGet($AD$32,$AD$33&amp;$Y66&amp;$AD$34,AA$30)</f>
        <v>#NAME?</v>
      </c>
      <c r="AF66" s="233" t="e">
        <f t="shared" ca="1" si="20"/>
        <v>#NAME?</v>
      </c>
      <c r="AG66" s="227" t="str">
        <f t="shared" ca="1" si="25"/>
        <v/>
      </c>
      <c r="AH66" s="227" t="str">
        <f t="shared" ca="1" si="21"/>
        <v/>
      </c>
      <c r="AI66" s="234" t="str">
        <f t="shared" ca="1" si="22"/>
        <v/>
      </c>
      <c r="AJ66" s="235">
        <f t="shared" ref="AJ66:AJ72" si="30">+AJ65+60</f>
        <v>480</v>
      </c>
      <c r="AK66" s="224" t="str">
        <f t="shared" ca="1" si="26"/>
        <v/>
      </c>
      <c r="AL66" s="224" t="str">
        <f t="shared" ca="1" si="27"/>
        <v/>
      </c>
      <c r="AM66" s="224" t="b">
        <f t="shared" ca="1" si="23"/>
        <v>0</v>
      </c>
      <c r="AN66" s="236" t="str">
        <f t="shared" ca="1" si="24"/>
        <v/>
      </c>
      <c r="AO66" s="235" t="str">
        <f t="array" aca="1" ref="AO66:AP66" ca="1">IF(AM66,INDEX($AH$31:$AI$72,AN66,0),"")</f>
        <v/>
      </c>
      <c r="AP66" s="236" t="str">
        <f ca="1"/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ca="1" si="10"/>
        <v>0</v>
      </c>
      <c r="F67" s="166" t="str">
        <f t="shared" ca="1" si="11"/>
        <v/>
      </c>
      <c r="I67" s="90" t="e">
        <f t="shared" ca="1" si="12"/>
        <v>#NAME?</v>
      </c>
      <c r="J67" s="88"/>
      <c r="K67" s="89"/>
      <c r="L67" s="88" t="e">
        <f t="shared" ca="1" si="13"/>
        <v>#NAME?</v>
      </c>
      <c r="M67" s="75">
        <f t="shared" si="18"/>
        <v>42</v>
      </c>
      <c r="N67" s="76" t="str">
        <f t="shared" ca="1" si="14"/>
        <v/>
      </c>
      <c r="O67" s="75" t="str">
        <f t="shared" ca="1" si="19"/>
        <v/>
      </c>
      <c r="P67" s="76" t="str">
        <f t="shared" ca="1" si="15"/>
        <v/>
      </c>
      <c r="R67" s="87" t="str">
        <f t="shared" ca="1" si="16"/>
        <v/>
      </c>
      <c r="S67" s="86" t="str">
        <f t="shared" ca="1" si="17"/>
        <v/>
      </c>
      <c r="U67" s="72" t="e">
        <f ca="1"/>
        <v>#NAME?</v>
      </c>
      <c r="V67" s="71" t="e">
        <f ca="1"/>
        <v>#NAME?</v>
      </c>
      <c r="Y67" s="81"/>
      <c r="Z67" s="80" t="e">
        <f ca="1">$Z$29*_xll.RtGet($AD$32,$AD$33&amp;$Y67&amp;$AD$34,Z$30)</f>
        <v>#NAME?</v>
      </c>
      <c r="AA67" s="78" t="e">
        <f ca="1">$Z$29*_xll.RtGet($AD$32,$AD$33&amp;$Y67&amp;$AD$34,AA$30)</f>
        <v>#NAME?</v>
      </c>
      <c r="AF67" s="233" t="e">
        <f t="shared" ca="1" si="20"/>
        <v>#NAME?</v>
      </c>
      <c r="AG67" s="227" t="str">
        <f t="shared" ca="1" si="25"/>
        <v/>
      </c>
      <c r="AH67" s="227" t="str">
        <f t="shared" ca="1" si="21"/>
        <v/>
      </c>
      <c r="AI67" s="234" t="str">
        <f t="shared" ca="1" si="22"/>
        <v/>
      </c>
      <c r="AJ67" s="235">
        <f t="shared" si="30"/>
        <v>540</v>
      </c>
      <c r="AK67" s="224" t="str">
        <f t="shared" ca="1" si="26"/>
        <v/>
      </c>
      <c r="AL67" s="224" t="str">
        <f t="shared" ca="1" si="27"/>
        <v/>
      </c>
      <c r="AM67" s="224" t="b">
        <f t="shared" ca="1" si="23"/>
        <v>0</v>
      </c>
      <c r="AN67" s="236" t="str">
        <f t="shared" ca="1" si="24"/>
        <v/>
      </c>
      <c r="AO67" s="235" t="str">
        <f t="array" aca="1" ref="AO67:AP67" ca="1">IF(AM67,INDEX($AH$31:$AI$72,AN67,0),"")</f>
        <v/>
      </c>
      <c r="AP67" s="236" t="str">
        <f ca="1"/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f ca="1"/>
        <v>#NAME?</v>
      </c>
      <c r="V68" s="71" t="e">
        <f ca="1"/>
        <v>#NAME?</v>
      </c>
      <c r="Y68" s="81"/>
      <c r="Z68" s="80" t="e">
        <f ca="1">$Z$29*_xll.RtGet($AD$32,$AD$33&amp;$Y68&amp;$AD$34,Z$30)</f>
        <v>#NAME?</v>
      </c>
      <c r="AA68" s="78" t="e">
        <f ca="1">$Z$29*_xll.RtGet($AD$32,$AD$33&amp;$Y68&amp;$AD$34,AA$30)</f>
        <v>#NAME?</v>
      </c>
      <c r="AF68" s="233" t="e">
        <f t="shared" ca="1" si="20"/>
        <v>#NAME?</v>
      </c>
      <c r="AG68" s="227" t="str">
        <f t="shared" ca="1" si="25"/>
        <v/>
      </c>
      <c r="AH68" s="227" t="str">
        <f t="shared" ca="1" si="21"/>
        <v/>
      </c>
      <c r="AI68" s="234" t="str">
        <f t="shared" ca="1" si="22"/>
        <v/>
      </c>
      <c r="AJ68" s="235">
        <f t="shared" si="30"/>
        <v>600</v>
      </c>
      <c r="AK68" s="224" t="str">
        <f t="shared" ca="1" si="26"/>
        <v/>
      </c>
      <c r="AL68" s="224" t="str">
        <f t="shared" ca="1" si="27"/>
        <v/>
      </c>
      <c r="AM68" s="224" t="b">
        <f t="shared" ca="1" si="23"/>
        <v>0</v>
      </c>
      <c r="AN68" s="236" t="str">
        <f t="shared" ca="1" si="24"/>
        <v/>
      </c>
      <c r="AO68" s="235" t="str">
        <f t="array" aca="1" ref="AO68:AP68" ca="1">IF(AM68,INDEX($AH$31:$AI$72,AN68,0),"")</f>
        <v/>
      </c>
      <c r="AP68" s="236" t="str">
        <f ca="1"/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f ca="1"/>
        <v>#NAME?</v>
      </c>
      <c r="V69" s="71" t="e">
        <f ca="1"/>
        <v>#NAME?</v>
      </c>
      <c r="Y69" s="81"/>
      <c r="Z69" s="80" t="e">
        <f ca="1">$Z$29*_xll.RtGet($AD$32,$AD$33&amp;$Y69&amp;$AD$34,Z$30)</f>
        <v>#NAME?</v>
      </c>
      <c r="AA69" s="78" t="e">
        <f ca="1">$Z$29*_xll.RtGet($AD$32,$AD$33&amp;$Y69&amp;$AD$34,AA$30)</f>
        <v>#NAME?</v>
      </c>
      <c r="AF69" s="233" t="e">
        <f t="shared" ca="1" si="20"/>
        <v>#NAME?</v>
      </c>
      <c r="AG69" s="227" t="str">
        <f t="shared" ca="1" si="25"/>
        <v/>
      </c>
      <c r="AH69" s="227" t="str">
        <f t="shared" ca="1" si="21"/>
        <v/>
      </c>
      <c r="AI69" s="234" t="str">
        <f t="shared" ca="1" si="22"/>
        <v/>
      </c>
      <c r="AJ69" s="235">
        <f t="shared" si="30"/>
        <v>660</v>
      </c>
      <c r="AK69" s="224" t="str">
        <f t="shared" ca="1" si="26"/>
        <v/>
      </c>
      <c r="AL69" s="224" t="str">
        <f t="shared" ca="1" si="27"/>
        <v/>
      </c>
      <c r="AM69" s="224" t="b">
        <f t="shared" ca="1" si="23"/>
        <v>0</v>
      </c>
      <c r="AN69" s="236" t="str">
        <f t="shared" ca="1" si="24"/>
        <v/>
      </c>
      <c r="AO69" s="235" t="str">
        <f t="array" aca="1" ref="AO69:AP69" ca="1">IF(AM69,INDEX($AH$31:$AI$72,AN69,0),"")</f>
        <v/>
      </c>
      <c r="AP69" s="236" t="str">
        <f ca="1"/>
        <v/>
      </c>
      <c r="AQ69" s="242"/>
      <c r="AR69" s="243"/>
    </row>
    <row r="70" spans="2:44" ht="11.25" customHeight="1" x14ac:dyDescent="0.2">
      <c r="B70" s="254" t="s">
        <v>195</v>
      </c>
      <c r="C70" s="254" t="b">
        <v>1</v>
      </c>
      <c r="N70" s="67"/>
      <c r="O70" s="67"/>
      <c r="U70" s="72" t="e">
        <f ca="1"/>
        <v>#NAME?</v>
      </c>
      <c r="V70" s="71" t="e">
        <f ca="1"/>
        <v>#NAME?</v>
      </c>
      <c r="Y70" s="81"/>
      <c r="Z70" s="80" t="e">
        <f ca="1">$Z$29*_xll.RtGet($AD$32,$AD$33&amp;$Y70&amp;$AD$34,Z$30)</f>
        <v>#NAME?</v>
      </c>
      <c r="AA70" s="78" t="e">
        <f ca="1">$Z$29*_xll.RtGet($AD$32,$AD$33&amp;$Y70&amp;$AD$34,AA$30)</f>
        <v>#NAME?</v>
      </c>
      <c r="AF70" s="233" t="e">
        <f t="shared" ca="1" si="20"/>
        <v>#NAME?</v>
      </c>
      <c r="AG70" s="227" t="str">
        <f t="shared" ca="1" si="25"/>
        <v/>
      </c>
      <c r="AH70" s="227" t="str">
        <f t="shared" ca="1" si="21"/>
        <v/>
      </c>
      <c r="AI70" s="234" t="str">
        <f t="shared" ca="1" si="22"/>
        <v/>
      </c>
      <c r="AJ70" s="235">
        <f t="shared" si="30"/>
        <v>720</v>
      </c>
      <c r="AK70" s="224" t="str">
        <f t="shared" ca="1" si="26"/>
        <v/>
      </c>
      <c r="AL70" s="224" t="str">
        <f t="shared" ca="1" si="27"/>
        <v/>
      </c>
      <c r="AM70" s="224" t="b">
        <f t="shared" ca="1" si="23"/>
        <v>0</v>
      </c>
      <c r="AN70" s="236" t="str">
        <f t="shared" ca="1" si="24"/>
        <v/>
      </c>
      <c r="AO70" s="235" t="str">
        <f t="array" aca="1" ref="AO70:AP70" ca="1">IF(AM70,INDEX($AH$31:$AI$72,AN70,0),"")</f>
        <v/>
      </c>
      <c r="AP70" s="236" t="str">
        <f ca="1"/>
        <v/>
      </c>
      <c r="AQ70" s="242"/>
      <c r="AR70" s="243"/>
    </row>
    <row r="71" spans="2:44" ht="11.25" customHeight="1" x14ac:dyDescent="0.2">
      <c r="N71" s="67"/>
      <c r="O71" s="67"/>
      <c r="U71" s="72" t="e">
        <f ca="1"/>
        <v>#NAME?</v>
      </c>
      <c r="V71" s="71" t="e">
        <f ca="1"/>
        <v>#NAME?</v>
      </c>
      <c r="Y71" s="81"/>
      <c r="Z71" s="80" t="e">
        <f ca="1">$Z$29*_xll.RtGet($AD$32,$AD$33&amp;$Y71&amp;$AD$34,Z$30)</f>
        <v>#NAME?</v>
      </c>
      <c r="AA71" s="78" t="e">
        <f ca="1">$Z$29*_xll.RtGet($AD$32,$AD$33&amp;$Y71&amp;$AD$34,AA$30)</f>
        <v>#NAME?</v>
      </c>
      <c r="AF71" s="233" t="e">
        <f t="shared" ca="1" si="20"/>
        <v>#NAME?</v>
      </c>
      <c r="AG71" s="227" t="str">
        <f t="shared" ca="1" si="25"/>
        <v/>
      </c>
      <c r="AH71" s="227" t="str">
        <f t="shared" ca="1" si="21"/>
        <v/>
      </c>
      <c r="AI71" s="234" t="str">
        <f t="shared" ca="1" si="22"/>
        <v/>
      </c>
      <c r="AJ71" s="235">
        <f t="shared" si="30"/>
        <v>780</v>
      </c>
      <c r="AK71" s="224" t="str">
        <f t="shared" ca="1" si="26"/>
        <v/>
      </c>
      <c r="AL71" s="224" t="str">
        <f t="shared" ca="1" si="27"/>
        <v/>
      </c>
      <c r="AM71" s="224" t="b">
        <f t="shared" ca="1" si="23"/>
        <v>0</v>
      </c>
      <c r="AN71" s="236" t="str">
        <f t="shared" ca="1" si="24"/>
        <v/>
      </c>
      <c r="AO71" s="235" t="str">
        <f t="array" aca="1" ref="AO71:AP71" ca="1">IF(AM71,INDEX($AH$31:$AI$72,AN71,0),"")</f>
        <v/>
      </c>
      <c r="AP71" s="236" t="str">
        <f ca="1"/>
        <v/>
      </c>
      <c r="AQ71" s="242"/>
      <c r="AR71" s="243"/>
    </row>
    <row r="72" spans="2:44" ht="11.25" customHeight="1" x14ac:dyDescent="0.2">
      <c r="N72" s="67"/>
      <c r="O72" s="67"/>
      <c r="U72" s="72" t="e">
        <f ca="1"/>
        <v>#NAME?</v>
      </c>
      <c r="V72" s="71" t="e">
        <f ca="1"/>
        <v>#NAME?</v>
      </c>
      <c r="Y72" s="77"/>
      <c r="Z72" s="75" t="e">
        <f ca="1">$Z$29*_xll.RtGet($AD$32,$AD$33&amp;$Y72&amp;$AD$34,Z$30)</f>
        <v>#NAME?</v>
      </c>
      <c r="AA72" s="76" t="e">
        <f ca="1">$Z$29*_xll.RtGet($AD$32,$AD$33&amp;$Y72&amp;$AD$34,AA$30)</f>
        <v>#NAME?</v>
      </c>
      <c r="AF72" s="221" t="e">
        <f t="shared" ca="1" si="20"/>
        <v>#NAME?</v>
      </c>
      <c r="AG72" s="244" t="str">
        <f t="shared" ca="1" si="25"/>
        <v/>
      </c>
      <c r="AH72" s="245">
        <f ca="1">IF(AH30,AQ29,AG72)</f>
        <v>360</v>
      </c>
      <c r="AI72" s="245" t="e">
        <f ca="1">IF(AH30,INDEX(AF31:AF72,MATCH(AG29,AG31:AG72,0)),AF72)</f>
        <v>#N/A</v>
      </c>
      <c r="AJ72" s="238">
        <f t="shared" si="30"/>
        <v>840</v>
      </c>
      <c r="AK72" s="246">
        <f t="shared" ca="1" si="26"/>
        <v>840</v>
      </c>
      <c r="AL72" s="246" t="str">
        <f t="shared" ca="1" si="27"/>
        <v/>
      </c>
      <c r="AM72" s="246" t="b">
        <f t="shared" ca="1" si="23"/>
        <v>0</v>
      </c>
      <c r="AN72" s="247" t="str">
        <f t="shared" ca="1" si="24"/>
        <v/>
      </c>
      <c r="AO72" s="238" t="str">
        <f t="array" aca="1" ref="AO72:AP72" ca="1">IF(AM72,INDEX($AH$31:$AI$72,AN72,0),"")</f>
        <v/>
      </c>
      <c r="AP72" s="247" t="str">
        <f ca="1"/>
        <v/>
      </c>
      <c r="AQ72" s="248"/>
      <c r="AR72" s="249"/>
    </row>
    <row r="73" spans="2:44" ht="11.25" customHeight="1" x14ac:dyDescent="0.2">
      <c r="N73" s="67"/>
      <c r="O73" s="67"/>
      <c r="U73" s="72" t="e">
        <f ca="1"/>
        <v>#NAME?</v>
      </c>
      <c r="V73" s="71" t="e">
        <f ca="1"/>
        <v>#NAME?</v>
      </c>
    </row>
    <row r="74" spans="2:44" ht="11.25" customHeight="1" x14ac:dyDescent="0.2">
      <c r="N74" s="67"/>
      <c r="O74" s="67"/>
      <c r="U74" s="72" t="e">
        <f ca="1"/>
        <v>#NAME?</v>
      </c>
      <c r="V74" s="71" t="e">
        <f ca="1"/>
        <v>#NAME?</v>
      </c>
    </row>
    <row r="75" spans="2:44" ht="11.25" customHeight="1" x14ac:dyDescent="0.2">
      <c r="N75" s="67"/>
      <c r="O75" s="67"/>
      <c r="U75" s="72" t="e">
        <f ca="1"/>
        <v>#NAME?</v>
      </c>
      <c r="V75" s="71" t="e">
        <f ca="1"/>
        <v>#NAME?</v>
      </c>
    </row>
    <row r="76" spans="2:44" ht="11.25" customHeight="1" x14ac:dyDescent="0.2">
      <c r="N76" s="67"/>
      <c r="O76" s="67"/>
      <c r="U76" s="72" t="e">
        <f ca="1"/>
        <v>#NAME?</v>
      </c>
      <c r="V76" s="71" t="e">
        <f ca="1"/>
        <v>#NAME?</v>
      </c>
    </row>
    <row r="77" spans="2:44" ht="11.25" customHeight="1" x14ac:dyDescent="0.2">
      <c r="N77" s="67"/>
      <c r="O77" s="67"/>
      <c r="U77" s="72" t="e">
        <f ca="1"/>
        <v>#NAME?</v>
      </c>
      <c r="V77" s="71" t="e">
        <f ca="1"/>
        <v>#NAME?</v>
      </c>
    </row>
    <row r="78" spans="2:44" ht="11.25" customHeight="1" x14ac:dyDescent="0.2">
      <c r="N78" s="67"/>
      <c r="O78" s="67"/>
      <c r="U78" s="72" t="e">
        <f ca="1"/>
        <v>#NAME?</v>
      </c>
      <c r="V78" s="71" t="e">
        <f ca="1"/>
        <v>#NAME?</v>
      </c>
    </row>
    <row r="79" spans="2:44" ht="11.25" customHeight="1" x14ac:dyDescent="0.2">
      <c r="N79" s="67"/>
      <c r="O79" s="67"/>
      <c r="U79" s="70" t="e">
        <f ca="1"/>
        <v>#NAME?</v>
      </c>
      <c r="V79" s="69" t="e">
        <f ca="1"/>
        <v>#NAME?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9" priority="10" stopIfTrue="1" operator="equal">
      <formula>FALSE</formula>
    </cfRule>
  </conditionalFormatting>
  <conditionalFormatting sqref="I3:L20 I23:L23">
    <cfRule type="expression" dxfId="8" priority="5" stopIfTrue="1">
      <formula>NOT($E3)</formula>
    </cfRule>
  </conditionalFormatting>
  <conditionalFormatting sqref="I26:L67">
    <cfRule type="expression" dxfId="7" priority="2" stopIfTrue="1">
      <formula>NOT($E26)</formula>
    </cfRule>
  </conditionalFormatting>
  <conditionalFormatting sqref="L3:L20">
    <cfRule type="expression" dxfId="6" priority="6" stopIfTrue="1">
      <formula>ISNUMBER(J3)</formula>
    </cfRule>
    <cfRule type="expression" dxfId="5" priority="9" stopIfTrue="1">
      <formula>ISNUMBER(K3)</formula>
    </cfRule>
  </conditionalFormatting>
  <conditionalFormatting sqref="L23">
    <cfRule type="expression" dxfId="4" priority="4" stopIfTrue="1">
      <formula>ISNUMBER(J23)</formula>
    </cfRule>
    <cfRule type="expression" dxfId="3" priority="8" stopIfTrue="1">
      <formula>ISNUMBER(K23)</formula>
    </cfRule>
  </conditionalFormatting>
  <conditionalFormatting sqref="L26:L67">
    <cfRule type="expression" dxfId="2" priority="3" stopIfTrue="1">
      <formula>ISNUMBER(J26)</formula>
    </cfRule>
    <cfRule type="expression" dxfId="1" priority="7" stopIfTrue="1">
      <formula>ISNUMBER(K26)</formula>
    </cfRule>
  </conditionalFormatting>
  <conditionalFormatting sqref="E3:E20">
    <cfRule type="cellIs" dxfId="0" priority="1" stopIfTrue="1" operator="equal">
      <formula>FALSE</formula>
    </cfRule>
  </conditionalFormatting>
  <dataValidations count="8">
    <dataValidation type="list" allowBlank="1" showInputMessage="1" showErrorMessage="1" sqref="C14 C33 C37">
      <formula1>INDEX(dvCurveBootstrapperDayCount,0,1)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40">
      <formula1>INDEX(dvCurveBootstrapperOutputType,0,1)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8626</xdr:colOff>
                    <xdr:row>16</xdr:row>
                    <xdr:rowOff>129396</xdr:rowOff>
                  </from>
                  <to>
                    <xdr:col>1</xdr:col>
                    <xdr:colOff>923026</xdr:colOff>
                    <xdr:row>18</xdr:row>
                    <xdr:rowOff>94891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8626</xdr:colOff>
                    <xdr:row>18</xdr:row>
                    <xdr:rowOff>94891</xdr:rowOff>
                  </from>
                  <to>
                    <xdr:col>1</xdr:col>
                    <xdr:colOff>923026</xdr:colOff>
                    <xdr:row>20</xdr:row>
                    <xdr:rowOff>60385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1"/>
  <sheetViews>
    <sheetView tabSelected="1" zoomScaleNormal="100" workbookViewId="0">
      <selection activeCell="C8" sqref="C8:D8"/>
    </sheetView>
  </sheetViews>
  <sheetFormatPr defaultRowHeight="10.9" x14ac:dyDescent="0.2"/>
  <cols>
    <col min="1" max="1" width="2.85546875" customWidth="1"/>
    <col min="2" max="2" width="19.42578125" customWidth="1"/>
    <col min="3" max="3" width="18.7109375" customWidth="1"/>
    <col min="4" max="4" width="14.42578125" customWidth="1"/>
    <col min="5" max="5" width="10.140625" bestFit="1" customWidth="1"/>
    <col min="6" max="6" width="24.28515625" customWidth="1"/>
    <col min="7" max="7" width="17.85546875" bestFit="1" customWidth="1"/>
    <col min="8" max="8" width="14.85546875" bestFit="1" customWidth="1"/>
  </cols>
  <sheetData>
    <row r="1" spans="1:8" ht="11.55" thickBot="1" x14ac:dyDescent="0.25">
      <c r="A1" s="253" t="b">
        <v>0</v>
      </c>
    </row>
    <row r="2" spans="1:8" ht="11.55" thickBot="1" x14ac:dyDescent="0.25">
      <c r="B2" s="320" t="s">
        <v>226</v>
      </c>
      <c r="C2" s="321"/>
      <c r="D2" s="322"/>
    </row>
    <row r="3" spans="1:8" x14ac:dyDescent="0.2">
      <c r="B3" s="276" t="s">
        <v>227</v>
      </c>
      <c r="C3" s="323" t="s">
        <v>102</v>
      </c>
      <c r="D3" s="324"/>
      <c r="F3" s="282" t="s">
        <v>228</v>
      </c>
      <c r="G3" s="283">
        <f ca="1">NOW()</f>
        <v>42156.527747106484</v>
      </c>
    </row>
    <row r="4" spans="1:8" x14ac:dyDescent="0.2">
      <c r="B4" s="276" t="s">
        <v>229</v>
      </c>
      <c r="C4" s="323" t="s">
        <v>230</v>
      </c>
      <c r="D4" s="324"/>
      <c r="F4" s="284" t="s">
        <v>231</v>
      </c>
      <c r="G4" s="285">
        <f ca="1">TIME(HOUR(G3),MINUTE(G3),SECOND(G3))</f>
        <v>0.52774305555555556</v>
      </c>
    </row>
    <row r="5" spans="1:8" ht="11.55" thickBot="1" x14ac:dyDescent="0.25">
      <c r="B5" s="276" t="s">
        <v>232</v>
      </c>
      <c r="C5" s="278" t="s">
        <v>71</v>
      </c>
      <c r="D5" s="279" t="s">
        <v>70</v>
      </c>
      <c r="F5" s="286" t="s">
        <v>233</v>
      </c>
      <c r="G5" s="287">
        <f>TIME(C7,C8,0)</f>
        <v>0.71875</v>
      </c>
    </row>
    <row r="6" spans="1:8" ht="11.55" thickBot="1" x14ac:dyDescent="0.25">
      <c r="B6" s="288" t="s">
        <v>234</v>
      </c>
      <c r="C6" s="325" t="s">
        <v>235</v>
      </c>
      <c r="D6" s="326"/>
      <c r="F6" s="289" t="s">
        <v>236</v>
      </c>
      <c r="G6" s="290" t="b">
        <v>1</v>
      </c>
    </row>
    <row r="7" spans="1:8" x14ac:dyDescent="0.2">
      <c r="B7" s="291" t="s">
        <v>237</v>
      </c>
      <c r="C7" s="327">
        <v>17</v>
      </c>
      <c r="D7" s="328"/>
    </row>
    <row r="8" spans="1:8" ht="11.55" thickBot="1" x14ac:dyDescent="0.25">
      <c r="B8" s="292" t="s">
        <v>238</v>
      </c>
      <c r="C8" s="329">
        <v>15</v>
      </c>
      <c r="D8" s="330"/>
    </row>
    <row r="9" spans="1:8" ht="11.55" thickBot="1" x14ac:dyDescent="0.25"/>
    <row r="10" spans="1:8" ht="11.55" thickBot="1" x14ac:dyDescent="0.25">
      <c r="B10" s="316" t="s">
        <v>239</v>
      </c>
      <c r="C10" s="317"/>
      <c r="D10" s="318" t="s">
        <v>240</v>
      </c>
    </row>
    <row r="11" spans="1:8" ht="11.55" thickBot="1" x14ac:dyDescent="0.25">
      <c r="B11" s="284" t="s">
        <v>241</v>
      </c>
      <c r="C11" s="293" t="s">
        <v>145</v>
      </c>
      <c r="D11" s="319"/>
      <c r="F11" s="294" t="s">
        <v>242</v>
      </c>
    </row>
    <row r="12" spans="1:8" ht="11.55" thickBot="1" x14ac:dyDescent="0.25">
      <c r="A12" s="295">
        <v>1</v>
      </c>
      <c r="B12" s="296" t="str">
        <f ca="1">IF(ISNUMBER('GBPBASIS(EURON,USD)'!$U3),'GBPBASIS(EURON,USD)'!U3-EvaluationDate,IF(ISNA('GBPBASIS(EURON,USD)'!$U3),-999,"#Error, invalid Pillar Value"))</f>
        <v>#Error, invalid Pillar Value</v>
      </c>
      <c r="C12" s="297" t="str">
        <f ca="1">IF(ISNUMBER('GBPBASIS(EURON,USD)'!$U3),'GBPBASIS(EURON,USD)'!V3,IF(ISNA('GBPBASIS(EURON,USD)'!$U3),-999,"#Error, invalid Pillar Value"))</f>
        <v>#Error, invalid Pillar Value</v>
      </c>
      <c r="D12" s="298" t="e">
        <f ca="1">IF(contribTrig,RtContribute($C$3&amp;T(TYPE('GBPBASIS(EURON,USD)'!$C$15)),$C$4&amp;$A12,$C$5:$D$5,$B12:$C12,$C$6),"Paused")</f>
        <v>#NAME?</v>
      </c>
      <c r="F12" s="299" t="b">
        <f ca="1">AND($G$6,$G$4&lt;$G$5)</f>
        <v>1</v>
      </c>
    </row>
    <row r="13" spans="1:8" x14ac:dyDescent="0.2">
      <c r="A13" s="300">
        <f>+A12+1</f>
        <v>2</v>
      </c>
      <c r="B13" s="301" t="str">
        <f ca="1">IF(ISNUMBER('GBPBASIS(EURON,USD)'!$U4),'GBPBASIS(EURON,USD)'!U4-EvaluationDate,IF(ISNA('GBPBASIS(EURON,USD)'!$U4),-999,"#Error, invalid Pillar Value"))</f>
        <v>#Error, invalid Pillar Value</v>
      </c>
      <c r="C13" s="302" t="str">
        <f ca="1">IF(ISNUMBER('GBPBASIS(EURON,USD)'!$U4),'GBPBASIS(EURON,USD)'!V4,IF(ISNA('GBPBASIS(EURON,USD)'!$U4),-999,"#Error, invalid Pillar Value"))</f>
        <v>#Error, invalid Pillar Value</v>
      </c>
      <c r="D13" s="303" t="e">
        <f ca="1">IF(contribTrig,RtContribute($C$3&amp;T(TYPE('GBPBASIS(EURON,USD)'!$C$15)),$C$4&amp;$A13,$C$5:$D$5,$B13:$C13,$C$6),"Paused")</f>
        <v>#NAME?</v>
      </c>
    </row>
    <row r="14" spans="1:8" x14ac:dyDescent="0.2">
      <c r="A14" s="300">
        <f>+A13+1</f>
        <v>3</v>
      </c>
      <c r="B14" s="301" t="str">
        <f ca="1">IF(ISNUMBER('GBPBASIS(EURON,USD)'!$U5),'GBPBASIS(EURON,USD)'!U5-EvaluationDate,IF(ISNA('GBPBASIS(EURON,USD)'!$U5),-999,"#Error, invalid Pillar Value"))</f>
        <v>#Error, invalid Pillar Value</v>
      </c>
      <c r="C14" s="302" t="str">
        <f ca="1">IF(ISNUMBER('GBPBASIS(EURON,USD)'!$U5),'GBPBASIS(EURON,USD)'!V5,IF(ISNA('GBPBASIS(EURON,USD)'!$U5),-999,"#Error, invalid Pillar Value"))</f>
        <v>#Error, invalid Pillar Value</v>
      </c>
      <c r="D14" s="303" t="e">
        <f ca="1">IF(contribTrig,RtContribute($C$3&amp;T(TYPE('GBPBASIS(EURON,USD)'!$C$15)),$C$4&amp;$A14,$C$5:$D$5,$B14:$C14,$C$6),"Paused")</f>
        <v>#NAME?</v>
      </c>
      <c r="H14" s="304"/>
    </row>
    <row r="15" spans="1:8" x14ac:dyDescent="0.2">
      <c r="A15" s="300">
        <f t="shared" ref="A15:A45" si="0">+A14+1</f>
        <v>4</v>
      </c>
      <c r="B15" s="301" t="str">
        <f ca="1">IF(ISNUMBER('GBPBASIS(EURON,USD)'!$U6),'GBPBASIS(EURON,USD)'!U6-EvaluationDate,IF(ISNA('GBPBASIS(EURON,USD)'!$U6),-999,"#Error, invalid Pillar Value"))</f>
        <v>#Error, invalid Pillar Value</v>
      </c>
      <c r="C15" s="302" t="str">
        <f ca="1">IF(ISNUMBER('GBPBASIS(EURON,USD)'!$U6),'GBPBASIS(EURON,USD)'!V6,IF(ISNA('GBPBASIS(EURON,USD)'!$U6),-999,"#Error, invalid Pillar Value"))</f>
        <v>#Error, invalid Pillar Value</v>
      </c>
      <c r="D15" s="303" t="e">
        <f ca="1">IF(contribTrig,RtContribute($C$3&amp;T(TYPE('GBPBASIS(EURON,USD)'!$C$15)),$C$4&amp;$A15,$C$5:$D$5,$B15:$C15,$C$6),"Paused")</f>
        <v>#NAME?</v>
      </c>
    </row>
    <row r="16" spans="1:8" x14ac:dyDescent="0.2">
      <c r="A16" s="300">
        <f t="shared" si="0"/>
        <v>5</v>
      </c>
      <c r="B16" s="301" t="str">
        <f ca="1">IF(ISNUMBER('GBPBASIS(EURON,USD)'!$U7),'GBPBASIS(EURON,USD)'!U7-EvaluationDate,IF(ISNA('GBPBASIS(EURON,USD)'!$U7),-999,"#Error, invalid Pillar Value"))</f>
        <v>#Error, invalid Pillar Value</v>
      </c>
      <c r="C16" s="302" t="str">
        <f ca="1">IF(ISNUMBER('GBPBASIS(EURON,USD)'!$U7),'GBPBASIS(EURON,USD)'!V7,IF(ISNA('GBPBASIS(EURON,USD)'!$U7),-999,"#Error, invalid Pillar Value"))</f>
        <v>#Error, invalid Pillar Value</v>
      </c>
      <c r="D16" s="303" t="e">
        <f ca="1">IF(contribTrig,RtContribute($C$3&amp;T(TYPE('GBPBASIS(EURON,USD)'!$C$15)),$C$4&amp;$A16,$C$5:$D$5,$B16:$C16,$C$6),"Paused")</f>
        <v>#NAME?</v>
      </c>
    </row>
    <row r="17" spans="1:4" x14ac:dyDescent="0.2">
      <c r="A17" s="300">
        <f t="shared" si="0"/>
        <v>6</v>
      </c>
      <c r="B17" s="301" t="str">
        <f ca="1">IF(ISNUMBER('GBPBASIS(EURON,USD)'!$U8),'GBPBASIS(EURON,USD)'!U8-EvaluationDate,IF(ISNA('GBPBASIS(EURON,USD)'!$U8),-999,"#Error, invalid Pillar Value"))</f>
        <v>#Error, invalid Pillar Value</v>
      </c>
      <c r="C17" s="302" t="str">
        <f ca="1">IF(ISNUMBER('GBPBASIS(EURON,USD)'!$U8),'GBPBASIS(EURON,USD)'!V8,IF(ISNA('GBPBASIS(EURON,USD)'!$U8),-999,"#Error, invalid Pillar Value"))</f>
        <v>#Error, invalid Pillar Value</v>
      </c>
      <c r="D17" s="303" t="e">
        <f ca="1">IF(contribTrig,RtContribute($C$3&amp;T(TYPE('GBPBASIS(EURON,USD)'!$C$15)),$C$4&amp;$A17,$C$5:$D$5,$B17:$C17,$C$6),"Paused")</f>
        <v>#NAME?</v>
      </c>
    </row>
    <row r="18" spans="1:4" x14ac:dyDescent="0.2">
      <c r="A18" s="300">
        <f t="shared" si="0"/>
        <v>7</v>
      </c>
      <c r="B18" s="301" t="str">
        <f ca="1">IF(ISNUMBER('GBPBASIS(EURON,USD)'!$U9),'GBPBASIS(EURON,USD)'!U9-EvaluationDate,IF(ISNA('GBPBASIS(EURON,USD)'!$U9),-999,"#Error, invalid Pillar Value"))</f>
        <v>#Error, invalid Pillar Value</v>
      </c>
      <c r="C18" s="302" t="str">
        <f ca="1">IF(ISNUMBER('GBPBASIS(EURON,USD)'!$U9),'GBPBASIS(EURON,USD)'!V9,IF(ISNA('GBPBASIS(EURON,USD)'!$U9),-999,"#Error, invalid Pillar Value"))</f>
        <v>#Error, invalid Pillar Value</v>
      </c>
      <c r="D18" s="303" t="e">
        <f ca="1">IF(contribTrig,RtContribute($C$3&amp;T(TYPE('GBPBASIS(EURON,USD)'!$C$15)),$C$4&amp;$A18,$C$5:$D$5,$B18:$C18,$C$6),"Paused")</f>
        <v>#NAME?</v>
      </c>
    </row>
    <row r="19" spans="1:4" x14ac:dyDescent="0.2">
      <c r="A19" s="300">
        <f t="shared" si="0"/>
        <v>8</v>
      </c>
      <c r="B19" s="301" t="str">
        <f ca="1">IF(ISNUMBER('GBPBASIS(EURON,USD)'!$U10),'GBPBASIS(EURON,USD)'!U10-EvaluationDate,IF(ISNA('GBPBASIS(EURON,USD)'!$U10),-999,"#Error, invalid Pillar Value"))</f>
        <v>#Error, invalid Pillar Value</v>
      </c>
      <c r="C19" s="302" t="str">
        <f ca="1">IF(ISNUMBER('GBPBASIS(EURON,USD)'!$U10),'GBPBASIS(EURON,USD)'!V10,IF(ISNA('GBPBASIS(EURON,USD)'!$U10),-999,"#Error, invalid Pillar Value"))</f>
        <v>#Error, invalid Pillar Value</v>
      </c>
      <c r="D19" s="303" t="e">
        <f ca="1">IF(contribTrig,RtContribute($C$3&amp;T(TYPE('GBPBASIS(EURON,USD)'!$C$15)),$C$4&amp;$A19,$C$5:$D$5,$B19:$C19,$C$6),"Paused")</f>
        <v>#NAME?</v>
      </c>
    </row>
    <row r="20" spans="1:4" x14ac:dyDescent="0.2">
      <c r="A20" s="300">
        <f t="shared" si="0"/>
        <v>9</v>
      </c>
      <c r="B20" s="301" t="str">
        <f ca="1">IF(ISNUMBER('GBPBASIS(EURON,USD)'!$U11),'GBPBASIS(EURON,USD)'!U11-EvaluationDate,IF(ISNA('GBPBASIS(EURON,USD)'!$U11),-999,"#Error, invalid Pillar Value"))</f>
        <v>#Error, invalid Pillar Value</v>
      </c>
      <c r="C20" s="302" t="str">
        <f ca="1">IF(ISNUMBER('GBPBASIS(EURON,USD)'!$U11),'GBPBASIS(EURON,USD)'!V11,IF(ISNA('GBPBASIS(EURON,USD)'!$U11),-999,"#Error, invalid Pillar Value"))</f>
        <v>#Error, invalid Pillar Value</v>
      </c>
      <c r="D20" s="303" t="e">
        <f ca="1">IF(contribTrig,RtContribute($C$3&amp;T(TYPE('GBPBASIS(EURON,USD)'!$C$15)),$C$4&amp;$A20,$C$5:$D$5,$B20:$C20,$C$6),"Paused")</f>
        <v>#NAME?</v>
      </c>
    </row>
    <row r="21" spans="1:4" x14ac:dyDescent="0.2">
      <c r="A21" s="300">
        <f t="shared" si="0"/>
        <v>10</v>
      </c>
      <c r="B21" s="301" t="str">
        <f ca="1">IF(ISNUMBER('GBPBASIS(EURON,USD)'!$U12),'GBPBASIS(EURON,USD)'!U12-EvaluationDate,IF(ISNA('GBPBASIS(EURON,USD)'!$U12),-999,"#Error, invalid Pillar Value"))</f>
        <v>#Error, invalid Pillar Value</v>
      </c>
      <c r="C21" s="302" t="str">
        <f ca="1">IF(ISNUMBER('GBPBASIS(EURON,USD)'!$U12),'GBPBASIS(EURON,USD)'!V12,IF(ISNA('GBPBASIS(EURON,USD)'!$U12),-999,"#Error, invalid Pillar Value"))</f>
        <v>#Error, invalid Pillar Value</v>
      </c>
      <c r="D21" s="303" t="e">
        <f ca="1">IF(contribTrig,RtContribute($C$3&amp;T(TYPE('GBPBASIS(EURON,USD)'!$C$15)),$C$4&amp;$A21,$C$5:$D$5,$B21:$C21,$C$6),"Paused")</f>
        <v>#NAME?</v>
      </c>
    </row>
    <row r="22" spans="1:4" x14ac:dyDescent="0.2">
      <c r="A22" s="300">
        <f t="shared" si="0"/>
        <v>11</v>
      </c>
      <c r="B22" s="301" t="str">
        <f ca="1">IF(ISNUMBER('GBPBASIS(EURON,USD)'!$U13),'GBPBASIS(EURON,USD)'!U13-EvaluationDate,IF(ISNA('GBPBASIS(EURON,USD)'!$U13),-999,"#Error, invalid Pillar Value"))</f>
        <v>#Error, invalid Pillar Value</v>
      </c>
      <c r="C22" s="302" t="str">
        <f ca="1">IF(ISNUMBER('GBPBASIS(EURON,USD)'!$U13),'GBPBASIS(EURON,USD)'!V13,IF(ISNA('GBPBASIS(EURON,USD)'!$U13),-999,"#Error, invalid Pillar Value"))</f>
        <v>#Error, invalid Pillar Value</v>
      </c>
      <c r="D22" s="303" t="e">
        <f ca="1">IF(contribTrig,RtContribute($C$3&amp;T(TYPE('GBPBASIS(EURON,USD)'!$C$15)),$C$4&amp;$A22,$C$5:$D$5,$B22:$C22,$C$6),"Paused")</f>
        <v>#NAME?</v>
      </c>
    </row>
    <row r="23" spans="1:4" x14ac:dyDescent="0.2">
      <c r="A23" s="300">
        <f t="shared" si="0"/>
        <v>12</v>
      </c>
      <c r="B23" s="301" t="str">
        <f ca="1">IF(ISNUMBER('GBPBASIS(EURON,USD)'!$U14),'GBPBASIS(EURON,USD)'!U14-EvaluationDate,IF(ISNA('GBPBASIS(EURON,USD)'!$U14),-999,"#Error, invalid Pillar Value"))</f>
        <v>#Error, invalid Pillar Value</v>
      </c>
      <c r="C23" s="302" t="str">
        <f ca="1">IF(ISNUMBER('GBPBASIS(EURON,USD)'!$U14),'GBPBASIS(EURON,USD)'!V14,IF(ISNA('GBPBASIS(EURON,USD)'!$U14),-999,"#Error, invalid Pillar Value"))</f>
        <v>#Error, invalid Pillar Value</v>
      </c>
      <c r="D23" s="303" t="e">
        <f ca="1">IF(contribTrig,RtContribute($C$3&amp;T(TYPE('GBPBASIS(EURON,USD)'!$C$15)),$C$4&amp;$A23,$C$5:$D$5,$B23:$C23,$C$6),"Paused")</f>
        <v>#NAME?</v>
      </c>
    </row>
    <row r="24" spans="1:4" x14ac:dyDescent="0.2">
      <c r="A24" s="300">
        <f t="shared" si="0"/>
        <v>13</v>
      </c>
      <c r="B24" s="301" t="str">
        <f ca="1">IF(ISNUMBER('GBPBASIS(EURON,USD)'!$U15),'GBPBASIS(EURON,USD)'!U15-EvaluationDate,IF(ISNA('GBPBASIS(EURON,USD)'!$U15),-999,"#Error, invalid Pillar Value"))</f>
        <v>#Error, invalid Pillar Value</v>
      </c>
      <c r="C24" s="302" t="str">
        <f ca="1">IF(ISNUMBER('GBPBASIS(EURON,USD)'!$U15),'GBPBASIS(EURON,USD)'!V15,IF(ISNA('GBPBASIS(EURON,USD)'!$U15),-999,"#Error, invalid Pillar Value"))</f>
        <v>#Error, invalid Pillar Value</v>
      </c>
      <c r="D24" s="303" t="e">
        <f ca="1">IF(contribTrig,RtContribute($C$3&amp;T(TYPE('GBPBASIS(EURON,USD)'!$C$15)),$C$4&amp;$A24,$C$5:$D$5,$B24:$C24,$C$6),"Paused")</f>
        <v>#NAME?</v>
      </c>
    </row>
    <row r="25" spans="1:4" x14ac:dyDescent="0.2">
      <c r="A25" s="300">
        <f t="shared" si="0"/>
        <v>14</v>
      </c>
      <c r="B25" s="301" t="str">
        <f ca="1">IF(ISNUMBER('GBPBASIS(EURON,USD)'!$U16),'GBPBASIS(EURON,USD)'!U16-EvaluationDate,IF(ISNA('GBPBASIS(EURON,USD)'!$U16),-999,"#Error, invalid Pillar Value"))</f>
        <v>#Error, invalid Pillar Value</v>
      </c>
      <c r="C25" s="302" t="str">
        <f ca="1">IF(ISNUMBER('GBPBASIS(EURON,USD)'!$U16),'GBPBASIS(EURON,USD)'!V16,IF(ISNA('GBPBASIS(EURON,USD)'!$U16),-999,"#Error, invalid Pillar Value"))</f>
        <v>#Error, invalid Pillar Value</v>
      </c>
      <c r="D25" s="303" t="e">
        <f ca="1">IF(contribTrig,RtContribute($C$3&amp;T(TYPE('GBPBASIS(EURON,USD)'!$C$15)),$C$4&amp;$A25,$C$5:$D$5,$B25:$C25,$C$6),"Paused")</f>
        <v>#NAME?</v>
      </c>
    </row>
    <row r="26" spans="1:4" x14ac:dyDescent="0.2">
      <c r="A26" s="300">
        <f t="shared" si="0"/>
        <v>15</v>
      </c>
      <c r="B26" s="301" t="str">
        <f ca="1">IF(ISNUMBER('GBPBASIS(EURON,USD)'!$U17),'GBPBASIS(EURON,USD)'!U17-EvaluationDate,IF(ISNA('GBPBASIS(EURON,USD)'!$U17),-999,"#Error, invalid Pillar Value"))</f>
        <v>#Error, invalid Pillar Value</v>
      </c>
      <c r="C26" s="302" t="str">
        <f ca="1">IF(ISNUMBER('GBPBASIS(EURON,USD)'!$U17),'GBPBASIS(EURON,USD)'!V17,IF(ISNA('GBPBASIS(EURON,USD)'!$U17),-999,"#Error, invalid Pillar Value"))</f>
        <v>#Error, invalid Pillar Value</v>
      </c>
      <c r="D26" s="303" t="e">
        <f ca="1">IF(contribTrig,RtContribute($C$3&amp;T(TYPE('GBPBASIS(EURON,USD)'!$C$15)),$C$4&amp;$A26,$C$5:$D$5,$B26:$C26,$C$6),"Paused")</f>
        <v>#NAME?</v>
      </c>
    </row>
    <row r="27" spans="1:4" x14ac:dyDescent="0.2">
      <c r="A27" s="300">
        <f t="shared" si="0"/>
        <v>16</v>
      </c>
      <c r="B27" s="301" t="str">
        <f ca="1">IF(ISNUMBER('GBPBASIS(EURON,USD)'!$U18),'GBPBASIS(EURON,USD)'!U18-EvaluationDate,IF(ISNA('GBPBASIS(EURON,USD)'!$U18),-999,"#Error, invalid Pillar Value"))</f>
        <v>#Error, invalid Pillar Value</v>
      </c>
      <c r="C27" s="302" t="str">
        <f ca="1">IF(ISNUMBER('GBPBASIS(EURON,USD)'!$U18),'GBPBASIS(EURON,USD)'!V18,IF(ISNA('GBPBASIS(EURON,USD)'!$U18),-999,"#Error, invalid Pillar Value"))</f>
        <v>#Error, invalid Pillar Value</v>
      </c>
      <c r="D27" s="303" t="e">
        <f ca="1">IF(contribTrig,RtContribute($C$3&amp;T(TYPE('GBPBASIS(EURON,USD)'!$C$15)),$C$4&amp;$A27,$C$5:$D$5,$B27:$C27,$C$6),"Paused")</f>
        <v>#NAME?</v>
      </c>
    </row>
    <row r="28" spans="1:4" x14ac:dyDescent="0.2">
      <c r="A28" s="300">
        <f t="shared" si="0"/>
        <v>17</v>
      </c>
      <c r="B28" s="301" t="str">
        <f ca="1">IF(ISNUMBER('GBPBASIS(EURON,USD)'!$U19),'GBPBASIS(EURON,USD)'!U19-EvaluationDate,IF(ISNA('GBPBASIS(EURON,USD)'!$U19),-999,"#Error, invalid Pillar Value"))</f>
        <v>#Error, invalid Pillar Value</v>
      </c>
      <c r="C28" s="302" t="str">
        <f ca="1">IF(ISNUMBER('GBPBASIS(EURON,USD)'!$U19),'GBPBASIS(EURON,USD)'!V19,IF(ISNA('GBPBASIS(EURON,USD)'!$U19),-999,"#Error, invalid Pillar Value"))</f>
        <v>#Error, invalid Pillar Value</v>
      </c>
      <c r="D28" s="303" t="e">
        <f ca="1">IF(contribTrig,RtContribute($C$3&amp;T(TYPE('GBPBASIS(EURON,USD)'!$C$15)),$C$4&amp;$A28,$C$5:$D$5,$B28:$C28,$C$6),"Paused")</f>
        <v>#NAME?</v>
      </c>
    </row>
    <row r="29" spans="1:4" x14ac:dyDescent="0.2">
      <c r="A29" s="300">
        <f t="shared" si="0"/>
        <v>18</v>
      </c>
      <c r="B29" s="301" t="str">
        <f ca="1">IF(ISNUMBER('GBPBASIS(EURON,USD)'!$U20),'GBPBASIS(EURON,USD)'!U20-EvaluationDate,IF(ISNA('GBPBASIS(EURON,USD)'!$U20),-999,"#Error, invalid Pillar Value"))</f>
        <v>#Error, invalid Pillar Value</v>
      </c>
      <c r="C29" s="302" t="str">
        <f ca="1">IF(ISNUMBER('GBPBASIS(EURON,USD)'!$U20),'GBPBASIS(EURON,USD)'!V20,IF(ISNA('GBPBASIS(EURON,USD)'!$U20),-999,"#Error, invalid Pillar Value"))</f>
        <v>#Error, invalid Pillar Value</v>
      </c>
      <c r="D29" s="303" t="e">
        <f ca="1">IF(contribTrig,RtContribute($C$3&amp;T(TYPE('GBPBASIS(EURON,USD)'!$C$15)),$C$4&amp;$A29,$C$5:$D$5,$B29:$C29,$C$6),"Paused")</f>
        <v>#NAME?</v>
      </c>
    </row>
    <row r="30" spans="1:4" x14ac:dyDescent="0.2">
      <c r="A30" s="300">
        <f t="shared" si="0"/>
        <v>19</v>
      </c>
      <c r="B30" s="301" t="str">
        <f ca="1">IF(ISNUMBER('GBPBASIS(EURON,USD)'!$U21),'GBPBASIS(EURON,USD)'!U21-EvaluationDate,IF(ISNA('GBPBASIS(EURON,USD)'!$U21),-999,"#Error, invalid Pillar Value"))</f>
        <v>#Error, invalid Pillar Value</v>
      </c>
      <c r="C30" s="302" t="str">
        <f ca="1">IF(ISNUMBER('GBPBASIS(EURON,USD)'!$U21),'GBPBASIS(EURON,USD)'!V21,IF(ISNA('GBPBASIS(EURON,USD)'!$U21),-999,"#Error, invalid Pillar Value"))</f>
        <v>#Error, invalid Pillar Value</v>
      </c>
      <c r="D30" s="303" t="e">
        <f ca="1">IF(contribTrig,RtContribute($C$3&amp;T(TYPE('GBPBASIS(EURON,USD)'!$C$15)),$C$4&amp;$A30,$C$5:$D$5,$B30:$C30,$C$6),"Paused")</f>
        <v>#NAME?</v>
      </c>
    </row>
    <row r="31" spans="1:4" x14ac:dyDescent="0.2">
      <c r="A31" s="300">
        <f t="shared" si="0"/>
        <v>20</v>
      </c>
      <c r="B31" s="301" t="str">
        <f ca="1">IF(ISNUMBER('GBPBASIS(EURON,USD)'!$U22),'GBPBASIS(EURON,USD)'!U22-EvaluationDate,IF(ISNA('GBPBASIS(EURON,USD)'!$U22),-999,"#Error, invalid Pillar Value"))</f>
        <v>#Error, invalid Pillar Value</v>
      </c>
      <c r="C31" s="302" t="str">
        <f ca="1">IF(ISNUMBER('GBPBASIS(EURON,USD)'!$U22),'GBPBASIS(EURON,USD)'!V22,IF(ISNA('GBPBASIS(EURON,USD)'!$U22),-999,"#Error, invalid Pillar Value"))</f>
        <v>#Error, invalid Pillar Value</v>
      </c>
      <c r="D31" s="303" t="e">
        <f ca="1">IF(contribTrig,RtContribute($C$3&amp;T(TYPE('GBPBASIS(EURON,USD)'!$C$15)),$C$4&amp;$A31,$C$5:$D$5,$B31:$C31,$C$6),"Paused")</f>
        <v>#NAME?</v>
      </c>
    </row>
    <row r="32" spans="1:4" x14ac:dyDescent="0.2">
      <c r="A32" s="300">
        <f t="shared" si="0"/>
        <v>21</v>
      </c>
      <c r="B32" s="301" t="str">
        <f ca="1">IF(ISNUMBER('GBPBASIS(EURON,USD)'!$U23),'GBPBASIS(EURON,USD)'!U23-EvaluationDate,IF(ISNA('GBPBASIS(EURON,USD)'!$U23),-999,"#Error, invalid Pillar Value"))</f>
        <v>#Error, invalid Pillar Value</v>
      </c>
      <c r="C32" s="302" t="str">
        <f ca="1">IF(ISNUMBER('GBPBASIS(EURON,USD)'!$U23),'GBPBASIS(EURON,USD)'!V23,IF(ISNA('GBPBASIS(EURON,USD)'!$U23),-999,"#Error, invalid Pillar Value"))</f>
        <v>#Error, invalid Pillar Value</v>
      </c>
      <c r="D32" s="303" t="e">
        <f ca="1">IF(contribTrig,RtContribute($C$3&amp;T(TYPE('GBPBASIS(EURON,USD)'!$C$15)),$C$4&amp;$A32,$C$5:$D$5,$B32:$C32,$C$6),"Paused")</f>
        <v>#NAME?</v>
      </c>
    </row>
    <row r="33" spans="1:4" x14ac:dyDescent="0.2">
      <c r="A33" s="300">
        <f t="shared" si="0"/>
        <v>22</v>
      </c>
      <c r="B33" s="301" t="str">
        <f ca="1">IF(ISNUMBER('GBPBASIS(EURON,USD)'!$U24),'GBPBASIS(EURON,USD)'!U24-EvaluationDate,IF(ISNA('GBPBASIS(EURON,USD)'!$U24),-999,"#Error, invalid Pillar Value"))</f>
        <v>#Error, invalid Pillar Value</v>
      </c>
      <c r="C33" s="302" t="str">
        <f ca="1">IF(ISNUMBER('GBPBASIS(EURON,USD)'!$U24),'GBPBASIS(EURON,USD)'!V24,IF(ISNA('GBPBASIS(EURON,USD)'!$U24),-999,"#Error, invalid Pillar Value"))</f>
        <v>#Error, invalid Pillar Value</v>
      </c>
      <c r="D33" s="303" t="e">
        <f ca="1">IF(contribTrig,RtContribute($C$3&amp;T(TYPE('GBPBASIS(EURON,USD)'!$C$15)),$C$4&amp;$A33,$C$5:$D$5,$B33:$C33,$C$6),"Paused")</f>
        <v>#NAME?</v>
      </c>
    </row>
    <row r="34" spans="1:4" x14ac:dyDescent="0.2">
      <c r="A34" s="300">
        <f t="shared" si="0"/>
        <v>23</v>
      </c>
      <c r="B34" s="301" t="str">
        <f ca="1">IF(ISNUMBER('GBPBASIS(EURON,USD)'!$U25),'GBPBASIS(EURON,USD)'!U25-EvaluationDate,IF(ISNA('GBPBASIS(EURON,USD)'!$U25),-999,"#Error, invalid Pillar Value"))</f>
        <v>#Error, invalid Pillar Value</v>
      </c>
      <c r="C34" s="302" t="str">
        <f ca="1">IF(ISNUMBER('GBPBASIS(EURON,USD)'!$U25),'GBPBASIS(EURON,USD)'!V25,IF(ISNA('GBPBASIS(EURON,USD)'!$U25),-999,"#Error, invalid Pillar Value"))</f>
        <v>#Error, invalid Pillar Value</v>
      </c>
      <c r="D34" s="303" t="e">
        <f ca="1">IF(contribTrig,RtContribute($C$3&amp;T(TYPE('GBPBASIS(EURON,USD)'!$C$15)),$C$4&amp;$A34,$C$5:$D$5,$B34:$C34,$C$6),"Paused")</f>
        <v>#NAME?</v>
      </c>
    </row>
    <row r="35" spans="1:4" x14ac:dyDescent="0.2">
      <c r="A35" s="300">
        <f t="shared" si="0"/>
        <v>24</v>
      </c>
      <c r="B35" s="301" t="str">
        <f ca="1">IF(ISNUMBER('GBPBASIS(EURON,USD)'!$U26),'GBPBASIS(EURON,USD)'!U26-EvaluationDate,IF(ISNA('GBPBASIS(EURON,USD)'!$U26),-999,"#Error, invalid Pillar Value"))</f>
        <v>#Error, invalid Pillar Value</v>
      </c>
      <c r="C35" s="302" t="str">
        <f ca="1">IF(ISNUMBER('GBPBASIS(EURON,USD)'!$U26),'GBPBASIS(EURON,USD)'!V26,IF(ISNA('GBPBASIS(EURON,USD)'!$U26),-999,"#Error, invalid Pillar Value"))</f>
        <v>#Error, invalid Pillar Value</v>
      </c>
      <c r="D35" s="303" t="e">
        <f ca="1">IF(contribTrig,RtContribute($C$3&amp;T(TYPE('GBPBASIS(EURON,USD)'!$C$15)),$C$4&amp;$A35,$C$5:$D$5,$B35:$C35,$C$6),"Paused")</f>
        <v>#NAME?</v>
      </c>
    </row>
    <row r="36" spans="1:4" x14ac:dyDescent="0.2">
      <c r="A36" s="300">
        <f t="shared" si="0"/>
        <v>25</v>
      </c>
      <c r="B36" s="301" t="str">
        <f ca="1">IF(ISNUMBER('GBPBASIS(EURON,USD)'!$U27),'GBPBASIS(EURON,USD)'!U27-EvaluationDate,IF(ISNA('GBPBASIS(EURON,USD)'!$U27),-999,"#Error, invalid Pillar Value"))</f>
        <v>#Error, invalid Pillar Value</v>
      </c>
      <c r="C36" s="302" t="str">
        <f ca="1">IF(ISNUMBER('GBPBASIS(EURON,USD)'!$U27),'GBPBASIS(EURON,USD)'!V27,IF(ISNA('GBPBASIS(EURON,USD)'!$U27),-999,"#Error, invalid Pillar Value"))</f>
        <v>#Error, invalid Pillar Value</v>
      </c>
      <c r="D36" s="303" t="e">
        <f ca="1">IF(contribTrig,RtContribute($C$3&amp;T(TYPE('GBPBASIS(EURON,USD)'!$C$15)),$C$4&amp;$A36,$C$5:$D$5,$B36:$C36,$C$6),"Paused")</f>
        <v>#NAME?</v>
      </c>
    </row>
    <row r="37" spans="1:4" x14ac:dyDescent="0.2">
      <c r="A37" s="300">
        <f t="shared" si="0"/>
        <v>26</v>
      </c>
      <c r="B37" s="301" t="str">
        <f ca="1">IF(ISNUMBER('GBPBASIS(EURON,USD)'!$U28),'GBPBASIS(EURON,USD)'!U28-EvaluationDate,IF(ISNA('GBPBASIS(EURON,USD)'!$U28),-999,"#Error, invalid Pillar Value"))</f>
        <v>#Error, invalid Pillar Value</v>
      </c>
      <c r="C37" s="302" t="str">
        <f ca="1">IF(ISNUMBER('GBPBASIS(EURON,USD)'!$U28),'GBPBASIS(EURON,USD)'!V28,IF(ISNA('GBPBASIS(EURON,USD)'!$U28),-999,"#Error, invalid Pillar Value"))</f>
        <v>#Error, invalid Pillar Value</v>
      </c>
      <c r="D37" s="303" t="e">
        <f ca="1">IF(contribTrig,RtContribute($C$3&amp;T(TYPE('GBPBASIS(EURON,USD)'!$C$15)),$C$4&amp;$A37,$C$5:$D$5,$B37:$C37,$C$6),"Paused")</f>
        <v>#NAME?</v>
      </c>
    </row>
    <row r="38" spans="1:4" x14ac:dyDescent="0.2">
      <c r="A38" s="300">
        <f t="shared" si="0"/>
        <v>27</v>
      </c>
      <c r="B38" s="301" t="str">
        <f ca="1">IF(ISNUMBER('GBPBASIS(EURON,USD)'!$U29),'GBPBASIS(EURON,USD)'!U29-EvaluationDate,IF(ISNA('GBPBASIS(EURON,USD)'!$U29),-999,"#Error, invalid Pillar Value"))</f>
        <v>#Error, invalid Pillar Value</v>
      </c>
      <c r="C38" s="302" t="str">
        <f ca="1">IF(ISNUMBER('GBPBASIS(EURON,USD)'!$U29),'GBPBASIS(EURON,USD)'!V29,IF(ISNA('GBPBASIS(EURON,USD)'!$U29),-999,"#Error, invalid Pillar Value"))</f>
        <v>#Error, invalid Pillar Value</v>
      </c>
      <c r="D38" s="303" t="e">
        <f ca="1">IF(contribTrig,RtContribute($C$3&amp;T(TYPE('GBPBASIS(EURON,USD)'!$C$15)),$C$4&amp;$A38,$C$5:$D$5,$B38:$C38,$C$6),"Paused")</f>
        <v>#NAME?</v>
      </c>
    </row>
    <row r="39" spans="1:4" x14ac:dyDescent="0.2">
      <c r="A39" s="300">
        <f t="shared" si="0"/>
        <v>28</v>
      </c>
      <c r="B39" s="301" t="str">
        <f ca="1">IF(ISNUMBER('GBPBASIS(EURON,USD)'!$U30),'GBPBASIS(EURON,USD)'!U30-EvaluationDate,IF(ISNA('GBPBASIS(EURON,USD)'!$U30),-999,"#Error, invalid Pillar Value"))</f>
        <v>#Error, invalid Pillar Value</v>
      </c>
      <c r="C39" s="302" t="str">
        <f ca="1">IF(ISNUMBER('GBPBASIS(EURON,USD)'!$U30),'GBPBASIS(EURON,USD)'!V30,IF(ISNA('GBPBASIS(EURON,USD)'!$U30),-999,"#Error, invalid Pillar Value"))</f>
        <v>#Error, invalid Pillar Value</v>
      </c>
      <c r="D39" s="303" t="e">
        <f ca="1">IF(contribTrig,RtContribute($C$3&amp;T(TYPE('GBPBASIS(EURON,USD)'!$C$15)),$C$4&amp;$A39,$C$5:$D$5,$B39:$C39,$C$6),"Paused")</f>
        <v>#NAME?</v>
      </c>
    </row>
    <row r="40" spans="1:4" x14ac:dyDescent="0.2">
      <c r="A40" s="300">
        <f t="shared" si="0"/>
        <v>29</v>
      </c>
      <c r="B40" s="301" t="str">
        <f ca="1">IF(ISNUMBER('GBPBASIS(EURON,USD)'!$U31),'GBPBASIS(EURON,USD)'!U31-EvaluationDate,IF(ISNA('GBPBASIS(EURON,USD)'!$U31),-999,"#Error, invalid Pillar Value"))</f>
        <v>#Error, invalid Pillar Value</v>
      </c>
      <c r="C40" s="302" t="str">
        <f ca="1">IF(ISNUMBER('GBPBASIS(EURON,USD)'!$U31),'GBPBASIS(EURON,USD)'!V31,IF(ISNA('GBPBASIS(EURON,USD)'!$U31),-999,"#Error, invalid Pillar Value"))</f>
        <v>#Error, invalid Pillar Value</v>
      </c>
      <c r="D40" s="303" t="e">
        <f ca="1">IF(contribTrig,RtContribute($C$3&amp;T(TYPE('GBPBASIS(EURON,USD)'!$C$15)),$C$4&amp;$A40,$C$5:$D$5,$B40:$C40,$C$6),"Paused")</f>
        <v>#NAME?</v>
      </c>
    </row>
    <row r="41" spans="1:4" x14ac:dyDescent="0.2">
      <c r="A41" s="300">
        <f t="shared" si="0"/>
        <v>30</v>
      </c>
      <c r="B41" s="301" t="str">
        <f ca="1">IF(ISNUMBER('GBPBASIS(EURON,USD)'!$U32),'GBPBASIS(EURON,USD)'!U32-EvaluationDate,IF(ISNA('GBPBASIS(EURON,USD)'!$U32),-999,"#Error, invalid Pillar Value"))</f>
        <v>#Error, invalid Pillar Value</v>
      </c>
      <c r="C41" s="302" t="str">
        <f ca="1">IF(ISNUMBER('GBPBASIS(EURON,USD)'!$U32),'GBPBASIS(EURON,USD)'!V32,IF(ISNA('GBPBASIS(EURON,USD)'!$U32),-999,"#Error, invalid Pillar Value"))</f>
        <v>#Error, invalid Pillar Value</v>
      </c>
      <c r="D41" s="303" t="e">
        <f ca="1">IF(contribTrig,RtContribute($C$3&amp;T(TYPE('GBPBASIS(EURON,USD)'!$C$15)),$C$4&amp;$A41,$C$5:$D$5,$B41:$C41,$C$6),"Paused")</f>
        <v>#NAME?</v>
      </c>
    </row>
    <row r="42" spans="1:4" x14ac:dyDescent="0.2">
      <c r="A42" s="300">
        <f t="shared" si="0"/>
        <v>31</v>
      </c>
      <c r="B42" s="301" t="str">
        <f ca="1">IF(ISNUMBER('GBPBASIS(EURON,USD)'!$U33),'GBPBASIS(EURON,USD)'!U33-EvaluationDate,IF(ISNA('GBPBASIS(EURON,USD)'!$U33),-999,"#Error, invalid Pillar Value"))</f>
        <v>#Error, invalid Pillar Value</v>
      </c>
      <c r="C42" s="302" t="str">
        <f ca="1">IF(ISNUMBER('GBPBASIS(EURON,USD)'!$U33),'GBPBASIS(EURON,USD)'!V33,IF(ISNA('GBPBASIS(EURON,USD)'!$U33),-999,"#Error, invalid Pillar Value"))</f>
        <v>#Error, invalid Pillar Value</v>
      </c>
      <c r="D42" s="303" t="e">
        <f ca="1">IF(contribTrig,RtContribute($C$3&amp;T(TYPE('GBPBASIS(EURON,USD)'!$C$15)),$C$4&amp;$A42,$C$5:$D$5,$B42:$C42,$C$6),"Paused")</f>
        <v>#NAME?</v>
      </c>
    </row>
    <row r="43" spans="1:4" x14ac:dyDescent="0.2">
      <c r="A43" s="300">
        <f t="shared" si="0"/>
        <v>32</v>
      </c>
      <c r="B43" s="301" t="str">
        <f ca="1">IF(ISNUMBER('GBPBASIS(EURON,USD)'!$U34),'GBPBASIS(EURON,USD)'!U34-EvaluationDate,IF(ISNA('GBPBASIS(EURON,USD)'!$U34),-999,"#Error, invalid Pillar Value"))</f>
        <v>#Error, invalid Pillar Value</v>
      </c>
      <c r="C43" s="302" t="str">
        <f ca="1">IF(ISNUMBER('GBPBASIS(EURON,USD)'!$U34),'GBPBASIS(EURON,USD)'!V34,IF(ISNA('GBPBASIS(EURON,USD)'!$U34),-999,"#Error, invalid Pillar Value"))</f>
        <v>#Error, invalid Pillar Value</v>
      </c>
      <c r="D43" s="303" t="e">
        <f ca="1">IF(contribTrig,RtContribute($C$3&amp;T(TYPE('GBPBASIS(EURON,USD)'!$C$15)),$C$4&amp;$A43,$C$5:$D$5,$B43:$C43,$C$6),"Paused")</f>
        <v>#NAME?</v>
      </c>
    </row>
    <row r="44" spans="1:4" x14ac:dyDescent="0.2">
      <c r="A44" s="300">
        <f t="shared" si="0"/>
        <v>33</v>
      </c>
      <c r="B44" s="301" t="str">
        <f ca="1">IF(ISNUMBER('GBPBASIS(EURON,USD)'!$U35),'GBPBASIS(EURON,USD)'!U35-EvaluationDate,IF(ISNA('GBPBASIS(EURON,USD)'!$U35),-999,"#Error, invalid Pillar Value"))</f>
        <v>#Error, invalid Pillar Value</v>
      </c>
      <c r="C44" s="302" t="str">
        <f ca="1">IF(ISNUMBER('GBPBASIS(EURON,USD)'!$U35),'GBPBASIS(EURON,USD)'!V35,IF(ISNA('GBPBASIS(EURON,USD)'!$U35),-999,"#Error, invalid Pillar Value"))</f>
        <v>#Error, invalid Pillar Value</v>
      </c>
      <c r="D44" s="303" t="e">
        <f ca="1">IF(contribTrig,RtContribute($C$3&amp;T(TYPE('GBPBASIS(EURON,USD)'!$C$15)),$C$4&amp;$A44,$C$5:$D$5,$B44:$C44,$C$6),"Paused")</f>
        <v>#NAME?</v>
      </c>
    </row>
    <row r="45" spans="1:4" x14ac:dyDescent="0.2">
      <c r="A45" s="300">
        <f t="shared" si="0"/>
        <v>34</v>
      </c>
      <c r="B45" s="301" t="str">
        <f ca="1">IF(ISNUMBER('GBPBASIS(EURON,USD)'!$U36),'GBPBASIS(EURON,USD)'!U36-EvaluationDate,IF(ISNA('GBPBASIS(EURON,USD)'!$U36),-999,"#Error, invalid Pillar Value"))</f>
        <v>#Error, invalid Pillar Value</v>
      </c>
      <c r="C45" s="302" t="str">
        <f ca="1">IF(ISNUMBER('GBPBASIS(EURON,USD)'!$U36),'GBPBASIS(EURON,USD)'!V36,IF(ISNA('GBPBASIS(EURON,USD)'!$U36),-999,"#Error, invalid Pillar Value"))</f>
        <v>#Error, invalid Pillar Value</v>
      </c>
      <c r="D45" s="303" t="e">
        <f ca="1">IF(contribTrig,RtContribute($C$3&amp;T(TYPE('GBPBASIS(EURON,USD)'!$C$15)),$C$4&amp;$A45,$C$5:$D$5,$B45:$C45,$C$6),"Paused")</f>
        <v>#NAME?</v>
      </c>
    </row>
    <row r="46" spans="1:4" x14ac:dyDescent="0.2">
      <c r="A46" s="300">
        <f>+A45+1</f>
        <v>35</v>
      </c>
      <c r="B46" s="301" t="str">
        <f ca="1">IF(ISNUMBER('GBPBASIS(EURON,USD)'!$U37),'GBPBASIS(EURON,USD)'!U37-EvaluationDate,IF(ISNA('GBPBASIS(EURON,USD)'!$U37),-999,"#Error, invalid Pillar Value"))</f>
        <v>#Error, invalid Pillar Value</v>
      </c>
      <c r="C46" s="302" t="str">
        <f ca="1">IF(ISNUMBER('GBPBASIS(EURON,USD)'!$U37),'GBPBASIS(EURON,USD)'!V37,IF(ISNA('GBPBASIS(EURON,USD)'!$U37),-999,"#Error, invalid Pillar Value"))</f>
        <v>#Error, invalid Pillar Value</v>
      </c>
      <c r="D46" s="303" t="e">
        <f ca="1">IF(contribTrig,RtContribute($C$3&amp;T(TYPE('GBPBASIS(EURON,USD)'!$C$15)),$C$4&amp;$A46,$C$5:$D$5,$B46:$C46,$C$6),"Paused")</f>
        <v>#NAME?</v>
      </c>
    </row>
    <row r="47" spans="1:4" x14ac:dyDescent="0.2">
      <c r="A47" s="300">
        <f>+A46+1</f>
        <v>36</v>
      </c>
      <c r="B47" s="301" t="str">
        <f ca="1">IF(ISNUMBER('GBPBASIS(EURON,USD)'!$U38),'GBPBASIS(EURON,USD)'!U38-EvaluationDate,IF(ISNA('GBPBASIS(EURON,USD)'!$U38),-999,"#Error, invalid Pillar Value"))</f>
        <v>#Error, invalid Pillar Value</v>
      </c>
      <c r="C47" s="302" t="str">
        <f ca="1">IF(ISNUMBER('GBPBASIS(EURON,USD)'!$U38),'GBPBASIS(EURON,USD)'!V38,IF(ISNA('GBPBASIS(EURON,USD)'!$U38),-999,"#Error, invalid Pillar Value"))</f>
        <v>#Error, invalid Pillar Value</v>
      </c>
      <c r="D47" s="303" t="e">
        <f ca="1">IF(contribTrig,RtContribute($C$3&amp;T(TYPE('GBPBASIS(EURON,USD)'!$C$15)),$C$4&amp;$A47,$C$5:$D$5,$B47:$C47,$C$6),"Paused")</f>
        <v>#NAME?</v>
      </c>
    </row>
    <row r="48" spans="1:4" x14ac:dyDescent="0.2">
      <c r="A48" s="300">
        <f t="shared" ref="A48:A51" si="1">+A47+1</f>
        <v>37</v>
      </c>
      <c r="B48" s="301" t="str">
        <f ca="1">IF(ISNUMBER('GBPBASIS(EURON,USD)'!$U39),'GBPBASIS(EURON,USD)'!U39-EvaluationDate,IF(ISNA('GBPBASIS(EURON,USD)'!$U39),-999,"#Error, invalid Pillar Value"))</f>
        <v>#Error, invalid Pillar Value</v>
      </c>
      <c r="C48" s="302" t="str">
        <f ca="1">IF(ISNUMBER('GBPBASIS(EURON,USD)'!$U39),'GBPBASIS(EURON,USD)'!V39,IF(ISNA('GBPBASIS(EURON,USD)'!$U39),-999,"#Error, invalid Pillar Value"))</f>
        <v>#Error, invalid Pillar Value</v>
      </c>
      <c r="D48" s="303" t="e">
        <f ca="1">IF(contribTrig,RtContribute($C$3&amp;T(TYPE('GBPBASIS(EURON,USD)'!$C$15)),$C$4&amp;$A48,$C$5:$D$5,$B48:$C48,$C$6),"Paused")</f>
        <v>#NAME?</v>
      </c>
    </row>
    <row r="49" spans="1:4" x14ac:dyDescent="0.2">
      <c r="A49" s="300">
        <f t="shared" si="1"/>
        <v>38</v>
      </c>
      <c r="B49" s="301" t="str">
        <f ca="1">IF(ISNUMBER('GBPBASIS(EURON,USD)'!$U40),'GBPBASIS(EURON,USD)'!U40-EvaluationDate,IF(ISNA('GBPBASIS(EURON,USD)'!$U40),-999,"#Error, invalid Pillar Value"))</f>
        <v>#Error, invalid Pillar Value</v>
      </c>
      <c r="C49" s="302" t="str">
        <f ca="1">IF(ISNUMBER('GBPBASIS(EURON,USD)'!$U40),'GBPBASIS(EURON,USD)'!V40,IF(ISNA('GBPBASIS(EURON,USD)'!$U40),-999,"#Error, invalid Pillar Value"))</f>
        <v>#Error, invalid Pillar Value</v>
      </c>
      <c r="D49" s="303" t="e">
        <f ca="1">IF(contribTrig,RtContribute($C$3&amp;T(TYPE('GBPBASIS(EURON,USD)'!$C$15)),$C$4&amp;$A49,$C$5:$D$5,$B49:$C49,$C$6),"Paused")</f>
        <v>#NAME?</v>
      </c>
    </row>
    <row r="50" spans="1:4" x14ac:dyDescent="0.2">
      <c r="A50" s="300">
        <f t="shared" si="1"/>
        <v>39</v>
      </c>
      <c r="B50" s="301" t="str">
        <f ca="1">IF(ISNUMBER('GBPBASIS(EURON,USD)'!$U41),'GBPBASIS(EURON,USD)'!U41-EvaluationDate,IF(ISNA('GBPBASIS(EURON,USD)'!$U41),-999,"#Error, invalid Pillar Value"))</f>
        <v>#Error, invalid Pillar Value</v>
      </c>
      <c r="C50" s="302" t="str">
        <f ca="1">IF(ISNUMBER('GBPBASIS(EURON,USD)'!$U41),'GBPBASIS(EURON,USD)'!V41,IF(ISNA('GBPBASIS(EURON,USD)'!$U41),-999,"#Error, invalid Pillar Value"))</f>
        <v>#Error, invalid Pillar Value</v>
      </c>
      <c r="D50" s="303" t="e">
        <f ca="1">IF(contribTrig,RtContribute($C$3&amp;T(TYPE('GBPBASIS(EURON,USD)'!$C$15)),$C$4&amp;$A50,$C$5:$D$5,$B50:$C50,$C$6),"Paused")</f>
        <v>#NAME?</v>
      </c>
    </row>
    <row r="51" spans="1:4" ht="11.55" thickBot="1" x14ac:dyDescent="0.25">
      <c r="A51" s="305">
        <f t="shared" si="1"/>
        <v>40</v>
      </c>
      <c r="B51" s="306" t="str">
        <f ca="1">IF(ISNUMBER('GBPBASIS(EURON,USD)'!$U42),'GBPBASIS(EURON,USD)'!U42-EvaluationDate,IF(ISNA('GBPBASIS(EURON,USD)'!$U42),-999,"#Error, invalid Pillar Value"))</f>
        <v>#Error, invalid Pillar Value</v>
      </c>
      <c r="C51" s="307" t="str">
        <f ca="1">IF(ISNUMBER('GBPBASIS(EURON,USD)'!$U42),'GBPBASIS(EURON,USD)'!V42,IF(ISNA('GBPBASIS(EURON,USD)'!$U42),-999,"#Error, invalid Pillar Value"))</f>
        <v>#Error, invalid Pillar Value</v>
      </c>
      <c r="D51" s="308" t="e">
        <f ca="1">IF(contribTrig,RtContribute($C$3&amp;T(TYPE('GBPBASIS(EURON,USD)'!$C$15)),$C$4&amp;$A51,$C$5:$D$5,$B51:$C51,$C$6),"Paused")</f>
        <v>#NAME?</v>
      </c>
    </row>
  </sheetData>
  <mergeCells count="8">
    <mergeCell ref="B10:C10"/>
    <mergeCell ref="D10:D11"/>
    <mergeCell ref="B2:D2"/>
    <mergeCell ref="C3:D3"/>
    <mergeCell ref="C4:D4"/>
    <mergeCell ref="C6:D6"/>
    <mergeCell ref="C7:D7"/>
    <mergeCell ref="C8:D8"/>
  </mergeCells>
  <dataValidations count="1">
    <dataValidation type="list" allowBlank="1" showInputMessage="1" showErrorMessage="1" sqref="G6">
      <formula1>"TRUE, FALSE"</formula1>
    </dataValidation>
  </dataValidations>
  <pageMargins left="0.7" right="0.7" top="0.75" bottom="0.75" header="0.3" footer="0.3"/>
  <pageSetup paperSize="9" orientation="portrait" horizontalDpi="4294967294" verticalDpi="429496729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showGridLines="0" workbookViewId="0">
      <selection activeCell="J99" sqref="J99"/>
    </sheetView>
  </sheetViews>
  <sheetFormatPr defaultRowHeight="10.9" x14ac:dyDescent="0.2"/>
  <cols>
    <col min="2" max="2" width="16.28515625" bestFit="1" customWidth="1"/>
    <col min="3" max="3" width="28" bestFit="1" customWidth="1"/>
    <col min="5" max="5" width="17.140625" bestFit="1" customWidth="1"/>
    <col min="6" max="6" width="22.42578125" bestFit="1" customWidth="1"/>
  </cols>
  <sheetData>
    <row r="2" spans="2:6" x14ac:dyDescent="0.2">
      <c r="B2" s="275" t="s">
        <v>159</v>
      </c>
      <c r="C2" s="275"/>
      <c r="E2" s="275" t="s">
        <v>174</v>
      </c>
      <c r="F2" s="275"/>
    </row>
    <row r="3" spans="2:6" x14ac:dyDescent="0.2">
      <c r="B3" s="274" t="s">
        <v>205</v>
      </c>
      <c r="C3" s="273">
        <f ca="1">COUNT(B13:B89)</f>
        <v>0</v>
      </c>
      <c r="E3" s="274" t="s">
        <v>205</v>
      </c>
      <c r="F3" s="273">
        <f>COUNT(E13:E89)</f>
        <v>0</v>
      </c>
    </row>
    <row r="4" spans="2:6" x14ac:dyDescent="0.2">
      <c r="B4" s="272" t="s">
        <v>91</v>
      </c>
      <c r="C4" s="27" t="str">
        <f>'USDBASIS(EURON)'!C4</f>
        <v>USDBASIS.EURON</v>
      </c>
      <c r="E4" s="272" t="s">
        <v>91</v>
      </c>
      <c r="F4" s="27" t="e">
        <f>#REF!</f>
        <v>#REF!</v>
      </c>
    </row>
    <row r="5" spans="2:6" x14ac:dyDescent="0.2">
      <c r="B5" s="272" t="s">
        <v>196</v>
      </c>
      <c r="C5" s="27" t="s">
        <v>204</v>
      </c>
      <c r="E5" s="272" t="s">
        <v>196</v>
      </c>
      <c r="F5" s="27" t="s">
        <v>204</v>
      </c>
    </row>
    <row r="6" spans="2:6" x14ac:dyDescent="0.2">
      <c r="B6" s="272" t="s">
        <v>203</v>
      </c>
      <c r="C6" s="27" t="s">
        <v>202</v>
      </c>
      <c r="E6" s="272" t="s">
        <v>203</v>
      </c>
      <c r="F6" s="27" t="s">
        <v>202</v>
      </c>
    </row>
    <row r="7" spans="2:6" x14ac:dyDescent="0.2">
      <c r="B7" s="272" t="s">
        <v>201</v>
      </c>
      <c r="C7" s="27" t="s">
        <v>145</v>
      </c>
      <c r="E7" s="272" t="s">
        <v>201</v>
      </c>
      <c r="F7" s="27" t="s">
        <v>145</v>
      </c>
    </row>
    <row r="8" spans="2:6" x14ac:dyDescent="0.2">
      <c r="B8" s="272" t="s">
        <v>200</v>
      </c>
      <c r="C8" s="27" t="s">
        <v>199</v>
      </c>
      <c r="E8" s="272" t="s">
        <v>200</v>
      </c>
      <c r="F8" s="27" t="s">
        <v>199</v>
      </c>
    </row>
    <row r="9" spans="2:6" x14ac:dyDescent="0.2">
      <c r="B9" s="271" t="s">
        <v>198</v>
      </c>
      <c r="C9" s="270" t="e">
        <f ca="1">_xll.qlInterpolatedYieldCurve(C4,B13:INDEX(B13:B89,C3),C13:INDEX(C13:C89,C3),C5,C6,,,C7,C8,TRUE,EvaluationDate)</f>
        <v>#NAME?</v>
      </c>
      <c r="E9" s="271" t="s">
        <v>198</v>
      </c>
      <c r="F9" s="270" t="e">
        <f ca="1">_xll.qlInterpolatedYieldCurve(F4,E13:INDEX(E13:E89,F3),F13:INDEX(F13:F89,F3),F5,F6,,,F7,F8,TRUE,EvaluationDate)</f>
        <v>#NAME?</v>
      </c>
    </row>
    <row r="12" spans="2:6" x14ac:dyDescent="0.2">
      <c r="B12" s="268" t="s">
        <v>197</v>
      </c>
      <c r="C12" s="268" t="s">
        <v>145</v>
      </c>
      <c r="E12" s="268" t="s">
        <v>197</v>
      </c>
      <c r="F12" s="268" t="s">
        <v>145</v>
      </c>
    </row>
    <row r="13" spans="2:6" x14ac:dyDescent="0.2">
      <c r="B13" s="193" t="e">
        <f ca="1">'USDBASIS(EURON)'!U3</f>
        <v>#NAME?</v>
      </c>
      <c r="C13" s="269" t="e">
        <f ca="1">'USDBASIS(EURON)'!V3</f>
        <v>#NAME?</v>
      </c>
      <c r="E13" s="193" t="e">
        <f>#REF!</f>
        <v>#REF!</v>
      </c>
      <c r="F13" s="269" t="e">
        <f>#REF!</f>
        <v>#REF!</v>
      </c>
    </row>
    <row r="14" spans="2:6" x14ac:dyDescent="0.2">
      <c r="B14" s="72" t="e">
        <f ca="1">'USDBASIS(EURON)'!U4</f>
        <v>#NAME?</v>
      </c>
      <c r="C14" s="71" t="e">
        <f ca="1">'USDBASIS(EURON)'!V4</f>
        <v>#NAME?</v>
      </c>
      <c r="E14" s="72" t="e">
        <f>#REF!</f>
        <v>#REF!</v>
      </c>
      <c r="F14" s="71" t="e">
        <f>#REF!</f>
        <v>#REF!</v>
      </c>
    </row>
    <row r="15" spans="2:6" x14ac:dyDescent="0.2">
      <c r="B15" s="72" t="e">
        <f ca="1">'USDBASIS(EURON)'!U5</f>
        <v>#NAME?</v>
      </c>
      <c r="C15" s="71" t="e">
        <f ca="1">'USDBASIS(EURON)'!V5</f>
        <v>#NAME?</v>
      </c>
      <c r="E15" s="72" t="e">
        <f>#REF!</f>
        <v>#REF!</v>
      </c>
      <c r="F15" s="71" t="e">
        <f>#REF!</f>
        <v>#REF!</v>
      </c>
    </row>
    <row r="16" spans="2:6" x14ac:dyDescent="0.2">
      <c r="B16" s="72" t="e">
        <f ca="1">'USDBASIS(EURON)'!U6</f>
        <v>#NAME?</v>
      </c>
      <c r="C16" s="71" t="e">
        <f ca="1">'USDBASIS(EURON)'!V6</f>
        <v>#NAME?</v>
      </c>
      <c r="E16" s="72" t="e">
        <f>#REF!</f>
        <v>#REF!</v>
      </c>
      <c r="F16" s="71" t="e">
        <f>#REF!</f>
        <v>#REF!</v>
      </c>
    </row>
    <row r="17" spans="2:6" x14ac:dyDescent="0.2">
      <c r="B17" s="72" t="e">
        <f ca="1">'USDBASIS(EURON)'!U7</f>
        <v>#NAME?</v>
      </c>
      <c r="C17" s="71" t="e">
        <f ca="1">'USDBASIS(EURON)'!V7</f>
        <v>#NAME?</v>
      </c>
      <c r="E17" s="72" t="e">
        <f>#REF!</f>
        <v>#REF!</v>
      </c>
      <c r="F17" s="71" t="e">
        <f>#REF!</f>
        <v>#REF!</v>
      </c>
    </row>
    <row r="18" spans="2:6" x14ac:dyDescent="0.2">
      <c r="B18" s="72" t="e">
        <f ca="1">'USDBASIS(EURON)'!U8</f>
        <v>#NAME?</v>
      </c>
      <c r="C18" s="71" t="e">
        <f ca="1">'USDBASIS(EURON)'!V8</f>
        <v>#NAME?</v>
      </c>
      <c r="E18" s="72" t="e">
        <f>#REF!</f>
        <v>#REF!</v>
      </c>
      <c r="F18" s="71" t="e">
        <f>#REF!</f>
        <v>#REF!</v>
      </c>
    </row>
    <row r="19" spans="2:6" x14ac:dyDescent="0.2">
      <c r="B19" s="72" t="e">
        <f ca="1">'USDBASIS(EURON)'!U9</f>
        <v>#NAME?</v>
      </c>
      <c r="C19" s="71" t="e">
        <f ca="1">'USDBASIS(EURON)'!V9</f>
        <v>#NAME?</v>
      </c>
      <c r="E19" s="72" t="e">
        <f>#REF!</f>
        <v>#REF!</v>
      </c>
      <c r="F19" s="71" t="e">
        <f>#REF!</f>
        <v>#REF!</v>
      </c>
    </row>
    <row r="20" spans="2:6" x14ac:dyDescent="0.2">
      <c r="B20" s="72" t="e">
        <f ca="1">'USDBASIS(EURON)'!U10</f>
        <v>#NAME?</v>
      </c>
      <c r="C20" s="71" t="e">
        <f ca="1">'USDBASIS(EURON)'!V10</f>
        <v>#NAME?</v>
      </c>
      <c r="E20" s="72" t="e">
        <f>#REF!</f>
        <v>#REF!</v>
      </c>
      <c r="F20" s="71" t="e">
        <f>#REF!</f>
        <v>#REF!</v>
      </c>
    </row>
    <row r="21" spans="2:6" x14ac:dyDescent="0.2">
      <c r="B21" s="72" t="e">
        <f ca="1">'USDBASIS(EURON)'!U11</f>
        <v>#NAME?</v>
      </c>
      <c r="C21" s="71" t="e">
        <f ca="1">'USDBASIS(EURON)'!V11</f>
        <v>#NAME?</v>
      </c>
      <c r="E21" s="72" t="e">
        <f>#REF!</f>
        <v>#REF!</v>
      </c>
      <c r="F21" s="71" t="e">
        <f>#REF!</f>
        <v>#REF!</v>
      </c>
    </row>
    <row r="22" spans="2:6" x14ac:dyDescent="0.2">
      <c r="B22" s="72" t="e">
        <f ca="1">'USDBASIS(EURON)'!U12</f>
        <v>#NAME?</v>
      </c>
      <c r="C22" s="71" t="e">
        <f ca="1">'USDBASIS(EURON)'!V12</f>
        <v>#NAME?</v>
      </c>
      <c r="E22" s="72" t="e">
        <f>#REF!</f>
        <v>#REF!</v>
      </c>
      <c r="F22" s="71" t="e">
        <f>#REF!</f>
        <v>#REF!</v>
      </c>
    </row>
    <row r="23" spans="2:6" x14ac:dyDescent="0.2">
      <c r="B23" s="72" t="e">
        <f ca="1">'USDBASIS(EURON)'!U13</f>
        <v>#NAME?</v>
      </c>
      <c r="C23" s="71" t="e">
        <f ca="1">'USDBASIS(EURON)'!V13</f>
        <v>#NAME?</v>
      </c>
      <c r="E23" s="72" t="e">
        <f>#REF!</f>
        <v>#REF!</v>
      </c>
      <c r="F23" s="71" t="e">
        <f>#REF!</f>
        <v>#REF!</v>
      </c>
    </row>
    <row r="24" spans="2:6" x14ac:dyDescent="0.2">
      <c r="B24" s="72" t="e">
        <f ca="1">'USDBASIS(EURON)'!U14</f>
        <v>#NAME?</v>
      </c>
      <c r="C24" s="71" t="e">
        <f ca="1">'USDBASIS(EURON)'!V14</f>
        <v>#NAME?</v>
      </c>
      <c r="E24" s="72" t="e">
        <f>#REF!</f>
        <v>#REF!</v>
      </c>
      <c r="F24" s="71" t="e">
        <f>#REF!</f>
        <v>#REF!</v>
      </c>
    </row>
    <row r="25" spans="2:6" x14ac:dyDescent="0.2">
      <c r="B25" s="72" t="e">
        <f ca="1">'USDBASIS(EURON)'!U15</f>
        <v>#NAME?</v>
      </c>
      <c r="C25" s="71" t="e">
        <f ca="1">'USDBASIS(EURON)'!V15</f>
        <v>#NAME?</v>
      </c>
      <c r="E25" s="72" t="e">
        <f>#REF!</f>
        <v>#REF!</v>
      </c>
      <c r="F25" s="71" t="e">
        <f>#REF!</f>
        <v>#REF!</v>
      </c>
    </row>
    <row r="26" spans="2:6" x14ac:dyDescent="0.2">
      <c r="B26" s="72" t="e">
        <f ca="1">'USDBASIS(EURON)'!U16</f>
        <v>#NAME?</v>
      </c>
      <c r="C26" s="71" t="e">
        <f ca="1">'USDBASIS(EURON)'!V16</f>
        <v>#NAME?</v>
      </c>
      <c r="E26" s="72" t="e">
        <f>#REF!</f>
        <v>#REF!</v>
      </c>
      <c r="F26" s="71" t="e">
        <f>#REF!</f>
        <v>#REF!</v>
      </c>
    </row>
    <row r="27" spans="2:6" x14ac:dyDescent="0.2">
      <c r="B27" s="72" t="e">
        <f ca="1">'USDBASIS(EURON)'!U17</f>
        <v>#NAME?</v>
      </c>
      <c r="C27" s="71" t="e">
        <f ca="1">'USDBASIS(EURON)'!V17</f>
        <v>#NAME?</v>
      </c>
      <c r="E27" s="72" t="e">
        <f>#REF!</f>
        <v>#REF!</v>
      </c>
      <c r="F27" s="71" t="e">
        <f>#REF!</f>
        <v>#REF!</v>
      </c>
    </row>
    <row r="28" spans="2:6" x14ac:dyDescent="0.2">
      <c r="B28" s="72" t="e">
        <f ca="1">'USDBASIS(EURON)'!U18</f>
        <v>#NAME?</v>
      </c>
      <c r="C28" s="71" t="e">
        <f ca="1">'USDBASIS(EURON)'!V18</f>
        <v>#NAME?</v>
      </c>
      <c r="E28" s="72" t="e">
        <f>#REF!</f>
        <v>#REF!</v>
      </c>
      <c r="F28" s="71" t="e">
        <f>#REF!</f>
        <v>#REF!</v>
      </c>
    </row>
    <row r="29" spans="2:6" x14ac:dyDescent="0.2">
      <c r="B29" s="72" t="e">
        <f ca="1">'USDBASIS(EURON)'!U19</f>
        <v>#NAME?</v>
      </c>
      <c r="C29" s="71" t="e">
        <f ca="1">'USDBASIS(EURON)'!V19</f>
        <v>#NAME?</v>
      </c>
      <c r="E29" s="72" t="e">
        <f>#REF!</f>
        <v>#REF!</v>
      </c>
      <c r="F29" s="71" t="e">
        <f>#REF!</f>
        <v>#REF!</v>
      </c>
    </row>
    <row r="30" spans="2:6" x14ac:dyDescent="0.2">
      <c r="B30" s="72" t="e">
        <f ca="1">'USDBASIS(EURON)'!U20</f>
        <v>#NAME?</v>
      </c>
      <c r="C30" s="71" t="e">
        <f ca="1">'USDBASIS(EURON)'!V20</f>
        <v>#NAME?</v>
      </c>
      <c r="E30" s="72" t="e">
        <f>#REF!</f>
        <v>#REF!</v>
      </c>
      <c r="F30" s="71" t="e">
        <f>#REF!</f>
        <v>#REF!</v>
      </c>
    </row>
    <row r="31" spans="2:6" x14ac:dyDescent="0.2">
      <c r="B31" s="72" t="e">
        <f ca="1">'USDBASIS(EURON)'!U21</f>
        <v>#NAME?</v>
      </c>
      <c r="C31" s="71" t="e">
        <f ca="1">'USDBASIS(EURON)'!V21</f>
        <v>#NAME?</v>
      </c>
      <c r="E31" s="72" t="e">
        <f>#REF!</f>
        <v>#REF!</v>
      </c>
      <c r="F31" s="71" t="e">
        <f>#REF!</f>
        <v>#REF!</v>
      </c>
    </row>
    <row r="32" spans="2:6" x14ac:dyDescent="0.2">
      <c r="B32" s="72" t="e">
        <f ca="1">'USDBASIS(EURON)'!U22</f>
        <v>#NAME?</v>
      </c>
      <c r="C32" s="71" t="e">
        <f ca="1">'USDBASIS(EURON)'!V22</f>
        <v>#NAME?</v>
      </c>
      <c r="E32" s="72" t="e">
        <f>#REF!</f>
        <v>#REF!</v>
      </c>
      <c r="F32" s="71" t="e">
        <f>#REF!</f>
        <v>#REF!</v>
      </c>
    </row>
    <row r="33" spans="2:6" x14ac:dyDescent="0.2">
      <c r="B33" s="72" t="e">
        <f ca="1">'USDBASIS(EURON)'!U23</f>
        <v>#NAME?</v>
      </c>
      <c r="C33" s="71" t="e">
        <f ca="1">'USDBASIS(EURON)'!V23</f>
        <v>#NAME?</v>
      </c>
      <c r="E33" s="72" t="e">
        <f>#REF!</f>
        <v>#REF!</v>
      </c>
      <c r="F33" s="71" t="e">
        <f>#REF!</f>
        <v>#REF!</v>
      </c>
    </row>
    <row r="34" spans="2:6" x14ac:dyDescent="0.2">
      <c r="B34" s="72" t="e">
        <f ca="1">'USDBASIS(EURON)'!U24</f>
        <v>#NAME?</v>
      </c>
      <c r="C34" s="71" t="e">
        <f ca="1">'USDBASIS(EURON)'!V24</f>
        <v>#NAME?</v>
      </c>
      <c r="E34" s="72" t="e">
        <f>#REF!</f>
        <v>#REF!</v>
      </c>
      <c r="F34" s="71" t="e">
        <f>#REF!</f>
        <v>#REF!</v>
      </c>
    </row>
    <row r="35" spans="2:6" x14ac:dyDescent="0.2">
      <c r="B35" s="72" t="e">
        <f ca="1">'USDBASIS(EURON)'!U25</f>
        <v>#NAME?</v>
      </c>
      <c r="C35" s="71" t="e">
        <f ca="1">'USDBASIS(EURON)'!V25</f>
        <v>#NAME?</v>
      </c>
      <c r="E35" s="72" t="e">
        <f>#REF!</f>
        <v>#REF!</v>
      </c>
      <c r="F35" s="71" t="e">
        <f>#REF!</f>
        <v>#REF!</v>
      </c>
    </row>
    <row r="36" spans="2:6" x14ac:dyDescent="0.2">
      <c r="B36" s="72" t="e">
        <f ca="1">'USDBASIS(EURON)'!U26</f>
        <v>#NAME?</v>
      </c>
      <c r="C36" s="71" t="e">
        <f ca="1">'USDBASIS(EURON)'!V26</f>
        <v>#NAME?</v>
      </c>
      <c r="E36" s="72" t="e">
        <f>#REF!</f>
        <v>#REF!</v>
      </c>
      <c r="F36" s="71" t="e">
        <f>#REF!</f>
        <v>#REF!</v>
      </c>
    </row>
    <row r="37" spans="2:6" x14ac:dyDescent="0.2">
      <c r="B37" s="72" t="e">
        <f ca="1">'USDBASIS(EURON)'!U27</f>
        <v>#NAME?</v>
      </c>
      <c r="C37" s="71" t="e">
        <f ca="1">'USDBASIS(EURON)'!V27</f>
        <v>#NAME?</v>
      </c>
      <c r="E37" s="72" t="e">
        <f>#REF!</f>
        <v>#REF!</v>
      </c>
      <c r="F37" s="71" t="e">
        <f>#REF!</f>
        <v>#REF!</v>
      </c>
    </row>
    <row r="38" spans="2:6" x14ac:dyDescent="0.2">
      <c r="B38" s="72" t="e">
        <f ca="1">'USDBASIS(EURON)'!U28</f>
        <v>#NAME?</v>
      </c>
      <c r="C38" s="71" t="e">
        <f ca="1">'USDBASIS(EURON)'!V28</f>
        <v>#NAME?</v>
      </c>
      <c r="E38" s="72" t="e">
        <f>#REF!</f>
        <v>#REF!</v>
      </c>
      <c r="F38" s="71" t="e">
        <f>#REF!</f>
        <v>#REF!</v>
      </c>
    </row>
    <row r="39" spans="2:6" x14ac:dyDescent="0.2">
      <c r="B39" s="72" t="e">
        <f ca="1">'USDBASIS(EURON)'!U29</f>
        <v>#NAME?</v>
      </c>
      <c r="C39" s="71" t="e">
        <f ca="1">'USDBASIS(EURON)'!V29</f>
        <v>#NAME?</v>
      </c>
      <c r="E39" s="72" t="e">
        <f>#REF!</f>
        <v>#REF!</v>
      </c>
      <c r="F39" s="71" t="e">
        <f>#REF!</f>
        <v>#REF!</v>
      </c>
    </row>
    <row r="40" spans="2:6" x14ac:dyDescent="0.2">
      <c r="B40" s="72" t="e">
        <f ca="1">'USDBASIS(EURON)'!U30</f>
        <v>#NAME?</v>
      </c>
      <c r="C40" s="71" t="e">
        <f ca="1">'USDBASIS(EURON)'!V30</f>
        <v>#NAME?</v>
      </c>
      <c r="E40" s="72" t="e">
        <f>#REF!</f>
        <v>#REF!</v>
      </c>
      <c r="F40" s="71" t="e">
        <f>#REF!</f>
        <v>#REF!</v>
      </c>
    </row>
    <row r="41" spans="2:6" x14ac:dyDescent="0.2">
      <c r="B41" s="72" t="e">
        <f ca="1">'USDBASIS(EURON)'!U31</f>
        <v>#NAME?</v>
      </c>
      <c r="C41" s="71" t="e">
        <f ca="1">'USDBASIS(EURON)'!V31</f>
        <v>#NAME?</v>
      </c>
      <c r="E41" s="72" t="e">
        <f>#REF!</f>
        <v>#REF!</v>
      </c>
      <c r="F41" s="71" t="e">
        <f>#REF!</f>
        <v>#REF!</v>
      </c>
    </row>
    <row r="42" spans="2:6" x14ac:dyDescent="0.2">
      <c r="B42" s="72" t="e">
        <f ca="1">'USDBASIS(EURON)'!U32</f>
        <v>#NAME?</v>
      </c>
      <c r="C42" s="71" t="e">
        <f ca="1">'USDBASIS(EURON)'!V32</f>
        <v>#NAME?</v>
      </c>
      <c r="E42" s="72" t="e">
        <f>#REF!</f>
        <v>#REF!</v>
      </c>
      <c r="F42" s="71" t="e">
        <f>#REF!</f>
        <v>#REF!</v>
      </c>
    </row>
    <row r="43" spans="2:6" x14ac:dyDescent="0.2">
      <c r="B43" s="72" t="e">
        <f ca="1">'USDBASIS(EURON)'!U33</f>
        <v>#NAME?</v>
      </c>
      <c r="C43" s="71" t="e">
        <f ca="1">'USDBASIS(EURON)'!V33</f>
        <v>#NAME?</v>
      </c>
      <c r="E43" s="72" t="e">
        <f>#REF!</f>
        <v>#REF!</v>
      </c>
      <c r="F43" s="71" t="e">
        <f>#REF!</f>
        <v>#REF!</v>
      </c>
    </row>
    <row r="44" spans="2:6" x14ac:dyDescent="0.2">
      <c r="B44" s="72" t="e">
        <f ca="1">'USDBASIS(EURON)'!U34</f>
        <v>#NAME?</v>
      </c>
      <c r="C44" s="71" t="e">
        <f ca="1">'USDBASIS(EURON)'!V34</f>
        <v>#NAME?</v>
      </c>
      <c r="E44" s="72" t="e">
        <f>#REF!</f>
        <v>#REF!</v>
      </c>
      <c r="F44" s="71" t="e">
        <f>#REF!</f>
        <v>#REF!</v>
      </c>
    </row>
    <row r="45" spans="2:6" x14ac:dyDescent="0.2">
      <c r="B45" s="72" t="e">
        <f ca="1">'USDBASIS(EURON)'!U35</f>
        <v>#NAME?</v>
      </c>
      <c r="C45" s="71" t="e">
        <f ca="1">'USDBASIS(EURON)'!V35</f>
        <v>#NAME?</v>
      </c>
      <c r="E45" s="72" t="e">
        <f>#REF!</f>
        <v>#REF!</v>
      </c>
      <c r="F45" s="71" t="e">
        <f>#REF!</f>
        <v>#REF!</v>
      </c>
    </row>
    <row r="46" spans="2:6" x14ac:dyDescent="0.2">
      <c r="B46" s="72" t="e">
        <f ca="1">'USDBASIS(EURON)'!U36</f>
        <v>#NAME?</v>
      </c>
      <c r="C46" s="71" t="e">
        <f ca="1">'USDBASIS(EURON)'!V36</f>
        <v>#NAME?</v>
      </c>
      <c r="E46" s="72" t="e">
        <f>#REF!</f>
        <v>#REF!</v>
      </c>
      <c r="F46" s="71" t="e">
        <f>#REF!</f>
        <v>#REF!</v>
      </c>
    </row>
    <row r="47" spans="2:6" x14ac:dyDescent="0.2">
      <c r="B47" s="72" t="e">
        <f ca="1">'USDBASIS(EURON)'!U37</f>
        <v>#NAME?</v>
      </c>
      <c r="C47" s="71" t="e">
        <f ca="1">'USDBASIS(EURON)'!V37</f>
        <v>#NAME?</v>
      </c>
      <c r="E47" s="72" t="e">
        <f>#REF!</f>
        <v>#REF!</v>
      </c>
      <c r="F47" s="71" t="e">
        <f>#REF!</f>
        <v>#REF!</v>
      </c>
    </row>
    <row r="48" spans="2:6" x14ac:dyDescent="0.2">
      <c r="B48" s="72" t="e">
        <f ca="1">'USDBASIS(EURON)'!U38</f>
        <v>#NAME?</v>
      </c>
      <c r="C48" s="71" t="e">
        <f ca="1">'USDBASIS(EURON)'!V38</f>
        <v>#NAME?</v>
      </c>
      <c r="E48" s="72" t="e">
        <f>#REF!</f>
        <v>#REF!</v>
      </c>
      <c r="F48" s="71" t="e">
        <f>#REF!</f>
        <v>#REF!</v>
      </c>
    </row>
    <row r="49" spans="2:6" x14ac:dyDescent="0.2">
      <c r="B49" s="72" t="e">
        <f ca="1">'USDBASIS(EURON)'!U39</f>
        <v>#NAME?</v>
      </c>
      <c r="C49" s="71" t="e">
        <f ca="1">'USDBASIS(EURON)'!V39</f>
        <v>#NAME?</v>
      </c>
      <c r="E49" s="72" t="e">
        <f>#REF!</f>
        <v>#REF!</v>
      </c>
      <c r="F49" s="71" t="e">
        <f>#REF!</f>
        <v>#REF!</v>
      </c>
    </row>
    <row r="50" spans="2:6" x14ac:dyDescent="0.2">
      <c r="B50" s="72" t="e">
        <f ca="1">'USDBASIS(EURON)'!U40</f>
        <v>#NAME?</v>
      </c>
      <c r="C50" s="71" t="e">
        <f ca="1">'USDBASIS(EURON)'!V40</f>
        <v>#NAME?</v>
      </c>
      <c r="E50" s="72" t="e">
        <f>#REF!</f>
        <v>#REF!</v>
      </c>
      <c r="F50" s="71" t="e">
        <f>#REF!</f>
        <v>#REF!</v>
      </c>
    </row>
    <row r="51" spans="2:6" x14ac:dyDescent="0.2">
      <c r="B51" s="72" t="e">
        <f ca="1">'USDBASIS(EURON)'!U41</f>
        <v>#NAME?</v>
      </c>
      <c r="C51" s="71" t="e">
        <f ca="1">'USDBASIS(EURON)'!V41</f>
        <v>#NAME?</v>
      </c>
      <c r="E51" s="72" t="e">
        <f>#REF!</f>
        <v>#REF!</v>
      </c>
      <c r="F51" s="71" t="e">
        <f>#REF!</f>
        <v>#REF!</v>
      </c>
    </row>
    <row r="52" spans="2:6" x14ac:dyDescent="0.2">
      <c r="B52" s="72" t="e">
        <f ca="1">'USDBASIS(EURON)'!U42</f>
        <v>#NAME?</v>
      </c>
      <c r="C52" s="71" t="e">
        <f ca="1">'USDBASIS(EURON)'!V42</f>
        <v>#NAME?</v>
      </c>
      <c r="E52" s="72" t="e">
        <f>#REF!</f>
        <v>#REF!</v>
      </c>
      <c r="F52" s="71" t="e">
        <f>#REF!</f>
        <v>#REF!</v>
      </c>
    </row>
    <row r="53" spans="2:6" x14ac:dyDescent="0.2">
      <c r="B53" s="72" t="e">
        <f ca="1">'USDBASIS(EURON)'!U43</f>
        <v>#NAME?</v>
      </c>
      <c r="C53" s="71" t="e">
        <f ca="1">'USDBASIS(EURON)'!V43</f>
        <v>#NAME?</v>
      </c>
      <c r="E53" s="72" t="e">
        <f>#REF!</f>
        <v>#REF!</v>
      </c>
      <c r="F53" s="71" t="e">
        <f>#REF!</f>
        <v>#REF!</v>
      </c>
    </row>
    <row r="54" spans="2:6" x14ac:dyDescent="0.2">
      <c r="B54" s="72" t="e">
        <f ca="1">'USDBASIS(EURON)'!U44</f>
        <v>#NAME?</v>
      </c>
      <c r="C54" s="71" t="e">
        <f ca="1">'USDBASIS(EURON)'!V44</f>
        <v>#NAME?</v>
      </c>
      <c r="E54" s="72" t="e">
        <f>#REF!</f>
        <v>#REF!</v>
      </c>
      <c r="F54" s="71" t="e">
        <f>#REF!</f>
        <v>#REF!</v>
      </c>
    </row>
    <row r="55" spans="2:6" x14ac:dyDescent="0.2">
      <c r="B55" s="72" t="e">
        <f ca="1">'USDBASIS(EURON)'!U45</f>
        <v>#NAME?</v>
      </c>
      <c r="C55" s="71" t="e">
        <f ca="1">'USDBASIS(EURON)'!V45</f>
        <v>#NAME?</v>
      </c>
      <c r="E55" s="72" t="e">
        <f>#REF!</f>
        <v>#REF!</v>
      </c>
      <c r="F55" s="71" t="e">
        <f>#REF!</f>
        <v>#REF!</v>
      </c>
    </row>
    <row r="56" spans="2:6" x14ac:dyDescent="0.2">
      <c r="B56" s="72" t="e">
        <f ca="1">'USDBASIS(EURON)'!U46</f>
        <v>#NAME?</v>
      </c>
      <c r="C56" s="71" t="e">
        <f ca="1">'USDBASIS(EURON)'!V46</f>
        <v>#NAME?</v>
      </c>
      <c r="E56" s="72" t="e">
        <f>#REF!</f>
        <v>#REF!</v>
      </c>
      <c r="F56" s="71" t="e">
        <f>#REF!</f>
        <v>#REF!</v>
      </c>
    </row>
    <row r="57" spans="2:6" x14ac:dyDescent="0.2">
      <c r="B57" s="72" t="e">
        <f ca="1">'USDBASIS(EURON)'!U47</f>
        <v>#NAME?</v>
      </c>
      <c r="C57" s="71" t="e">
        <f ca="1">'USDBASIS(EURON)'!V47</f>
        <v>#NAME?</v>
      </c>
      <c r="E57" s="72" t="e">
        <f>#REF!</f>
        <v>#REF!</v>
      </c>
      <c r="F57" s="71" t="e">
        <f>#REF!</f>
        <v>#REF!</v>
      </c>
    </row>
    <row r="58" spans="2:6" x14ac:dyDescent="0.2">
      <c r="B58" s="72" t="e">
        <f ca="1">'USDBASIS(EURON)'!U48</f>
        <v>#NAME?</v>
      </c>
      <c r="C58" s="71" t="e">
        <f ca="1">'USDBASIS(EURON)'!V48</f>
        <v>#NAME?</v>
      </c>
      <c r="E58" s="72" t="e">
        <f>#REF!</f>
        <v>#REF!</v>
      </c>
      <c r="F58" s="71" t="e">
        <f>#REF!</f>
        <v>#REF!</v>
      </c>
    </row>
    <row r="59" spans="2:6" x14ac:dyDescent="0.2">
      <c r="B59" s="72" t="e">
        <f ca="1">'USDBASIS(EURON)'!U49</f>
        <v>#NAME?</v>
      </c>
      <c r="C59" s="71" t="e">
        <f ca="1">'USDBASIS(EURON)'!V49</f>
        <v>#NAME?</v>
      </c>
      <c r="E59" s="72" t="e">
        <f>#REF!</f>
        <v>#REF!</v>
      </c>
      <c r="F59" s="71" t="e">
        <f>#REF!</f>
        <v>#REF!</v>
      </c>
    </row>
    <row r="60" spans="2:6" x14ac:dyDescent="0.2">
      <c r="B60" s="72" t="e">
        <f ca="1">'USDBASIS(EURON)'!U50</f>
        <v>#NAME?</v>
      </c>
      <c r="C60" s="71" t="e">
        <f ca="1">'USDBASIS(EURON)'!V50</f>
        <v>#NAME?</v>
      </c>
      <c r="E60" s="72" t="e">
        <f>#REF!</f>
        <v>#REF!</v>
      </c>
      <c r="F60" s="71" t="e">
        <f>#REF!</f>
        <v>#REF!</v>
      </c>
    </row>
    <row r="61" spans="2:6" x14ac:dyDescent="0.2">
      <c r="B61" s="72" t="e">
        <f ca="1">'USDBASIS(EURON)'!U51</f>
        <v>#NAME?</v>
      </c>
      <c r="C61" s="71" t="e">
        <f ca="1">'USDBASIS(EURON)'!V51</f>
        <v>#NAME?</v>
      </c>
      <c r="E61" s="72" t="e">
        <f>#REF!</f>
        <v>#REF!</v>
      </c>
      <c r="F61" s="71" t="e">
        <f>#REF!</f>
        <v>#REF!</v>
      </c>
    </row>
    <row r="62" spans="2:6" x14ac:dyDescent="0.2">
      <c r="B62" s="72" t="e">
        <f ca="1">'USDBASIS(EURON)'!U52</f>
        <v>#NAME?</v>
      </c>
      <c r="C62" s="71" t="e">
        <f ca="1">'USDBASIS(EURON)'!V52</f>
        <v>#NAME?</v>
      </c>
      <c r="E62" s="72" t="e">
        <f>#REF!</f>
        <v>#REF!</v>
      </c>
      <c r="F62" s="71" t="e">
        <f>#REF!</f>
        <v>#REF!</v>
      </c>
    </row>
    <row r="63" spans="2:6" x14ac:dyDescent="0.2">
      <c r="B63" s="72" t="e">
        <f ca="1">'USDBASIS(EURON)'!U53</f>
        <v>#NAME?</v>
      </c>
      <c r="C63" s="71" t="e">
        <f ca="1">'USDBASIS(EURON)'!V53</f>
        <v>#NAME?</v>
      </c>
      <c r="E63" s="72" t="e">
        <f>#REF!</f>
        <v>#REF!</v>
      </c>
      <c r="F63" s="71" t="e">
        <f>#REF!</f>
        <v>#REF!</v>
      </c>
    </row>
    <row r="64" spans="2:6" x14ac:dyDescent="0.2">
      <c r="B64" s="72" t="e">
        <f ca="1">'USDBASIS(EURON)'!U54</f>
        <v>#NAME?</v>
      </c>
      <c r="C64" s="71" t="e">
        <f ca="1">'USDBASIS(EURON)'!V54</f>
        <v>#NAME?</v>
      </c>
      <c r="E64" s="72" t="e">
        <f>#REF!</f>
        <v>#REF!</v>
      </c>
      <c r="F64" s="71" t="e">
        <f>#REF!</f>
        <v>#REF!</v>
      </c>
    </row>
    <row r="65" spans="2:6" x14ac:dyDescent="0.2">
      <c r="B65" s="72" t="e">
        <f ca="1">'USDBASIS(EURON)'!U55</f>
        <v>#NAME?</v>
      </c>
      <c r="C65" s="71" t="e">
        <f ca="1">'USDBASIS(EURON)'!V55</f>
        <v>#NAME?</v>
      </c>
      <c r="E65" s="72" t="e">
        <f>#REF!</f>
        <v>#REF!</v>
      </c>
      <c r="F65" s="71" t="e">
        <f>#REF!</f>
        <v>#REF!</v>
      </c>
    </row>
    <row r="66" spans="2:6" x14ac:dyDescent="0.2">
      <c r="B66" s="72" t="e">
        <f ca="1">'USDBASIS(EURON)'!U56</f>
        <v>#NAME?</v>
      </c>
      <c r="C66" s="71" t="e">
        <f ca="1">'USDBASIS(EURON)'!V56</f>
        <v>#NAME?</v>
      </c>
      <c r="E66" s="72" t="e">
        <f>#REF!</f>
        <v>#REF!</v>
      </c>
      <c r="F66" s="71" t="e">
        <f>#REF!</f>
        <v>#REF!</v>
      </c>
    </row>
    <row r="67" spans="2:6" x14ac:dyDescent="0.2">
      <c r="B67" s="72" t="e">
        <f ca="1">'USDBASIS(EURON)'!U57</f>
        <v>#NAME?</v>
      </c>
      <c r="C67" s="71" t="e">
        <f ca="1">'USDBASIS(EURON)'!V57</f>
        <v>#NAME?</v>
      </c>
      <c r="E67" s="72" t="e">
        <f>#REF!</f>
        <v>#REF!</v>
      </c>
      <c r="F67" s="71" t="e">
        <f>#REF!</f>
        <v>#REF!</v>
      </c>
    </row>
    <row r="68" spans="2:6" x14ac:dyDescent="0.2">
      <c r="B68" s="72" t="e">
        <f ca="1">'USDBASIS(EURON)'!U58</f>
        <v>#NAME?</v>
      </c>
      <c r="C68" s="71" t="e">
        <f ca="1">'USDBASIS(EURON)'!V58</f>
        <v>#NAME?</v>
      </c>
      <c r="E68" s="72" t="e">
        <f>#REF!</f>
        <v>#REF!</v>
      </c>
      <c r="F68" s="71" t="e">
        <f>#REF!</f>
        <v>#REF!</v>
      </c>
    </row>
    <row r="69" spans="2:6" x14ac:dyDescent="0.2">
      <c r="B69" s="72" t="e">
        <f ca="1">'USDBASIS(EURON)'!U59</f>
        <v>#NAME?</v>
      </c>
      <c r="C69" s="71" t="e">
        <f ca="1">'USDBASIS(EURON)'!V59</f>
        <v>#NAME?</v>
      </c>
      <c r="E69" s="72" t="e">
        <f>#REF!</f>
        <v>#REF!</v>
      </c>
      <c r="F69" s="71" t="e">
        <f>#REF!</f>
        <v>#REF!</v>
      </c>
    </row>
    <row r="70" spans="2:6" x14ac:dyDescent="0.2">
      <c r="B70" s="72" t="e">
        <f ca="1">'USDBASIS(EURON)'!U60</f>
        <v>#NAME?</v>
      </c>
      <c r="C70" s="71" t="e">
        <f ca="1">'USDBASIS(EURON)'!V60</f>
        <v>#NAME?</v>
      </c>
      <c r="E70" s="72" t="e">
        <f>#REF!</f>
        <v>#REF!</v>
      </c>
      <c r="F70" s="71" t="e">
        <f>#REF!</f>
        <v>#REF!</v>
      </c>
    </row>
    <row r="71" spans="2:6" x14ac:dyDescent="0.2">
      <c r="B71" s="72" t="e">
        <f ca="1">'USDBASIS(EURON)'!U61</f>
        <v>#NAME?</v>
      </c>
      <c r="C71" s="71" t="e">
        <f ca="1">'USDBASIS(EURON)'!V61</f>
        <v>#NAME?</v>
      </c>
      <c r="E71" s="72" t="e">
        <f>#REF!</f>
        <v>#REF!</v>
      </c>
      <c r="F71" s="71" t="e">
        <f>#REF!</f>
        <v>#REF!</v>
      </c>
    </row>
    <row r="72" spans="2:6" x14ac:dyDescent="0.2">
      <c r="B72" s="72" t="e">
        <f ca="1">'USDBASIS(EURON)'!U62</f>
        <v>#NAME?</v>
      </c>
      <c r="C72" s="71" t="e">
        <f ca="1">'USDBASIS(EURON)'!V62</f>
        <v>#NAME?</v>
      </c>
      <c r="E72" s="72" t="e">
        <f>#REF!</f>
        <v>#REF!</v>
      </c>
      <c r="F72" s="71" t="e">
        <f>#REF!</f>
        <v>#REF!</v>
      </c>
    </row>
    <row r="73" spans="2:6" x14ac:dyDescent="0.2">
      <c r="B73" s="72" t="e">
        <f ca="1">'USDBASIS(EURON)'!U63</f>
        <v>#NAME?</v>
      </c>
      <c r="C73" s="71" t="e">
        <f ca="1">'USDBASIS(EURON)'!V63</f>
        <v>#NAME?</v>
      </c>
      <c r="E73" s="72" t="e">
        <f>#REF!</f>
        <v>#REF!</v>
      </c>
      <c r="F73" s="71" t="e">
        <f>#REF!</f>
        <v>#REF!</v>
      </c>
    </row>
    <row r="74" spans="2:6" x14ac:dyDescent="0.2">
      <c r="B74" s="72" t="e">
        <f ca="1">'USDBASIS(EURON)'!U64</f>
        <v>#NAME?</v>
      </c>
      <c r="C74" s="71" t="e">
        <f ca="1">'USDBASIS(EURON)'!V64</f>
        <v>#NAME?</v>
      </c>
      <c r="E74" s="72" t="e">
        <f>#REF!</f>
        <v>#REF!</v>
      </c>
      <c r="F74" s="71" t="e">
        <f>#REF!</f>
        <v>#REF!</v>
      </c>
    </row>
    <row r="75" spans="2:6" x14ac:dyDescent="0.2">
      <c r="B75" s="72" t="e">
        <f ca="1">'USDBASIS(EURON)'!U65</f>
        <v>#NAME?</v>
      </c>
      <c r="C75" s="71" t="e">
        <f ca="1">'USDBASIS(EURON)'!V65</f>
        <v>#NAME?</v>
      </c>
      <c r="E75" s="72" t="e">
        <f>#REF!</f>
        <v>#REF!</v>
      </c>
      <c r="F75" s="71" t="e">
        <f>#REF!</f>
        <v>#REF!</v>
      </c>
    </row>
    <row r="76" spans="2:6" x14ac:dyDescent="0.2">
      <c r="B76" s="72" t="e">
        <f ca="1">'USDBASIS(EURON)'!U66</f>
        <v>#NAME?</v>
      </c>
      <c r="C76" s="71" t="e">
        <f ca="1">'USDBASIS(EURON)'!V66</f>
        <v>#NAME?</v>
      </c>
      <c r="E76" s="72" t="e">
        <f>#REF!</f>
        <v>#REF!</v>
      </c>
      <c r="F76" s="71" t="e">
        <f>#REF!</f>
        <v>#REF!</v>
      </c>
    </row>
    <row r="77" spans="2:6" x14ac:dyDescent="0.2">
      <c r="B77" s="72" t="e">
        <f ca="1">'USDBASIS(EURON)'!U67</f>
        <v>#NAME?</v>
      </c>
      <c r="C77" s="71" t="e">
        <f ca="1">'USDBASIS(EURON)'!V67</f>
        <v>#NAME?</v>
      </c>
      <c r="E77" s="72" t="e">
        <f>#REF!</f>
        <v>#REF!</v>
      </c>
      <c r="F77" s="71" t="e">
        <f>#REF!</f>
        <v>#REF!</v>
      </c>
    </row>
    <row r="78" spans="2:6" x14ac:dyDescent="0.2">
      <c r="B78" s="72" t="e">
        <f ca="1">'USDBASIS(EURON)'!U68</f>
        <v>#NAME?</v>
      </c>
      <c r="C78" s="71" t="e">
        <f ca="1">'USDBASIS(EURON)'!V68</f>
        <v>#NAME?</v>
      </c>
      <c r="E78" s="72" t="e">
        <f>#REF!</f>
        <v>#REF!</v>
      </c>
      <c r="F78" s="71" t="e">
        <f>#REF!</f>
        <v>#REF!</v>
      </c>
    </row>
    <row r="79" spans="2:6" x14ac:dyDescent="0.2">
      <c r="B79" s="72" t="e">
        <f ca="1">'USDBASIS(EURON)'!U69</f>
        <v>#NAME?</v>
      </c>
      <c r="C79" s="71" t="e">
        <f ca="1">'USDBASIS(EURON)'!V69</f>
        <v>#NAME?</v>
      </c>
      <c r="E79" s="72" t="e">
        <f>#REF!</f>
        <v>#REF!</v>
      </c>
      <c r="F79" s="71" t="e">
        <f>#REF!</f>
        <v>#REF!</v>
      </c>
    </row>
    <row r="80" spans="2:6" x14ac:dyDescent="0.2">
      <c r="B80" s="72" t="e">
        <f ca="1">'USDBASIS(EURON)'!U70</f>
        <v>#NAME?</v>
      </c>
      <c r="C80" s="71" t="e">
        <f ca="1">'USDBASIS(EURON)'!V70</f>
        <v>#NAME?</v>
      </c>
      <c r="E80" s="72" t="e">
        <f>#REF!</f>
        <v>#REF!</v>
      </c>
      <c r="F80" s="71" t="e">
        <f>#REF!</f>
        <v>#REF!</v>
      </c>
    </row>
    <row r="81" spans="2:6" x14ac:dyDescent="0.2">
      <c r="B81" s="72" t="e">
        <f ca="1">'USDBASIS(EURON)'!U71</f>
        <v>#NAME?</v>
      </c>
      <c r="C81" s="71" t="e">
        <f ca="1">'USDBASIS(EURON)'!V71</f>
        <v>#NAME?</v>
      </c>
      <c r="E81" s="72" t="e">
        <f>#REF!</f>
        <v>#REF!</v>
      </c>
      <c r="F81" s="71" t="e">
        <f>#REF!</f>
        <v>#REF!</v>
      </c>
    </row>
    <row r="82" spans="2:6" x14ac:dyDescent="0.2">
      <c r="B82" s="72" t="e">
        <f ca="1">'USDBASIS(EURON)'!U72</f>
        <v>#NAME?</v>
      </c>
      <c r="C82" s="71" t="e">
        <f ca="1">'USDBASIS(EURON)'!V72</f>
        <v>#NAME?</v>
      </c>
      <c r="E82" s="72" t="e">
        <f>#REF!</f>
        <v>#REF!</v>
      </c>
      <c r="F82" s="71" t="e">
        <f>#REF!</f>
        <v>#REF!</v>
      </c>
    </row>
    <row r="83" spans="2:6" x14ac:dyDescent="0.2">
      <c r="B83" s="72" t="e">
        <f ca="1">'USDBASIS(EURON)'!U73</f>
        <v>#NAME?</v>
      </c>
      <c r="C83" s="71" t="e">
        <f ca="1">'USDBASIS(EURON)'!V73</f>
        <v>#NAME?</v>
      </c>
      <c r="E83" s="72" t="e">
        <f>#REF!</f>
        <v>#REF!</v>
      </c>
      <c r="F83" s="71" t="e">
        <f>#REF!</f>
        <v>#REF!</v>
      </c>
    </row>
    <row r="84" spans="2:6" x14ac:dyDescent="0.2">
      <c r="B84" s="72" t="e">
        <f ca="1">'USDBASIS(EURON)'!U74</f>
        <v>#NAME?</v>
      </c>
      <c r="C84" s="71" t="e">
        <f ca="1">'USDBASIS(EURON)'!V74</f>
        <v>#NAME?</v>
      </c>
      <c r="E84" s="72" t="e">
        <f>#REF!</f>
        <v>#REF!</v>
      </c>
      <c r="F84" s="71" t="e">
        <f>#REF!</f>
        <v>#REF!</v>
      </c>
    </row>
    <row r="85" spans="2:6" x14ac:dyDescent="0.2">
      <c r="B85" s="72" t="e">
        <f ca="1">'USDBASIS(EURON)'!U75</f>
        <v>#NAME?</v>
      </c>
      <c r="C85" s="71" t="e">
        <f ca="1">'USDBASIS(EURON)'!V75</f>
        <v>#NAME?</v>
      </c>
      <c r="E85" s="72" t="e">
        <f>#REF!</f>
        <v>#REF!</v>
      </c>
      <c r="F85" s="71" t="e">
        <f>#REF!</f>
        <v>#REF!</v>
      </c>
    </row>
    <row r="86" spans="2:6" x14ac:dyDescent="0.2">
      <c r="B86" s="72" t="e">
        <f ca="1">'USDBASIS(EURON)'!U76</f>
        <v>#NAME?</v>
      </c>
      <c r="C86" s="71" t="e">
        <f ca="1">'USDBASIS(EURON)'!V76</f>
        <v>#NAME?</v>
      </c>
      <c r="E86" s="72" t="e">
        <f>#REF!</f>
        <v>#REF!</v>
      </c>
      <c r="F86" s="71" t="e">
        <f>#REF!</f>
        <v>#REF!</v>
      </c>
    </row>
    <row r="87" spans="2:6" x14ac:dyDescent="0.2">
      <c r="B87" s="72" t="e">
        <f ca="1">'USDBASIS(EURON)'!U77</f>
        <v>#NAME?</v>
      </c>
      <c r="C87" s="71" t="e">
        <f ca="1">'USDBASIS(EURON)'!V77</f>
        <v>#NAME?</v>
      </c>
      <c r="E87" s="72" t="e">
        <f>#REF!</f>
        <v>#REF!</v>
      </c>
      <c r="F87" s="71" t="e">
        <f>#REF!</f>
        <v>#REF!</v>
      </c>
    </row>
    <row r="88" spans="2:6" x14ac:dyDescent="0.2">
      <c r="B88" s="72" t="e">
        <f ca="1">'USDBASIS(EURON)'!U78</f>
        <v>#NAME?</v>
      </c>
      <c r="C88" s="71" t="e">
        <f ca="1">'USDBASIS(EURON)'!V78</f>
        <v>#NAME?</v>
      </c>
      <c r="E88" s="72" t="e">
        <f>#REF!</f>
        <v>#REF!</v>
      </c>
      <c r="F88" s="71" t="e">
        <f>#REF!</f>
        <v>#REF!</v>
      </c>
    </row>
    <row r="89" spans="2:6" x14ac:dyDescent="0.2">
      <c r="B89" s="70" t="e">
        <f ca="1">'USDBASIS(EURON)'!U79</f>
        <v>#NAME?</v>
      </c>
      <c r="C89" s="69" t="e">
        <f ca="1">'USDBASIS(EURON)'!V79</f>
        <v>#NAME?</v>
      </c>
      <c r="E89" s="70" t="e">
        <f>#REF!</f>
        <v>#REF!</v>
      </c>
      <c r="F89" s="69" t="e">
        <f>#REF!</f>
        <v>#REF!</v>
      </c>
    </row>
    <row r="95" spans="2:6" x14ac:dyDescent="0.2">
      <c r="B95" s="254" t="s">
        <v>195</v>
      </c>
      <c r="C95" s="254" t="b">
        <v>0</v>
      </c>
    </row>
  </sheetData>
  <dataConsolidate/>
  <dataValidations disablePrompts="1" count="4">
    <dataValidation type="list" allowBlank="1" showInputMessage="1" showErrorMessage="1" sqref="C8 F8">
      <formula1>"BackwardFlat,ForwardFlat,Linear,LogLinear,Parabolic,LogParabolic,MonotonicParabolic,MonotonicLogParabolic,CubicNaturalSpline,MonotonicCubicNaturalSpline,LogCubicNaturalSpline,MonotonicLogCubicNaturalSpline,KrugerCubic,KrugerLogCubic"</formula1>
    </dataValidation>
    <dataValidation type="list" allowBlank="1" showInputMessage="1" showErrorMessage="1" sqref="C7 F7">
      <formula1>"Discount,ZeroYield,ForwardRate"</formula1>
    </dataValidation>
    <dataValidation type="list" allowBlank="1" showInputMessage="1" showErrorMessage="1" sqref="C6 F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C5 F5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</dataValidations>
  <pageMargins left="0.7" right="0.7" top="0.75" bottom="0.75" header="0.3" footer="0.3"/>
  <pageSetup paperSize="9" orientation="portrait" horizontalDpi="4294967294" verticalDpi="4294967294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B2:H35"/>
  <sheetViews>
    <sheetView workbookViewId="0">
      <selection activeCell="L39" sqref="L39"/>
    </sheetView>
  </sheetViews>
  <sheetFormatPr defaultColWidth="9.28515625" defaultRowHeight="10.9" x14ac:dyDescent="0.2"/>
  <cols>
    <col min="1" max="1" width="3.85546875" style="16" customWidth="1"/>
    <col min="2" max="2" width="12.85546875" style="16" customWidth="1"/>
    <col min="3" max="3" width="9.28515625" style="16"/>
    <col min="4" max="4" width="3.85546875" style="16" customWidth="1"/>
    <col min="5" max="5" width="15.85546875" style="16" customWidth="1"/>
    <col min="6" max="7" width="3.85546875" style="16" customWidth="1"/>
    <col min="8" max="8" width="9.28515625" style="16"/>
    <col min="9" max="9" width="3.85546875" style="16" customWidth="1"/>
    <col min="10" max="16384" width="9.28515625" style="16"/>
  </cols>
  <sheetData>
    <row r="2" spans="2:8" x14ac:dyDescent="0.2">
      <c r="B2" s="331" t="s">
        <v>62</v>
      </c>
      <c r="C2" s="332"/>
      <c r="E2" s="19" t="s">
        <v>61</v>
      </c>
      <c r="H2" s="19" t="s">
        <v>60</v>
      </c>
    </row>
    <row r="3" spans="2:8" x14ac:dyDescent="0.2">
      <c r="B3" s="18" t="s">
        <v>59</v>
      </c>
      <c r="C3" s="18">
        <v>0</v>
      </c>
      <c r="E3" s="18" t="s">
        <v>58</v>
      </c>
      <c r="H3" s="18" t="b">
        <v>1</v>
      </c>
    </row>
    <row r="4" spans="2:8" x14ac:dyDescent="0.2">
      <c r="B4" s="20" t="s">
        <v>57</v>
      </c>
      <c r="C4" s="20">
        <v>1</v>
      </c>
      <c r="E4" s="20" t="s">
        <v>56</v>
      </c>
      <c r="H4" s="17" t="b">
        <v>0</v>
      </c>
    </row>
    <row r="5" spans="2:8" x14ac:dyDescent="0.2">
      <c r="B5" s="20" t="s">
        <v>55</v>
      </c>
      <c r="C5" s="20">
        <v>2</v>
      </c>
      <c r="E5" s="20" t="s">
        <v>11</v>
      </c>
    </row>
    <row r="6" spans="2:8" x14ac:dyDescent="0.2">
      <c r="B6" s="22" t="s">
        <v>54</v>
      </c>
      <c r="C6" s="20">
        <v>3</v>
      </c>
      <c r="E6" s="20" t="s">
        <v>53</v>
      </c>
    </row>
    <row r="7" spans="2:8" x14ac:dyDescent="0.2">
      <c r="B7" s="20" t="s">
        <v>52</v>
      </c>
      <c r="C7" s="20">
        <v>4</v>
      </c>
      <c r="E7" s="17" t="s">
        <v>51</v>
      </c>
    </row>
    <row r="8" spans="2:8" x14ac:dyDescent="0.2">
      <c r="B8" s="20" t="s">
        <v>50</v>
      </c>
      <c r="C8" s="20">
        <v>5</v>
      </c>
    </row>
    <row r="9" spans="2:8" x14ac:dyDescent="0.2">
      <c r="B9" s="20" t="s">
        <v>49</v>
      </c>
      <c r="C9" s="20">
        <v>6</v>
      </c>
      <c r="E9" s="19" t="s">
        <v>48</v>
      </c>
    </row>
    <row r="10" spans="2:8" x14ac:dyDescent="0.2">
      <c r="B10" s="20" t="s">
        <v>47</v>
      </c>
      <c r="C10" s="20">
        <v>7</v>
      </c>
      <c r="E10" s="18" t="s">
        <v>46</v>
      </c>
    </row>
    <row r="11" spans="2:8" x14ac:dyDescent="0.2">
      <c r="B11" s="20" t="s">
        <v>45</v>
      </c>
      <c r="C11" s="20">
        <v>8</v>
      </c>
      <c r="E11" s="20" t="s">
        <v>12</v>
      </c>
    </row>
    <row r="12" spans="2:8" x14ac:dyDescent="0.2">
      <c r="B12" s="17" t="s">
        <v>44</v>
      </c>
      <c r="C12" s="17">
        <v>9</v>
      </c>
      <c r="E12" s="17" t="s">
        <v>43</v>
      </c>
    </row>
    <row r="13" spans="2:8" x14ac:dyDescent="0.2">
      <c r="E13" s="21"/>
    </row>
    <row r="14" spans="2:8" x14ac:dyDescent="0.2">
      <c r="B14" s="331" t="s">
        <v>42</v>
      </c>
      <c r="C14" s="332"/>
      <c r="E14" s="19" t="s">
        <v>41</v>
      </c>
    </row>
    <row r="15" spans="2:8" x14ac:dyDescent="0.2">
      <c r="B15" s="18" t="s">
        <v>40</v>
      </c>
      <c r="C15" s="18">
        <v>0</v>
      </c>
      <c r="E15" s="18" t="s">
        <v>13</v>
      </c>
    </row>
    <row r="16" spans="2:8" x14ac:dyDescent="0.2">
      <c r="B16" s="20" t="s">
        <v>39</v>
      </c>
      <c r="C16" s="20">
        <v>1</v>
      </c>
      <c r="E16" s="20" t="s">
        <v>38</v>
      </c>
    </row>
    <row r="17" spans="2:5" x14ac:dyDescent="0.2">
      <c r="B17" s="20" t="s">
        <v>37</v>
      </c>
      <c r="C17" s="20">
        <v>2</v>
      </c>
      <c r="E17" s="17" t="s">
        <v>36</v>
      </c>
    </row>
    <row r="18" spans="2:5" x14ac:dyDescent="0.2">
      <c r="B18" s="17" t="s">
        <v>35</v>
      </c>
      <c r="C18" s="17">
        <v>3</v>
      </c>
      <c r="E18" s="21"/>
    </row>
    <row r="19" spans="2:5" x14ac:dyDescent="0.2">
      <c r="E19" s="19" t="s">
        <v>34</v>
      </c>
    </row>
    <row r="20" spans="2:5" x14ac:dyDescent="0.2">
      <c r="B20" s="331" t="s">
        <v>33</v>
      </c>
      <c r="C20" s="332"/>
      <c r="E20" s="18" t="s">
        <v>32</v>
      </c>
    </row>
    <row r="21" spans="2:5" x14ac:dyDescent="0.2">
      <c r="B21" s="18" t="s">
        <v>31</v>
      </c>
      <c r="C21" s="18">
        <v>0</v>
      </c>
      <c r="E21" s="20" t="s">
        <v>30</v>
      </c>
    </row>
    <row r="22" spans="2:5" x14ac:dyDescent="0.2">
      <c r="B22" s="20" t="s">
        <v>29</v>
      </c>
      <c r="C22" s="20">
        <v>1</v>
      </c>
      <c r="E22" s="17" t="s">
        <v>28</v>
      </c>
    </row>
    <row r="23" spans="2:5" x14ac:dyDescent="0.2">
      <c r="B23" s="17" t="s">
        <v>27</v>
      </c>
      <c r="C23" s="17">
        <v>2</v>
      </c>
    </row>
    <row r="24" spans="2:5" x14ac:dyDescent="0.2">
      <c r="E24" s="19" t="s">
        <v>26</v>
      </c>
    </row>
    <row r="25" spans="2:5" x14ac:dyDescent="0.2">
      <c r="B25" s="331" t="s">
        <v>25</v>
      </c>
      <c r="C25" s="332"/>
      <c r="E25" s="18" t="s">
        <v>24</v>
      </c>
    </row>
    <row r="26" spans="2:5" x14ac:dyDescent="0.2">
      <c r="B26" s="18" t="s">
        <v>15</v>
      </c>
      <c r="C26" s="18">
        <v>0</v>
      </c>
      <c r="E26" s="17" t="s">
        <v>23</v>
      </c>
    </row>
    <row r="27" spans="2:5" x14ac:dyDescent="0.2">
      <c r="B27" s="17" t="s">
        <v>22</v>
      </c>
      <c r="C27" s="17">
        <v>1</v>
      </c>
    </row>
    <row r="28" spans="2:5" x14ac:dyDescent="0.2">
      <c r="E28" s="19" t="s">
        <v>21</v>
      </c>
    </row>
    <row r="29" spans="2:5" x14ac:dyDescent="0.2">
      <c r="B29" s="331" t="s">
        <v>151</v>
      </c>
      <c r="C29" s="332"/>
      <c r="E29" s="18" t="s">
        <v>20</v>
      </c>
    </row>
    <row r="30" spans="2:5" x14ac:dyDescent="0.2">
      <c r="B30" s="58" t="s">
        <v>38</v>
      </c>
      <c r="C30" s="61">
        <v>1</v>
      </c>
      <c r="E30" s="17" t="s">
        <v>19</v>
      </c>
    </row>
    <row r="31" spans="2:5" x14ac:dyDescent="0.2">
      <c r="B31" s="59" t="s">
        <v>148</v>
      </c>
      <c r="C31" s="62">
        <v>2</v>
      </c>
    </row>
    <row r="32" spans="2:5" x14ac:dyDescent="0.2">
      <c r="B32" s="59" t="s">
        <v>149</v>
      </c>
      <c r="C32" s="62">
        <v>4</v>
      </c>
    </row>
    <row r="33" spans="2:3" x14ac:dyDescent="0.2">
      <c r="B33" s="60" t="s">
        <v>150</v>
      </c>
      <c r="C33" s="63">
        <v>12</v>
      </c>
    </row>
    <row r="35" spans="2:3" x14ac:dyDescent="0.2">
      <c r="B35" s="254" t="s">
        <v>195</v>
      </c>
      <c r="C35" s="254" t="b">
        <v>1</v>
      </c>
    </row>
  </sheetData>
  <dataConsolidate/>
  <mergeCells count="5">
    <mergeCell ref="B20:C20"/>
    <mergeCell ref="B25:C25"/>
    <mergeCell ref="B2:C2"/>
    <mergeCell ref="B14:C14"/>
    <mergeCell ref="B29:C29"/>
  </mergeCells>
  <pageMargins left="0.75" right="0.75" top="1" bottom="1" header="0.5" footer="0.5"/>
  <pageSetup paperSize="9" orientation="portrait" horizontalDpi="4294967294" vertic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46</vt:i4>
      </vt:variant>
    </vt:vector>
  </HeadingPairs>
  <TitlesOfParts>
    <vt:vector size="55" baseType="lpstr">
      <vt:lpstr>Triggers</vt:lpstr>
      <vt:lpstr>EUR Curves</vt:lpstr>
      <vt:lpstr>USD Curves</vt:lpstr>
      <vt:lpstr>GBP Curves</vt:lpstr>
      <vt:lpstr>USDBASIS(EURON)</vt:lpstr>
      <vt:lpstr>GBPBASIS(EURON,USD)</vt:lpstr>
      <vt:lpstr>CONTRIBUTE</vt:lpstr>
      <vt:lpstr>Ql Curve</vt:lpstr>
      <vt:lpstr>dvCurveBootstrapperOptions</vt:lpstr>
      <vt:lpstr>contribTrig</vt:lpstr>
      <vt:lpstr>dvBool</vt:lpstr>
      <vt:lpstr>dvCurveBootstrapperCompounding</vt:lpstr>
      <vt:lpstr>dvCurveBootstrapperDayCount</vt:lpstr>
      <vt:lpstr>dvCurveBootstrapperFraFutAdjust</vt:lpstr>
      <vt:lpstr>dvCurveBootstrapperFutCons</vt:lpstr>
      <vt:lpstr>dvCurveBootstrapperFutEndDate</vt:lpstr>
      <vt:lpstr>dvCurveBootstrapperInterpOn</vt:lpstr>
      <vt:lpstr>dvCurveBootstrapperInterpType</vt:lpstr>
      <vt:lpstr>dvCurveBootstrapperMatCons</vt:lpstr>
      <vt:lpstr>dvCurveBootstrapperOutputType</vt:lpstr>
      <vt:lpstr>dvCurveBootstrapperSwapMatType</vt:lpstr>
      <vt:lpstr>dvSwapPaymFreq</vt:lpstr>
      <vt:lpstr>EvaluationDate</vt:lpstr>
      <vt:lpstr>'EUR Curves'!FinDBVerbose</vt:lpstr>
      <vt:lpstr>'GBP Curves'!FinDBVerbose</vt:lpstr>
      <vt:lpstr>'USD Curves'!FinDBVerbose</vt:lpstr>
      <vt:lpstr>CONTRIBUTE!IsBootstrapSheet</vt:lpstr>
      <vt:lpstr>dvCurveBootstrapperOptions!IsBootstrapSheet</vt:lpstr>
      <vt:lpstr>'EUR Curves'!IsBootstrapSheet</vt:lpstr>
      <vt:lpstr>'GBP Curves'!IsBootstrapSheet</vt:lpstr>
      <vt:lpstr>'GBPBASIS(EURON,USD)'!IsBootstrapSheet</vt:lpstr>
      <vt:lpstr>'Ql Curve'!IsBootstrapSheet</vt:lpstr>
      <vt:lpstr>Triggers!IsBootstrapSheet</vt:lpstr>
      <vt:lpstr>'USD Curves'!IsBootstrapSheet</vt:lpstr>
      <vt:lpstr>'USDBASIS(EURON)'!IsBootstrapSheet</vt:lpstr>
      <vt:lpstr>manContribTrig</vt:lpstr>
      <vt:lpstr>manualEvalDate</vt:lpstr>
      <vt:lpstr>ManualTrigger</vt:lpstr>
      <vt:lpstr>ObjectsTrigger</vt:lpstr>
      <vt:lpstr>'EUR Curves'!Override</vt:lpstr>
      <vt:lpstr>'GBP Curves'!Override</vt:lpstr>
      <vt:lpstr>'GBPBASIS(EURON,USD)'!Override</vt:lpstr>
      <vt:lpstr>'USD Curves'!Override</vt:lpstr>
      <vt:lpstr>'USDBASIS(EURON)'!Override</vt:lpstr>
      <vt:lpstr>'EUR Curves'!RealTime</vt:lpstr>
      <vt:lpstr>'GBP Curves'!RealTime</vt:lpstr>
      <vt:lpstr>'GBPBASIS(EURON,USD)'!RealTime</vt:lpstr>
      <vt:lpstr>'USD Curves'!RealTime</vt:lpstr>
      <vt:lpstr>'USDBASIS(EURON)'!RealTime</vt:lpstr>
      <vt:lpstr>Triggers!RTDataTrigger</vt:lpstr>
      <vt:lpstr>'EUR Curves'!trigger</vt:lpstr>
      <vt:lpstr>'GBP Curves'!trigger</vt:lpstr>
      <vt:lpstr>'USD Curves'!trigger</vt:lpstr>
      <vt:lpstr>'GBPBASIS(EURON,USD)'!Used</vt:lpstr>
      <vt:lpstr>'USDBASIS(EURON)'!Used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MORENI NICOLA</cp:lastModifiedBy>
  <dcterms:created xsi:type="dcterms:W3CDTF">2014-02-17T09:52:39Z</dcterms:created>
  <dcterms:modified xsi:type="dcterms:W3CDTF">2015-06-01T10:39:59Z</dcterms:modified>
</cp:coreProperties>
</file>