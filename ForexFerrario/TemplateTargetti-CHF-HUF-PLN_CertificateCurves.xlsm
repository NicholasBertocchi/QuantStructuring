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80" windowHeight="13260" firstSheet="1" activeTab="1"/>
  </bookViews>
  <sheets>
    <sheet name="dvCurveBootstrapperOptions" sheetId="10" state="hidden" r:id="rId1"/>
    <sheet name="Summary" sheetId="4" r:id="rId2"/>
    <sheet name="STD" sheetId="16" r:id="rId3"/>
    <sheet name="3M" sheetId="15" r:id="rId4"/>
    <sheet name="UNICA" sheetId="17" r:id="rId5"/>
    <sheet name="HUFSTD" sheetId="18" r:id="rId6"/>
    <sheet name="UNICAHUF" sheetId="20" r:id="rId7"/>
    <sheet name="PLNSTD" sheetId="19" r:id="rId8"/>
    <sheet name="UNICAPLN" sheetId="21" r:id="rId9"/>
  </sheets>
  <functionGroups builtInGroupCount="17"/>
  <definedNames>
    <definedName name="Calendar" localSheetId="4">UNICA!$C$4</definedName>
    <definedName name="Calendar" localSheetId="6">UNICAHUF!$C$4</definedName>
    <definedName name="Calendar" localSheetId="8">UNICAPLN!$C$4</definedName>
    <definedName name="Currency" localSheetId="4">UNICA!$C$9</definedName>
    <definedName name="Currency" localSheetId="6">UNICAHUF!$C$9</definedName>
    <definedName name="Currency" localSheetId="8">UNICAPLN!$C$9</definedName>
    <definedName name="CurveName" localSheetId="3">'3M'!YCName&amp;T(TYPE('3M'!CurveTrigger))</definedName>
    <definedName name="CurveName" localSheetId="5">HUFSTD!YCName&amp;T(TYPE(HUFSTD!CurveTrigger))</definedName>
    <definedName name="CurveName" localSheetId="7">PLNSTD!YCName&amp;T(TYPE(PLNSTD!CurveTrigger))</definedName>
    <definedName name="CurveName" localSheetId="2">STD!YCName&amp;T(TYPE(STD!CurveTrigger))</definedName>
    <definedName name="CurveTrigger" localSheetId="3">'3M'!$V$3</definedName>
    <definedName name="CurveTrigger" localSheetId="5">HUFSTD!$V$3</definedName>
    <definedName name="CurveTrigger" localSheetId="7">PLNSTD!$V$3</definedName>
    <definedName name="CurveTrigger" localSheetId="2">STD!$V$3</definedName>
    <definedName name="dvBool">dvCurveBootstrapperOptions!$H$3:$H$4</definedName>
    <definedName name="dvCurveBootstrapperCompounding">dvCurveBootstrapperOptions!$E$15:$E$17</definedName>
    <definedName name="dvCurveBootstrapperDayCount">dvCurveBootstrapperOptions!$B$3:$C$12</definedName>
    <definedName name="dvCurveBootstrapperFraFutAdjust">dvCurveBootstrapperOptions!$B$15:$C$18</definedName>
    <definedName name="dvCurveBootstrapperFutCons">dvCurveBootstrapperOptions!$E$20:$E$22</definedName>
    <definedName name="dvCurveBootstrapperFutEndDate">dvCurveBootstrapperOptions!$E$29:$E$30</definedName>
    <definedName name="dvCurveBootstrapperInterpOn">dvCurveBootstrapperOptions!$E$10:$E$12</definedName>
    <definedName name="dvCurveBootstrapperInterpType">dvCurveBootstrapperOptions!$E$3:$E$7</definedName>
    <definedName name="dvCurveBootstrapperMatCons">dvCurveBootstrapperOptions!$E$25:$E$26</definedName>
    <definedName name="dvCurveBootstrapperOutputType">dvCurveBootstrapperOptions!$B$26:$C$27</definedName>
    <definedName name="dvCurveBootstrapperSwapMatType">dvCurveBootstrapperOptions!$B$21:$C$23</definedName>
    <definedName name="EntityName" localSheetId="4">UNICA!$C$10</definedName>
    <definedName name="EntityName" localSheetId="6">UNICAHUF!$C$10</definedName>
    <definedName name="EntityName" localSheetId="8">UNICAPLN!$C$10</definedName>
    <definedName name="EvaluationDate" localSheetId="4">UNICA!$C$3</definedName>
    <definedName name="EvaluationDate" localSheetId="6">UNICAHUF!$C$3</definedName>
    <definedName name="EvaluationDate" localSheetId="8">UNICAPLN!$C$3</definedName>
    <definedName name="FloatingFlag" localSheetId="4">UNICA!$C$13</definedName>
    <definedName name="FloatingFlag" localSheetId="6">UNICAHUF!$C$13</definedName>
    <definedName name="FloatingFlag" localSheetId="8">UNICAPLN!$C$13</definedName>
    <definedName name="IsOK" localSheetId="4">UNICA!$P$1</definedName>
    <definedName name="IsOK" localSheetId="6">UNICAHUF!$P$1</definedName>
    <definedName name="IsOK" localSheetId="8">UNICAPLN!$P$1</definedName>
    <definedName name="Notional" localSheetId="4">UNICA!$C$11</definedName>
    <definedName name="Notional" localSheetId="6">UNICAHUF!$C$11</definedName>
    <definedName name="Notional" localSheetId="8">UNICAPLN!$C$11</definedName>
    <definedName name="Override" localSheetId="3">'3M'!$J$3:$J$20,'3M'!$J$23:$J$24,'3M'!$J$27:$J$38,'3M'!$J$41:$J$82</definedName>
    <definedName name="Override" localSheetId="5">HUFSTD!$J$3:$J$20,HUFSTD!$J$23:$J$24,HUFSTD!$J$27:$J$38,HUFSTD!$J$41:$J$82</definedName>
    <definedName name="Override" localSheetId="7">PLNSTD!$J$3:$J$20,PLNSTD!$J$23:$J$24,PLNSTD!$J$27:$J$38,PLNSTD!$J$41:$J$82</definedName>
    <definedName name="Override" localSheetId="2">STD!$J$3:$J$20,STD!$J$23:$J$24,STD!$J$27:$J$38,STD!$J$41:$J$82</definedName>
    <definedName name="pdgDiscCurve" localSheetId="4">UNICA!$C$8</definedName>
    <definedName name="pdgDiscCurve" localSheetId="6">UNICAHUF!$C$8</definedName>
    <definedName name="pdgDiscCurve" localSheetId="8">UNICAPLN!$C$8</definedName>
    <definedName name="RealTime" localSheetId="3">'3M'!$I$3:$I$20,'3M'!$I$23:$I$24,'3M'!$I$27:$I$38,'3M'!$I$41:$I$82</definedName>
    <definedName name="RealTime" localSheetId="5">HUFSTD!$I$3:$I$20,HUFSTD!$I$23:$I$24,HUFSTD!$I$27:$I$38,HUFSTD!$I$41:$I$82</definedName>
    <definedName name="RealTime" localSheetId="7">PLNSTD!$I$3:$I$20,PLNSTD!$I$23:$I$24,PLNSTD!$I$27:$I$38,PLNSTD!$I$41:$I$82</definedName>
    <definedName name="RealTime" localSheetId="2">STD!$I$3:$I$20,STD!$I$23:$I$24,STD!$I$27:$I$38,STD!$I$41:$I$82</definedName>
    <definedName name="Recovery" localSheetId="4">UNICA!$C$12</definedName>
    <definedName name="Recovery" localSheetId="6">UNICAHUF!$C$12</definedName>
    <definedName name="Recovery" localSheetId="8">UNICAPLN!$C$12</definedName>
    <definedName name="SettlementDays" localSheetId="4">UNICA!$C$5</definedName>
    <definedName name="SettlementDays" localSheetId="6">UNICAHUF!$C$5</definedName>
    <definedName name="SettlementDays" localSheetId="8">UNICAPLN!$C$5</definedName>
    <definedName name="Today">Summary!$C$2</definedName>
    <definedName name="Used" localSheetId="3">'3M'!$L$3:$L$20,'3M'!$L$23:$L$24,'3M'!$L$27:$L$38,'3M'!$L$41:$L$82</definedName>
    <definedName name="Used" localSheetId="5">HUFSTD!$L$3:$L$20,HUFSTD!$L$23:$L$24,HUFSTD!$L$27:$L$38,HUFSTD!$L$41:$L$82</definedName>
    <definedName name="Used" localSheetId="7">PLNSTD!$L$3:$L$20,PLNSTD!$L$23:$L$24,PLNSTD!$L$27:$L$38,PLNSTD!$L$41:$L$82</definedName>
    <definedName name="Used" localSheetId="2">STD!$L$3:$L$20,STD!$L$23:$L$24,STD!$L$27:$L$38,STD!$L$41:$L$82</definedName>
    <definedName name="YCName" localSheetId="3">'3M'!$C$5</definedName>
    <definedName name="YCName" localSheetId="5">HUFSTD!$C$5</definedName>
    <definedName name="YCName" localSheetId="7">PLNSTD!$C$5</definedName>
    <definedName name="YCName" localSheetId="2">STD!$C$5</definedName>
  </definedNames>
  <calcPr calcId="145621"/>
</workbook>
</file>

<file path=xl/calcChain.xml><?xml version="1.0" encoding="utf-8"?>
<calcChain xmlns="http://schemas.openxmlformats.org/spreadsheetml/2006/main">
  <c r="C10" i="20" l="1"/>
  <c r="C10" i="21"/>
  <c r="C10" i="17"/>
  <c r="Q1" i="21" l="1"/>
  <c r="AB4" i="20"/>
  <c r="T4" i="20"/>
  <c r="AB4" i="21"/>
  <c r="T4" i="21"/>
  <c r="Q1" i="20"/>
  <c r="F17" i="21"/>
  <c r="C19" i="21"/>
  <c r="F16" i="21"/>
  <c r="F15" i="21"/>
  <c r="F14" i="21"/>
  <c r="F13" i="21"/>
  <c r="F12" i="21"/>
  <c r="F11" i="21"/>
  <c r="F10" i="21"/>
  <c r="F9" i="21"/>
  <c r="F8" i="21"/>
  <c r="F7" i="21"/>
  <c r="F6" i="21"/>
  <c r="F5" i="21"/>
  <c r="F4" i="21"/>
  <c r="F3" i="21"/>
  <c r="C3" i="21"/>
  <c r="F17" i="20"/>
  <c r="C19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F3" i="20"/>
  <c r="C3" i="20"/>
  <c r="C6" i="20"/>
  <c r="C6" i="21"/>
  <c r="C1" i="20"/>
  <c r="M13" i="21"/>
  <c r="M7" i="20"/>
  <c r="M14" i="20"/>
  <c r="M3" i="21"/>
  <c r="M4" i="20"/>
  <c r="M13" i="20"/>
  <c r="M15" i="21"/>
  <c r="C1" i="21"/>
  <c r="M15" i="20"/>
  <c r="M14" i="21"/>
  <c r="M7" i="21"/>
  <c r="M11" i="20"/>
  <c r="M3" i="20"/>
  <c r="M5" i="20"/>
  <c r="M17" i="20"/>
  <c r="M5" i="21"/>
  <c r="M10" i="21"/>
  <c r="M10" i="20"/>
  <c r="M9" i="20"/>
  <c r="M6" i="20"/>
  <c r="M16" i="20"/>
  <c r="M12" i="21"/>
  <c r="X4" i="21"/>
  <c r="X10" i="21"/>
  <c r="Y14" i="21"/>
  <c r="Y17" i="21"/>
  <c r="Y15" i="21"/>
  <c r="Y11" i="21"/>
  <c r="Y5" i="21"/>
  <c r="X13" i="21"/>
  <c r="Y9" i="21"/>
  <c r="X3" i="21"/>
  <c r="Y8" i="21"/>
  <c r="Y13" i="21"/>
  <c r="Y3" i="21"/>
  <c r="Y6" i="21"/>
  <c r="K5" i="4"/>
  <c r="X5" i="21"/>
  <c r="Y10" i="21"/>
  <c r="X14" i="21"/>
  <c r="X9" i="21"/>
  <c r="Y12" i="21"/>
  <c r="G5" i="4"/>
  <c r="X7" i="21"/>
  <c r="X15" i="21"/>
  <c r="X16" i="21"/>
  <c r="G6" i="4"/>
  <c r="X6" i="21"/>
  <c r="Y7" i="21"/>
  <c r="X17" i="21"/>
  <c r="X11" i="21"/>
  <c r="Y4" i="21"/>
  <c r="Y16" i="21"/>
  <c r="K6" i="4"/>
  <c r="X12" i="21"/>
  <c r="X8" i="21"/>
  <c r="M9" i="21"/>
  <c r="M12" i="20"/>
  <c r="M8" i="20"/>
  <c r="G13" i="21" l="1"/>
  <c r="J13" i="21" s="1"/>
  <c r="G3" i="21"/>
  <c r="J3" i="21" s="1"/>
  <c r="G8" i="21"/>
  <c r="J8" i="21" s="1"/>
  <c r="G6" i="21"/>
  <c r="J6" i="21" s="1"/>
  <c r="G4" i="21"/>
  <c r="J4" i="21" s="1"/>
  <c r="G17" i="21"/>
  <c r="J17" i="21" s="1"/>
  <c r="G11" i="21"/>
  <c r="J11" i="21" s="1"/>
  <c r="G16" i="21"/>
  <c r="J16" i="21" s="1"/>
  <c r="G14" i="21"/>
  <c r="J14" i="21" s="1"/>
  <c r="G9" i="21"/>
  <c r="J9" i="21" s="1"/>
  <c r="G12" i="21"/>
  <c r="J12" i="21" s="1"/>
  <c r="G5" i="21"/>
  <c r="J5" i="21" s="1"/>
  <c r="G7" i="21"/>
  <c r="J7" i="21" s="1"/>
  <c r="G15" i="21"/>
  <c r="J15" i="21" s="1"/>
  <c r="G10" i="21"/>
  <c r="J10" i="21" s="1"/>
  <c r="Z7" i="19"/>
  <c r="Z2" i="19"/>
  <c r="BD3" i="19"/>
  <c r="BE3" i="19"/>
  <c r="BF3" i="19"/>
  <c r="BD4" i="19"/>
  <c r="BE4" i="19"/>
  <c r="BF4" i="19"/>
  <c r="BD5" i="19"/>
  <c r="BE5" i="19"/>
  <c r="BF5" i="19"/>
  <c r="BD6" i="19"/>
  <c r="BE6" i="19"/>
  <c r="BF6" i="19"/>
  <c r="BD7" i="19"/>
  <c r="BE7" i="19"/>
  <c r="BF7" i="19"/>
  <c r="BD8" i="19"/>
  <c r="BE8" i="19"/>
  <c r="BF8" i="19"/>
  <c r="BD9" i="19"/>
  <c r="BE9" i="19"/>
  <c r="BF9" i="19"/>
  <c r="BD10" i="19"/>
  <c r="BE10" i="19"/>
  <c r="BF10" i="19"/>
  <c r="BD11" i="19"/>
  <c r="BE11" i="19"/>
  <c r="BF11" i="19"/>
  <c r="BD12" i="19"/>
  <c r="BE12" i="19"/>
  <c r="BF12" i="19"/>
  <c r="BD13" i="19"/>
  <c r="BE13" i="19"/>
  <c r="BF13" i="19"/>
  <c r="BD14" i="19"/>
  <c r="BE14" i="19"/>
  <c r="BF14" i="19"/>
  <c r="BD15" i="19"/>
  <c r="BE15" i="19"/>
  <c r="BF15" i="19"/>
  <c r="BD16" i="19"/>
  <c r="BE16" i="19"/>
  <c r="BF16" i="19"/>
  <c r="BD17" i="19"/>
  <c r="BE17" i="19"/>
  <c r="BF17" i="19"/>
  <c r="BD18" i="19"/>
  <c r="BE18" i="19"/>
  <c r="BF18" i="19"/>
  <c r="BD19" i="19"/>
  <c r="BE19" i="19"/>
  <c r="BF19" i="19"/>
  <c r="BD20" i="19"/>
  <c r="BE20" i="19"/>
  <c r="BF20" i="19"/>
  <c r="BD22" i="19"/>
  <c r="BE22" i="19"/>
  <c r="BF22" i="19"/>
  <c r="BD25" i="19"/>
  <c r="BE25" i="19"/>
  <c r="BF25" i="19"/>
  <c r="BD26" i="19"/>
  <c r="BE26" i="19"/>
  <c r="BF26" i="19"/>
  <c r="AA12" i="18"/>
  <c r="M4" i="21"/>
  <c r="M11" i="21"/>
  <c r="M6" i="21"/>
  <c r="M17" i="21"/>
  <c r="M8" i="21"/>
  <c r="M16" i="21"/>
  <c r="AA24" i="19"/>
  <c r="Z24" i="19"/>
  <c r="F82" i="19" l="1"/>
  <c r="F81" i="19"/>
  <c r="F80" i="19"/>
  <c r="F79" i="19"/>
  <c r="F78" i="19"/>
  <c r="F77" i="19"/>
  <c r="F76" i="19"/>
  <c r="F75" i="19"/>
  <c r="F74" i="19"/>
  <c r="F73" i="19"/>
  <c r="F72" i="19"/>
  <c r="F71" i="19"/>
  <c r="F70" i="19"/>
  <c r="F69" i="19"/>
  <c r="F68" i="19"/>
  <c r="F67" i="19"/>
  <c r="F66" i="19"/>
  <c r="F65" i="19"/>
  <c r="F64" i="19"/>
  <c r="F63" i="19"/>
  <c r="F62" i="19"/>
  <c r="F61" i="19"/>
  <c r="F60" i="19"/>
  <c r="F59" i="19"/>
  <c r="F58" i="19"/>
  <c r="F57" i="19"/>
  <c r="F56" i="19"/>
  <c r="F55" i="19"/>
  <c r="F54" i="19"/>
  <c r="F53" i="19"/>
  <c r="F52" i="19"/>
  <c r="F51" i="19"/>
  <c r="F50" i="19"/>
  <c r="F49" i="19"/>
  <c r="F48" i="19"/>
  <c r="F47" i="19"/>
  <c r="F46" i="19"/>
  <c r="F45" i="19"/>
  <c r="F44" i="19"/>
  <c r="F43" i="19"/>
  <c r="F42" i="19"/>
  <c r="AO2" i="15"/>
  <c r="AO2" i="18"/>
  <c r="AO2" i="19"/>
  <c r="AO2" i="16"/>
  <c r="E76" i="19" l="1"/>
  <c r="N76" i="19" s="1"/>
  <c r="E75" i="19"/>
  <c r="N75" i="19" s="1"/>
  <c r="E70" i="19"/>
  <c r="E67" i="19"/>
  <c r="E66" i="19"/>
  <c r="E65" i="19"/>
  <c r="E64" i="19"/>
  <c r="E62" i="19"/>
  <c r="E61" i="19"/>
  <c r="E59" i="19"/>
  <c r="E58" i="19"/>
  <c r="E57" i="19"/>
  <c r="E55" i="19"/>
  <c r="E54" i="19"/>
  <c r="E53" i="19"/>
  <c r="E52" i="19"/>
  <c r="E51" i="19"/>
  <c r="E50" i="19"/>
  <c r="E49" i="19"/>
  <c r="E47" i="19"/>
  <c r="E46" i="19"/>
  <c r="E44" i="19"/>
  <c r="E43" i="19"/>
  <c r="E42" i="19"/>
  <c r="E82" i="19"/>
  <c r="N82" i="19" s="1"/>
  <c r="E81" i="19"/>
  <c r="N81" i="19" s="1"/>
  <c r="E80" i="19"/>
  <c r="N80" i="19" s="1"/>
  <c r="E79" i="19"/>
  <c r="N79" i="19" s="1"/>
  <c r="E78" i="19"/>
  <c r="N78" i="19" s="1"/>
  <c r="E77" i="19"/>
  <c r="N77" i="19" s="1"/>
  <c r="E74" i="19"/>
  <c r="N74" i="19" s="1"/>
  <c r="E73" i="19"/>
  <c r="N73" i="19" s="1"/>
  <c r="E72" i="19"/>
  <c r="N72" i="19" s="1"/>
  <c r="E71" i="19"/>
  <c r="N71" i="19" s="1"/>
  <c r="C70" i="19"/>
  <c r="B70" i="19"/>
  <c r="E69" i="19"/>
  <c r="C69" i="19"/>
  <c r="B69" i="19"/>
  <c r="E68" i="19"/>
  <c r="C67" i="19"/>
  <c r="B67" i="19"/>
  <c r="C66" i="19"/>
  <c r="B66" i="19"/>
  <c r="C65" i="19"/>
  <c r="B65" i="19"/>
  <c r="C64" i="19"/>
  <c r="B64" i="19"/>
  <c r="E63" i="19"/>
  <c r="C63" i="19"/>
  <c r="B63" i="19"/>
  <c r="C62" i="19"/>
  <c r="B62" i="19"/>
  <c r="C61" i="19"/>
  <c r="B61" i="19"/>
  <c r="E60" i="19"/>
  <c r="C60" i="19"/>
  <c r="B60" i="19"/>
  <c r="C58" i="19"/>
  <c r="B58" i="19"/>
  <c r="B57" i="19"/>
  <c r="E56" i="19"/>
  <c r="B56" i="19"/>
  <c r="B55" i="19"/>
  <c r="B54" i="19"/>
  <c r="B53" i="19"/>
  <c r="C50" i="19"/>
  <c r="E48" i="19"/>
  <c r="M42" i="19"/>
  <c r="M43" i="19" s="1"/>
  <c r="M44" i="19" s="1"/>
  <c r="M45" i="19" s="1"/>
  <c r="N41" i="19"/>
  <c r="F41" i="19"/>
  <c r="N38" i="19"/>
  <c r="F38" i="19"/>
  <c r="N37" i="19"/>
  <c r="F37" i="19"/>
  <c r="N36" i="19"/>
  <c r="F36" i="19"/>
  <c r="N35" i="19"/>
  <c r="F35" i="19"/>
  <c r="C35" i="19"/>
  <c r="N34" i="19"/>
  <c r="F34" i="19"/>
  <c r="F33" i="19"/>
  <c r="F32" i="19"/>
  <c r="F31" i="19"/>
  <c r="F30" i="19"/>
  <c r="F29" i="19"/>
  <c r="N28" i="19"/>
  <c r="M28" i="19"/>
  <c r="M29" i="19" s="1"/>
  <c r="F28" i="19"/>
  <c r="N27" i="19"/>
  <c r="F27" i="19"/>
  <c r="S26" i="19" a="1"/>
  <c r="S26" i="19" s="1"/>
  <c r="O27" i="19" s="1"/>
  <c r="F23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5" i="19"/>
  <c r="M4" i="19"/>
  <c r="M5" i="19" s="1"/>
  <c r="M6" i="19" s="1"/>
  <c r="N6" i="19" s="1"/>
  <c r="F4" i="19"/>
  <c r="N3" i="19"/>
  <c r="F3" i="19"/>
  <c r="C3" i="19"/>
  <c r="S2" i="19" a="1"/>
  <c r="S2" i="19" s="1"/>
  <c r="O3" i="19" s="1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BE24" i="18"/>
  <c r="BE23" i="18"/>
  <c r="BE22" i="18"/>
  <c r="C3" i="18"/>
  <c r="BD18" i="18"/>
  <c r="BE18" i="18"/>
  <c r="BF18" i="18"/>
  <c r="BD19" i="18"/>
  <c r="BE19" i="18"/>
  <c r="BF19" i="18"/>
  <c r="BD20" i="18"/>
  <c r="BE20" i="18"/>
  <c r="BF20" i="18"/>
  <c r="BD17" i="18"/>
  <c r="BF17" i="18"/>
  <c r="BE17" i="18"/>
  <c r="BD15" i="18"/>
  <c r="BE15" i="18"/>
  <c r="BF15" i="18"/>
  <c r="BD16" i="18"/>
  <c r="BE16" i="18"/>
  <c r="BF16" i="18"/>
  <c r="BF14" i="18"/>
  <c r="BE14" i="18"/>
  <c r="BD14" i="18"/>
  <c r="BD4" i="18"/>
  <c r="BE4" i="18"/>
  <c r="BF4" i="18"/>
  <c r="BD5" i="18"/>
  <c r="BE5" i="18"/>
  <c r="BF5" i="18"/>
  <c r="BD6" i="18"/>
  <c r="BE6" i="18"/>
  <c r="BF6" i="18"/>
  <c r="BD7" i="18"/>
  <c r="BE7" i="18"/>
  <c r="BF7" i="18"/>
  <c r="BD9" i="18"/>
  <c r="BE9" i="18"/>
  <c r="BF9" i="18"/>
  <c r="BD10" i="18"/>
  <c r="BE10" i="18"/>
  <c r="BF10" i="18"/>
  <c r="BD11" i="18"/>
  <c r="BE11" i="18"/>
  <c r="BF11" i="18"/>
  <c r="BD12" i="18"/>
  <c r="BE12" i="18"/>
  <c r="BF12" i="18"/>
  <c r="BD13" i="18"/>
  <c r="BE13" i="18"/>
  <c r="BF13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C35" i="15"/>
  <c r="C35" i="18"/>
  <c r="C35" i="16"/>
  <c r="E24" i="16"/>
  <c r="G35" i="16"/>
  <c r="G36" i="16"/>
  <c r="G37" i="16"/>
  <c r="G38" i="16"/>
  <c r="G33" i="15"/>
  <c r="G34" i="15"/>
  <c r="G35" i="15"/>
  <c r="G36" i="15"/>
  <c r="G37" i="15"/>
  <c r="G38" i="15"/>
  <c r="G33" i="18"/>
  <c r="G34" i="18"/>
  <c r="G35" i="18"/>
  <c r="G36" i="18"/>
  <c r="G37" i="18"/>
  <c r="G38" i="18"/>
  <c r="G38" i="19"/>
  <c r="H27" i="19"/>
  <c r="C25" i="19"/>
  <c r="G37" i="19"/>
  <c r="G33" i="19"/>
  <c r="G28" i="19"/>
  <c r="G32" i="19"/>
  <c r="AG44" i="19"/>
  <c r="Z82" i="19"/>
  <c r="AG40" i="19"/>
  <c r="AG39" i="18"/>
  <c r="AH41" i="15"/>
  <c r="AG36" i="16"/>
  <c r="Z18" i="19"/>
  <c r="AH46" i="16"/>
  <c r="AH38" i="16"/>
  <c r="AA68" i="19"/>
  <c r="AH43" i="16"/>
  <c r="AA79" i="19"/>
  <c r="AH42" i="15"/>
  <c r="AA8" i="19"/>
  <c r="AG42" i="15"/>
  <c r="AH46" i="19"/>
  <c r="AH42" i="16"/>
  <c r="Z3" i="19"/>
  <c r="AH43" i="18"/>
  <c r="AG36" i="18"/>
  <c r="AH35" i="18"/>
  <c r="AA62" i="19"/>
  <c r="Z59" i="19"/>
  <c r="AG38" i="15"/>
  <c r="AH39" i="18"/>
  <c r="AA81" i="19"/>
  <c r="AH39" i="19"/>
  <c r="Z77" i="19"/>
  <c r="AA60" i="19"/>
  <c r="AH46" i="18"/>
  <c r="AA4" i="19"/>
  <c r="AG41" i="15"/>
  <c r="AA66" i="19"/>
  <c r="AG42" i="18"/>
  <c r="AH36" i="18"/>
  <c r="Z51" i="19"/>
  <c r="Z17" i="19"/>
  <c r="AA20" i="19"/>
  <c r="AA71" i="19"/>
  <c r="Z80" i="19"/>
  <c r="Z74" i="19"/>
  <c r="AG42" i="19"/>
  <c r="Z81" i="19"/>
  <c r="AH44" i="19"/>
  <c r="AH40" i="18"/>
  <c r="AA63" i="19"/>
  <c r="Z71" i="19"/>
  <c r="Z52" i="19"/>
  <c r="AA5" i="19"/>
  <c r="AA19" i="19"/>
  <c r="AA82" i="19"/>
  <c r="AH43" i="15"/>
  <c r="AG46" i="19"/>
  <c r="AA21" i="19"/>
  <c r="Z89" i="19"/>
  <c r="AA61" i="19"/>
  <c r="AG43" i="18"/>
  <c r="Z85" i="19"/>
  <c r="Z53" i="19"/>
  <c r="AG40" i="16"/>
  <c r="AH42" i="18"/>
  <c r="Z5" i="19"/>
  <c r="Z84" i="19"/>
  <c r="Z88" i="19"/>
  <c r="AH37" i="18"/>
  <c r="AG46" i="16"/>
  <c r="Z22" i="19"/>
  <c r="AG35" i="15"/>
  <c r="AH45" i="16"/>
  <c r="AH40" i="15"/>
  <c r="AH40" i="19"/>
  <c r="AH44" i="18"/>
  <c r="AH37" i="15"/>
  <c r="Z65" i="19"/>
  <c r="AG41" i="16"/>
  <c r="Z57" i="19"/>
  <c r="AG36" i="15"/>
  <c r="Z62" i="19"/>
  <c r="Z87" i="19"/>
  <c r="AA89" i="19"/>
  <c r="Z9" i="19"/>
  <c r="AA64" i="19"/>
  <c r="AA10" i="19"/>
  <c r="AH36" i="19"/>
  <c r="AA84" i="19"/>
  <c r="Z31" i="19"/>
  <c r="AA9" i="19"/>
  <c r="AH46" i="15"/>
  <c r="AG46" i="15"/>
  <c r="AA22" i="19"/>
  <c r="AG40" i="15"/>
  <c r="AH38" i="19"/>
  <c r="AH41" i="18"/>
  <c r="AA51" i="19"/>
  <c r="AA86" i="19"/>
  <c r="AH37" i="19"/>
  <c r="AA88" i="19"/>
  <c r="AG45" i="18"/>
  <c r="Z49" i="19"/>
  <c r="Z16" i="19"/>
  <c r="AG35" i="16"/>
  <c r="AH39" i="16"/>
  <c r="AA75" i="19"/>
  <c r="Z68" i="19"/>
  <c r="AG35" i="19"/>
  <c r="Z56" i="19"/>
  <c r="AA73" i="19"/>
  <c r="Z10" i="19"/>
  <c r="AH44" i="15"/>
  <c r="AA69" i="19"/>
  <c r="Z72" i="19"/>
  <c r="AG41" i="18"/>
  <c r="AA65" i="19"/>
  <c r="AG41" i="19"/>
  <c r="Z66" i="19"/>
  <c r="Z19" i="19"/>
  <c r="AH39" i="15"/>
  <c r="Z21" i="19"/>
  <c r="AA80" i="19"/>
  <c r="AA18" i="19"/>
  <c r="Z90" i="19"/>
  <c r="AA70" i="19"/>
  <c r="Z73" i="19"/>
  <c r="AG43" i="19"/>
  <c r="AA85" i="19"/>
  <c r="AH38" i="15"/>
  <c r="AG44" i="18"/>
  <c r="AG38" i="18"/>
  <c r="Z50" i="19"/>
  <c r="AG46" i="18"/>
  <c r="Z83" i="19"/>
  <c r="Z86" i="19"/>
  <c r="AA55" i="19"/>
  <c r="Z55" i="19"/>
  <c r="AA57" i="19"/>
  <c r="AA3" i="19"/>
  <c r="Z60" i="19"/>
  <c r="AG37" i="16"/>
  <c r="Z27" i="19"/>
  <c r="Z79" i="19"/>
  <c r="AG39" i="16"/>
  <c r="Z14" i="19"/>
  <c r="AH45" i="15"/>
  <c r="AA76" i="19"/>
  <c r="AA16" i="19"/>
  <c r="Z67" i="19"/>
  <c r="AG37" i="19"/>
  <c r="AA23" i="19"/>
  <c r="Z75" i="19"/>
  <c r="AA13" i="19"/>
  <c r="AH35" i="15"/>
  <c r="AG38" i="16"/>
  <c r="Z61" i="19"/>
  <c r="AG45" i="19"/>
  <c r="AH41" i="16"/>
  <c r="AA49" i="19"/>
  <c r="AA83" i="19"/>
  <c r="AH40" i="16"/>
  <c r="AA31" i="16"/>
  <c r="Z54" i="19"/>
  <c r="AA17" i="19"/>
  <c r="AA74" i="19"/>
  <c r="AA15" i="19"/>
  <c r="Z23" i="19"/>
  <c r="Z58" i="19"/>
  <c r="AA67" i="19"/>
  <c r="AH35" i="19"/>
  <c r="AG36" i="19"/>
  <c r="AA52" i="19"/>
  <c r="AH42" i="19"/>
  <c r="AA27" i="19"/>
  <c r="AH45" i="19"/>
  <c r="AH45" i="18"/>
  <c r="Z69" i="19"/>
  <c r="AA53" i="19"/>
  <c r="AH36" i="15"/>
  <c r="Z15" i="19"/>
  <c r="AG35" i="18"/>
  <c r="AH38" i="18"/>
  <c r="Z20" i="19"/>
  <c r="AH36" i="16"/>
  <c r="AA87" i="19"/>
  <c r="AG42" i="16"/>
  <c r="AA78" i="19"/>
  <c r="AA58" i="19"/>
  <c r="AG39" i="19"/>
  <c r="Z78" i="19"/>
  <c r="AA56" i="19"/>
  <c r="Z76" i="19"/>
  <c r="AG38" i="19"/>
  <c r="Z63" i="19"/>
  <c r="AA31" i="15"/>
  <c r="AA59" i="19"/>
  <c r="AG43" i="16"/>
  <c r="Z8" i="19"/>
  <c r="AH37" i="16"/>
  <c r="AA14" i="19"/>
  <c r="AH35" i="16"/>
  <c r="AG39" i="15"/>
  <c r="Z13" i="19"/>
  <c r="AG45" i="16"/>
  <c r="AH44" i="16"/>
  <c r="AG44" i="16"/>
  <c r="Z70" i="19"/>
  <c r="AG45" i="15"/>
  <c r="AG43" i="15"/>
  <c r="AG37" i="18"/>
  <c r="AA90" i="19"/>
  <c r="AG40" i="18"/>
  <c r="AG44" i="15"/>
  <c r="AG37" i="15"/>
  <c r="AA72" i="19"/>
  <c r="AA77" i="19"/>
  <c r="AH41" i="19"/>
  <c r="AA31" i="19"/>
  <c r="AA31" i="18"/>
  <c r="Z64" i="19"/>
  <c r="AA50" i="19"/>
  <c r="Z4" i="19"/>
  <c r="AH43" i="19"/>
  <c r="AA54" i="19"/>
  <c r="G36" i="19"/>
  <c r="G35" i="19"/>
  <c r="G31" i="19"/>
  <c r="G30" i="19"/>
  <c r="G27" i="19"/>
  <c r="G29" i="19"/>
  <c r="G34" i="19"/>
  <c r="N5" i="19" l="1"/>
  <c r="M7" i="19"/>
  <c r="N43" i="19"/>
  <c r="N4" i="19"/>
  <c r="I28" i="19"/>
  <c r="L28" i="19" s="1"/>
  <c r="I60" i="19"/>
  <c r="L60" i="19" s="1"/>
  <c r="I7" i="19"/>
  <c r="L7" i="19" s="1"/>
  <c r="I18" i="19"/>
  <c r="L18" i="19" s="1"/>
  <c r="I11" i="19"/>
  <c r="L11" i="19" s="1"/>
  <c r="I56" i="19"/>
  <c r="L56" i="19" s="1"/>
  <c r="I58" i="19"/>
  <c r="L58" i="19" s="1"/>
  <c r="I47" i="19"/>
  <c r="L47" i="19" s="1"/>
  <c r="I63" i="19"/>
  <c r="L63" i="19" s="1"/>
  <c r="I49" i="19"/>
  <c r="L49" i="19" s="1"/>
  <c r="I54" i="19"/>
  <c r="L54" i="19" s="1"/>
  <c r="I5" i="19"/>
  <c r="L5" i="19" s="1"/>
  <c r="I43" i="19"/>
  <c r="L43" i="19" s="1"/>
  <c r="I71" i="19"/>
  <c r="L71" i="19" s="1"/>
  <c r="I77" i="19"/>
  <c r="L77" i="19" s="1"/>
  <c r="I31" i="19"/>
  <c r="L31" i="19" s="1"/>
  <c r="I50" i="19"/>
  <c r="L50" i="19" s="1"/>
  <c r="I10" i="19"/>
  <c r="L10" i="19" s="1"/>
  <c r="I41" i="19"/>
  <c r="L41" i="19" s="1"/>
  <c r="I17" i="19"/>
  <c r="L17" i="19" s="1"/>
  <c r="E24" i="19"/>
  <c r="I3" i="19"/>
  <c r="L3" i="19" s="1"/>
  <c r="I4" i="19"/>
  <c r="L4" i="19" s="1"/>
  <c r="I15" i="19"/>
  <c r="L15" i="19" s="1"/>
  <c r="I20" i="19"/>
  <c r="L20" i="19" s="1"/>
  <c r="I65" i="19"/>
  <c r="L65" i="19" s="1"/>
  <c r="I38" i="19"/>
  <c r="L38" i="19" s="1"/>
  <c r="I52" i="19"/>
  <c r="L52" i="19" s="1"/>
  <c r="I23" i="19"/>
  <c r="L23" i="19" s="1"/>
  <c r="I24" i="19"/>
  <c r="L24" i="19" s="1"/>
  <c r="I27" i="19"/>
  <c r="L27" i="19" s="1"/>
  <c r="I9" i="19"/>
  <c r="L9" i="19" s="1"/>
  <c r="I16" i="19"/>
  <c r="L16" i="19" s="1"/>
  <c r="I6" i="19"/>
  <c r="L6" i="19" s="1"/>
  <c r="I8" i="19"/>
  <c r="L8" i="19" s="1"/>
  <c r="I14" i="19"/>
  <c r="L14" i="19" s="1"/>
  <c r="I30" i="19"/>
  <c r="L30" i="19" s="1"/>
  <c r="I32" i="19"/>
  <c r="L32" i="19" s="1"/>
  <c r="I73" i="19"/>
  <c r="L73" i="19" s="1"/>
  <c r="I79" i="19"/>
  <c r="L79" i="19" s="1"/>
  <c r="I61" i="19"/>
  <c r="L61" i="19" s="1"/>
  <c r="I67" i="19"/>
  <c r="L67" i="19" s="1"/>
  <c r="I75" i="19"/>
  <c r="L75" i="19" s="1"/>
  <c r="I80" i="19"/>
  <c r="L80" i="19" s="1"/>
  <c r="I29" i="19"/>
  <c r="L29" i="19" s="1"/>
  <c r="I35" i="19"/>
  <c r="L35" i="19" s="1"/>
  <c r="I45" i="19"/>
  <c r="L45" i="19" s="1"/>
  <c r="I48" i="19"/>
  <c r="L48" i="19" s="1"/>
  <c r="I12" i="19"/>
  <c r="L12" i="19" s="1"/>
  <c r="I34" i="19"/>
  <c r="L34" i="19" s="1"/>
  <c r="I51" i="19"/>
  <c r="L51" i="19" s="1"/>
  <c r="I53" i="19"/>
  <c r="L53" i="19" s="1"/>
  <c r="I55" i="19"/>
  <c r="L55" i="19" s="1"/>
  <c r="I57" i="19"/>
  <c r="L57" i="19" s="1"/>
  <c r="I59" i="19"/>
  <c r="L59" i="19" s="1"/>
  <c r="I69" i="19"/>
  <c r="L69" i="19" s="1"/>
  <c r="I76" i="19"/>
  <c r="L76" i="19" s="1"/>
  <c r="I81" i="19"/>
  <c r="L81" i="19" s="1"/>
  <c r="I13" i="19"/>
  <c r="L13" i="19" s="1"/>
  <c r="I19" i="19"/>
  <c r="L19" i="19" s="1"/>
  <c r="I33" i="19"/>
  <c r="L33" i="19" s="1"/>
  <c r="I42" i="19"/>
  <c r="L42" i="19" s="1"/>
  <c r="I44" i="19"/>
  <c r="L44" i="19" s="1"/>
  <c r="I62" i="19"/>
  <c r="L62" i="19" s="1"/>
  <c r="I64" i="19"/>
  <c r="L64" i="19" s="1"/>
  <c r="I66" i="19"/>
  <c r="L66" i="19" s="1"/>
  <c r="I68" i="19"/>
  <c r="L68" i="19" s="1"/>
  <c r="I70" i="19"/>
  <c r="L70" i="19" s="1"/>
  <c r="I72" i="19"/>
  <c r="L72" i="19" s="1"/>
  <c r="I74" i="19"/>
  <c r="L74" i="19" s="1"/>
  <c r="I78" i="19"/>
  <c r="L78" i="19" s="1"/>
  <c r="I82" i="19"/>
  <c r="L82" i="19" s="1"/>
  <c r="I36" i="19"/>
  <c r="L36" i="19" s="1"/>
  <c r="I37" i="19"/>
  <c r="L37" i="19" s="1"/>
  <c r="I46" i="19"/>
  <c r="L46" i="19" s="1"/>
  <c r="O4" i="19"/>
  <c r="O28" i="19"/>
  <c r="M46" i="19"/>
  <c r="N45" i="19"/>
  <c r="C59" i="19"/>
  <c r="B59" i="19"/>
  <c r="M30" i="19"/>
  <c r="N29" i="19"/>
  <c r="N42" i="19"/>
  <c r="S40" i="19" a="1"/>
  <c r="S40" i="19" s="1"/>
  <c r="O41" i="19" s="1"/>
  <c r="N44" i="19"/>
  <c r="I27" i="18"/>
  <c r="I29" i="18"/>
  <c r="I28" i="18"/>
  <c r="I31" i="18"/>
  <c r="I36" i="18"/>
  <c r="I34" i="18"/>
  <c r="I38" i="18"/>
  <c r="I35" i="18"/>
  <c r="I37" i="18"/>
  <c r="I33" i="18"/>
  <c r="I32" i="18"/>
  <c r="I30" i="18"/>
  <c r="AA7" i="18"/>
  <c r="Z12" i="15"/>
  <c r="Z7" i="15"/>
  <c r="Z2" i="15"/>
  <c r="Z12" i="16"/>
  <c r="Z7" i="16"/>
  <c r="Z2" i="16"/>
  <c r="AA2" i="18"/>
  <c r="Y35" i="19"/>
  <c r="H28" i="19"/>
  <c r="Z35" i="19"/>
  <c r="AA35" i="19"/>
  <c r="H29" i="19"/>
  <c r="Y37" i="19" s="1"/>
  <c r="Y36" i="19"/>
  <c r="Z37" i="19"/>
  <c r="AA37" i="19"/>
  <c r="Z36" i="19"/>
  <c r="AA36" i="19"/>
  <c r="N7" i="19" l="1"/>
  <c r="M8" i="19"/>
  <c r="O5" i="19"/>
  <c r="C68" i="19"/>
  <c r="B68" i="19"/>
  <c r="M47" i="19"/>
  <c r="N46" i="19"/>
  <c r="O29" i="19"/>
  <c r="M31" i="19"/>
  <c r="N30" i="19"/>
  <c r="O42" i="19"/>
  <c r="BF23" i="18"/>
  <c r="BD23" i="18"/>
  <c r="BF22" i="18"/>
  <c r="BD22" i="18"/>
  <c r="E82" i="18"/>
  <c r="N82" i="18" s="1"/>
  <c r="E81" i="18"/>
  <c r="N81" i="18" s="1"/>
  <c r="E80" i="18"/>
  <c r="N80" i="18" s="1"/>
  <c r="E79" i="18"/>
  <c r="N79" i="18" s="1"/>
  <c r="E78" i="18"/>
  <c r="N78" i="18" s="1"/>
  <c r="E77" i="18"/>
  <c r="N77" i="18" s="1"/>
  <c r="E76" i="18"/>
  <c r="N76" i="18" s="1"/>
  <c r="E75" i="18"/>
  <c r="N75" i="18" s="1"/>
  <c r="E74" i="18"/>
  <c r="N74" i="18" s="1"/>
  <c r="E73" i="18"/>
  <c r="N73" i="18" s="1"/>
  <c r="E72" i="18"/>
  <c r="N72" i="18" s="1"/>
  <c r="E71" i="18"/>
  <c r="N71" i="18" s="1"/>
  <c r="E70" i="18"/>
  <c r="N70" i="18" s="1"/>
  <c r="E69" i="18"/>
  <c r="N69" i="18" s="1"/>
  <c r="E68" i="18"/>
  <c r="N68" i="18" s="1"/>
  <c r="E67" i="18"/>
  <c r="N67" i="18" s="1"/>
  <c r="E66" i="18"/>
  <c r="N66" i="18" s="1"/>
  <c r="E65" i="18"/>
  <c r="N65" i="18" s="1"/>
  <c r="E64" i="18"/>
  <c r="N64" i="18" s="1"/>
  <c r="E63" i="18"/>
  <c r="N63" i="18" s="1"/>
  <c r="E62" i="18"/>
  <c r="N62" i="18" s="1"/>
  <c r="E61" i="18"/>
  <c r="N61" i="18" s="1"/>
  <c r="C70" i="18"/>
  <c r="B70" i="18"/>
  <c r="E60" i="18"/>
  <c r="N60" i="18" s="1"/>
  <c r="C69" i="18"/>
  <c r="B69" i="18"/>
  <c r="E59" i="18"/>
  <c r="N59" i="18" s="1"/>
  <c r="E58" i="18"/>
  <c r="N58" i="18" s="1"/>
  <c r="C67" i="18"/>
  <c r="B67" i="18"/>
  <c r="E57" i="18"/>
  <c r="N57" i="18" s="1"/>
  <c r="C66" i="18"/>
  <c r="B66" i="18"/>
  <c r="E56" i="18"/>
  <c r="N56" i="18" s="1"/>
  <c r="C65" i="18"/>
  <c r="B65" i="18"/>
  <c r="E55" i="18"/>
  <c r="C64" i="18"/>
  <c r="B64" i="18"/>
  <c r="E54" i="18"/>
  <c r="C63" i="18"/>
  <c r="B63" i="18"/>
  <c r="E53" i="18"/>
  <c r="C62" i="18"/>
  <c r="B62" i="18"/>
  <c r="E52" i="18"/>
  <c r="C61" i="18"/>
  <c r="B61" i="18"/>
  <c r="E51" i="18"/>
  <c r="C60" i="18"/>
  <c r="B60" i="18"/>
  <c r="E50" i="18"/>
  <c r="C59" i="18"/>
  <c r="B59" i="18"/>
  <c r="E49" i="18"/>
  <c r="C58" i="18"/>
  <c r="B58" i="18"/>
  <c r="E48" i="18"/>
  <c r="B57" i="18"/>
  <c r="E47" i="18"/>
  <c r="B56" i="18"/>
  <c r="E46" i="18"/>
  <c r="B55" i="18"/>
  <c r="B54" i="18"/>
  <c r="E44" i="18"/>
  <c r="B53" i="18"/>
  <c r="E43" i="18"/>
  <c r="M42" i="18"/>
  <c r="M43" i="18" s="1"/>
  <c r="M44" i="18" s="1"/>
  <c r="M45" i="18" s="1"/>
  <c r="E42" i="18"/>
  <c r="N41" i="18"/>
  <c r="F41" i="18"/>
  <c r="C50" i="18"/>
  <c r="N38" i="18"/>
  <c r="N37" i="18"/>
  <c r="N36" i="18"/>
  <c r="N35" i="18"/>
  <c r="N34" i="18"/>
  <c r="N33" i="18"/>
  <c r="M28" i="18"/>
  <c r="M29" i="18" s="1"/>
  <c r="M30" i="18" s="1"/>
  <c r="M31" i="18" s="1"/>
  <c r="N31" i="18" s="1"/>
  <c r="N27" i="18"/>
  <c r="S26" i="18" a="1"/>
  <c r="S26" i="18" s="1"/>
  <c r="O27" i="18" s="1"/>
  <c r="BF24" i="18"/>
  <c r="BD24" i="18"/>
  <c r="F23" i="18"/>
  <c r="N20" i="18"/>
  <c r="F20" i="18"/>
  <c r="N19" i="18"/>
  <c r="F19" i="18"/>
  <c r="N18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5" i="18"/>
  <c r="M4" i="18"/>
  <c r="M5" i="18" s="1"/>
  <c r="F4" i="18"/>
  <c r="BF3" i="18"/>
  <c r="BE3" i="18"/>
  <c r="BD3" i="18"/>
  <c r="N3" i="18"/>
  <c r="F3" i="18"/>
  <c r="E24" i="18"/>
  <c r="S2" i="18" a="1"/>
  <c r="S2" i="18" s="1"/>
  <c r="O3" i="18" s="1"/>
  <c r="G32" i="18"/>
  <c r="C25" i="18"/>
  <c r="G30" i="18"/>
  <c r="G27" i="18"/>
  <c r="G31" i="18"/>
  <c r="H30" i="19"/>
  <c r="H31" i="19" s="1"/>
  <c r="Y39" i="19" s="1"/>
  <c r="H32" i="19"/>
  <c r="Y38" i="19"/>
  <c r="G29" i="18"/>
  <c r="H27" i="18"/>
  <c r="G28" i="18"/>
  <c r="Y35" i="18"/>
  <c r="H28" i="18"/>
  <c r="H29" i="18" s="1"/>
  <c r="Y36" i="18"/>
  <c r="AA82" i="18"/>
  <c r="AA55" i="18"/>
  <c r="Z56" i="18"/>
  <c r="Z76" i="18"/>
  <c r="Z67" i="18"/>
  <c r="AA88" i="18"/>
  <c r="AA73" i="18"/>
  <c r="AA52" i="18"/>
  <c r="Z78" i="18"/>
  <c r="Z8" i="18"/>
  <c r="Z39" i="19"/>
  <c r="AA62" i="18"/>
  <c r="AA59" i="18"/>
  <c r="AA66" i="18"/>
  <c r="AA80" i="18"/>
  <c r="AA76" i="18"/>
  <c r="Z73" i="18"/>
  <c r="AA51" i="18"/>
  <c r="Z63" i="18"/>
  <c r="AA61" i="18"/>
  <c r="AA53" i="18"/>
  <c r="Z90" i="18"/>
  <c r="Z68" i="18"/>
  <c r="Z55" i="18"/>
  <c r="Z53" i="18"/>
  <c r="AA83" i="18"/>
  <c r="Z13" i="18"/>
  <c r="AA64" i="18"/>
  <c r="AA78" i="18"/>
  <c r="AA10" i="18"/>
  <c r="Z10" i="18"/>
  <c r="Z21" i="18"/>
  <c r="Z75" i="18"/>
  <c r="AA3" i="18"/>
  <c r="Z57" i="18"/>
  <c r="Z52" i="18"/>
  <c r="Z20" i="18"/>
  <c r="Z85" i="18"/>
  <c r="Z82" i="18"/>
  <c r="AA81" i="18"/>
  <c r="Z9" i="18"/>
  <c r="AA75" i="18"/>
  <c r="Z66" i="18"/>
  <c r="Z49" i="18"/>
  <c r="AA8" i="18"/>
  <c r="Z89" i="18"/>
  <c r="Z61" i="18"/>
  <c r="Z88" i="18"/>
  <c r="AA15" i="18"/>
  <c r="AA58" i="18"/>
  <c r="Z65" i="18"/>
  <c r="AA57" i="18"/>
  <c r="AA77" i="18"/>
  <c r="AA24" i="18"/>
  <c r="AA18" i="18"/>
  <c r="Z14" i="18"/>
  <c r="AA84" i="18"/>
  <c r="Z70" i="18"/>
  <c r="Z60" i="18"/>
  <c r="Z62" i="18"/>
  <c r="AA19" i="18"/>
  <c r="AA39" i="19"/>
  <c r="AA74" i="18"/>
  <c r="AA72" i="18"/>
  <c r="Z17" i="18"/>
  <c r="AA14" i="18"/>
  <c r="AA71" i="18"/>
  <c r="Z51" i="18"/>
  <c r="Z58" i="18"/>
  <c r="Z50" i="18"/>
  <c r="AA20" i="18"/>
  <c r="Z22" i="18"/>
  <c r="Z38" i="19"/>
  <c r="AA5" i="18"/>
  <c r="AA56" i="18"/>
  <c r="Z4" i="18"/>
  <c r="AA89" i="18"/>
  <c r="AA70" i="18"/>
  <c r="Z59" i="18"/>
  <c r="Z27" i="18"/>
  <c r="Z3" i="18"/>
  <c r="AA79" i="18"/>
  <c r="Z80" i="18"/>
  <c r="Z77" i="18"/>
  <c r="Z87" i="18"/>
  <c r="AA87" i="18"/>
  <c r="AA21" i="18"/>
  <c r="Z54" i="18"/>
  <c r="Z79" i="18"/>
  <c r="Z31" i="18"/>
  <c r="Z24" i="18"/>
  <c r="AA85" i="18"/>
  <c r="AA22" i="18"/>
  <c r="AA4" i="18"/>
  <c r="AA38" i="19"/>
  <c r="AA54" i="18"/>
  <c r="Z69" i="18"/>
  <c r="AA49" i="18"/>
  <c r="Z74" i="18"/>
  <c r="Z64" i="18"/>
  <c r="AA9" i="18"/>
  <c r="Z81" i="18"/>
  <c r="AA17" i="18"/>
  <c r="Z83" i="18"/>
  <c r="Z86" i="18"/>
  <c r="AA27" i="18"/>
  <c r="AA16" i="18"/>
  <c r="AA65" i="18"/>
  <c r="AA69" i="18"/>
  <c r="Z5" i="18"/>
  <c r="AA23" i="18"/>
  <c r="AA90" i="18"/>
  <c r="AA50" i="18"/>
  <c r="AA60" i="18"/>
  <c r="AA67" i="18"/>
  <c r="AA86" i="18"/>
  <c r="AA68" i="18"/>
  <c r="Z16" i="18"/>
  <c r="AA63" i="18"/>
  <c r="Z71" i="18"/>
  <c r="Z19" i="18"/>
  <c r="Z72" i="18"/>
  <c r="Z23" i="18"/>
  <c r="AA13" i="18"/>
  <c r="Z15" i="18"/>
  <c r="Z18" i="18"/>
  <c r="Z84" i="18"/>
  <c r="Y40" i="19"/>
  <c r="H33" i="19"/>
  <c r="H30" i="18"/>
  <c r="Y37" i="18"/>
  <c r="Z40" i="19"/>
  <c r="AA40" i="19"/>
  <c r="Y41" i="19"/>
  <c r="H34" i="19"/>
  <c r="Y38" i="18"/>
  <c r="H31" i="18"/>
  <c r="AA41" i="19"/>
  <c r="Z41" i="19"/>
  <c r="Y42" i="19"/>
  <c r="H35" i="19"/>
  <c r="Y39" i="18"/>
  <c r="H32" i="18"/>
  <c r="Z42" i="19"/>
  <c r="AA42" i="19"/>
  <c r="Y43" i="19"/>
  <c r="H36" i="19"/>
  <c r="H33" i="18"/>
  <c r="Y40" i="18"/>
  <c r="Z43" i="19"/>
  <c r="AA43" i="19"/>
  <c r="H37" i="19"/>
  <c r="Y44" i="19"/>
  <c r="Y41" i="18"/>
  <c r="H34" i="18"/>
  <c r="H38" i="19"/>
  <c r="Y45" i="19"/>
  <c r="Z44" i="19"/>
  <c r="AA44" i="19"/>
  <c r="H35" i="18"/>
  <c r="Y42" i="18"/>
  <c r="Z45" i="19"/>
  <c r="AA45" i="19"/>
  <c r="Y43" i="18"/>
  <c r="H36" i="18"/>
  <c r="H37" i="18"/>
  <c r="Y44" i="18"/>
  <c r="Y45" i="18"/>
  <c r="H38" i="18"/>
  <c r="M9" i="19" l="1"/>
  <c r="N8" i="19"/>
  <c r="O30" i="19"/>
  <c r="N47" i="19"/>
  <c r="M48" i="19"/>
  <c r="O43" i="19"/>
  <c r="N31" i="19"/>
  <c r="M32" i="19"/>
  <c r="O6" i="19"/>
  <c r="N43" i="18"/>
  <c r="M32" i="18"/>
  <c r="I5" i="18"/>
  <c r="L5" i="18" s="1"/>
  <c r="I7" i="18"/>
  <c r="L7" i="18" s="1"/>
  <c r="I63" i="18"/>
  <c r="L63" i="18" s="1"/>
  <c r="I43" i="18"/>
  <c r="L43" i="18" s="1"/>
  <c r="I15" i="18"/>
  <c r="L15" i="18" s="1"/>
  <c r="I17" i="18"/>
  <c r="L17" i="18" s="1"/>
  <c r="I41" i="18"/>
  <c r="L41" i="18" s="1"/>
  <c r="I45" i="18"/>
  <c r="L45" i="18" s="1"/>
  <c r="I19" i="18"/>
  <c r="L19" i="18" s="1"/>
  <c r="I4" i="18"/>
  <c r="L4" i="18" s="1"/>
  <c r="I8" i="18"/>
  <c r="L8" i="18" s="1"/>
  <c r="I18" i="18"/>
  <c r="L18" i="18" s="1"/>
  <c r="I9" i="18"/>
  <c r="L9" i="18" s="1"/>
  <c r="I11" i="18"/>
  <c r="L11" i="18" s="1"/>
  <c r="I14" i="18"/>
  <c r="L14" i="18" s="1"/>
  <c r="I46" i="18"/>
  <c r="L46" i="18" s="1"/>
  <c r="I77" i="18"/>
  <c r="L77" i="18" s="1"/>
  <c r="I20" i="18"/>
  <c r="L20" i="18" s="1"/>
  <c r="I10" i="18"/>
  <c r="L10" i="18" s="1"/>
  <c r="I12" i="18"/>
  <c r="L12" i="18" s="1"/>
  <c r="I13" i="18"/>
  <c r="L13" i="18" s="1"/>
  <c r="I42" i="18"/>
  <c r="L42" i="18" s="1"/>
  <c r="I55" i="18"/>
  <c r="L55" i="18" s="1"/>
  <c r="I47" i="18"/>
  <c r="L47" i="18" s="1"/>
  <c r="I71" i="18"/>
  <c r="L71" i="18" s="1"/>
  <c r="I49" i="18"/>
  <c r="L49" i="18" s="1"/>
  <c r="I58" i="18"/>
  <c r="L58" i="18" s="1"/>
  <c r="I65" i="18"/>
  <c r="L65" i="18" s="1"/>
  <c r="I73" i="18"/>
  <c r="L73" i="18" s="1"/>
  <c r="I79" i="18"/>
  <c r="L79" i="18" s="1"/>
  <c r="I44" i="18"/>
  <c r="L44" i="18" s="1"/>
  <c r="I48" i="18"/>
  <c r="L48" i="18" s="1"/>
  <c r="I56" i="18"/>
  <c r="L56" i="18" s="1"/>
  <c r="I59" i="18"/>
  <c r="L59" i="18" s="1"/>
  <c r="I67" i="18"/>
  <c r="L67" i="18" s="1"/>
  <c r="I75" i="18"/>
  <c r="L75" i="18" s="1"/>
  <c r="I80" i="18"/>
  <c r="L80" i="18" s="1"/>
  <c r="I3" i="18"/>
  <c r="L3" i="18" s="1"/>
  <c r="I6" i="18"/>
  <c r="L6" i="18" s="1"/>
  <c r="I16" i="18"/>
  <c r="L16" i="18" s="1"/>
  <c r="I24" i="18"/>
  <c r="L24" i="18" s="1"/>
  <c r="I54" i="18"/>
  <c r="L54" i="18" s="1"/>
  <c r="I61" i="18"/>
  <c r="L61" i="18" s="1"/>
  <c r="I69" i="18"/>
  <c r="L69" i="18" s="1"/>
  <c r="I76" i="18"/>
  <c r="L76" i="18" s="1"/>
  <c r="I81" i="18"/>
  <c r="L81" i="18" s="1"/>
  <c r="I50" i="18"/>
  <c r="L50" i="18" s="1"/>
  <c r="I51" i="18"/>
  <c r="L51" i="18" s="1"/>
  <c r="I52" i="18"/>
  <c r="L52" i="18" s="1"/>
  <c r="I53" i="18"/>
  <c r="L53" i="18" s="1"/>
  <c r="I57" i="18"/>
  <c r="L57" i="18" s="1"/>
  <c r="I60" i="18"/>
  <c r="L60" i="18" s="1"/>
  <c r="I62" i="18"/>
  <c r="L62" i="18" s="1"/>
  <c r="I64" i="18"/>
  <c r="L64" i="18" s="1"/>
  <c r="I66" i="18"/>
  <c r="L66" i="18" s="1"/>
  <c r="I68" i="18"/>
  <c r="L68" i="18" s="1"/>
  <c r="I70" i="18"/>
  <c r="L70" i="18" s="1"/>
  <c r="I72" i="18"/>
  <c r="L72" i="18" s="1"/>
  <c r="I74" i="18"/>
  <c r="L74" i="18" s="1"/>
  <c r="I78" i="18"/>
  <c r="L78" i="18" s="1"/>
  <c r="I82" i="18"/>
  <c r="L82" i="18" s="1"/>
  <c r="I23" i="18"/>
  <c r="L23" i="18" s="1"/>
  <c r="N5" i="18"/>
  <c r="M6" i="18"/>
  <c r="S40" i="18" a="1"/>
  <c r="S40" i="18" s="1"/>
  <c r="M46" i="18"/>
  <c r="M47" i="18" s="1"/>
  <c r="M48" i="18" s="1"/>
  <c r="M49" i="18" s="1"/>
  <c r="M50" i="18" s="1"/>
  <c r="M51" i="18" s="1"/>
  <c r="M52" i="18" s="1"/>
  <c r="M53" i="18" s="1"/>
  <c r="M54" i="18" s="1"/>
  <c r="M55" i="18" s="1"/>
  <c r="N45" i="18"/>
  <c r="N50" i="18"/>
  <c r="O28" i="18"/>
  <c r="N4" i="18"/>
  <c r="N42" i="18"/>
  <c r="O4" i="18"/>
  <c r="N29" i="18"/>
  <c r="N28" i="18"/>
  <c r="N30" i="18"/>
  <c r="N44" i="18"/>
  <c r="Q1" i="17"/>
  <c r="Y46" i="19"/>
  <c r="Y46" i="18"/>
  <c r="AA46" i="18"/>
  <c r="Z42" i="18"/>
  <c r="Z39" i="18"/>
  <c r="Z45" i="18"/>
  <c r="AA45" i="18"/>
  <c r="Z46" i="18"/>
  <c r="Z38" i="18"/>
  <c r="Z44" i="18"/>
  <c r="AA41" i="18"/>
  <c r="AA36" i="18"/>
  <c r="AA38" i="18"/>
  <c r="AA43" i="18"/>
  <c r="Z37" i="18"/>
  <c r="Z43" i="18"/>
  <c r="AA37" i="18"/>
  <c r="AA35" i="18"/>
  <c r="Z41" i="18"/>
  <c r="Z35" i="18"/>
  <c r="AA44" i="18"/>
  <c r="AA40" i="18"/>
  <c r="Z36" i="18"/>
  <c r="Z40" i="18"/>
  <c r="AA39" i="18"/>
  <c r="AA42" i="18"/>
  <c r="Z46" i="19"/>
  <c r="AA46" i="19"/>
  <c r="N9" i="19" l="1"/>
  <c r="M10" i="19"/>
  <c r="M33" i="19"/>
  <c r="N32" i="19"/>
  <c r="N48" i="19"/>
  <c r="M49" i="19"/>
  <c r="O7" i="19"/>
  <c r="O31" i="19"/>
  <c r="P30" i="19"/>
  <c r="O44" i="19"/>
  <c r="N53" i="18"/>
  <c r="N46" i="18"/>
  <c r="O41" i="18"/>
  <c r="O42" i="18" s="1"/>
  <c r="N51" i="18"/>
  <c r="N32" i="18"/>
  <c r="P27" i="18" s="1"/>
  <c r="R27" i="18" s="1"/>
  <c r="M33" i="18"/>
  <c r="M34" i="18" s="1"/>
  <c r="M35" i="18" s="1"/>
  <c r="M36" i="18" s="1"/>
  <c r="M37" i="18" s="1"/>
  <c r="M38" i="18" s="1"/>
  <c r="L31" i="18"/>
  <c r="L32" i="18"/>
  <c r="L27" i="18"/>
  <c r="L35" i="18"/>
  <c r="L29" i="18"/>
  <c r="L36" i="18"/>
  <c r="L28" i="18"/>
  <c r="L38" i="18"/>
  <c r="L33" i="18"/>
  <c r="L30" i="18"/>
  <c r="L34" i="18"/>
  <c r="L37" i="18"/>
  <c r="O29" i="18"/>
  <c r="M7" i="18"/>
  <c r="N6" i="18"/>
  <c r="M56" i="18"/>
  <c r="M57" i="18" s="1"/>
  <c r="M58" i="18" s="1"/>
  <c r="M59" i="18" s="1"/>
  <c r="M60" i="18" s="1"/>
  <c r="M61" i="18" s="1"/>
  <c r="M62" i="18" s="1"/>
  <c r="M63" i="18" s="1"/>
  <c r="M64" i="18" s="1"/>
  <c r="M65" i="18" s="1"/>
  <c r="M66" i="18" s="1"/>
  <c r="M67" i="18" s="1"/>
  <c r="M68" i="18" s="1"/>
  <c r="M69" i="18" s="1"/>
  <c r="M70" i="18" s="1"/>
  <c r="M71" i="18" s="1"/>
  <c r="M72" i="18" s="1"/>
  <c r="M73" i="18" s="1"/>
  <c r="M74" i="18" s="1"/>
  <c r="M75" i="18" s="1"/>
  <c r="M76" i="18" s="1"/>
  <c r="M77" i="18" s="1"/>
  <c r="M78" i="18" s="1"/>
  <c r="M79" i="18" s="1"/>
  <c r="M80" i="18" s="1"/>
  <c r="M81" i="18" s="1"/>
  <c r="M82" i="18" s="1"/>
  <c r="N55" i="18"/>
  <c r="N49" i="18"/>
  <c r="N52" i="18"/>
  <c r="N47" i="18"/>
  <c r="N54" i="18"/>
  <c r="O5" i="18"/>
  <c r="N48" i="18"/>
  <c r="C19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C3" i="17"/>
  <c r="C6" i="17"/>
  <c r="C1" i="17"/>
  <c r="M5" i="17"/>
  <c r="M10" i="17"/>
  <c r="M16" i="17"/>
  <c r="M6" i="17"/>
  <c r="Y6" i="17"/>
  <c r="Y16" i="17"/>
  <c r="C5" i="4"/>
  <c r="X12" i="17"/>
  <c r="Y5" i="17"/>
  <c r="X8" i="17"/>
  <c r="X17" i="17"/>
  <c r="Y3" i="17"/>
  <c r="Y14" i="17"/>
  <c r="X10" i="17"/>
  <c r="Y4" i="17"/>
  <c r="X16" i="17"/>
  <c r="X5" i="17"/>
  <c r="X13" i="17"/>
  <c r="Y7" i="17"/>
  <c r="Y8" i="17"/>
  <c r="X7" i="17"/>
  <c r="Y10" i="17"/>
  <c r="Y11" i="17"/>
  <c r="X9" i="17"/>
  <c r="Y15" i="17"/>
  <c r="X3" i="17"/>
  <c r="C6" i="4"/>
  <c r="X11" i="17"/>
  <c r="X14" i="17"/>
  <c r="X15" i="17"/>
  <c r="X4" i="17"/>
  <c r="Y17" i="17"/>
  <c r="Y13" i="17"/>
  <c r="Y12" i="17"/>
  <c r="X6" i="17"/>
  <c r="Y9" i="17"/>
  <c r="M7" i="17"/>
  <c r="M15" i="17"/>
  <c r="M4" i="17"/>
  <c r="M11" i="17"/>
  <c r="M3" i="17"/>
  <c r="M13" i="17"/>
  <c r="M14" i="17"/>
  <c r="M17" i="17"/>
  <c r="M9" i="17"/>
  <c r="M12" i="17"/>
  <c r="M8" i="17"/>
  <c r="M11" i="19" l="1"/>
  <c r="N10" i="19"/>
  <c r="M34" i="19"/>
  <c r="M35" i="19" s="1"/>
  <c r="M36" i="19" s="1"/>
  <c r="M37" i="19" s="1"/>
  <c r="M38" i="19" s="1"/>
  <c r="N33" i="19"/>
  <c r="O8" i="19"/>
  <c r="M50" i="19"/>
  <c r="N49" i="19"/>
  <c r="R30" i="19"/>
  <c r="S30" i="19"/>
  <c r="O45" i="19"/>
  <c r="O32" i="19"/>
  <c r="P31" i="19"/>
  <c r="P28" i="18"/>
  <c r="R28" i="18" s="1"/>
  <c r="S27" i="18"/>
  <c r="P41" i="18"/>
  <c r="R41" i="18" s="1"/>
  <c r="B68" i="18"/>
  <c r="C68" i="18"/>
  <c r="P42" i="18"/>
  <c r="O43" i="18"/>
  <c r="O6" i="18"/>
  <c r="P29" i="18"/>
  <c r="R29" i="18" s="1"/>
  <c r="O30" i="18"/>
  <c r="M8" i="18"/>
  <c r="N7" i="18"/>
  <c r="G3" i="17"/>
  <c r="J3" i="17" s="1"/>
  <c r="G4" i="17"/>
  <c r="J4" i="17" s="1"/>
  <c r="G6" i="17"/>
  <c r="J6" i="17" s="1"/>
  <c r="G10" i="17"/>
  <c r="J10" i="17" s="1"/>
  <c r="G14" i="17"/>
  <c r="J14" i="17" s="1"/>
  <c r="G7" i="17"/>
  <c r="J7" i="17" s="1"/>
  <c r="G11" i="17"/>
  <c r="J11" i="17" s="1"/>
  <c r="G15" i="17"/>
  <c r="J15" i="17" s="1"/>
  <c r="G8" i="17"/>
  <c r="J8" i="17" s="1"/>
  <c r="G12" i="17"/>
  <c r="J12" i="17" s="1"/>
  <c r="G16" i="17"/>
  <c r="J16" i="17" s="1"/>
  <c r="G5" i="17"/>
  <c r="J5" i="17" s="1"/>
  <c r="G9" i="17"/>
  <c r="J9" i="17" s="1"/>
  <c r="G13" i="17"/>
  <c r="J13" i="17" s="1"/>
  <c r="G17" i="17"/>
  <c r="J17" i="17" s="1"/>
  <c r="F82" i="16"/>
  <c r="E82" i="16" s="1"/>
  <c r="N82" i="16" s="1"/>
  <c r="F81" i="16"/>
  <c r="E81" i="16" s="1"/>
  <c r="N81" i="16" s="1"/>
  <c r="F80" i="16"/>
  <c r="E80" i="16" s="1"/>
  <c r="N80" i="16" s="1"/>
  <c r="F79" i="16"/>
  <c r="E79" i="16" s="1"/>
  <c r="N79" i="16" s="1"/>
  <c r="F78" i="16"/>
  <c r="E78" i="16" s="1"/>
  <c r="N78" i="16" s="1"/>
  <c r="F77" i="16"/>
  <c r="E77" i="16" s="1"/>
  <c r="N77" i="16" s="1"/>
  <c r="F76" i="16"/>
  <c r="E76" i="16" s="1"/>
  <c r="N76" i="16" s="1"/>
  <c r="F75" i="16"/>
  <c r="E75" i="16" s="1"/>
  <c r="N75" i="16" s="1"/>
  <c r="F74" i="16"/>
  <c r="E74" i="16" s="1"/>
  <c r="N74" i="16" s="1"/>
  <c r="F73" i="16"/>
  <c r="E73" i="16" s="1"/>
  <c r="N73" i="16" s="1"/>
  <c r="F72" i="16"/>
  <c r="E72" i="16" s="1"/>
  <c r="N72" i="16" s="1"/>
  <c r="F71" i="16"/>
  <c r="E71" i="16" s="1"/>
  <c r="N71" i="16" s="1"/>
  <c r="F70" i="16"/>
  <c r="E70" i="16" s="1"/>
  <c r="N70" i="16" s="1"/>
  <c r="F69" i="16"/>
  <c r="E69" i="16" s="1"/>
  <c r="N69" i="16" s="1"/>
  <c r="F68" i="16"/>
  <c r="E68" i="16" s="1"/>
  <c r="N68" i="16" s="1"/>
  <c r="F67" i="16"/>
  <c r="E67" i="16" s="1"/>
  <c r="N67" i="16" s="1"/>
  <c r="F66" i="16"/>
  <c r="E66" i="16" s="1"/>
  <c r="N66" i="16" s="1"/>
  <c r="F65" i="16"/>
  <c r="E65" i="16" s="1"/>
  <c r="N65" i="16" s="1"/>
  <c r="F64" i="16"/>
  <c r="E64" i="16" s="1"/>
  <c r="N64" i="16" s="1"/>
  <c r="F63" i="16"/>
  <c r="E63" i="16" s="1"/>
  <c r="N63" i="16" s="1"/>
  <c r="F62" i="16"/>
  <c r="E62" i="16" s="1"/>
  <c r="N62" i="16" s="1"/>
  <c r="F61" i="16"/>
  <c r="E61" i="16" s="1"/>
  <c r="N61" i="16" s="1"/>
  <c r="C70" i="16"/>
  <c r="B70" i="16"/>
  <c r="F60" i="16"/>
  <c r="E60" i="16" s="1"/>
  <c r="N60" i="16" s="1"/>
  <c r="C69" i="16"/>
  <c r="B69" i="16"/>
  <c r="F59" i="16"/>
  <c r="E59" i="16" s="1"/>
  <c r="N59" i="16" s="1"/>
  <c r="F58" i="16"/>
  <c r="E58" i="16" s="1"/>
  <c r="N58" i="16" s="1"/>
  <c r="C67" i="16"/>
  <c r="B67" i="16"/>
  <c r="F57" i="16"/>
  <c r="E57" i="16" s="1"/>
  <c r="N57" i="16" s="1"/>
  <c r="C66" i="16"/>
  <c r="B66" i="16"/>
  <c r="F56" i="16"/>
  <c r="E56" i="16" s="1"/>
  <c r="C65" i="16"/>
  <c r="B65" i="16"/>
  <c r="F55" i="16"/>
  <c r="E55" i="16" s="1"/>
  <c r="C64" i="16"/>
  <c r="B64" i="16"/>
  <c r="F54" i="16"/>
  <c r="E54" i="16" s="1"/>
  <c r="C63" i="16"/>
  <c r="B63" i="16"/>
  <c r="F53" i="16"/>
  <c r="E53" i="16" s="1"/>
  <c r="C62" i="16"/>
  <c r="B62" i="16"/>
  <c r="F52" i="16"/>
  <c r="E52" i="16" s="1"/>
  <c r="C61" i="16"/>
  <c r="B61" i="16"/>
  <c r="F51" i="16"/>
  <c r="E51" i="16" s="1"/>
  <c r="C60" i="16"/>
  <c r="B60" i="16"/>
  <c r="F50" i="16"/>
  <c r="E50" i="16" s="1"/>
  <c r="C59" i="16"/>
  <c r="B59" i="16"/>
  <c r="F49" i="16"/>
  <c r="E49" i="16" s="1"/>
  <c r="C58" i="16"/>
  <c r="B58" i="16"/>
  <c r="F48" i="16"/>
  <c r="E48" i="16" s="1"/>
  <c r="B57" i="16"/>
  <c r="F47" i="16"/>
  <c r="E47" i="16" s="1"/>
  <c r="B56" i="16"/>
  <c r="F46" i="16"/>
  <c r="E46" i="16" s="1"/>
  <c r="B55" i="16"/>
  <c r="F45" i="16"/>
  <c r="B54" i="16"/>
  <c r="F44" i="16"/>
  <c r="E44" i="16" s="1"/>
  <c r="B53" i="16"/>
  <c r="F43" i="16"/>
  <c r="E43" i="16" s="1"/>
  <c r="M42" i="16"/>
  <c r="M43" i="16" s="1"/>
  <c r="M44" i="16" s="1"/>
  <c r="M45" i="16" s="1"/>
  <c r="F42" i="16"/>
  <c r="E42" i="16" s="1"/>
  <c r="N41" i="16"/>
  <c r="F41" i="16"/>
  <c r="C50" i="16"/>
  <c r="N38" i="16"/>
  <c r="N37" i="16"/>
  <c r="N36" i="16"/>
  <c r="N35" i="16"/>
  <c r="N34" i="16"/>
  <c r="N33" i="16"/>
  <c r="M28" i="16"/>
  <c r="M29" i="16" s="1"/>
  <c r="BF27" i="16"/>
  <c r="BE27" i="16"/>
  <c r="BD27" i="16"/>
  <c r="N27" i="16"/>
  <c r="BF26" i="16"/>
  <c r="BE26" i="16"/>
  <c r="BD26" i="16"/>
  <c r="S26" i="16" a="1"/>
  <c r="S26" i="16" s="1"/>
  <c r="O27" i="16" s="1"/>
  <c r="O28" i="16" s="1"/>
  <c r="O29" i="16" s="1"/>
  <c r="BF25" i="16"/>
  <c r="BE25" i="16"/>
  <c r="BD25" i="16"/>
  <c r="BF24" i="16"/>
  <c r="BE24" i="16"/>
  <c r="BD24" i="16"/>
  <c r="BF23" i="16"/>
  <c r="BE23" i="16"/>
  <c r="BD23" i="16"/>
  <c r="F23" i="16"/>
  <c r="BF22" i="16"/>
  <c r="BE22" i="16"/>
  <c r="BD22" i="16"/>
  <c r="BF20" i="16"/>
  <c r="BE20" i="16"/>
  <c r="BD20" i="16"/>
  <c r="N20" i="16"/>
  <c r="F20" i="16"/>
  <c r="BF19" i="16"/>
  <c r="BE19" i="16"/>
  <c r="BD19" i="16"/>
  <c r="N19" i="16"/>
  <c r="F19" i="16"/>
  <c r="BF18" i="16"/>
  <c r="BE18" i="16"/>
  <c r="BD18" i="16"/>
  <c r="N18" i="16"/>
  <c r="F18" i="16"/>
  <c r="BF17" i="16"/>
  <c r="BE17" i="16"/>
  <c r="BD17" i="16"/>
  <c r="F17" i="16"/>
  <c r="BF16" i="16"/>
  <c r="BE16" i="16"/>
  <c r="BD16" i="16"/>
  <c r="F16" i="16"/>
  <c r="BF15" i="16"/>
  <c r="BE15" i="16"/>
  <c r="BD15" i="16"/>
  <c r="F15" i="16"/>
  <c r="BF14" i="16"/>
  <c r="BE14" i="16"/>
  <c r="BD14" i="16"/>
  <c r="F14" i="16"/>
  <c r="BF13" i="16"/>
  <c r="BE13" i="16"/>
  <c r="BD13" i="16"/>
  <c r="F13" i="16"/>
  <c r="BF12" i="16"/>
  <c r="BE12" i="16"/>
  <c r="BD12" i="16"/>
  <c r="F12" i="16"/>
  <c r="BF11" i="16"/>
  <c r="BE11" i="16"/>
  <c r="BD11" i="16"/>
  <c r="F11" i="16"/>
  <c r="BF10" i="16"/>
  <c r="BE10" i="16"/>
  <c r="BD10" i="16"/>
  <c r="F10" i="16"/>
  <c r="BF9" i="16"/>
  <c r="BE9" i="16"/>
  <c r="BD9" i="16"/>
  <c r="F9" i="16"/>
  <c r="BF8" i="16"/>
  <c r="BE8" i="16"/>
  <c r="BD8" i="16"/>
  <c r="F8" i="16"/>
  <c r="BF7" i="16"/>
  <c r="BE7" i="16"/>
  <c r="BD7" i="16"/>
  <c r="F7" i="16"/>
  <c r="BF6" i="16"/>
  <c r="BE6" i="16"/>
  <c r="BD6" i="16"/>
  <c r="BF5" i="16"/>
  <c r="BE5" i="16"/>
  <c r="BD5" i="16"/>
  <c r="F5" i="16"/>
  <c r="BF4" i="16"/>
  <c r="BE4" i="16"/>
  <c r="BD4" i="16"/>
  <c r="M4" i="16"/>
  <c r="M5" i="16" s="1"/>
  <c r="F4" i="16"/>
  <c r="BF3" i="16"/>
  <c r="BE3" i="16"/>
  <c r="BD3" i="16"/>
  <c r="N3" i="16"/>
  <c r="F3" i="16"/>
  <c r="C3" i="16"/>
  <c r="S2" i="16" a="1"/>
  <c r="S2" i="16" s="1"/>
  <c r="O3" i="16" s="1"/>
  <c r="O4" i="16" s="1"/>
  <c r="O5" i="16" s="1"/>
  <c r="C25" i="16"/>
  <c r="G34" i="16"/>
  <c r="G33" i="16"/>
  <c r="G27" i="16"/>
  <c r="H27" i="16"/>
  <c r="G29" i="16"/>
  <c r="Z19" i="16"/>
  <c r="AA51" i="16"/>
  <c r="AA14" i="16"/>
  <c r="Z73" i="16"/>
  <c r="Z90" i="16"/>
  <c r="AA67" i="16"/>
  <c r="AA64" i="16"/>
  <c r="Z51" i="16"/>
  <c r="Z58" i="16"/>
  <c r="AA76" i="16"/>
  <c r="AA89" i="16"/>
  <c r="AA63" i="16"/>
  <c r="Z31" i="16"/>
  <c r="AA86" i="16"/>
  <c r="AA71" i="16"/>
  <c r="AA19" i="16"/>
  <c r="Z81" i="16"/>
  <c r="AA49" i="16"/>
  <c r="AA27" i="16"/>
  <c r="Z86" i="16"/>
  <c r="AA73" i="16"/>
  <c r="AA4" i="16"/>
  <c r="AA65" i="16"/>
  <c r="Z62" i="16"/>
  <c r="Z16" i="16"/>
  <c r="Z66" i="16"/>
  <c r="Z75" i="16"/>
  <c r="Z63" i="16"/>
  <c r="Z27" i="16"/>
  <c r="Z67" i="16"/>
  <c r="Z88" i="16"/>
  <c r="AA16" i="16"/>
  <c r="AA18" i="16"/>
  <c r="Z56" i="16"/>
  <c r="Z83" i="16"/>
  <c r="Z76" i="16"/>
  <c r="AA15" i="16"/>
  <c r="Z84" i="16"/>
  <c r="Z70" i="16"/>
  <c r="Z15" i="16"/>
  <c r="Z23" i="16"/>
  <c r="Z65" i="16"/>
  <c r="Z14" i="16"/>
  <c r="AA84" i="16"/>
  <c r="AA21" i="16"/>
  <c r="AA61" i="16"/>
  <c r="AA80" i="16"/>
  <c r="AA52" i="16"/>
  <c r="AA79" i="16"/>
  <c r="AA74" i="16"/>
  <c r="Z85" i="16"/>
  <c r="AA87" i="16"/>
  <c r="Z10" i="16"/>
  <c r="Z72" i="16"/>
  <c r="AA13" i="16"/>
  <c r="Z74" i="16"/>
  <c r="AA90" i="16"/>
  <c r="Z3" i="16"/>
  <c r="Z77" i="16"/>
  <c r="Z71" i="16"/>
  <c r="AA55" i="16"/>
  <c r="AA53" i="16"/>
  <c r="Z59" i="16"/>
  <c r="Z80" i="16"/>
  <c r="AA50" i="16"/>
  <c r="Z68" i="16"/>
  <c r="Z69" i="16"/>
  <c r="AA9" i="16"/>
  <c r="AA81" i="16"/>
  <c r="AA62" i="16"/>
  <c r="Z79" i="16"/>
  <c r="AA75" i="16"/>
  <c r="AA5" i="16"/>
  <c r="Z78" i="16"/>
  <c r="AA57" i="16"/>
  <c r="Z9" i="16"/>
  <c r="AA66" i="16"/>
  <c r="Z50" i="16"/>
  <c r="AA78" i="16"/>
  <c r="AA70" i="16"/>
  <c r="Z5" i="16"/>
  <c r="Z54" i="16"/>
  <c r="AA20" i="16"/>
  <c r="AA3" i="16"/>
  <c r="AA85" i="16"/>
  <c r="Z61" i="16"/>
  <c r="Z82" i="16"/>
  <c r="AA10" i="16"/>
  <c r="Z87" i="16"/>
  <c r="AA58" i="16"/>
  <c r="AA82" i="16"/>
  <c r="AA59" i="16"/>
  <c r="AA8" i="16"/>
  <c r="Z64" i="16"/>
  <c r="Z17" i="16"/>
  <c r="AA83" i="16"/>
  <c r="Z24" i="16"/>
  <c r="Z52" i="16"/>
  <c r="AA68" i="16"/>
  <c r="AA23" i="16"/>
  <c r="Z13" i="16"/>
  <c r="Z60" i="16"/>
  <c r="Z8" i="16"/>
  <c r="AA17" i="16"/>
  <c r="Z53" i="16"/>
  <c r="Z20" i="16"/>
  <c r="Z55" i="16"/>
  <c r="Z21" i="16"/>
  <c r="AA88" i="16"/>
  <c r="AA54" i="16"/>
  <c r="AA60" i="16"/>
  <c r="Z57" i="16"/>
  <c r="Z18" i="16"/>
  <c r="Z22" i="16"/>
  <c r="AA77" i="16"/>
  <c r="Z49" i="16"/>
  <c r="AA22" i="16"/>
  <c r="AA72" i="16"/>
  <c r="Z89" i="16"/>
  <c r="AA56" i="16"/>
  <c r="AA24" i="16"/>
  <c r="Z4" i="16"/>
  <c r="AA69" i="16"/>
  <c r="G30" i="16"/>
  <c r="G32" i="16"/>
  <c r="G31" i="16"/>
  <c r="N11" i="19" l="1"/>
  <c r="M12" i="19"/>
  <c r="P28" i="19"/>
  <c r="P29" i="19"/>
  <c r="P27" i="19"/>
  <c r="M51" i="19"/>
  <c r="N50" i="19"/>
  <c r="O46" i="19"/>
  <c r="R31" i="19"/>
  <c r="S31" i="19"/>
  <c r="P32" i="19"/>
  <c r="O33" i="19"/>
  <c r="O9" i="19"/>
  <c r="S28" i="18"/>
  <c r="N42" i="16"/>
  <c r="S41" i="18"/>
  <c r="N44" i="16"/>
  <c r="N8" i="18"/>
  <c r="M9" i="18"/>
  <c r="P43" i="18"/>
  <c r="O44" i="18"/>
  <c r="O31" i="18"/>
  <c r="P30" i="18"/>
  <c r="R30" i="18" s="1"/>
  <c r="R42" i="18"/>
  <c r="S42" i="18"/>
  <c r="S29" i="18"/>
  <c r="O7" i="18"/>
  <c r="I73" i="16"/>
  <c r="L73" i="16" s="1"/>
  <c r="I8" i="16"/>
  <c r="L8" i="16" s="1"/>
  <c r="I65" i="16"/>
  <c r="L65" i="16" s="1"/>
  <c r="I18" i="16"/>
  <c r="L18" i="16" s="1"/>
  <c r="I77" i="16"/>
  <c r="L77" i="16" s="1"/>
  <c r="I7" i="16"/>
  <c r="L7" i="16" s="1"/>
  <c r="I20" i="16"/>
  <c r="L20" i="16" s="1"/>
  <c r="I63" i="16"/>
  <c r="L63" i="16" s="1"/>
  <c r="I4" i="16"/>
  <c r="L4" i="16" s="1"/>
  <c r="I71" i="16"/>
  <c r="L71" i="16" s="1"/>
  <c r="I79" i="16"/>
  <c r="L79" i="16" s="1"/>
  <c r="I5" i="16"/>
  <c r="L5" i="16" s="1"/>
  <c r="I19" i="16"/>
  <c r="L19" i="16" s="1"/>
  <c r="I9" i="16"/>
  <c r="L9" i="16" s="1"/>
  <c r="I55" i="16"/>
  <c r="L55" i="16" s="1"/>
  <c r="I58" i="16"/>
  <c r="L58" i="16" s="1"/>
  <c r="I17" i="16"/>
  <c r="L17" i="16" s="1"/>
  <c r="I56" i="16"/>
  <c r="L56" i="16" s="1"/>
  <c r="I59" i="16"/>
  <c r="L59" i="16" s="1"/>
  <c r="I67" i="16"/>
  <c r="L67" i="16" s="1"/>
  <c r="I75" i="16"/>
  <c r="L75" i="16" s="1"/>
  <c r="I80" i="16"/>
  <c r="L80" i="16" s="1"/>
  <c r="I3" i="16"/>
  <c r="L3" i="16" s="1"/>
  <c r="I6" i="16"/>
  <c r="L6" i="16" s="1"/>
  <c r="I11" i="16"/>
  <c r="L11" i="16" s="1"/>
  <c r="I12" i="16"/>
  <c r="L12" i="16" s="1"/>
  <c r="I13" i="16"/>
  <c r="L13" i="16" s="1"/>
  <c r="I14" i="16"/>
  <c r="L14" i="16" s="1"/>
  <c r="I15" i="16"/>
  <c r="L15" i="16" s="1"/>
  <c r="I16" i="16"/>
  <c r="L16" i="16" s="1"/>
  <c r="I24" i="16"/>
  <c r="L24" i="16" s="1"/>
  <c r="I54" i="16"/>
  <c r="L54" i="16" s="1"/>
  <c r="I61" i="16"/>
  <c r="L61" i="16" s="1"/>
  <c r="I69" i="16"/>
  <c r="L69" i="16" s="1"/>
  <c r="I76" i="16"/>
  <c r="L76" i="16" s="1"/>
  <c r="I81" i="16"/>
  <c r="L81" i="16" s="1"/>
  <c r="I41" i="16"/>
  <c r="L41" i="16" s="1"/>
  <c r="I42" i="16"/>
  <c r="L42" i="16" s="1"/>
  <c r="I43" i="16"/>
  <c r="L43" i="16" s="1"/>
  <c r="I44" i="16"/>
  <c r="L44" i="16" s="1"/>
  <c r="I45" i="16"/>
  <c r="L45" i="16" s="1"/>
  <c r="I46" i="16"/>
  <c r="L46" i="16" s="1"/>
  <c r="I47" i="16"/>
  <c r="L47" i="16" s="1"/>
  <c r="I48" i="16"/>
  <c r="L48" i="16" s="1"/>
  <c r="I49" i="16"/>
  <c r="L49" i="16" s="1"/>
  <c r="I50" i="16"/>
  <c r="L50" i="16" s="1"/>
  <c r="I51" i="16"/>
  <c r="L51" i="16" s="1"/>
  <c r="I52" i="16"/>
  <c r="L52" i="16" s="1"/>
  <c r="I53" i="16"/>
  <c r="L53" i="16" s="1"/>
  <c r="I57" i="16"/>
  <c r="L57" i="16" s="1"/>
  <c r="I60" i="16"/>
  <c r="L60" i="16" s="1"/>
  <c r="I62" i="16"/>
  <c r="L62" i="16" s="1"/>
  <c r="I64" i="16"/>
  <c r="L64" i="16" s="1"/>
  <c r="I66" i="16"/>
  <c r="L66" i="16" s="1"/>
  <c r="I68" i="16"/>
  <c r="L68" i="16" s="1"/>
  <c r="I70" i="16"/>
  <c r="L70" i="16" s="1"/>
  <c r="I72" i="16"/>
  <c r="L72" i="16" s="1"/>
  <c r="I74" i="16"/>
  <c r="L74" i="16" s="1"/>
  <c r="I78" i="16"/>
  <c r="L78" i="16" s="1"/>
  <c r="I82" i="16"/>
  <c r="L82" i="16" s="1"/>
  <c r="I10" i="16"/>
  <c r="L10" i="16" s="1"/>
  <c r="I23" i="16"/>
  <c r="L23" i="16" s="1"/>
  <c r="M6" i="16"/>
  <c r="N5" i="16"/>
  <c r="O6" i="16"/>
  <c r="O30" i="16"/>
  <c r="N4" i="16"/>
  <c r="M30" i="16"/>
  <c r="N29" i="16"/>
  <c r="N43" i="16"/>
  <c r="S40" i="16" a="1"/>
  <c r="S40" i="16" s="1"/>
  <c r="N45" i="16"/>
  <c r="M46" i="16"/>
  <c r="M47" i="16" s="1"/>
  <c r="M48" i="16" s="1"/>
  <c r="N28" i="16"/>
  <c r="Y35" i="16"/>
  <c r="H28" i="16"/>
  <c r="Y36" i="16"/>
  <c r="F27" i="16"/>
  <c r="F28" i="16"/>
  <c r="H29" i="16"/>
  <c r="G28" i="16"/>
  <c r="AA36" i="16"/>
  <c r="Z36" i="16"/>
  <c r="Z35" i="16"/>
  <c r="AA35" i="16"/>
  <c r="F29" i="16"/>
  <c r="H30" i="16"/>
  <c r="Y37" i="16"/>
  <c r="F30" i="16"/>
  <c r="Y38" i="16"/>
  <c r="H31" i="16"/>
  <c r="F31" i="16"/>
  <c r="H32" i="16"/>
  <c r="Y39" i="16"/>
  <c r="F32" i="16"/>
  <c r="Y40" i="16"/>
  <c r="H33" i="16"/>
  <c r="H34" i="16"/>
  <c r="Y41" i="16"/>
  <c r="F33" i="16"/>
  <c r="H35" i="16"/>
  <c r="F34" i="16"/>
  <c r="Y42" i="16"/>
  <c r="Y43" i="16"/>
  <c r="F35" i="16"/>
  <c r="H36" i="16"/>
  <c r="H37" i="16"/>
  <c r="F36" i="16"/>
  <c r="Y44" i="16"/>
  <c r="H38" i="16"/>
  <c r="F37" i="16"/>
  <c r="Y45" i="16"/>
  <c r="F38" i="16"/>
  <c r="Y46" i="16"/>
  <c r="N12" i="19" l="1"/>
  <c r="M13" i="19"/>
  <c r="S27" i="19"/>
  <c r="R27" i="19"/>
  <c r="R29" i="19"/>
  <c r="S29" i="19"/>
  <c r="S28" i="19"/>
  <c r="R28" i="19"/>
  <c r="O47" i="19"/>
  <c r="O10" i="19"/>
  <c r="O34" i="19"/>
  <c r="P33" i="19"/>
  <c r="R33" i="19" s="1"/>
  <c r="S32" i="19"/>
  <c r="R32" i="19"/>
  <c r="M52" i="19"/>
  <c r="N51" i="19"/>
  <c r="I28" i="16"/>
  <c r="L28" i="16" s="1"/>
  <c r="I27" i="16"/>
  <c r="L27" i="16" s="1"/>
  <c r="N47" i="16"/>
  <c r="O41" i="16"/>
  <c r="O42" i="16" s="1"/>
  <c r="O8" i="18"/>
  <c r="S30" i="18"/>
  <c r="P31" i="18"/>
  <c r="R31" i="18" s="1"/>
  <c r="O32" i="18"/>
  <c r="O45" i="18"/>
  <c r="P44" i="18"/>
  <c r="S43" i="18"/>
  <c r="R43" i="18"/>
  <c r="N9" i="18"/>
  <c r="M10" i="18"/>
  <c r="C68" i="16"/>
  <c r="B68" i="16"/>
  <c r="O7" i="16"/>
  <c r="N30" i="16"/>
  <c r="M31" i="16"/>
  <c r="N46" i="16"/>
  <c r="N48" i="16"/>
  <c r="M49" i="16"/>
  <c r="O31" i="16"/>
  <c r="N6" i="16"/>
  <c r="M7" i="16"/>
  <c r="C3" i="15"/>
  <c r="E24" i="15" s="1"/>
  <c r="F82" i="15"/>
  <c r="E82" i="15" s="1"/>
  <c r="N82" i="15" s="1"/>
  <c r="F81" i="15"/>
  <c r="E81" i="15" s="1"/>
  <c r="N81" i="15" s="1"/>
  <c r="F80" i="15"/>
  <c r="E80" i="15" s="1"/>
  <c r="N80" i="15" s="1"/>
  <c r="F79" i="15"/>
  <c r="E79" i="15" s="1"/>
  <c r="N79" i="15" s="1"/>
  <c r="F78" i="15"/>
  <c r="E78" i="15" s="1"/>
  <c r="N78" i="15" s="1"/>
  <c r="F77" i="15"/>
  <c r="E77" i="15" s="1"/>
  <c r="N77" i="15" s="1"/>
  <c r="F76" i="15"/>
  <c r="E76" i="15" s="1"/>
  <c r="N76" i="15" s="1"/>
  <c r="F75" i="15"/>
  <c r="E75" i="15" s="1"/>
  <c r="N75" i="15" s="1"/>
  <c r="F74" i="15"/>
  <c r="E74" i="15" s="1"/>
  <c r="N74" i="15" s="1"/>
  <c r="F73" i="15"/>
  <c r="E73" i="15" s="1"/>
  <c r="N73" i="15" s="1"/>
  <c r="F72" i="15"/>
  <c r="E72" i="15" s="1"/>
  <c r="N72" i="15" s="1"/>
  <c r="F71" i="15"/>
  <c r="E71" i="15" s="1"/>
  <c r="N71" i="15" s="1"/>
  <c r="F70" i="15"/>
  <c r="E70" i="15" s="1"/>
  <c r="N70" i="15" s="1"/>
  <c r="F69" i="15"/>
  <c r="E69" i="15" s="1"/>
  <c r="N69" i="15" s="1"/>
  <c r="F68" i="15"/>
  <c r="E68" i="15" s="1"/>
  <c r="N68" i="15" s="1"/>
  <c r="F67" i="15"/>
  <c r="E67" i="15" s="1"/>
  <c r="N67" i="15" s="1"/>
  <c r="F66" i="15"/>
  <c r="E66" i="15" s="1"/>
  <c r="N66" i="15" s="1"/>
  <c r="F65" i="15"/>
  <c r="E65" i="15" s="1"/>
  <c r="N65" i="15" s="1"/>
  <c r="F64" i="15"/>
  <c r="E64" i="15" s="1"/>
  <c r="N64" i="15" s="1"/>
  <c r="F63" i="15"/>
  <c r="E63" i="15" s="1"/>
  <c r="N63" i="15" s="1"/>
  <c r="F62" i="15"/>
  <c r="E62" i="15" s="1"/>
  <c r="N62" i="15" s="1"/>
  <c r="F61" i="15"/>
  <c r="E61" i="15" s="1"/>
  <c r="N61" i="15" s="1"/>
  <c r="C70" i="15"/>
  <c r="B70" i="15"/>
  <c r="F60" i="15"/>
  <c r="E60" i="15" s="1"/>
  <c r="N60" i="15" s="1"/>
  <c r="C69" i="15"/>
  <c r="B69" i="15"/>
  <c r="F59" i="15"/>
  <c r="E59" i="15" s="1"/>
  <c r="N59" i="15" s="1"/>
  <c r="F58" i="15"/>
  <c r="E58" i="15" s="1"/>
  <c r="N58" i="15" s="1"/>
  <c r="C67" i="15"/>
  <c r="B67" i="15"/>
  <c r="F57" i="15"/>
  <c r="E57" i="15" s="1"/>
  <c r="N57" i="15" s="1"/>
  <c r="C66" i="15"/>
  <c r="B66" i="15"/>
  <c r="F56" i="15"/>
  <c r="E56" i="15" s="1"/>
  <c r="C65" i="15"/>
  <c r="B65" i="15"/>
  <c r="F55" i="15"/>
  <c r="E55" i="15" s="1"/>
  <c r="C64" i="15"/>
  <c r="B64" i="15"/>
  <c r="F54" i="15"/>
  <c r="E54" i="15" s="1"/>
  <c r="C63" i="15"/>
  <c r="B63" i="15"/>
  <c r="F53" i="15"/>
  <c r="E53" i="15" s="1"/>
  <c r="C62" i="15"/>
  <c r="B62" i="15"/>
  <c r="F52" i="15"/>
  <c r="E52" i="15" s="1"/>
  <c r="C61" i="15"/>
  <c r="B61" i="15"/>
  <c r="F51" i="15"/>
  <c r="E51" i="15" s="1"/>
  <c r="C60" i="15"/>
  <c r="B60" i="15"/>
  <c r="F50" i="15"/>
  <c r="E50" i="15" s="1"/>
  <c r="C59" i="15"/>
  <c r="B59" i="15"/>
  <c r="F49" i="15"/>
  <c r="E49" i="15" s="1"/>
  <c r="C58" i="15"/>
  <c r="B58" i="15"/>
  <c r="F48" i="15"/>
  <c r="E48" i="15" s="1"/>
  <c r="B57" i="15"/>
  <c r="F47" i="15"/>
  <c r="E47" i="15" s="1"/>
  <c r="B56" i="15"/>
  <c r="F46" i="15"/>
  <c r="E46" i="15" s="1"/>
  <c r="B55" i="15"/>
  <c r="F45" i="15"/>
  <c r="B54" i="15"/>
  <c r="F44" i="15"/>
  <c r="E44" i="15" s="1"/>
  <c r="B53" i="15"/>
  <c r="F43" i="15"/>
  <c r="E43" i="15" s="1"/>
  <c r="M42" i="15"/>
  <c r="M43" i="15" s="1"/>
  <c r="M44" i="15" s="1"/>
  <c r="F42" i="15"/>
  <c r="E42" i="15" s="1"/>
  <c r="N41" i="15"/>
  <c r="F41" i="15"/>
  <c r="C50" i="15"/>
  <c r="N38" i="15"/>
  <c r="N37" i="15"/>
  <c r="N36" i="15"/>
  <c r="N35" i="15"/>
  <c r="N34" i="15"/>
  <c r="N33" i="15"/>
  <c r="M28" i="15"/>
  <c r="M29" i="15" s="1"/>
  <c r="M30" i="15" s="1"/>
  <c r="BF27" i="15"/>
  <c r="BE27" i="15"/>
  <c r="BD27" i="15"/>
  <c r="N27" i="15"/>
  <c r="BF26" i="15"/>
  <c r="BE26" i="15"/>
  <c r="BD26" i="15"/>
  <c r="S26" i="15" a="1"/>
  <c r="S26" i="15" s="1"/>
  <c r="O27" i="15" s="1"/>
  <c r="O28" i="15" s="1"/>
  <c r="BF25" i="15"/>
  <c r="BE25" i="15"/>
  <c r="BD25" i="15"/>
  <c r="BF24" i="15"/>
  <c r="BE24" i="15"/>
  <c r="BD24" i="15"/>
  <c r="BF23" i="15"/>
  <c r="BE23" i="15"/>
  <c r="BD23" i="15"/>
  <c r="F23" i="15"/>
  <c r="BF22" i="15"/>
  <c r="BE22" i="15"/>
  <c r="BD22" i="15"/>
  <c r="BF20" i="15"/>
  <c r="BE20" i="15"/>
  <c r="BD20" i="15"/>
  <c r="N20" i="15"/>
  <c r="F20" i="15"/>
  <c r="BF19" i="15"/>
  <c r="BE19" i="15"/>
  <c r="BD19" i="15"/>
  <c r="N19" i="15"/>
  <c r="F19" i="15"/>
  <c r="BF18" i="15"/>
  <c r="BE18" i="15"/>
  <c r="BD18" i="15"/>
  <c r="N18" i="15"/>
  <c r="F18" i="15"/>
  <c r="BF17" i="15"/>
  <c r="BE17" i="15"/>
  <c r="BD17" i="15"/>
  <c r="F17" i="15"/>
  <c r="BF16" i="15"/>
  <c r="BE16" i="15"/>
  <c r="BD16" i="15"/>
  <c r="F16" i="15"/>
  <c r="BF15" i="15"/>
  <c r="BE15" i="15"/>
  <c r="BD15" i="15"/>
  <c r="F15" i="15"/>
  <c r="BF14" i="15"/>
  <c r="BE14" i="15"/>
  <c r="BD14" i="15"/>
  <c r="F14" i="15"/>
  <c r="BF13" i="15"/>
  <c r="BE13" i="15"/>
  <c r="BD13" i="15"/>
  <c r="F13" i="15"/>
  <c r="BF12" i="15"/>
  <c r="BE12" i="15"/>
  <c r="BD12" i="15"/>
  <c r="F12" i="15"/>
  <c r="BF11" i="15"/>
  <c r="BE11" i="15"/>
  <c r="BD11" i="15"/>
  <c r="F11" i="15"/>
  <c r="BF10" i="15"/>
  <c r="BE10" i="15"/>
  <c r="BD10" i="15"/>
  <c r="F10" i="15"/>
  <c r="BF9" i="15"/>
  <c r="BE9" i="15"/>
  <c r="BD9" i="15"/>
  <c r="F9" i="15"/>
  <c r="BF8" i="15"/>
  <c r="BE8" i="15"/>
  <c r="BD8" i="15"/>
  <c r="F8" i="15"/>
  <c r="BF7" i="15"/>
  <c r="BE7" i="15"/>
  <c r="BD7" i="15"/>
  <c r="F7" i="15"/>
  <c r="BF6" i="15"/>
  <c r="BE6" i="15"/>
  <c r="BD6" i="15"/>
  <c r="BF5" i="15"/>
  <c r="BE5" i="15"/>
  <c r="BD5" i="15"/>
  <c r="F5" i="15"/>
  <c r="BF4" i="15"/>
  <c r="BE4" i="15"/>
  <c r="BD4" i="15"/>
  <c r="M4" i="15"/>
  <c r="N4" i="15" s="1"/>
  <c r="F4" i="15"/>
  <c r="BF3" i="15"/>
  <c r="BE3" i="15"/>
  <c r="BD3" i="15"/>
  <c r="N3" i="15"/>
  <c r="F3" i="15"/>
  <c r="S2" i="15" a="1"/>
  <c r="S2" i="15" s="1"/>
  <c r="O3" i="15" s="1"/>
  <c r="G32" i="15"/>
  <c r="C25" i="15"/>
  <c r="G30" i="15"/>
  <c r="H27" i="15"/>
  <c r="G27" i="15"/>
  <c r="G29" i="15"/>
  <c r="AA54" i="15"/>
  <c r="Z55" i="15"/>
  <c r="Z3" i="15"/>
  <c r="AA52" i="15"/>
  <c r="AA67" i="15"/>
  <c r="Z65" i="15"/>
  <c r="Z51" i="15"/>
  <c r="AA60" i="15"/>
  <c r="Z88" i="15"/>
  <c r="Z13" i="15"/>
  <c r="AA18" i="15"/>
  <c r="Z66" i="15"/>
  <c r="Z80" i="15"/>
  <c r="AA64" i="15"/>
  <c r="AA80" i="15"/>
  <c r="Z78" i="15"/>
  <c r="AA24" i="15"/>
  <c r="AA63" i="15"/>
  <c r="AA39" i="16"/>
  <c r="Z40" i="16"/>
  <c r="AA89" i="15"/>
  <c r="Z81" i="15"/>
  <c r="Z39" i="16"/>
  <c r="AA57" i="15"/>
  <c r="AA56" i="15"/>
  <c r="Z63" i="15"/>
  <c r="AA20" i="15"/>
  <c r="AA50" i="15"/>
  <c r="Z57" i="15"/>
  <c r="Z15" i="15"/>
  <c r="Z9" i="15"/>
  <c r="Z20" i="15"/>
  <c r="AA84" i="15"/>
  <c r="Z23" i="15"/>
  <c r="AA5" i="15"/>
  <c r="AA19" i="15"/>
  <c r="Z75" i="15"/>
  <c r="AA88" i="15"/>
  <c r="AA66" i="15"/>
  <c r="AA74" i="15"/>
  <c r="Z74" i="15"/>
  <c r="AA77" i="15"/>
  <c r="AA27" i="15"/>
  <c r="Z24" i="15"/>
  <c r="AA73" i="15"/>
  <c r="AA22" i="15"/>
  <c r="Z17" i="15"/>
  <c r="AA8" i="15"/>
  <c r="AA75" i="15"/>
  <c r="AA70" i="15"/>
  <c r="Z71" i="15"/>
  <c r="AA37" i="16"/>
  <c r="Z14" i="15"/>
  <c r="Z49" i="15"/>
  <c r="Z37" i="16"/>
  <c r="Z69" i="15"/>
  <c r="AA38" i="16"/>
  <c r="Z76" i="15"/>
  <c r="Z31" i="15"/>
  <c r="AA87" i="15"/>
  <c r="Z64" i="15"/>
  <c r="Z8" i="15"/>
  <c r="Z53" i="15"/>
  <c r="AA90" i="15"/>
  <c r="AA17" i="15"/>
  <c r="Z56" i="15"/>
  <c r="Z77" i="15"/>
  <c r="AA69" i="15"/>
  <c r="AA62" i="15"/>
  <c r="AA23" i="15"/>
  <c r="Z10" i="15"/>
  <c r="Z22" i="15"/>
  <c r="Z50" i="15"/>
  <c r="Z79" i="15"/>
  <c r="Z5" i="15"/>
  <c r="Z87" i="15"/>
  <c r="AA53" i="15"/>
  <c r="AA79" i="15"/>
  <c r="AA14" i="15"/>
  <c r="Z18" i="15"/>
  <c r="AA21" i="15"/>
  <c r="Z73" i="15"/>
  <c r="AA65" i="15"/>
  <c r="Z38" i="16"/>
  <c r="AA72" i="15"/>
  <c r="Z85" i="15"/>
  <c r="AA13" i="15"/>
  <c r="AA40" i="16"/>
  <c r="AA86" i="15"/>
  <c r="Z27" i="15"/>
  <c r="AA10" i="15"/>
  <c r="Z82" i="15"/>
  <c r="Z4" i="15"/>
  <c r="Z19" i="15"/>
  <c r="AA51" i="15"/>
  <c r="AA49" i="15"/>
  <c r="AA15" i="15"/>
  <c r="Z62" i="15"/>
  <c r="Z86" i="15"/>
  <c r="AA81" i="15"/>
  <c r="AA9" i="15"/>
  <c r="Z52" i="15"/>
  <c r="Z60" i="15"/>
  <c r="AA85" i="15"/>
  <c r="AA3" i="15"/>
  <c r="Z84" i="15"/>
  <c r="AA83" i="15"/>
  <c r="Z67" i="15"/>
  <c r="Z59" i="15"/>
  <c r="AA55" i="15"/>
  <c r="Z72" i="15"/>
  <c r="Z61" i="15"/>
  <c r="Z83" i="15"/>
  <c r="AA76" i="15"/>
  <c r="AA71" i="15"/>
  <c r="Z58" i="15"/>
  <c r="AA68" i="15"/>
  <c r="AA61" i="15"/>
  <c r="Z54" i="15"/>
  <c r="AA78" i="15"/>
  <c r="Z16" i="15"/>
  <c r="Z68" i="15"/>
  <c r="AA16" i="15"/>
  <c r="AA58" i="15"/>
  <c r="Z90" i="15"/>
  <c r="Z21" i="15"/>
  <c r="Z89" i="15"/>
  <c r="AA82" i="15"/>
  <c r="AA59" i="15"/>
  <c r="Z70" i="15"/>
  <c r="AA4" i="15"/>
  <c r="G28" i="15"/>
  <c r="G31" i="15"/>
  <c r="Y35" i="15"/>
  <c r="M14" i="19" l="1"/>
  <c r="N13" i="19"/>
  <c r="O48" i="19"/>
  <c r="N52" i="19"/>
  <c r="M53" i="19"/>
  <c r="O11" i="19"/>
  <c r="O35" i="19"/>
  <c r="P34" i="19"/>
  <c r="R34" i="19" s="1"/>
  <c r="I29" i="16"/>
  <c r="L29" i="16" s="1"/>
  <c r="I31" i="16"/>
  <c r="L31" i="16" s="1"/>
  <c r="I30" i="16"/>
  <c r="L30" i="16" s="1"/>
  <c r="I32" i="16"/>
  <c r="L32" i="16" s="1"/>
  <c r="N42" i="15"/>
  <c r="O46" i="18"/>
  <c r="P45" i="18"/>
  <c r="S31" i="18"/>
  <c r="P32" i="18"/>
  <c r="R32" i="18" s="1"/>
  <c r="O33" i="18"/>
  <c r="N10" i="18"/>
  <c r="M11" i="18"/>
  <c r="S44" i="18"/>
  <c r="R44" i="18"/>
  <c r="O9" i="18"/>
  <c r="M50" i="16"/>
  <c r="N49" i="16"/>
  <c r="M8" i="16"/>
  <c r="N7" i="16"/>
  <c r="O32" i="16"/>
  <c r="M32" i="16"/>
  <c r="N31" i="16"/>
  <c r="O43" i="16"/>
  <c r="O8" i="16"/>
  <c r="N28" i="15"/>
  <c r="M5" i="15"/>
  <c r="M6" i="15" s="1"/>
  <c r="I15" i="15"/>
  <c r="L15" i="15" s="1"/>
  <c r="I11" i="15"/>
  <c r="L11" i="15" s="1"/>
  <c r="I71" i="15"/>
  <c r="L71" i="15" s="1"/>
  <c r="I14" i="15"/>
  <c r="L14" i="15" s="1"/>
  <c r="I23" i="15"/>
  <c r="L23" i="15" s="1"/>
  <c r="I24" i="15"/>
  <c r="L24" i="15" s="1"/>
  <c r="I72" i="15"/>
  <c r="L72" i="15" s="1"/>
  <c r="I3" i="15"/>
  <c r="L3" i="15" s="1"/>
  <c r="I44" i="15"/>
  <c r="L44" i="15" s="1"/>
  <c r="I18" i="15"/>
  <c r="L18" i="15" s="1"/>
  <c r="I4" i="15"/>
  <c r="L4" i="15" s="1"/>
  <c r="I62" i="15"/>
  <c r="L62" i="15" s="1"/>
  <c r="I57" i="15"/>
  <c r="L57" i="15" s="1"/>
  <c r="I75" i="15"/>
  <c r="L75" i="15" s="1"/>
  <c r="I8" i="15"/>
  <c r="L8" i="15" s="1"/>
  <c r="I9" i="15"/>
  <c r="L9" i="15" s="1"/>
  <c r="I61" i="15"/>
  <c r="L61" i="15" s="1"/>
  <c r="I76" i="15"/>
  <c r="L76" i="15" s="1"/>
  <c r="I79" i="15"/>
  <c r="L79" i="15" s="1"/>
  <c r="I6" i="15"/>
  <c r="L6" i="15" s="1"/>
  <c r="I52" i="15"/>
  <c r="L52" i="15" s="1"/>
  <c r="I65" i="15"/>
  <c r="L65" i="15" s="1"/>
  <c r="I69" i="15"/>
  <c r="L69" i="15" s="1"/>
  <c r="I78" i="15"/>
  <c r="L78" i="15" s="1"/>
  <c r="I10" i="15"/>
  <c r="L10" i="15" s="1"/>
  <c r="I49" i="15"/>
  <c r="L49" i="15" s="1"/>
  <c r="I64" i="15"/>
  <c r="L64" i="15" s="1"/>
  <c r="I80" i="15"/>
  <c r="L80" i="15" s="1"/>
  <c r="I59" i="15"/>
  <c r="L59" i="15" s="1"/>
  <c r="I7" i="15"/>
  <c r="L7" i="15" s="1"/>
  <c r="I41" i="15"/>
  <c r="L41" i="15" s="1"/>
  <c r="I48" i="15"/>
  <c r="L48" i="15" s="1"/>
  <c r="I68" i="15"/>
  <c r="L68" i="15" s="1"/>
  <c r="I45" i="15"/>
  <c r="L45" i="15" s="1"/>
  <c r="I17" i="15"/>
  <c r="L17" i="15" s="1"/>
  <c r="I5" i="15"/>
  <c r="L5" i="15" s="1"/>
  <c r="I16" i="15"/>
  <c r="L16" i="15" s="1"/>
  <c r="I53" i="15"/>
  <c r="L53" i="15" s="1"/>
  <c r="I55" i="15"/>
  <c r="L55" i="15" s="1"/>
  <c r="I74" i="15"/>
  <c r="L74" i="15" s="1"/>
  <c r="I47" i="15"/>
  <c r="L47" i="15" s="1"/>
  <c r="I51" i="15"/>
  <c r="L51" i="15" s="1"/>
  <c r="I54" i="15"/>
  <c r="L54" i="15" s="1"/>
  <c r="I63" i="15"/>
  <c r="L63" i="15" s="1"/>
  <c r="I66" i="15"/>
  <c r="L66" i="15" s="1"/>
  <c r="I81" i="15"/>
  <c r="L81" i="15" s="1"/>
  <c r="I12" i="15"/>
  <c r="L12" i="15" s="1"/>
  <c r="I56" i="15"/>
  <c r="L56" i="15" s="1"/>
  <c r="I60" i="15"/>
  <c r="L60" i="15" s="1"/>
  <c r="I73" i="15"/>
  <c r="L73" i="15" s="1"/>
  <c r="I77" i="15"/>
  <c r="L77" i="15" s="1"/>
  <c r="I43" i="15"/>
  <c r="L43" i="15" s="1"/>
  <c r="I19" i="15"/>
  <c r="L19" i="15" s="1"/>
  <c r="I13" i="15"/>
  <c r="L13" i="15" s="1"/>
  <c r="I20" i="15"/>
  <c r="L20" i="15" s="1"/>
  <c r="I42" i="15"/>
  <c r="L42" i="15" s="1"/>
  <c r="I46" i="15"/>
  <c r="L46" i="15" s="1"/>
  <c r="I50" i="15"/>
  <c r="L50" i="15" s="1"/>
  <c r="I58" i="15"/>
  <c r="L58" i="15" s="1"/>
  <c r="I67" i="15"/>
  <c r="L67" i="15" s="1"/>
  <c r="I70" i="15"/>
  <c r="L70" i="15" s="1"/>
  <c r="I82" i="15"/>
  <c r="L82" i="15" s="1"/>
  <c r="S40" i="15" a="1"/>
  <c r="S40" i="15" s="1"/>
  <c r="N43" i="15"/>
  <c r="M45" i="15"/>
  <c r="M46" i="15" s="1"/>
  <c r="M47" i="15" s="1"/>
  <c r="N44" i="15"/>
  <c r="O29" i="15"/>
  <c r="N30" i="15"/>
  <c r="M31" i="15"/>
  <c r="O4" i="15"/>
  <c r="N29" i="15"/>
  <c r="H28" i="15"/>
  <c r="F28" i="15"/>
  <c r="F27" i="15"/>
  <c r="Z45" i="16"/>
  <c r="AA43" i="16"/>
  <c r="AA44" i="16"/>
  <c r="Z43" i="16"/>
  <c r="Z42" i="16"/>
  <c r="AA45" i="16"/>
  <c r="Z41" i="16"/>
  <c r="AA41" i="16"/>
  <c r="Z35" i="15"/>
  <c r="AA42" i="16"/>
  <c r="Z44" i="16"/>
  <c r="AA35" i="15"/>
  <c r="H29" i="15"/>
  <c r="F29" i="15"/>
  <c r="H30" i="15"/>
  <c r="Y37" i="15"/>
  <c r="F30" i="15"/>
  <c r="H31" i="15"/>
  <c r="Y38" i="15"/>
  <c r="F31" i="15"/>
  <c r="Y39" i="15"/>
  <c r="H32" i="15"/>
  <c r="F32" i="15"/>
  <c r="Y40" i="15"/>
  <c r="H33" i="15"/>
  <c r="F33" i="15"/>
  <c r="Y41" i="15"/>
  <c r="H34" i="15"/>
  <c r="F34" i="15"/>
  <c r="Y42" i="15"/>
  <c r="H35" i="15"/>
  <c r="F35" i="15"/>
  <c r="Y43" i="15"/>
  <c r="H36" i="15"/>
  <c r="F36" i="15"/>
  <c r="Y44" i="15"/>
  <c r="H37" i="15"/>
  <c r="F37" i="15"/>
  <c r="H38" i="15"/>
  <c r="Y45" i="15"/>
  <c r="Y46" i="15"/>
  <c r="F38" i="15"/>
  <c r="N14" i="19" l="1"/>
  <c r="M15" i="19"/>
  <c r="O36" i="19"/>
  <c r="P35" i="19"/>
  <c r="R35" i="19" s="1"/>
  <c r="O12" i="19"/>
  <c r="M54" i="19"/>
  <c r="N53" i="19"/>
  <c r="O49" i="19"/>
  <c r="I27" i="15"/>
  <c r="L27" i="15" s="1"/>
  <c r="I34" i="16"/>
  <c r="L34" i="16" s="1"/>
  <c r="I33" i="16"/>
  <c r="L33" i="16" s="1"/>
  <c r="I36" i="16"/>
  <c r="L36" i="16" s="1"/>
  <c r="I35" i="16"/>
  <c r="L35" i="16" s="1"/>
  <c r="I37" i="16"/>
  <c r="L37" i="16" s="1"/>
  <c r="N5" i="15"/>
  <c r="O41" i="15"/>
  <c r="O42" i="15" s="1"/>
  <c r="O10" i="18"/>
  <c r="N11" i="18"/>
  <c r="M12" i="18"/>
  <c r="P33" i="18"/>
  <c r="R33" i="18" s="1"/>
  <c r="O34" i="18"/>
  <c r="S32" i="18"/>
  <c r="R45" i="18"/>
  <c r="S45" i="18"/>
  <c r="O47" i="18"/>
  <c r="P46" i="18"/>
  <c r="O33" i="16"/>
  <c r="O44" i="16"/>
  <c r="N8" i="16"/>
  <c r="M9" i="16"/>
  <c r="O9" i="16"/>
  <c r="N32" i="16"/>
  <c r="M33" i="16"/>
  <c r="M34" i="16" s="1"/>
  <c r="M35" i="16" s="1"/>
  <c r="M36" i="16" s="1"/>
  <c r="M37" i="16" s="1"/>
  <c r="M38" i="16" s="1"/>
  <c r="M51" i="16"/>
  <c r="N50" i="16"/>
  <c r="C68" i="15"/>
  <c r="B68" i="15"/>
  <c r="N45" i="15"/>
  <c r="N31" i="15"/>
  <c r="M32" i="15"/>
  <c r="O5" i="15"/>
  <c r="N6" i="15"/>
  <c r="M7" i="15"/>
  <c r="M48" i="15"/>
  <c r="N47" i="15"/>
  <c r="O30" i="15"/>
  <c r="N46" i="15"/>
  <c r="Y36" i="15"/>
  <c r="Z37" i="15"/>
  <c r="Z36" i="15"/>
  <c r="AA37" i="15"/>
  <c r="Z38" i="15"/>
  <c r="AA38" i="15"/>
  <c r="Z46" i="16"/>
  <c r="AA36" i="15"/>
  <c r="AA46" i="16"/>
  <c r="M16" i="19" l="1"/>
  <c r="N15" i="19"/>
  <c r="M55" i="19"/>
  <c r="N54" i="19"/>
  <c r="O50" i="19"/>
  <c r="O13" i="19"/>
  <c r="P36" i="19"/>
  <c r="R36" i="19" s="1"/>
  <c r="O37" i="19"/>
  <c r="I28" i="15"/>
  <c r="L28" i="15" s="1"/>
  <c r="I29" i="15"/>
  <c r="L29" i="15" s="1"/>
  <c r="I30" i="15"/>
  <c r="L30" i="15" s="1"/>
  <c r="I38" i="16"/>
  <c r="L38" i="16" s="1"/>
  <c r="O35" i="18"/>
  <c r="P34" i="18"/>
  <c r="R34" i="18" s="1"/>
  <c r="S46" i="18"/>
  <c r="R46" i="18"/>
  <c r="O48" i="18"/>
  <c r="P47" i="18"/>
  <c r="M13" i="18"/>
  <c r="N12" i="18"/>
  <c r="O11" i="18"/>
  <c r="M10" i="16"/>
  <c r="N9" i="16"/>
  <c r="P29" i="16"/>
  <c r="R29" i="16" s="1"/>
  <c r="P28" i="16"/>
  <c r="R28" i="16" s="1"/>
  <c r="P27" i="16"/>
  <c r="R27" i="16" s="1"/>
  <c r="P31" i="16"/>
  <c r="R31" i="16" s="1"/>
  <c r="O10" i="16"/>
  <c r="O45" i="16"/>
  <c r="P30" i="16"/>
  <c r="R30" i="16" s="1"/>
  <c r="O34" i="16"/>
  <c r="P33" i="16"/>
  <c r="R33" i="16" s="1"/>
  <c r="M52" i="16"/>
  <c r="N51" i="16"/>
  <c r="P32" i="16"/>
  <c r="R32" i="16" s="1"/>
  <c r="M49" i="15"/>
  <c r="N48" i="15"/>
  <c r="N7" i="15"/>
  <c r="M8" i="15"/>
  <c r="M33" i="15"/>
  <c r="M34" i="15" s="1"/>
  <c r="M35" i="15" s="1"/>
  <c r="M36" i="15" s="1"/>
  <c r="M37" i="15" s="1"/>
  <c r="M38" i="15" s="1"/>
  <c r="N32" i="15"/>
  <c r="P30" i="15" s="1"/>
  <c r="R30" i="15" s="1"/>
  <c r="O6" i="15"/>
  <c r="O31" i="15"/>
  <c r="O43" i="15"/>
  <c r="AA41" i="15"/>
  <c r="Z39" i="15"/>
  <c r="AA39" i="15"/>
  <c r="Z42" i="15"/>
  <c r="Z44" i="15"/>
  <c r="Z41" i="15"/>
  <c r="AA43" i="15"/>
  <c r="AA45" i="15"/>
  <c r="Z43" i="15"/>
  <c r="AA42" i="15"/>
  <c r="Z45" i="15"/>
  <c r="AA44" i="15"/>
  <c r="M17" i="19" l="1"/>
  <c r="N16" i="19"/>
  <c r="O14" i="19"/>
  <c r="O38" i="19"/>
  <c r="P38" i="19" s="1"/>
  <c r="R38" i="19" s="1"/>
  <c r="P37" i="19"/>
  <c r="R37" i="19" s="1"/>
  <c r="O51" i="19"/>
  <c r="M56" i="19"/>
  <c r="N55" i="19"/>
  <c r="I31" i="15"/>
  <c r="L31" i="15" s="1"/>
  <c r="I34" i="15"/>
  <c r="L34" i="15" s="1"/>
  <c r="I33" i="15"/>
  <c r="L33" i="15" s="1"/>
  <c r="I36" i="15"/>
  <c r="L36" i="15" s="1"/>
  <c r="I35" i="15"/>
  <c r="L35" i="15" s="1"/>
  <c r="I37" i="15"/>
  <c r="L37" i="15" s="1"/>
  <c r="P28" i="15"/>
  <c r="R28" i="15" s="1"/>
  <c r="M14" i="18"/>
  <c r="N13" i="18"/>
  <c r="R47" i="18"/>
  <c r="S47" i="18"/>
  <c r="O12" i="18"/>
  <c r="P48" i="18"/>
  <c r="O49" i="18"/>
  <c r="P35" i="18"/>
  <c r="R35" i="18" s="1"/>
  <c r="O36" i="18"/>
  <c r="S32" i="16"/>
  <c r="O46" i="16"/>
  <c r="M53" i="16"/>
  <c r="N52" i="16"/>
  <c r="S31" i="16"/>
  <c r="S27" i="16"/>
  <c r="S28" i="16"/>
  <c r="O35" i="16"/>
  <c r="P34" i="16"/>
  <c r="R34" i="16" s="1"/>
  <c r="S29" i="16"/>
  <c r="S30" i="16"/>
  <c r="O11" i="16"/>
  <c r="N10" i="16"/>
  <c r="M11" i="16"/>
  <c r="P27" i="15"/>
  <c r="R27" i="15" s="1"/>
  <c r="P29" i="15"/>
  <c r="R29" i="15" s="1"/>
  <c r="S30" i="15"/>
  <c r="O44" i="15"/>
  <c r="M9" i="15"/>
  <c r="N8" i="15"/>
  <c r="O7" i="15"/>
  <c r="M50" i="15"/>
  <c r="N49" i="15"/>
  <c r="P31" i="15"/>
  <c r="R31" i="15" s="1"/>
  <c r="O32" i="15"/>
  <c r="Z46" i="15"/>
  <c r="Z40" i="15"/>
  <c r="AA46" i="15"/>
  <c r="AA40" i="15"/>
  <c r="M18" i="19" l="1"/>
  <c r="N17" i="19"/>
  <c r="M57" i="19"/>
  <c r="N56" i="19"/>
  <c r="O52" i="19"/>
  <c r="O15" i="19"/>
  <c r="I32" i="15"/>
  <c r="L32" i="15" s="1"/>
  <c r="I38" i="15"/>
  <c r="L38" i="15" s="1"/>
  <c r="S28" i="15"/>
  <c r="S27" i="15"/>
  <c r="S29" i="15"/>
  <c r="O37" i="18"/>
  <c r="P36" i="18"/>
  <c r="R36" i="18" s="1"/>
  <c r="P49" i="18"/>
  <c r="O50" i="18"/>
  <c r="M15" i="18"/>
  <c r="N14" i="18"/>
  <c r="S48" i="18"/>
  <c r="R48" i="18"/>
  <c r="O13" i="18"/>
  <c r="O12" i="16"/>
  <c r="M54" i="16"/>
  <c r="N53" i="16"/>
  <c r="O47" i="16"/>
  <c r="N11" i="16"/>
  <c r="M12" i="16"/>
  <c r="O36" i="16"/>
  <c r="P35" i="16"/>
  <c r="R35" i="16" s="1"/>
  <c r="S31" i="15"/>
  <c r="O45" i="15"/>
  <c r="O8" i="15"/>
  <c r="P32" i="15"/>
  <c r="R32" i="15" s="1"/>
  <c r="O33" i="15"/>
  <c r="M51" i="15"/>
  <c r="N50" i="15"/>
  <c r="M10" i="15"/>
  <c r="N9" i="15"/>
  <c r="M19" i="19" l="1"/>
  <c r="N18" i="19"/>
  <c r="M58" i="19"/>
  <c r="N57" i="19"/>
  <c r="O16" i="19"/>
  <c r="O53" i="19"/>
  <c r="M16" i="18"/>
  <c r="N15" i="18"/>
  <c r="O14" i="18"/>
  <c r="P50" i="18"/>
  <c r="O51" i="18"/>
  <c r="S49" i="18"/>
  <c r="R49" i="18"/>
  <c r="P37" i="18"/>
  <c r="R37" i="18" s="1"/>
  <c r="O38" i="18"/>
  <c r="P38" i="18" s="1"/>
  <c r="R38" i="18" s="1"/>
  <c r="O48" i="16"/>
  <c r="M55" i="16"/>
  <c r="N54" i="16"/>
  <c r="O37" i="16"/>
  <c r="P36" i="16"/>
  <c r="R36" i="16" s="1"/>
  <c r="O13" i="16"/>
  <c r="N12" i="16"/>
  <c r="M13" i="16"/>
  <c r="O9" i="15"/>
  <c r="M11" i="15"/>
  <c r="N10" i="15"/>
  <c r="M52" i="15"/>
  <c r="N51" i="15"/>
  <c r="O46" i="15"/>
  <c r="P33" i="15"/>
  <c r="R33" i="15" s="1"/>
  <c r="O34" i="15"/>
  <c r="S32" i="15"/>
  <c r="M20" i="19" l="1"/>
  <c r="N20" i="19" s="1"/>
  <c r="N19" i="19"/>
  <c r="P5" i="19" s="1"/>
  <c r="M59" i="19"/>
  <c r="N58" i="19"/>
  <c r="O17" i="19"/>
  <c r="O54" i="19"/>
  <c r="S50" i="18"/>
  <c r="R50" i="18"/>
  <c r="O15" i="18"/>
  <c r="M17" i="18"/>
  <c r="N16" i="18"/>
  <c r="O52" i="18"/>
  <c r="P51" i="18"/>
  <c r="N13" i="16"/>
  <c r="M14" i="16"/>
  <c r="O49" i="16"/>
  <c r="O14" i="16"/>
  <c r="M56" i="16"/>
  <c r="N55" i="16"/>
  <c r="P37" i="16"/>
  <c r="R37" i="16" s="1"/>
  <c r="O38" i="16"/>
  <c r="P38" i="16" s="1"/>
  <c r="R38" i="16" s="1"/>
  <c r="O47" i="15"/>
  <c r="N11" i="15"/>
  <c r="M12" i="15"/>
  <c r="O10" i="15"/>
  <c r="P34" i="15"/>
  <c r="R34" i="15" s="1"/>
  <c r="O35" i="15"/>
  <c r="M53" i="15"/>
  <c r="N52" i="15"/>
  <c r="P15" i="19" l="1"/>
  <c r="S15" i="19" s="1"/>
  <c r="Q5" i="19"/>
  <c r="S5" i="19"/>
  <c r="R5" i="19"/>
  <c r="Q15" i="19"/>
  <c r="R15" i="19"/>
  <c r="P4" i="19"/>
  <c r="P9" i="19"/>
  <c r="P7" i="19"/>
  <c r="P13" i="19"/>
  <c r="P10" i="19"/>
  <c r="P12" i="19"/>
  <c r="P16" i="19"/>
  <c r="Q16" i="19" s="1"/>
  <c r="P6" i="19"/>
  <c r="P14" i="19"/>
  <c r="P3" i="19"/>
  <c r="P11" i="19"/>
  <c r="P8" i="19"/>
  <c r="M60" i="19"/>
  <c r="N59" i="19"/>
  <c r="O55" i="19"/>
  <c r="P17" i="19"/>
  <c r="Q17" i="19" s="1"/>
  <c r="O18" i="19"/>
  <c r="M18" i="18"/>
  <c r="M19" i="18" s="1"/>
  <c r="M20" i="18" s="1"/>
  <c r="N17" i="18"/>
  <c r="P13" i="18" s="1"/>
  <c r="O16" i="18"/>
  <c r="P15" i="18"/>
  <c r="S51" i="18"/>
  <c r="R51" i="18"/>
  <c r="P52" i="18"/>
  <c r="O53" i="18"/>
  <c r="O15" i="16"/>
  <c r="M57" i="16"/>
  <c r="M58" i="16" s="1"/>
  <c r="M59" i="16" s="1"/>
  <c r="M60" i="16" s="1"/>
  <c r="M61" i="16" s="1"/>
  <c r="M62" i="16" s="1"/>
  <c r="M63" i="16" s="1"/>
  <c r="M64" i="16" s="1"/>
  <c r="M65" i="16" s="1"/>
  <c r="M66" i="16" s="1"/>
  <c r="M67" i="16" s="1"/>
  <c r="M68" i="16" s="1"/>
  <c r="M69" i="16" s="1"/>
  <c r="M70" i="16" s="1"/>
  <c r="M71" i="16" s="1"/>
  <c r="M72" i="16" s="1"/>
  <c r="M73" i="16" s="1"/>
  <c r="M74" i="16" s="1"/>
  <c r="M75" i="16" s="1"/>
  <c r="M76" i="16" s="1"/>
  <c r="M77" i="16" s="1"/>
  <c r="M78" i="16" s="1"/>
  <c r="M79" i="16" s="1"/>
  <c r="M80" i="16" s="1"/>
  <c r="M81" i="16" s="1"/>
  <c r="M82" i="16" s="1"/>
  <c r="N56" i="16"/>
  <c r="O50" i="16"/>
  <c r="M15" i="16"/>
  <c r="N14" i="16"/>
  <c r="O11" i="15"/>
  <c r="N12" i="15"/>
  <c r="M13" i="15"/>
  <c r="M54" i="15"/>
  <c r="N53" i="15"/>
  <c r="O36" i="15"/>
  <c r="P35" i="15"/>
  <c r="R35" i="15" s="1"/>
  <c r="O48" i="15"/>
  <c r="R16" i="19" l="1"/>
  <c r="S16" i="19"/>
  <c r="R3" i="19"/>
  <c r="S3" i="19"/>
  <c r="Q3" i="19"/>
  <c r="Q9" i="19"/>
  <c r="S9" i="19"/>
  <c r="R9" i="19"/>
  <c r="Q4" i="19"/>
  <c r="R4" i="19"/>
  <c r="S4" i="19"/>
  <c r="Q12" i="19"/>
  <c r="R12" i="19"/>
  <c r="S12" i="19"/>
  <c r="R10" i="19"/>
  <c r="S10" i="19"/>
  <c r="Q10" i="19"/>
  <c r="Q14" i="19"/>
  <c r="S14" i="19"/>
  <c r="R14" i="19"/>
  <c r="S8" i="19"/>
  <c r="R8" i="19"/>
  <c r="Q8" i="19"/>
  <c r="Q13" i="19"/>
  <c r="R13" i="19"/>
  <c r="S13" i="19"/>
  <c r="Q6" i="19"/>
  <c r="S6" i="19"/>
  <c r="R6" i="19"/>
  <c r="S11" i="19"/>
  <c r="R11" i="19"/>
  <c r="Q11" i="19"/>
  <c r="S7" i="19"/>
  <c r="R7" i="19"/>
  <c r="Q7" i="19"/>
  <c r="M61" i="19"/>
  <c r="N60" i="19"/>
  <c r="P18" i="19"/>
  <c r="Q18" i="19" s="1"/>
  <c r="O19" i="19"/>
  <c r="S17" i="19"/>
  <c r="R17" i="19"/>
  <c r="O56" i="19"/>
  <c r="P49" i="16"/>
  <c r="R49" i="16" s="1"/>
  <c r="S52" i="18"/>
  <c r="R52" i="18"/>
  <c r="S15" i="18"/>
  <c r="R15" i="18"/>
  <c r="O17" i="18"/>
  <c r="P16" i="18"/>
  <c r="Q16" i="18" s="1"/>
  <c r="Q15" i="18"/>
  <c r="S13" i="18"/>
  <c r="R13" i="18"/>
  <c r="Q13" i="18"/>
  <c r="P3" i="18"/>
  <c r="P7" i="18"/>
  <c r="P4" i="18"/>
  <c r="P6" i="18"/>
  <c r="P5" i="18"/>
  <c r="P8" i="18"/>
  <c r="P9" i="18"/>
  <c r="P10" i="18"/>
  <c r="P12" i="18"/>
  <c r="P14" i="18"/>
  <c r="P11" i="18"/>
  <c r="P53" i="18"/>
  <c r="O54" i="18"/>
  <c r="S49" i="16"/>
  <c r="P50" i="16"/>
  <c r="O51" i="16"/>
  <c r="P44" i="16"/>
  <c r="P42" i="16"/>
  <c r="P41" i="16"/>
  <c r="P43" i="16"/>
  <c r="P46" i="16"/>
  <c r="P47" i="16"/>
  <c r="P48" i="16"/>
  <c r="O16" i="16"/>
  <c r="N15" i="16"/>
  <c r="M16" i="16"/>
  <c r="P45" i="16"/>
  <c r="O49" i="15"/>
  <c r="P36" i="15"/>
  <c r="R36" i="15" s="1"/>
  <c r="O37" i="15"/>
  <c r="O12" i="15"/>
  <c r="M55" i="15"/>
  <c r="N54" i="15"/>
  <c r="N13" i="15"/>
  <c r="M14" i="15"/>
  <c r="M62" i="19" l="1"/>
  <c r="N61" i="19"/>
  <c r="P19" i="19"/>
  <c r="Q19" i="19" s="1"/>
  <c r="O20" i="19"/>
  <c r="O57" i="19"/>
  <c r="S18" i="19"/>
  <c r="R18" i="19"/>
  <c r="R6" i="18"/>
  <c r="S6" i="18"/>
  <c r="Q6" i="18"/>
  <c r="P54" i="18"/>
  <c r="O55" i="18"/>
  <c r="S11" i="18"/>
  <c r="R11" i="18"/>
  <c r="Q11" i="18"/>
  <c r="R14" i="18"/>
  <c r="S14" i="18"/>
  <c r="Q14" i="18"/>
  <c r="O18" i="18"/>
  <c r="P17" i="18"/>
  <c r="R12" i="18"/>
  <c r="S12" i="18"/>
  <c r="Q12" i="18"/>
  <c r="S3" i="18"/>
  <c r="R3" i="18"/>
  <c r="Q3" i="18"/>
  <c r="S53" i="18"/>
  <c r="R53" i="18"/>
  <c r="R5" i="18"/>
  <c r="S5" i="18"/>
  <c r="Q5" i="18"/>
  <c r="S4" i="18"/>
  <c r="R4" i="18"/>
  <c r="Q4" i="18"/>
  <c r="S7" i="18"/>
  <c r="R7" i="18"/>
  <c r="Q7" i="18"/>
  <c r="R10" i="18"/>
  <c r="S10" i="18"/>
  <c r="Q10" i="18"/>
  <c r="S9" i="18"/>
  <c r="R9" i="18"/>
  <c r="Q9" i="18"/>
  <c r="S16" i="18"/>
  <c r="R16" i="18"/>
  <c r="R8" i="18"/>
  <c r="S8" i="18"/>
  <c r="Q8" i="18"/>
  <c r="R43" i="16"/>
  <c r="S43" i="16"/>
  <c r="R41" i="16"/>
  <c r="S41" i="16"/>
  <c r="R44" i="16"/>
  <c r="S44" i="16"/>
  <c r="P51" i="16"/>
  <c r="O52" i="16"/>
  <c r="S48" i="16"/>
  <c r="R48" i="16"/>
  <c r="R50" i="16"/>
  <c r="S50" i="16"/>
  <c r="S45" i="16"/>
  <c r="R45" i="16"/>
  <c r="M17" i="16"/>
  <c r="N16" i="16"/>
  <c r="O17" i="16"/>
  <c r="S47" i="16"/>
  <c r="R47" i="16"/>
  <c r="S42" i="16"/>
  <c r="R42" i="16"/>
  <c r="S46" i="16"/>
  <c r="R46" i="16"/>
  <c r="O38" i="15"/>
  <c r="P38" i="15" s="1"/>
  <c r="R38" i="15" s="1"/>
  <c r="P37" i="15"/>
  <c r="R37" i="15" s="1"/>
  <c r="M56" i="15"/>
  <c r="N55" i="15"/>
  <c r="O13" i="15"/>
  <c r="M15" i="15"/>
  <c r="N14" i="15"/>
  <c r="O50" i="15"/>
  <c r="M63" i="19" l="1"/>
  <c r="N62" i="19"/>
  <c r="P20" i="19"/>
  <c r="Q20" i="19" s="1"/>
  <c r="R19" i="19"/>
  <c r="S19" i="19"/>
  <c r="O58" i="19"/>
  <c r="S17" i="18"/>
  <c r="R17" i="18"/>
  <c r="O56" i="18"/>
  <c r="P55" i="18"/>
  <c r="O19" i="18"/>
  <c r="P18" i="18"/>
  <c r="Q18" i="18" s="1"/>
  <c r="S54" i="18"/>
  <c r="R54" i="18"/>
  <c r="Q17" i="18"/>
  <c r="O53" i="16"/>
  <c r="P52" i="16"/>
  <c r="N17" i="16"/>
  <c r="P15" i="16" s="1"/>
  <c r="M18" i="16"/>
  <c r="M19" i="16" s="1"/>
  <c r="M20" i="16" s="1"/>
  <c r="S51" i="16"/>
  <c r="R51" i="16"/>
  <c r="O18" i="16"/>
  <c r="M57" i="15"/>
  <c r="M58" i="15" s="1"/>
  <c r="M59" i="15" s="1"/>
  <c r="M60" i="15" s="1"/>
  <c r="M61" i="15" s="1"/>
  <c r="M62" i="15" s="1"/>
  <c r="M63" i="15" s="1"/>
  <c r="M64" i="15" s="1"/>
  <c r="M65" i="15" s="1"/>
  <c r="M66" i="15" s="1"/>
  <c r="M67" i="15" s="1"/>
  <c r="M68" i="15" s="1"/>
  <c r="M69" i="15" s="1"/>
  <c r="M70" i="15" s="1"/>
  <c r="M71" i="15" s="1"/>
  <c r="M72" i="15" s="1"/>
  <c r="M73" i="15" s="1"/>
  <c r="M74" i="15" s="1"/>
  <c r="M75" i="15" s="1"/>
  <c r="M76" i="15" s="1"/>
  <c r="M77" i="15" s="1"/>
  <c r="M78" i="15" s="1"/>
  <c r="M79" i="15" s="1"/>
  <c r="M80" i="15" s="1"/>
  <c r="M81" i="15" s="1"/>
  <c r="M82" i="15" s="1"/>
  <c r="N56" i="15"/>
  <c r="P43" i="15" s="1"/>
  <c r="P46" i="15"/>
  <c r="R46" i="15" s="1"/>
  <c r="M16" i="15"/>
  <c r="N15" i="15"/>
  <c r="O51" i="15"/>
  <c r="O14" i="15"/>
  <c r="P42" i="15" l="1"/>
  <c r="M64" i="19"/>
  <c r="N63" i="19"/>
  <c r="P49" i="15"/>
  <c r="R49" i="15" s="1"/>
  <c r="P16" i="16"/>
  <c r="R16" i="16" s="1"/>
  <c r="S20" i="19"/>
  <c r="R20" i="19"/>
  <c r="O59" i="19"/>
  <c r="P50" i="15"/>
  <c r="P47" i="15"/>
  <c r="R47" i="15" s="1"/>
  <c r="P44" i="15"/>
  <c r="S44" i="15" s="1"/>
  <c r="P48" i="15"/>
  <c r="R48" i="15" s="1"/>
  <c r="R18" i="18"/>
  <c r="S18" i="18"/>
  <c r="O20" i="18"/>
  <c r="P19" i="18"/>
  <c r="Q19" i="18" s="1"/>
  <c r="O57" i="18"/>
  <c r="P56" i="18"/>
  <c r="S55" i="18"/>
  <c r="R55" i="18"/>
  <c r="S15" i="16"/>
  <c r="R15" i="16"/>
  <c r="Q15" i="16"/>
  <c r="O19" i="16"/>
  <c r="P18" i="16"/>
  <c r="Q18" i="16"/>
  <c r="P3" i="16"/>
  <c r="P6" i="16"/>
  <c r="P5" i="16"/>
  <c r="P4" i="16"/>
  <c r="P7" i="16"/>
  <c r="P8" i="16"/>
  <c r="P9" i="16"/>
  <c r="P10" i="16"/>
  <c r="P11" i="16"/>
  <c r="P14" i="16"/>
  <c r="P17" i="16"/>
  <c r="P12" i="16"/>
  <c r="S52" i="16"/>
  <c r="R52" i="16"/>
  <c r="P53" i="16"/>
  <c r="O54" i="16"/>
  <c r="P13" i="16"/>
  <c r="S46" i="15"/>
  <c r="P41" i="15"/>
  <c r="R41" i="15" s="1"/>
  <c r="P45" i="15"/>
  <c r="S43" i="15"/>
  <c r="R43" i="15"/>
  <c r="S42" i="15"/>
  <c r="R42" i="15"/>
  <c r="O15" i="15"/>
  <c r="M17" i="15"/>
  <c r="N16" i="15"/>
  <c r="S50" i="15"/>
  <c r="R50" i="15"/>
  <c r="O52" i="15"/>
  <c r="P51" i="15"/>
  <c r="S47" i="15"/>
  <c r="S49" i="15"/>
  <c r="Q16" i="16" l="1"/>
  <c r="S16" i="16"/>
  <c r="M65" i="19"/>
  <c r="N64" i="19"/>
  <c r="O60" i="19"/>
  <c r="R44" i="15"/>
  <c r="S48" i="15"/>
  <c r="S41" i="15"/>
  <c r="P57" i="18"/>
  <c r="O58" i="18"/>
  <c r="R19" i="18"/>
  <c r="S19" i="18"/>
  <c r="P20" i="18"/>
  <c r="Q20" i="18"/>
  <c r="R56" i="18"/>
  <c r="S56" i="18"/>
  <c r="S4" i="16"/>
  <c r="R4" i="16"/>
  <c r="Q4" i="16"/>
  <c r="S9" i="16"/>
  <c r="R9" i="16"/>
  <c r="Q9" i="16"/>
  <c r="S7" i="16"/>
  <c r="R7" i="16"/>
  <c r="Q7" i="16"/>
  <c r="R5" i="16"/>
  <c r="S5" i="16"/>
  <c r="Q5" i="16"/>
  <c r="R14" i="16"/>
  <c r="S14" i="16"/>
  <c r="Q14" i="16"/>
  <c r="R6" i="16"/>
  <c r="S6" i="16"/>
  <c r="Q6" i="16"/>
  <c r="S8" i="16"/>
  <c r="R8" i="16"/>
  <c r="Q8" i="16"/>
  <c r="R12" i="16"/>
  <c r="S12" i="16"/>
  <c r="Q12" i="16"/>
  <c r="S17" i="16"/>
  <c r="R17" i="16"/>
  <c r="Q17" i="16"/>
  <c r="S11" i="16"/>
  <c r="R11" i="16"/>
  <c r="Q11" i="16"/>
  <c r="S3" i="16"/>
  <c r="R3" i="16"/>
  <c r="Q3" i="16"/>
  <c r="S53" i="16"/>
  <c r="R53" i="16"/>
  <c r="S18" i="16"/>
  <c r="R18" i="16"/>
  <c r="P19" i="16"/>
  <c r="O20" i="16"/>
  <c r="Q19" i="16"/>
  <c r="S13" i="16"/>
  <c r="R13" i="16"/>
  <c r="Q13" i="16"/>
  <c r="P54" i="16"/>
  <c r="O55" i="16"/>
  <c r="R10" i="16"/>
  <c r="S10" i="16"/>
  <c r="Q10" i="16"/>
  <c r="R45" i="15"/>
  <c r="S45" i="15"/>
  <c r="R51" i="15"/>
  <c r="S51" i="15"/>
  <c r="O16" i="15"/>
  <c r="N17" i="15"/>
  <c r="P15" i="15" s="1"/>
  <c r="Q15" i="15" s="1"/>
  <c r="M18" i="15"/>
  <c r="M19" i="15" s="1"/>
  <c r="M20" i="15" s="1"/>
  <c r="O53" i="15"/>
  <c r="P52" i="15"/>
  <c r="P9" i="15" l="1"/>
  <c r="P12" i="15"/>
  <c r="P14" i="15"/>
  <c r="M66" i="19"/>
  <c r="N65" i="19"/>
  <c r="O61" i="19"/>
  <c r="S20" i="18"/>
  <c r="R20" i="18"/>
  <c r="P58" i="18"/>
  <c r="O59" i="18"/>
  <c r="S57" i="18"/>
  <c r="R57" i="18"/>
  <c r="Q20" i="16"/>
  <c r="P20" i="16"/>
  <c r="S19" i="16"/>
  <c r="R19" i="16"/>
  <c r="S54" i="16"/>
  <c r="R54" i="16"/>
  <c r="O56" i="16"/>
  <c r="P55" i="16"/>
  <c r="R15" i="15"/>
  <c r="S15" i="15"/>
  <c r="P53" i="15"/>
  <c r="O54" i="15"/>
  <c r="S9" i="15"/>
  <c r="R9" i="15"/>
  <c r="Q9" i="15"/>
  <c r="S14" i="15"/>
  <c r="R14" i="15"/>
  <c r="Q14" i="15"/>
  <c r="S12" i="15"/>
  <c r="R12" i="15"/>
  <c r="Q12" i="15"/>
  <c r="P16" i="15"/>
  <c r="O17" i="15"/>
  <c r="S52" i="15"/>
  <c r="R52" i="15"/>
  <c r="P3" i="15"/>
  <c r="P5" i="15"/>
  <c r="P4" i="15"/>
  <c r="P6" i="15"/>
  <c r="P7" i="15"/>
  <c r="P11" i="15"/>
  <c r="P10" i="15"/>
  <c r="P8" i="15"/>
  <c r="P13" i="15"/>
  <c r="M67" i="19" l="1"/>
  <c r="N66" i="19"/>
  <c r="O62" i="19"/>
  <c r="O60" i="18"/>
  <c r="P59" i="18"/>
  <c r="S58" i="18"/>
  <c r="R58" i="18"/>
  <c r="S55" i="16"/>
  <c r="R55" i="16"/>
  <c r="R20" i="16"/>
  <c r="S20" i="16"/>
  <c r="P56" i="16"/>
  <c r="O57" i="16"/>
  <c r="S5" i="15"/>
  <c r="R5" i="15"/>
  <c r="Q5" i="15"/>
  <c r="O55" i="15"/>
  <c r="P54" i="15"/>
  <c r="S11" i="15"/>
  <c r="R11" i="15"/>
  <c r="Q11" i="15"/>
  <c r="S16" i="15"/>
  <c r="R16" i="15"/>
  <c r="Q16" i="15"/>
  <c r="S13" i="15"/>
  <c r="R13" i="15"/>
  <c r="Q13" i="15"/>
  <c r="S3" i="15"/>
  <c r="R3" i="15"/>
  <c r="Q3" i="15"/>
  <c r="R53" i="15"/>
  <c r="S53" i="15"/>
  <c r="S7" i="15"/>
  <c r="R7" i="15"/>
  <c r="Q7" i="15"/>
  <c r="S8" i="15"/>
  <c r="R8" i="15"/>
  <c r="Q8" i="15"/>
  <c r="O18" i="15"/>
  <c r="P17" i="15"/>
  <c r="R6" i="15"/>
  <c r="S6" i="15"/>
  <c r="Q6" i="15"/>
  <c r="R4" i="15"/>
  <c r="S4" i="15"/>
  <c r="Q4" i="15"/>
  <c r="S10" i="15"/>
  <c r="R10" i="15"/>
  <c r="Q10" i="15"/>
  <c r="U3" i="16" a="1"/>
  <c r="M68" i="19" l="1"/>
  <c r="N67" i="19"/>
  <c r="O63" i="19"/>
  <c r="R59" i="18"/>
  <c r="S59" i="18"/>
  <c r="P60" i="18"/>
  <c r="O61" i="18"/>
  <c r="U76" i="16"/>
  <c r="U72" i="16"/>
  <c r="U68" i="16"/>
  <c r="U64" i="16"/>
  <c r="U60" i="16"/>
  <c r="U56" i="16"/>
  <c r="U52" i="16"/>
  <c r="U48" i="16"/>
  <c r="U44" i="16"/>
  <c r="U40" i="16"/>
  <c r="U36" i="16"/>
  <c r="U32" i="16"/>
  <c r="U28" i="16"/>
  <c r="U24" i="16"/>
  <c r="U20" i="16"/>
  <c r="U16" i="16"/>
  <c r="U12" i="16"/>
  <c r="U8" i="16"/>
  <c r="U4" i="16"/>
  <c r="V79" i="16"/>
  <c r="V75" i="16"/>
  <c r="V71" i="16"/>
  <c r="V67" i="16"/>
  <c r="V63" i="16"/>
  <c r="V59" i="16"/>
  <c r="V55" i="16"/>
  <c r="V47" i="16"/>
  <c r="V43" i="16"/>
  <c r="V39" i="16"/>
  <c r="V35" i="16"/>
  <c r="V31" i="16"/>
  <c r="V27" i="16"/>
  <c r="V19" i="16"/>
  <c r="V15" i="16"/>
  <c r="V7" i="16"/>
  <c r="V3" i="16"/>
  <c r="U75" i="16"/>
  <c r="U63" i="16"/>
  <c r="U51" i="16"/>
  <c r="V51" i="16"/>
  <c r="V23" i="16"/>
  <c r="V11" i="16"/>
  <c r="U79" i="16"/>
  <c r="U67" i="16"/>
  <c r="U55" i="16"/>
  <c r="U71" i="16"/>
  <c r="U59" i="16"/>
  <c r="V77" i="16"/>
  <c r="V70" i="16"/>
  <c r="U65" i="16"/>
  <c r="U58" i="16"/>
  <c r="V52" i="16"/>
  <c r="U46" i="16"/>
  <c r="U41" i="16"/>
  <c r="U35" i="16"/>
  <c r="U30" i="16"/>
  <c r="U25" i="16"/>
  <c r="U19" i="16"/>
  <c r="U14" i="16"/>
  <c r="U9" i="16"/>
  <c r="U3" i="16"/>
  <c r="U77" i="16"/>
  <c r="U70" i="16"/>
  <c r="V64" i="16"/>
  <c r="V57" i="16"/>
  <c r="V50" i="16"/>
  <c r="V45" i="16"/>
  <c r="V40" i="16"/>
  <c r="V34" i="16"/>
  <c r="V29" i="16"/>
  <c r="V24" i="16"/>
  <c r="V18" i="16"/>
  <c r="V8" i="16"/>
  <c r="U57" i="16"/>
  <c r="U29" i="16"/>
  <c r="U13" i="16"/>
  <c r="V44" i="16"/>
  <c r="V17" i="16"/>
  <c r="V13" i="16"/>
  <c r="V76" i="16"/>
  <c r="V62" i="16"/>
  <c r="U50" i="16"/>
  <c r="U39" i="16"/>
  <c r="U34" i="16"/>
  <c r="U18" i="16"/>
  <c r="U7" i="16"/>
  <c r="U69" i="16"/>
  <c r="V49" i="16"/>
  <c r="V33" i="16"/>
  <c r="V22" i="16"/>
  <c r="V6" i="16"/>
  <c r="V69" i="16"/>
  <c r="U45" i="16"/>
  <c r="U23" i="16"/>
  <c r="V74" i="16"/>
  <c r="U62" i="16"/>
  <c r="V56" i="16"/>
  <c r="V38" i="16"/>
  <c r="V28" i="16"/>
  <c r="V12" i="16"/>
  <c r="U74" i="16"/>
  <c r="V61" i="16"/>
  <c r="U49" i="16"/>
  <c r="U38" i="16"/>
  <c r="U27" i="16"/>
  <c r="U17" i="16"/>
  <c r="U6" i="16"/>
  <c r="V73" i="16"/>
  <c r="U61" i="16"/>
  <c r="V48" i="16"/>
  <c r="V37" i="16"/>
  <c r="V26" i="16"/>
  <c r="V16" i="16"/>
  <c r="V5" i="16"/>
  <c r="U26" i="16"/>
  <c r="V72" i="16"/>
  <c r="V36" i="16"/>
  <c r="V14" i="16"/>
  <c r="U22" i="16"/>
  <c r="V66" i="16"/>
  <c r="U54" i="16"/>
  <c r="V42" i="16"/>
  <c r="V32" i="16"/>
  <c r="V10" i="16"/>
  <c r="V78" i="16"/>
  <c r="U66" i="16"/>
  <c r="U42" i="16"/>
  <c r="U31" i="16"/>
  <c r="U21" i="16"/>
  <c r="U10" i="16"/>
  <c r="V65" i="16"/>
  <c r="V20" i="16"/>
  <c r="U73" i="16"/>
  <c r="U47" i="16"/>
  <c r="U37" i="16"/>
  <c r="U15" i="16"/>
  <c r="U5" i="16"/>
  <c r="V58" i="16"/>
  <c r="V46" i="16"/>
  <c r="V25" i="16"/>
  <c r="V4" i="16"/>
  <c r="U43" i="16"/>
  <c r="V21" i="16"/>
  <c r="V53" i="16"/>
  <c r="V60" i="16"/>
  <c r="V68" i="16"/>
  <c r="V54" i="16"/>
  <c r="U33" i="16"/>
  <c r="U11" i="16"/>
  <c r="U78" i="16"/>
  <c r="U53" i="16"/>
  <c r="V41" i="16"/>
  <c r="V30" i="16"/>
  <c r="V9" i="16"/>
  <c r="O58" i="16"/>
  <c r="P57" i="16"/>
  <c r="R56" i="16"/>
  <c r="S56" i="16"/>
  <c r="S54" i="15"/>
  <c r="R54" i="15"/>
  <c r="O56" i="15"/>
  <c r="P55" i="15"/>
  <c r="S17" i="15"/>
  <c r="R17" i="15"/>
  <c r="Q17" i="15"/>
  <c r="P18" i="15"/>
  <c r="O19" i="15"/>
  <c r="Q18" i="15"/>
  <c r="AN35" i="16"/>
  <c r="AO16" i="16"/>
  <c r="AN15" i="16"/>
  <c r="AN61" i="16"/>
  <c r="AO13" i="16"/>
  <c r="AO23" i="16"/>
  <c r="AO49" i="16"/>
  <c r="AN3" i="16"/>
  <c r="AN56" i="16"/>
  <c r="D5" i="4"/>
  <c r="AO19" i="16"/>
  <c r="AO44" i="16"/>
  <c r="AO5" i="16"/>
  <c r="AN8" i="16"/>
  <c r="AN25" i="16"/>
  <c r="AO7" i="16"/>
  <c r="AO64" i="16"/>
  <c r="AN28" i="16"/>
  <c r="AO24" i="16"/>
  <c r="AN58" i="16"/>
  <c r="AN37" i="16"/>
  <c r="AO12" i="16"/>
  <c r="AO27" i="16"/>
  <c r="AO46" i="16"/>
  <c r="AO51" i="16"/>
  <c r="AN19" i="16"/>
  <c r="AN32" i="16"/>
  <c r="AN16" i="16"/>
  <c r="AO36" i="16"/>
  <c r="AO40" i="16"/>
  <c r="AO58" i="16"/>
  <c r="AO9" i="16"/>
  <c r="AO63" i="16"/>
  <c r="AO4" i="16"/>
  <c r="AN29" i="16"/>
  <c r="AO20" i="16"/>
  <c r="AO50" i="16"/>
  <c r="AN41" i="16"/>
  <c r="AO28" i="16"/>
  <c r="AO54" i="16"/>
  <c r="AO22" i="16"/>
  <c r="AO11" i="16"/>
  <c r="AN31" i="16"/>
  <c r="AO56" i="16"/>
  <c r="AO3" i="16"/>
  <c r="AO59" i="16"/>
  <c r="AO26" i="16"/>
  <c r="AN7" i="16"/>
  <c r="AO53" i="16"/>
  <c r="AO14" i="16"/>
  <c r="AO43" i="16"/>
  <c r="AN48" i="16"/>
  <c r="AO18" i="16"/>
  <c r="AO65" i="16"/>
  <c r="AN49" i="16"/>
  <c r="AN13" i="16"/>
  <c r="AN12" i="16"/>
  <c r="AN9" i="16"/>
  <c r="AN64" i="16"/>
  <c r="AO57" i="16"/>
  <c r="AQ7" i="16" l="1"/>
  <c r="AQ23" i="16"/>
  <c r="AQ63" i="16"/>
  <c r="AQ24" i="16"/>
  <c r="AQ40" i="16"/>
  <c r="AQ56" i="16"/>
  <c r="AQ9" i="16"/>
  <c r="AQ49" i="16"/>
  <c r="AQ26" i="16"/>
  <c r="AQ58" i="16"/>
  <c r="AQ19" i="16"/>
  <c r="AQ51" i="16"/>
  <c r="AQ20" i="16"/>
  <c r="AQ22" i="16"/>
  <c r="AQ16" i="16"/>
  <c r="AQ64" i="16"/>
  <c r="AQ65" i="16"/>
  <c r="AQ36" i="16"/>
  <c r="AQ5" i="16"/>
  <c r="AQ53" i="16"/>
  <c r="AQ46" i="16"/>
  <c r="AQ57" i="16"/>
  <c r="AQ50" i="16"/>
  <c r="AQ27" i="16"/>
  <c r="AQ59" i="16"/>
  <c r="AQ28" i="16"/>
  <c r="AQ18" i="16"/>
  <c r="AQ11" i="16"/>
  <c r="AQ43" i="16"/>
  <c r="AQ44" i="16"/>
  <c r="AQ12" i="16"/>
  <c r="AQ13" i="16"/>
  <c r="AQ14" i="16"/>
  <c r="AQ4" i="16"/>
  <c r="AQ54" i="16"/>
  <c r="AQ3" i="16"/>
  <c r="M69" i="19"/>
  <c r="N68" i="19"/>
  <c r="O64" i="19"/>
  <c r="O62" i="18"/>
  <c r="P61" i="18"/>
  <c r="S60" i="18"/>
  <c r="R60" i="18"/>
  <c r="C8" i="17"/>
  <c r="S57" i="16"/>
  <c r="R57" i="16"/>
  <c r="P58" i="16"/>
  <c r="O59" i="16"/>
  <c r="O57" i="15"/>
  <c r="P56" i="15"/>
  <c r="S18" i="15"/>
  <c r="R18" i="15"/>
  <c r="R55" i="15"/>
  <c r="S55" i="15"/>
  <c r="Q19" i="15"/>
  <c r="P19" i="15"/>
  <c r="O20" i="15"/>
  <c r="N9" i="17"/>
  <c r="N8" i="17"/>
  <c r="N7" i="17"/>
  <c r="N6" i="17"/>
  <c r="N4" i="17"/>
  <c r="N15" i="17"/>
  <c r="N14" i="17"/>
  <c r="N13" i="17"/>
  <c r="N17" i="17"/>
  <c r="N5" i="17"/>
  <c r="N16" i="17"/>
  <c r="N12" i="17"/>
  <c r="N11" i="17"/>
  <c r="N10" i="17"/>
  <c r="N3" i="17"/>
  <c r="AO21" i="16"/>
  <c r="AN10" i="16"/>
  <c r="AO66" i="16"/>
  <c r="AO45" i="16"/>
  <c r="AO47" i="16"/>
  <c r="AN42" i="16"/>
  <c r="AN5" i="16"/>
  <c r="AO62" i="16"/>
  <c r="AO34" i="16"/>
  <c r="AN26" i="16"/>
  <c r="AO52" i="16"/>
  <c r="AN14" i="16"/>
  <c r="AN54" i="16"/>
  <c r="AN40" i="16"/>
  <c r="AN22" i="16"/>
  <c r="AN66" i="16"/>
  <c r="AN51" i="16"/>
  <c r="AO25" i="16"/>
  <c r="AN53" i="16"/>
  <c r="AN24" i="16"/>
  <c r="AO31" i="16"/>
  <c r="AN65" i="16"/>
  <c r="AN55" i="16"/>
  <c r="AN23" i="16"/>
  <c r="AO6" i="16"/>
  <c r="AN11" i="16"/>
  <c r="AO48" i="16"/>
  <c r="AN36" i="16"/>
  <c r="AN63" i="16"/>
  <c r="AN60" i="16"/>
  <c r="AO42" i="16"/>
  <c r="AN4" i="16"/>
  <c r="AO33" i="16"/>
  <c r="AO60" i="16"/>
  <c r="AN30" i="16"/>
  <c r="AN21" i="16"/>
  <c r="AO29" i="16"/>
  <c r="AO8" i="16"/>
  <c r="AN59" i="16"/>
  <c r="AN44" i="16"/>
  <c r="AN50" i="16"/>
  <c r="AN62" i="16"/>
  <c r="AO39" i="16"/>
  <c r="AO15" i="16"/>
  <c r="AN34" i="16"/>
  <c r="AN6" i="16"/>
  <c r="AO38" i="16"/>
  <c r="AN57" i="16"/>
  <c r="AO61" i="16"/>
  <c r="AO55" i="16"/>
  <c r="AO10" i="16"/>
  <c r="AN39" i="16"/>
  <c r="AN38" i="16"/>
  <c r="AN17" i="16"/>
  <c r="AN33" i="16"/>
  <c r="AN46" i="16"/>
  <c r="AN18" i="16"/>
  <c r="AO41" i="16"/>
  <c r="AN47" i="16"/>
  <c r="AN52" i="16"/>
  <c r="AO37" i="16"/>
  <c r="AN43" i="16"/>
  <c r="AN45" i="16"/>
  <c r="AO35" i="16"/>
  <c r="AO17" i="16"/>
  <c r="AN20" i="16"/>
  <c r="AO30" i="16"/>
  <c r="AO32" i="16"/>
  <c r="AN27" i="16"/>
  <c r="AQ61" i="16" l="1"/>
  <c r="AQ48" i="16"/>
  <c r="AQ31" i="16"/>
  <c r="AQ21" i="16"/>
  <c r="AQ34" i="16"/>
  <c r="AQ8" i="16"/>
  <c r="AQ45" i="16"/>
  <c r="AQ30" i="16"/>
  <c r="AQ66" i="16"/>
  <c r="AQ15" i="16"/>
  <c r="AQ32" i="16"/>
  <c r="AQ39" i="16"/>
  <c r="AQ35" i="16"/>
  <c r="AQ42" i="16"/>
  <c r="AQ47" i="16"/>
  <c r="AQ25" i="16"/>
  <c r="AQ29" i="16"/>
  <c r="AQ38" i="16"/>
  <c r="AQ6" i="16"/>
  <c r="AQ62" i="16"/>
  <c r="AQ41" i="16"/>
  <c r="AQ55" i="16"/>
  <c r="AQ52" i="16"/>
  <c r="AQ17" i="16"/>
  <c r="AQ37" i="16"/>
  <c r="AQ10" i="16"/>
  <c r="AQ33" i="16"/>
  <c r="AQ60" i="16"/>
  <c r="M70" i="19"/>
  <c r="N69" i="19"/>
  <c r="O65" i="19"/>
  <c r="R61" i="18"/>
  <c r="S61" i="18"/>
  <c r="O63" i="18"/>
  <c r="P62" i="18"/>
  <c r="AP37" i="16"/>
  <c r="AP55" i="16"/>
  <c r="AP20" i="16"/>
  <c r="AP42" i="16"/>
  <c r="AP48" i="16"/>
  <c r="AP28" i="16"/>
  <c r="AP65" i="16"/>
  <c r="AP9" i="16"/>
  <c r="AP54" i="16"/>
  <c r="AP17" i="16"/>
  <c r="AP22" i="16"/>
  <c r="AP7" i="16"/>
  <c r="AP64" i="16"/>
  <c r="AP35" i="16"/>
  <c r="AP32" i="16"/>
  <c r="AP12" i="16"/>
  <c r="AP45" i="16"/>
  <c r="AP63" i="16"/>
  <c r="AP56" i="16"/>
  <c r="AP53" i="16"/>
  <c r="AP46" i="16"/>
  <c r="AP44" i="16"/>
  <c r="AP60" i="16"/>
  <c r="AP41" i="16"/>
  <c r="AP21" i="16"/>
  <c r="AP25" i="16"/>
  <c r="AP61" i="16"/>
  <c r="AP33" i="16"/>
  <c r="AP26" i="16"/>
  <c r="AP59" i="16"/>
  <c r="AP4" i="16"/>
  <c r="AP5" i="16"/>
  <c r="AP40" i="16"/>
  <c r="AP15" i="16"/>
  <c r="AP10" i="16"/>
  <c r="AP24" i="16"/>
  <c r="AP36" i="16"/>
  <c r="AP19" i="16"/>
  <c r="AP14" i="16"/>
  <c r="AP27" i="16"/>
  <c r="AP38" i="16"/>
  <c r="AP39" i="16"/>
  <c r="AP16" i="16"/>
  <c r="AP30" i="16"/>
  <c r="AP43" i="16"/>
  <c r="AP3" i="16"/>
  <c r="AP18" i="16"/>
  <c r="AP47" i="16"/>
  <c r="AP11" i="16"/>
  <c r="AP13" i="16"/>
  <c r="AP6" i="16"/>
  <c r="AP29" i="16"/>
  <c r="AP23" i="16"/>
  <c r="AP58" i="16"/>
  <c r="AP49" i="16"/>
  <c r="AP62" i="16"/>
  <c r="AP34" i="16"/>
  <c r="AP50" i="16"/>
  <c r="AP8" i="16"/>
  <c r="AP51" i="16"/>
  <c r="AP31" i="16"/>
  <c r="AP52" i="16"/>
  <c r="AP57" i="16"/>
  <c r="AP66" i="16"/>
  <c r="O60" i="16"/>
  <c r="P59" i="16"/>
  <c r="R58" i="16"/>
  <c r="S58" i="16"/>
  <c r="S56" i="15"/>
  <c r="R56" i="15"/>
  <c r="Q20" i="15"/>
  <c r="P20" i="15"/>
  <c r="P57" i="15"/>
  <c r="O58" i="15"/>
  <c r="R19" i="15"/>
  <c r="S19" i="15"/>
  <c r="M71" i="19" l="1"/>
  <c r="M72" i="19" s="1"/>
  <c r="M73" i="19" s="1"/>
  <c r="M74" i="19" s="1"/>
  <c r="M75" i="19" s="1"/>
  <c r="M76" i="19" s="1"/>
  <c r="M77" i="19" s="1"/>
  <c r="M78" i="19" s="1"/>
  <c r="M79" i="19" s="1"/>
  <c r="M80" i="19" s="1"/>
  <c r="M81" i="19" s="1"/>
  <c r="M82" i="19" s="1"/>
  <c r="N70" i="19"/>
  <c r="P62" i="19"/>
  <c r="O66" i="19"/>
  <c r="P65" i="19"/>
  <c r="S62" i="18"/>
  <c r="R62" i="18"/>
  <c r="P63" i="18"/>
  <c r="O64" i="18"/>
  <c r="R59" i="16"/>
  <c r="S59" i="16"/>
  <c r="P60" i="16"/>
  <c r="O61" i="16"/>
  <c r="R57" i="15"/>
  <c r="S57" i="15"/>
  <c r="P58" i="15"/>
  <c r="O59" i="15"/>
  <c r="R20" i="15"/>
  <c r="S20" i="15"/>
  <c r="S62" i="19" l="1"/>
  <c r="R62" i="19"/>
  <c r="P46" i="19"/>
  <c r="P45" i="19"/>
  <c r="P41" i="19"/>
  <c r="P53" i="19"/>
  <c r="P48" i="19"/>
  <c r="P42" i="19"/>
  <c r="P44" i="19"/>
  <c r="P49" i="19"/>
  <c r="P47" i="19"/>
  <c r="P43" i="19"/>
  <c r="P51" i="19"/>
  <c r="P50" i="19"/>
  <c r="P52" i="19"/>
  <c r="P54" i="19"/>
  <c r="P61" i="19"/>
  <c r="P59" i="19"/>
  <c r="P60" i="19"/>
  <c r="P57" i="19"/>
  <c r="P56" i="19"/>
  <c r="P64" i="19"/>
  <c r="P55" i="19"/>
  <c r="P58" i="19"/>
  <c r="P63" i="19"/>
  <c r="S65" i="19"/>
  <c r="R65" i="19"/>
  <c r="P66" i="19"/>
  <c r="O67" i="19"/>
  <c r="O65" i="18"/>
  <c r="P64" i="18"/>
  <c r="S63" i="18"/>
  <c r="R63" i="18"/>
  <c r="O62" i="16"/>
  <c r="P61" i="16"/>
  <c r="R60" i="16"/>
  <c r="S60" i="16"/>
  <c r="O60" i="15"/>
  <c r="P59" i="15"/>
  <c r="S58" i="15"/>
  <c r="R58" i="15"/>
  <c r="S58" i="19" l="1"/>
  <c r="R58" i="19"/>
  <c r="R54" i="19"/>
  <c r="S54" i="19"/>
  <c r="R42" i="19"/>
  <c r="S42" i="19"/>
  <c r="R64" i="19"/>
  <c r="S64" i="19"/>
  <c r="S50" i="19"/>
  <c r="R50" i="19"/>
  <c r="S53" i="19"/>
  <c r="R53" i="19"/>
  <c r="S56" i="19"/>
  <c r="R56" i="19"/>
  <c r="R51" i="19"/>
  <c r="S51" i="19"/>
  <c r="S41" i="19"/>
  <c r="R41" i="19"/>
  <c r="S43" i="19"/>
  <c r="R43" i="19"/>
  <c r="S45" i="19"/>
  <c r="R45" i="19"/>
  <c r="S55" i="19"/>
  <c r="R55" i="19"/>
  <c r="R60" i="19"/>
  <c r="S60" i="19"/>
  <c r="R47" i="19"/>
  <c r="S47" i="19"/>
  <c r="S46" i="19"/>
  <c r="R46" i="19"/>
  <c r="R48" i="19"/>
  <c r="S48" i="19"/>
  <c r="R57" i="19"/>
  <c r="S57" i="19"/>
  <c r="S59" i="19"/>
  <c r="R59" i="19"/>
  <c r="S49" i="19"/>
  <c r="R49" i="19"/>
  <c r="R52" i="19"/>
  <c r="S52" i="19"/>
  <c r="R63" i="19"/>
  <c r="S63" i="19"/>
  <c r="R61" i="19"/>
  <c r="S61" i="19"/>
  <c r="R44" i="19"/>
  <c r="S44" i="19"/>
  <c r="O68" i="19"/>
  <c r="P67" i="19"/>
  <c r="S66" i="19"/>
  <c r="R66" i="19"/>
  <c r="S64" i="18"/>
  <c r="R64" i="18"/>
  <c r="O66" i="18"/>
  <c r="P65" i="18"/>
  <c r="S61" i="16"/>
  <c r="R61" i="16"/>
  <c r="O63" i="16"/>
  <c r="P62" i="16"/>
  <c r="R59" i="15"/>
  <c r="S59" i="15"/>
  <c r="O61" i="15"/>
  <c r="P60" i="15"/>
  <c r="S67" i="19" l="1"/>
  <c r="R67" i="19"/>
  <c r="P68" i="19"/>
  <c r="O69" i="19"/>
  <c r="S65" i="18"/>
  <c r="R65" i="18"/>
  <c r="O67" i="18"/>
  <c r="P66" i="18"/>
  <c r="S62" i="16"/>
  <c r="R62" i="16"/>
  <c r="P63" i="16"/>
  <c r="O64" i="16"/>
  <c r="S60" i="15"/>
  <c r="R60" i="15"/>
  <c r="P61" i="15"/>
  <c r="O62" i="15"/>
  <c r="O70" i="19" l="1"/>
  <c r="P69" i="19"/>
  <c r="S68" i="19"/>
  <c r="R68" i="19"/>
  <c r="S66" i="18"/>
  <c r="R66" i="18"/>
  <c r="P67" i="18"/>
  <c r="O68" i="18"/>
  <c r="O65" i="16"/>
  <c r="P64" i="16"/>
  <c r="R63" i="16"/>
  <c r="S63" i="16"/>
  <c r="O63" i="15"/>
  <c r="P62" i="15"/>
  <c r="R61" i="15"/>
  <c r="S61" i="15"/>
  <c r="S69" i="19" l="1"/>
  <c r="R69" i="19"/>
  <c r="O71" i="19"/>
  <c r="P70" i="19"/>
  <c r="O69" i="18"/>
  <c r="P68" i="18"/>
  <c r="R67" i="18"/>
  <c r="S67" i="18"/>
  <c r="S64" i="16"/>
  <c r="R64" i="16"/>
  <c r="O66" i="16"/>
  <c r="P65" i="16"/>
  <c r="R62" i="15"/>
  <c r="S62" i="15"/>
  <c r="P63" i="15"/>
  <c r="O64" i="15"/>
  <c r="U3" i="19" a="1"/>
  <c r="V77" i="19" l="1"/>
  <c r="U74" i="19"/>
  <c r="U27" i="19"/>
  <c r="V19" i="19"/>
  <c r="U20" i="19"/>
  <c r="V29" i="19"/>
  <c r="V31" i="19"/>
  <c r="V72" i="19"/>
  <c r="U10" i="19"/>
  <c r="U30" i="19"/>
  <c r="U12" i="19"/>
  <c r="V10" i="19"/>
  <c r="V69" i="19"/>
  <c r="V35" i="19"/>
  <c r="U46" i="19"/>
  <c r="U13" i="19"/>
  <c r="U39" i="19"/>
  <c r="V6" i="19"/>
  <c r="U58" i="19"/>
  <c r="V76" i="19"/>
  <c r="U25" i="19"/>
  <c r="V60" i="19"/>
  <c r="V39" i="19"/>
  <c r="U31" i="19"/>
  <c r="U71" i="19"/>
  <c r="U4" i="19"/>
  <c r="U23" i="19"/>
  <c r="U76" i="19"/>
  <c r="V44" i="19"/>
  <c r="V55" i="19"/>
  <c r="U15" i="19"/>
  <c r="U43" i="19"/>
  <c r="V9" i="19"/>
  <c r="V11" i="19"/>
  <c r="V78" i="19"/>
  <c r="U52" i="19"/>
  <c r="V63" i="19"/>
  <c r="U49" i="19"/>
  <c r="U3" i="19"/>
  <c r="U6" i="19"/>
  <c r="V48" i="19"/>
  <c r="U59" i="19"/>
  <c r="V28" i="19"/>
  <c r="V45" i="19"/>
  <c r="V66" i="19"/>
  <c r="U14" i="19"/>
  <c r="U60" i="19"/>
  <c r="V42" i="19"/>
  <c r="V71" i="19"/>
  <c r="V57" i="19"/>
  <c r="U78" i="19"/>
  <c r="V68" i="19"/>
  <c r="U73" i="19"/>
  <c r="U75" i="19"/>
  <c r="U50" i="19"/>
  <c r="V5" i="19"/>
  <c r="V40" i="19"/>
  <c r="V8" i="19"/>
  <c r="U36" i="19"/>
  <c r="U56" i="19"/>
  <c r="V75" i="19"/>
  <c r="U21" i="19"/>
  <c r="V50" i="19"/>
  <c r="V21" i="19"/>
  <c r="U32" i="19"/>
  <c r="U35" i="19"/>
  <c r="U47" i="19"/>
  <c r="V13" i="19"/>
  <c r="V20" i="19"/>
  <c r="U64" i="19"/>
  <c r="V36" i="19"/>
  <c r="U48" i="19"/>
  <c r="U57" i="19"/>
  <c r="U67" i="19"/>
  <c r="V18" i="19"/>
  <c r="V54" i="19"/>
  <c r="V58" i="19"/>
  <c r="U34" i="19"/>
  <c r="V12" i="19"/>
  <c r="V7" i="19"/>
  <c r="V33" i="19"/>
  <c r="V61" i="19"/>
  <c r="V67" i="19"/>
  <c r="U9" i="19"/>
  <c r="U42" i="19"/>
  <c r="U79" i="19"/>
  <c r="U77" i="19"/>
  <c r="U17" i="19"/>
  <c r="V25" i="19"/>
  <c r="V62" i="19"/>
  <c r="U53" i="19"/>
  <c r="U5" i="19"/>
  <c r="U40" i="19"/>
  <c r="U22" i="19"/>
  <c r="V74" i="19"/>
  <c r="U38" i="19"/>
  <c r="U8" i="19"/>
  <c r="V24" i="19"/>
  <c r="U54" i="19"/>
  <c r="U51" i="19"/>
  <c r="U19" i="19"/>
  <c r="U66" i="19"/>
  <c r="U65" i="19"/>
  <c r="U16" i="19"/>
  <c r="V16" i="19"/>
  <c r="U24" i="19"/>
  <c r="V37" i="19"/>
  <c r="U55" i="19"/>
  <c r="V26" i="19"/>
  <c r="V43" i="19"/>
  <c r="U11" i="19"/>
  <c r="U26" i="19"/>
  <c r="V17" i="19"/>
  <c r="V73" i="19"/>
  <c r="V64" i="19"/>
  <c r="U72" i="19"/>
  <c r="V51" i="19"/>
  <c r="U61" i="19"/>
  <c r="V56" i="19"/>
  <c r="V59" i="19"/>
  <c r="V23" i="19"/>
  <c r="U29" i="19"/>
  <c r="U70" i="19"/>
  <c r="V27" i="19"/>
  <c r="V22" i="19"/>
  <c r="V34" i="19"/>
  <c r="V46" i="19"/>
  <c r="U18" i="19"/>
  <c r="V79" i="19"/>
  <c r="U63" i="19"/>
  <c r="U44" i="19"/>
  <c r="V65" i="19"/>
  <c r="U41" i="19"/>
  <c r="U69" i="19"/>
  <c r="V14" i="19"/>
  <c r="V47" i="19"/>
  <c r="U7" i="19"/>
  <c r="V41" i="19"/>
  <c r="U62" i="19"/>
  <c r="U68" i="19"/>
  <c r="V52" i="19"/>
  <c r="U37" i="19"/>
  <c r="V15" i="19"/>
  <c r="V30" i="19"/>
  <c r="V53" i="19"/>
  <c r="V4" i="19"/>
  <c r="U33" i="19"/>
  <c r="U45" i="19"/>
  <c r="V3" i="19"/>
  <c r="C8" i="21" s="1"/>
  <c r="V49" i="19"/>
  <c r="V38" i="19"/>
  <c r="V70" i="19"/>
  <c r="V32" i="19"/>
  <c r="U28" i="19"/>
  <c r="P71" i="19"/>
  <c r="O72" i="19"/>
  <c r="S70" i="19"/>
  <c r="R70" i="19"/>
  <c r="S68" i="18"/>
  <c r="R68" i="18"/>
  <c r="P69" i="18"/>
  <c r="O70" i="18"/>
  <c r="R65" i="16"/>
  <c r="S65" i="16"/>
  <c r="O67" i="16"/>
  <c r="P66" i="16"/>
  <c r="O65" i="15"/>
  <c r="P64" i="15"/>
  <c r="R63" i="15"/>
  <c r="S63" i="15"/>
  <c r="N7" i="21"/>
  <c r="N6" i="21"/>
  <c r="N8" i="21"/>
  <c r="N17" i="21"/>
  <c r="N5" i="21"/>
  <c r="N13" i="21"/>
  <c r="N12" i="21"/>
  <c r="N16" i="21"/>
  <c r="N4" i="21"/>
  <c r="N14" i="21"/>
  <c r="N15" i="21"/>
  <c r="N11" i="21"/>
  <c r="N10" i="21"/>
  <c r="N9" i="21"/>
  <c r="N3" i="21"/>
  <c r="AO56" i="19"/>
  <c r="L6" i="4"/>
  <c r="AN48" i="19"/>
  <c r="AO44" i="19"/>
  <c r="L5" i="4"/>
  <c r="AO5" i="19"/>
  <c r="AO57" i="19"/>
  <c r="AO28" i="19"/>
  <c r="AO53" i="19"/>
  <c r="AO29" i="19"/>
  <c r="C7" i="21" l="1"/>
  <c r="AQ57" i="19"/>
  <c r="AQ44" i="19"/>
  <c r="AQ29" i="19"/>
  <c r="AQ56" i="19"/>
  <c r="AQ28" i="19"/>
  <c r="AQ53" i="19"/>
  <c r="AQ5" i="19"/>
  <c r="AP48" i="19"/>
  <c r="O73" i="19"/>
  <c r="P72" i="19"/>
  <c r="S71" i="19"/>
  <c r="R71" i="19"/>
  <c r="O71" i="18"/>
  <c r="P70" i="18"/>
  <c r="S69" i="18"/>
  <c r="R69" i="18"/>
  <c r="S66" i="16"/>
  <c r="R66" i="16"/>
  <c r="P67" i="16"/>
  <c r="O68" i="16"/>
  <c r="S64" i="15"/>
  <c r="R64" i="15"/>
  <c r="P65" i="15"/>
  <c r="O66" i="15"/>
  <c r="AO11" i="19"/>
  <c r="AO9" i="19"/>
  <c r="AO17" i="19"/>
  <c r="AN10" i="19"/>
  <c r="AN9" i="19"/>
  <c r="AN28" i="19"/>
  <c r="AN23" i="19"/>
  <c r="AO50" i="19"/>
  <c r="AN8" i="19"/>
  <c r="AN51" i="19"/>
  <c r="AO27" i="19"/>
  <c r="AN26" i="19"/>
  <c r="AO30" i="19"/>
  <c r="AN4" i="19"/>
  <c r="AO55" i="19"/>
  <c r="AN33" i="19"/>
  <c r="AO37" i="19"/>
  <c r="AO65" i="19"/>
  <c r="AN25" i="19"/>
  <c r="AN29" i="19"/>
  <c r="AO49" i="19"/>
  <c r="AN53" i="19"/>
  <c r="AN13" i="19"/>
  <c r="AO31" i="19"/>
  <c r="AN32" i="19"/>
  <c r="AO40" i="19"/>
  <c r="AN57" i="19"/>
  <c r="AN54" i="19"/>
  <c r="AO6" i="19"/>
  <c r="AO35" i="19"/>
  <c r="AO42" i="19"/>
  <c r="AO43" i="19"/>
  <c r="AN47" i="19"/>
  <c r="AO15" i="19"/>
  <c r="AN65" i="19"/>
  <c r="AO39" i="19"/>
  <c r="AO62" i="19"/>
  <c r="AO60" i="19"/>
  <c r="AN45" i="19"/>
  <c r="AO61" i="19"/>
  <c r="AO3" i="19"/>
  <c r="AO47" i="19"/>
  <c r="AN16" i="19"/>
  <c r="AN40" i="19"/>
  <c r="AO14" i="19"/>
  <c r="AO24" i="19"/>
  <c r="AO8" i="19"/>
  <c r="AN43" i="19"/>
  <c r="AO26" i="19"/>
  <c r="AN3" i="19"/>
  <c r="AN11" i="19"/>
  <c r="AO32" i="19"/>
  <c r="AO34" i="19"/>
  <c r="AN22" i="19"/>
  <c r="AO23" i="19"/>
  <c r="AO54" i="19"/>
  <c r="AO19" i="19"/>
  <c r="AO4" i="19"/>
  <c r="AO25" i="19"/>
  <c r="AN50" i="19"/>
  <c r="AN5" i="19"/>
  <c r="AO10" i="19"/>
  <c r="AN46" i="19"/>
  <c r="AN12" i="19"/>
  <c r="AN41" i="19"/>
  <c r="AN20" i="19"/>
  <c r="AN34" i="19"/>
  <c r="AO20" i="19"/>
  <c r="AN14" i="19"/>
  <c r="AN21" i="19"/>
  <c r="AO48" i="19"/>
  <c r="AN35" i="19"/>
  <c r="AO45" i="19"/>
  <c r="AO16" i="19"/>
  <c r="AO7" i="19"/>
  <c r="AN66" i="19"/>
  <c r="AO46" i="19"/>
  <c r="AO21" i="19"/>
  <c r="AN19" i="19"/>
  <c r="AO12" i="19"/>
  <c r="AO22" i="19"/>
  <c r="AN6" i="19"/>
  <c r="AN7" i="19"/>
  <c r="AN36" i="19"/>
  <c r="AN37" i="19"/>
  <c r="AO13" i="19"/>
  <c r="AN56" i="19"/>
  <c r="AN63" i="19"/>
  <c r="AN62" i="19"/>
  <c r="AN18" i="19"/>
  <c r="AN61" i="19"/>
  <c r="AO33" i="19"/>
  <c r="AO59" i="19"/>
  <c r="AN52" i="19"/>
  <c r="AN44" i="19"/>
  <c r="AN24" i="19"/>
  <c r="AN64" i="19"/>
  <c r="AO64" i="19"/>
  <c r="AN49" i="19"/>
  <c r="AN38" i="19"/>
  <c r="AN30" i="19"/>
  <c r="AN31" i="19"/>
  <c r="AO58" i="19"/>
  <c r="AN15" i="19"/>
  <c r="AO36" i="19"/>
  <c r="AN58" i="19"/>
  <c r="AN42" i="19"/>
  <c r="AO41" i="19"/>
  <c r="AN39" i="19"/>
  <c r="AN17" i="19"/>
  <c r="AO38" i="19"/>
  <c r="AN59" i="19"/>
  <c r="U3" i="18" a="1"/>
  <c r="AO51" i="19"/>
  <c r="AN60" i="19"/>
  <c r="AO66" i="19"/>
  <c r="AN55" i="19"/>
  <c r="AO63" i="19"/>
  <c r="AO18" i="19"/>
  <c r="AO52" i="19"/>
  <c r="AN27" i="19"/>
  <c r="AP55" i="19" l="1"/>
  <c r="AP28" i="19"/>
  <c r="AQ34" i="19"/>
  <c r="AP20" i="19"/>
  <c r="AQ38" i="19"/>
  <c r="AP64" i="19"/>
  <c r="AQ32" i="19"/>
  <c r="AP34" i="19"/>
  <c r="AQ46" i="19"/>
  <c r="AQ13" i="19"/>
  <c r="AQ16" i="19"/>
  <c r="AQ48" i="19"/>
  <c r="AQ17" i="19"/>
  <c r="AQ59" i="19"/>
  <c r="AP45" i="19"/>
  <c r="AP59" i="19"/>
  <c r="AQ43" i="19"/>
  <c r="AP39" i="19"/>
  <c r="AP46" i="19"/>
  <c r="AP12" i="19"/>
  <c r="AQ21" i="19"/>
  <c r="AQ15" i="19"/>
  <c r="AQ36" i="19"/>
  <c r="AQ24" i="19"/>
  <c r="AQ26" i="19"/>
  <c r="AQ42" i="19"/>
  <c r="AP56" i="19"/>
  <c r="AQ60" i="19"/>
  <c r="AP9" i="19"/>
  <c r="AQ51" i="19"/>
  <c r="AQ58" i="19"/>
  <c r="AQ33" i="19"/>
  <c r="AQ45" i="19"/>
  <c r="AQ22" i="19"/>
  <c r="AP41" i="19"/>
  <c r="AP51" i="19"/>
  <c r="AQ30" i="19"/>
  <c r="AQ63" i="19"/>
  <c r="AP29" i="19"/>
  <c r="AQ7" i="19"/>
  <c r="AQ65" i="19"/>
  <c r="AP26" i="19"/>
  <c r="AQ47" i="19"/>
  <c r="AQ25" i="19"/>
  <c r="AP53" i="19"/>
  <c r="AQ35" i="19"/>
  <c r="AQ12" i="19"/>
  <c r="AP18" i="19"/>
  <c r="AP52" i="19"/>
  <c r="AQ52" i="19"/>
  <c r="AP30" i="19"/>
  <c r="AQ11" i="19"/>
  <c r="AP44" i="19"/>
  <c r="AQ6" i="19"/>
  <c r="AQ64" i="19"/>
  <c r="AP13" i="19"/>
  <c r="AQ61" i="19"/>
  <c r="AP37" i="19"/>
  <c r="AQ4" i="19"/>
  <c r="AQ37" i="19"/>
  <c r="AP50" i="19"/>
  <c r="AQ31" i="19"/>
  <c r="AQ20" i="19"/>
  <c r="AQ23" i="19"/>
  <c r="AQ41" i="19"/>
  <c r="AQ27" i="19"/>
  <c r="AQ40" i="19"/>
  <c r="AQ8" i="19"/>
  <c r="AP4" i="19"/>
  <c r="AQ50" i="19"/>
  <c r="AQ49" i="19"/>
  <c r="AQ54" i="19"/>
  <c r="AP63" i="19"/>
  <c r="AQ18" i="19"/>
  <c r="AP47" i="19"/>
  <c r="AQ55" i="19"/>
  <c r="AQ19" i="19"/>
  <c r="AQ9" i="19"/>
  <c r="AQ14" i="19"/>
  <c r="AQ66" i="19"/>
  <c r="AP22" i="19"/>
  <c r="AQ62" i="19"/>
  <c r="AQ10" i="19"/>
  <c r="AP38" i="19"/>
  <c r="AQ39" i="19"/>
  <c r="AQ3" i="19"/>
  <c r="AP36" i="19"/>
  <c r="AP17" i="19"/>
  <c r="AP10" i="19"/>
  <c r="AP14" i="19"/>
  <c r="AP3" i="19"/>
  <c r="AP15" i="19"/>
  <c r="AP8" i="19"/>
  <c r="AP43" i="19"/>
  <c r="AP23" i="19"/>
  <c r="AP58" i="19"/>
  <c r="AP60" i="19"/>
  <c r="AP16" i="19"/>
  <c r="AP6" i="19"/>
  <c r="AP49" i="19"/>
  <c r="AP21" i="19"/>
  <c r="AP62" i="19"/>
  <c r="AP27" i="19"/>
  <c r="AP61" i="19"/>
  <c r="AP65" i="19"/>
  <c r="AP66" i="19"/>
  <c r="AP40" i="19"/>
  <c r="AP42" i="19"/>
  <c r="AP11" i="19"/>
  <c r="AP31" i="19"/>
  <c r="AP24" i="19"/>
  <c r="AP25" i="19"/>
  <c r="AP19" i="19"/>
  <c r="AP57" i="19"/>
  <c r="AP5" i="19"/>
  <c r="AP7" i="19"/>
  <c r="AP32" i="19"/>
  <c r="AP35" i="19"/>
  <c r="AP33" i="19"/>
  <c r="AP54" i="19"/>
  <c r="S72" i="19"/>
  <c r="R72" i="19"/>
  <c r="P73" i="19"/>
  <c r="O74" i="19"/>
  <c r="V68" i="18"/>
  <c r="V74" i="18"/>
  <c r="U9" i="18"/>
  <c r="U50" i="18"/>
  <c r="V69" i="18"/>
  <c r="U68" i="18"/>
  <c r="V9" i="18"/>
  <c r="V61" i="18"/>
  <c r="V27" i="18"/>
  <c r="U10" i="18"/>
  <c r="U4" i="18"/>
  <c r="U57" i="18"/>
  <c r="U21" i="18"/>
  <c r="V54" i="18"/>
  <c r="V49" i="18"/>
  <c r="U66" i="18"/>
  <c r="U48" i="18"/>
  <c r="U73" i="18"/>
  <c r="V71" i="18"/>
  <c r="U30" i="18"/>
  <c r="U74" i="18"/>
  <c r="V50" i="18"/>
  <c r="U7" i="18"/>
  <c r="V26" i="18"/>
  <c r="U20" i="18"/>
  <c r="V75" i="18"/>
  <c r="V56" i="18"/>
  <c r="U37" i="18"/>
  <c r="U14" i="18"/>
  <c r="U78" i="18"/>
  <c r="U22" i="18"/>
  <c r="U41" i="18"/>
  <c r="U15" i="18"/>
  <c r="U5" i="18"/>
  <c r="V22" i="18"/>
  <c r="U61" i="18"/>
  <c r="U44" i="18"/>
  <c r="V48" i="18"/>
  <c r="V29" i="18"/>
  <c r="V19" i="18"/>
  <c r="V66" i="18"/>
  <c r="V38" i="18"/>
  <c r="U42" i="18"/>
  <c r="U16" i="18"/>
  <c r="U33" i="18"/>
  <c r="V24" i="18"/>
  <c r="V57" i="18"/>
  <c r="V39" i="18"/>
  <c r="U34" i="18"/>
  <c r="V10" i="18"/>
  <c r="U17" i="18"/>
  <c r="U19" i="18"/>
  <c r="U3" i="18"/>
  <c r="V51" i="18"/>
  <c r="V17" i="18"/>
  <c r="U29" i="18"/>
  <c r="U36" i="18"/>
  <c r="V3" i="18"/>
  <c r="V64" i="18"/>
  <c r="U63" i="18"/>
  <c r="V73" i="18"/>
  <c r="U45" i="18"/>
  <c r="V63" i="18"/>
  <c r="U60" i="18"/>
  <c r="U67" i="18"/>
  <c r="V13" i="18"/>
  <c r="V65" i="18"/>
  <c r="V41" i="18"/>
  <c r="V5" i="18"/>
  <c r="U11" i="18"/>
  <c r="U6" i="18"/>
  <c r="U65" i="18"/>
  <c r="V46" i="18"/>
  <c r="V11" i="18"/>
  <c r="U23" i="18"/>
  <c r="U40" i="18"/>
  <c r="U43" i="18"/>
  <c r="V32" i="18"/>
  <c r="V67" i="18"/>
  <c r="V7" i="18"/>
  <c r="V76" i="18"/>
  <c r="V21" i="18"/>
  <c r="U12" i="18"/>
  <c r="U70" i="18"/>
  <c r="U76" i="18"/>
  <c r="V36" i="18"/>
  <c r="V4" i="18"/>
  <c r="U32" i="18"/>
  <c r="U55" i="18"/>
  <c r="U13" i="18"/>
  <c r="V31" i="18"/>
  <c r="U28" i="18"/>
  <c r="U51" i="18"/>
  <c r="V60" i="18"/>
  <c r="U47" i="18"/>
  <c r="U35" i="18"/>
  <c r="U39" i="18"/>
  <c r="V58" i="18"/>
  <c r="V43" i="18"/>
  <c r="U75" i="18"/>
  <c r="V33" i="18"/>
  <c r="V52" i="18"/>
  <c r="V40" i="18"/>
  <c r="U46" i="18"/>
  <c r="V79" i="18"/>
  <c r="U54" i="18"/>
  <c r="V42" i="18"/>
  <c r="U31" i="18"/>
  <c r="U56" i="18"/>
  <c r="U71" i="18"/>
  <c r="V77" i="18"/>
  <c r="U62" i="18"/>
  <c r="U79" i="18"/>
  <c r="U53" i="18"/>
  <c r="V62" i="18"/>
  <c r="V20" i="18"/>
  <c r="U64" i="18"/>
  <c r="V12" i="18"/>
  <c r="V78" i="18"/>
  <c r="V72" i="18"/>
  <c r="V59" i="18"/>
  <c r="V70" i="18"/>
  <c r="U72" i="18"/>
  <c r="U27" i="18"/>
  <c r="V8" i="18"/>
  <c r="V28" i="18"/>
  <c r="U69" i="18"/>
  <c r="U24" i="18"/>
  <c r="V45" i="18"/>
  <c r="V44" i="18"/>
  <c r="U58" i="18"/>
  <c r="U59" i="18"/>
  <c r="V6" i="18"/>
  <c r="U18" i="18"/>
  <c r="U49" i="18"/>
  <c r="V23" i="18"/>
  <c r="U52" i="18"/>
  <c r="V34" i="18"/>
  <c r="V15" i="18"/>
  <c r="V53" i="18"/>
  <c r="V14" i="18"/>
  <c r="U8" i="18"/>
  <c r="U77" i="18"/>
  <c r="V55" i="18"/>
  <c r="U25" i="18"/>
  <c r="V47" i="18"/>
  <c r="V25" i="18"/>
  <c r="U38" i="18"/>
  <c r="V16" i="18"/>
  <c r="V30" i="18"/>
  <c r="U26" i="18"/>
  <c r="V37" i="18"/>
  <c r="V18" i="18"/>
  <c r="V35" i="18"/>
  <c r="S70" i="18"/>
  <c r="R70" i="18"/>
  <c r="P71" i="18"/>
  <c r="O72" i="18"/>
  <c r="O69" i="16"/>
  <c r="P68" i="16"/>
  <c r="S67" i="16"/>
  <c r="R67" i="16"/>
  <c r="O67" i="15"/>
  <c r="P66" i="15"/>
  <c r="R65" i="15"/>
  <c r="S65" i="15"/>
  <c r="AO55" i="18"/>
  <c r="H5" i="4"/>
  <c r="AN29" i="18"/>
  <c r="AN54" i="18"/>
  <c r="AO46" i="18"/>
  <c r="AO7" i="18"/>
  <c r="AN35" i="18"/>
  <c r="AO19" i="18"/>
  <c r="AO54" i="18"/>
  <c r="AO14" i="18"/>
  <c r="AN19" i="18"/>
  <c r="AO38" i="18"/>
  <c r="AO52" i="18"/>
  <c r="AO32" i="18"/>
  <c r="AO13" i="18"/>
  <c r="H6" i="4"/>
  <c r="AO64" i="18"/>
  <c r="AO21" i="18"/>
  <c r="C8" i="20" l="1"/>
  <c r="AQ13" i="18"/>
  <c r="AQ21" i="18"/>
  <c r="AQ32" i="18"/>
  <c r="AQ64" i="18"/>
  <c r="AQ14" i="18"/>
  <c r="AQ38" i="18"/>
  <c r="AQ46" i="18"/>
  <c r="AQ54" i="18"/>
  <c r="AQ7" i="18"/>
  <c r="AQ55" i="18"/>
  <c r="AQ19" i="18"/>
  <c r="AQ52" i="18"/>
  <c r="O75" i="19"/>
  <c r="P74" i="19"/>
  <c r="S73" i="19"/>
  <c r="R73" i="19"/>
  <c r="AP19" i="18"/>
  <c r="AP29" i="18"/>
  <c r="AP35" i="18"/>
  <c r="AP54" i="18"/>
  <c r="O73" i="18"/>
  <c r="P72" i="18"/>
  <c r="S71" i="18"/>
  <c r="R71" i="18"/>
  <c r="S68" i="16"/>
  <c r="R68" i="16"/>
  <c r="P69" i="16"/>
  <c r="O70" i="16"/>
  <c r="S66" i="15"/>
  <c r="R66" i="15"/>
  <c r="P67" i="15"/>
  <c r="O68" i="15"/>
  <c r="N17" i="20"/>
  <c r="N5" i="20"/>
  <c r="N16" i="20"/>
  <c r="N4" i="20"/>
  <c r="N15" i="20"/>
  <c r="N12" i="20"/>
  <c r="N9" i="20"/>
  <c r="N14" i="20"/>
  <c r="N13" i="20"/>
  <c r="N11" i="20"/>
  <c r="N10" i="20"/>
  <c r="N8" i="20"/>
  <c r="N7" i="20"/>
  <c r="N6" i="20"/>
  <c r="N3" i="20"/>
  <c r="AO58" i="18"/>
  <c r="AO36" i="18"/>
  <c r="AN46" i="18"/>
  <c r="AO20" i="18"/>
  <c r="AO26" i="18"/>
  <c r="AO16" i="18"/>
  <c r="AN9" i="18"/>
  <c r="AO40" i="18"/>
  <c r="AO18" i="18"/>
  <c r="AO49" i="18"/>
  <c r="AN51" i="18"/>
  <c r="AN6" i="18"/>
  <c r="AO62" i="18"/>
  <c r="AO39" i="18"/>
  <c r="AN57" i="18"/>
  <c r="AN61" i="18"/>
  <c r="AO48" i="18"/>
  <c r="AN32" i="18"/>
  <c r="AN8" i="18"/>
  <c r="AO34" i="18"/>
  <c r="AN18" i="18"/>
  <c r="AN4" i="18"/>
  <c r="AO60" i="18"/>
  <c r="AN49" i="18"/>
  <c r="AN28" i="18"/>
  <c r="AO15" i="18"/>
  <c r="AN58" i="18"/>
  <c r="AO45" i="18"/>
  <c r="AO35" i="18"/>
  <c r="AN48" i="18"/>
  <c r="AN59" i="18"/>
  <c r="AN66" i="18"/>
  <c r="AO24" i="18"/>
  <c r="AO11" i="18"/>
  <c r="AN40" i="18"/>
  <c r="AN63" i="18"/>
  <c r="AO41" i="18"/>
  <c r="AO4" i="18"/>
  <c r="AO37" i="18"/>
  <c r="AN11" i="18"/>
  <c r="AO3" i="18"/>
  <c r="AN30" i="18"/>
  <c r="AN37" i="18"/>
  <c r="AO10" i="18"/>
  <c r="AN25" i="18"/>
  <c r="AN23" i="18"/>
  <c r="AN7" i="18"/>
  <c r="AN41" i="18"/>
  <c r="AN27" i="18"/>
  <c r="AO42" i="18"/>
  <c r="AO30" i="18"/>
  <c r="AN42" i="18"/>
  <c r="AN65" i="18"/>
  <c r="AO31" i="18"/>
  <c r="AN50" i="18"/>
  <c r="AN17" i="18"/>
  <c r="AN10" i="18"/>
  <c r="AO33" i="18"/>
  <c r="AO23" i="18"/>
  <c r="AO29" i="18"/>
  <c r="AN5" i="18"/>
  <c r="AN15" i="18"/>
  <c r="AN45" i="18"/>
  <c r="AO9" i="18"/>
  <c r="AO43" i="18"/>
  <c r="AN64" i="18"/>
  <c r="AO17" i="18"/>
  <c r="AO8" i="18"/>
  <c r="AN33" i="18"/>
  <c r="AN53" i="18"/>
  <c r="AN14" i="18"/>
  <c r="AN31" i="18"/>
  <c r="AN44" i="18"/>
  <c r="AN24" i="18"/>
  <c r="AN12" i="18"/>
  <c r="AO50" i="18"/>
  <c r="AN52" i="18"/>
  <c r="AN22" i="18"/>
  <c r="AO51" i="18"/>
  <c r="AO61" i="18"/>
  <c r="AN3" i="18"/>
  <c r="AO57" i="18"/>
  <c r="AO28" i="18"/>
  <c r="AN56" i="18"/>
  <c r="AN16" i="18"/>
  <c r="AN36" i="18"/>
  <c r="AN55" i="18"/>
  <c r="AO25" i="18"/>
  <c r="AO5" i="18"/>
  <c r="AN26" i="18"/>
  <c r="AO44" i="18"/>
  <c r="AO59" i="18"/>
  <c r="AN38" i="18"/>
  <c r="AN34" i="18"/>
  <c r="AO63" i="18"/>
  <c r="AN39" i="18"/>
  <c r="AO56" i="18"/>
  <c r="AN43" i="18"/>
  <c r="AN62" i="18"/>
  <c r="AN13" i="18"/>
  <c r="AO47" i="18"/>
  <c r="AN47" i="18"/>
  <c r="AO6" i="18"/>
  <c r="AN21" i="18"/>
  <c r="AO22" i="18"/>
  <c r="AN20" i="18"/>
  <c r="AO65" i="18"/>
  <c r="AO66" i="18"/>
  <c r="AO12" i="18"/>
  <c r="AN60" i="18"/>
  <c r="AO53" i="18"/>
  <c r="AO27" i="18"/>
  <c r="C7" i="20" l="1"/>
  <c r="AP27" i="18"/>
  <c r="AQ48" i="18"/>
  <c r="AQ6" i="18"/>
  <c r="AQ43" i="18"/>
  <c r="AQ34" i="18"/>
  <c r="AQ8" i="18"/>
  <c r="AQ28" i="18"/>
  <c r="AQ9" i="18"/>
  <c r="AQ45" i="18"/>
  <c r="AP63" i="18"/>
  <c r="AP25" i="18"/>
  <c r="AQ10" i="18"/>
  <c r="AQ15" i="18"/>
  <c r="AQ16" i="18"/>
  <c r="AQ11" i="18"/>
  <c r="AP28" i="18"/>
  <c r="AP17" i="18"/>
  <c r="AQ56" i="18"/>
  <c r="AP32" i="18"/>
  <c r="AQ5" i="18"/>
  <c r="AQ29" i="18"/>
  <c r="AQ58" i="18"/>
  <c r="AP24" i="18"/>
  <c r="AQ22" i="18"/>
  <c r="AQ63" i="18"/>
  <c r="AP21" i="18"/>
  <c r="AQ33" i="18"/>
  <c r="AQ49" i="18"/>
  <c r="AQ47" i="18"/>
  <c r="AP16" i="18"/>
  <c r="AQ12" i="18"/>
  <c r="AP8" i="18"/>
  <c r="AQ36" i="18"/>
  <c r="AQ25" i="18"/>
  <c r="AQ60" i="18"/>
  <c r="AP46" i="18"/>
  <c r="AQ30" i="18"/>
  <c r="AQ44" i="18"/>
  <c r="AQ53" i="18"/>
  <c r="AQ35" i="18"/>
  <c r="AQ26" i="18"/>
  <c r="AP47" i="18"/>
  <c r="AP18" i="18"/>
  <c r="AP9" i="18"/>
  <c r="AP44" i="18"/>
  <c r="AQ31" i="18"/>
  <c r="AQ40" i="18"/>
  <c r="AQ41" i="18"/>
  <c r="AQ59" i="18"/>
  <c r="AP36" i="18"/>
  <c r="AQ18" i="18"/>
  <c r="AP31" i="18"/>
  <c r="AP62" i="18"/>
  <c r="AP33" i="18"/>
  <c r="AQ24" i="18"/>
  <c r="AP20" i="18"/>
  <c r="AQ37" i="18"/>
  <c r="AP37" i="18"/>
  <c r="AP13" i="18"/>
  <c r="AQ42" i="18"/>
  <c r="AP42" i="18"/>
  <c r="AQ66" i="18"/>
  <c r="AQ39" i="18"/>
  <c r="AP34" i="18"/>
  <c r="AQ57" i="18"/>
  <c r="AQ50" i="18"/>
  <c r="AP43" i="18"/>
  <c r="AQ4" i="18"/>
  <c r="AQ61" i="18"/>
  <c r="AQ3" i="18"/>
  <c r="AP26" i="18"/>
  <c r="AQ65" i="18"/>
  <c r="AP65" i="18"/>
  <c r="AQ17" i="18"/>
  <c r="AP38" i="18"/>
  <c r="AQ23" i="18"/>
  <c r="AP53" i="18"/>
  <c r="AQ62" i="18"/>
  <c r="AQ20" i="18"/>
  <c r="AQ27" i="18"/>
  <c r="AQ51" i="18"/>
  <c r="AP5" i="18"/>
  <c r="AP12" i="18"/>
  <c r="AP52" i="18"/>
  <c r="AP60" i="18"/>
  <c r="AP11" i="18"/>
  <c r="AP59" i="18"/>
  <c r="AP66" i="18"/>
  <c r="AP40" i="18"/>
  <c r="AP64" i="18"/>
  <c r="AP49" i="18"/>
  <c r="AP56" i="18"/>
  <c r="AP61" i="18"/>
  <c r="AP3" i="18"/>
  <c r="AP51" i="18"/>
  <c r="AP4" i="18"/>
  <c r="AP41" i="18"/>
  <c r="AP10" i="18"/>
  <c r="AP58" i="18"/>
  <c r="AP57" i="18"/>
  <c r="AP15" i="18"/>
  <c r="AP55" i="18"/>
  <c r="AP48" i="18"/>
  <c r="AP45" i="18"/>
  <c r="AP30" i="18"/>
  <c r="AP39" i="18"/>
  <c r="AP23" i="18"/>
  <c r="AP50" i="18"/>
  <c r="AP7" i="18"/>
  <c r="AP22" i="18"/>
  <c r="AP14" i="18"/>
  <c r="AP6" i="18"/>
  <c r="S74" i="19"/>
  <c r="R74" i="19"/>
  <c r="P75" i="19"/>
  <c r="O76" i="19"/>
  <c r="R72" i="18"/>
  <c r="S72" i="18"/>
  <c r="P73" i="18"/>
  <c r="O74" i="18"/>
  <c r="O71" i="16"/>
  <c r="P70" i="16"/>
  <c r="S69" i="16"/>
  <c r="R69" i="16"/>
  <c r="O69" i="15"/>
  <c r="P68" i="15"/>
  <c r="S67" i="15"/>
  <c r="R67" i="15"/>
  <c r="O77" i="19" l="1"/>
  <c r="P76" i="19"/>
  <c r="R75" i="19"/>
  <c r="S75" i="19"/>
  <c r="S73" i="18"/>
  <c r="R73" i="18"/>
  <c r="O75" i="18"/>
  <c r="P74" i="18"/>
  <c r="R70" i="16"/>
  <c r="S70" i="16"/>
  <c r="P71" i="16"/>
  <c r="O72" i="16"/>
  <c r="S68" i="15"/>
  <c r="R68" i="15"/>
  <c r="P69" i="15"/>
  <c r="O70" i="15"/>
  <c r="S76" i="19" l="1"/>
  <c r="R76" i="19"/>
  <c r="P77" i="19"/>
  <c r="O78" i="19"/>
  <c r="R74" i="18"/>
  <c r="S74" i="18"/>
  <c r="P75" i="18"/>
  <c r="O76" i="18"/>
  <c r="R71" i="16"/>
  <c r="S71" i="16"/>
  <c r="O73" i="16"/>
  <c r="P72" i="16"/>
  <c r="O71" i="15"/>
  <c r="P70" i="15"/>
  <c r="S69" i="15"/>
  <c r="R69" i="15"/>
  <c r="O79" i="19" l="1"/>
  <c r="P78" i="19"/>
  <c r="S77" i="19"/>
  <c r="R77" i="19"/>
  <c r="R75" i="18"/>
  <c r="S75" i="18"/>
  <c r="O77" i="18"/>
  <c r="P76" i="18"/>
  <c r="P73" i="16"/>
  <c r="O74" i="16"/>
  <c r="S72" i="16"/>
  <c r="R72" i="16"/>
  <c r="R70" i="15"/>
  <c r="S70" i="15"/>
  <c r="P71" i="15"/>
  <c r="O72" i="15"/>
  <c r="S78" i="19" l="1"/>
  <c r="R78" i="19"/>
  <c r="P79" i="19"/>
  <c r="O80" i="19"/>
  <c r="S76" i="18"/>
  <c r="R76" i="18"/>
  <c r="P77" i="18"/>
  <c r="O78" i="18"/>
  <c r="O75" i="16"/>
  <c r="P74" i="16"/>
  <c r="R73" i="16"/>
  <c r="S73" i="16"/>
  <c r="O73" i="15"/>
  <c r="P72" i="15"/>
  <c r="R71" i="15"/>
  <c r="S71" i="15"/>
  <c r="O81" i="19" l="1"/>
  <c r="P80" i="19"/>
  <c r="S79" i="19"/>
  <c r="R79" i="19"/>
  <c r="O79" i="18"/>
  <c r="P78" i="18"/>
  <c r="S77" i="18"/>
  <c r="R77" i="18"/>
  <c r="S74" i="16"/>
  <c r="R74" i="16"/>
  <c r="P75" i="16"/>
  <c r="O76" i="16"/>
  <c r="S72" i="15"/>
  <c r="R72" i="15"/>
  <c r="P73" i="15"/>
  <c r="O74" i="15"/>
  <c r="S80" i="19" l="1"/>
  <c r="R80" i="19"/>
  <c r="P81" i="19"/>
  <c r="O82" i="19"/>
  <c r="P82" i="19" s="1"/>
  <c r="S78" i="18"/>
  <c r="R78" i="18"/>
  <c r="P79" i="18"/>
  <c r="O80" i="18"/>
  <c r="R75" i="16"/>
  <c r="S75" i="16"/>
  <c r="O77" i="16"/>
  <c r="P76" i="16"/>
  <c r="P74" i="15"/>
  <c r="O75" i="15"/>
  <c r="S73" i="15"/>
  <c r="R73" i="15"/>
  <c r="S81" i="19" l="1"/>
  <c r="R81" i="19"/>
  <c r="S82" i="19"/>
  <c r="R82" i="19"/>
  <c r="S79" i="18"/>
  <c r="R79" i="18"/>
  <c r="O81" i="18"/>
  <c r="P80" i="18"/>
  <c r="P77" i="16"/>
  <c r="O78" i="16"/>
  <c r="S76" i="16"/>
  <c r="R76" i="16"/>
  <c r="P75" i="15"/>
  <c r="O76" i="15"/>
  <c r="R74" i="15"/>
  <c r="S74" i="15"/>
  <c r="S80" i="18" l="1"/>
  <c r="R80" i="18"/>
  <c r="P81" i="18"/>
  <c r="O82" i="18"/>
  <c r="P82" i="18" s="1"/>
  <c r="O79" i="16"/>
  <c r="P78" i="16"/>
  <c r="S77" i="16"/>
  <c r="R77" i="16"/>
  <c r="P76" i="15"/>
  <c r="O77" i="15"/>
  <c r="S75" i="15"/>
  <c r="R75" i="15"/>
  <c r="R82" i="18" l="1"/>
  <c r="S82" i="18"/>
  <c r="S81" i="18"/>
  <c r="R81" i="18"/>
  <c r="R78" i="16"/>
  <c r="S78" i="16"/>
  <c r="P79" i="16"/>
  <c r="O80" i="16"/>
  <c r="P77" i="15"/>
  <c r="O78" i="15"/>
  <c r="S76" i="15"/>
  <c r="R76" i="15"/>
  <c r="R79" i="16" l="1"/>
  <c r="S79" i="16"/>
  <c r="O81" i="16"/>
  <c r="P80" i="16"/>
  <c r="O79" i="15"/>
  <c r="P78" i="15"/>
  <c r="R77" i="15"/>
  <c r="S77" i="15"/>
  <c r="P81" i="16" l="1"/>
  <c r="O82" i="16"/>
  <c r="P82" i="16" s="1"/>
  <c r="S80" i="16"/>
  <c r="R80" i="16"/>
  <c r="S78" i="15"/>
  <c r="R78" i="15"/>
  <c r="P79" i="15"/>
  <c r="O80" i="15"/>
  <c r="S82" i="16" l="1"/>
  <c r="R82" i="16"/>
  <c r="R81" i="16"/>
  <c r="S81" i="16"/>
  <c r="O81" i="15"/>
  <c r="P80" i="15"/>
  <c r="R79" i="15"/>
  <c r="S79" i="15"/>
  <c r="R80" i="15" l="1"/>
  <c r="S80" i="15"/>
  <c r="P81" i="15"/>
  <c r="O82" i="15"/>
  <c r="P82" i="15" s="1"/>
  <c r="R82" i="15" l="1"/>
  <c r="S82" i="15"/>
  <c r="S81" i="15"/>
  <c r="R81" i="15"/>
  <c r="K17" i="21" l="1"/>
  <c r="Y7" i="20"/>
  <c r="Y15" i="20"/>
  <c r="Y16" i="20"/>
  <c r="U3" i="15" a="1"/>
  <c r="X12" i="20"/>
  <c r="K5" i="21"/>
  <c r="K10" i="21"/>
  <c r="Y17" i="20"/>
  <c r="Y13" i="20"/>
  <c r="K6" i="21"/>
  <c r="X15" i="20"/>
  <c r="K13" i="21"/>
  <c r="K12" i="21"/>
  <c r="X9" i="20"/>
  <c r="Y3" i="20"/>
  <c r="Y14" i="20"/>
  <c r="X5" i="20"/>
  <c r="X14" i="20"/>
  <c r="X4" i="20"/>
  <c r="Y4" i="20"/>
  <c r="K3" i="21"/>
  <c r="Y10" i="20"/>
  <c r="X3" i="20"/>
  <c r="X17" i="20"/>
  <c r="K8" i="21"/>
  <c r="Y5" i="20"/>
  <c r="X11" i="20"/>
  <c r="K4" i="21"/>
  <c r="K9" i="21"/>
  <c r="X16" i="20"/>
  <c r="Y9" i="20"/>
  <c r="K16" i="21"/>
  <c r="K7" i="21"/>
  <c r="Y11" i="20"/>
  <c r="X13" i="20"/>
  <c r="X8" i="20"/>
  <c r="X6" i="20"/>
  <c r="Y12" i="20"/>
  <c r="K11" i="21"/>
  <c r="K15" i="21"/>
  <c r="K14" i="21"/>
  <c r="X10" i="20"/>
  <c r="X7" i="20"/>
  <c r="Y6" i="20"/>
  <c r="Y8" i="20"/>
  <c r="G7" i="20" l="1"/>
  <c r="J7" i="20" s="1"/>
  <c r="G10" i="20"/>
  <c r="J10" i="20" s="1"/>
  <c r="L14" i="21"/>
  <c r="L15" i="21"/>
  <c r="L11" i="21"/>
  <c r="G6" i="20"/>
  <c r="J6" i="20" s="1"/>
  <c r="G8" i="20"/>
  <c r="J8" i="20" s="1"/>
  <c r="G13" i="20"/>
  <c r="J13" i="20" s="1"/>
  <c r="L7" i="21"/>
  <c r="L16" i="21"/>
  <c r="G16" i="20"/>
  <c r="J16" i="20" s="1"/>
  <c r="L9" i="21"/>
  <c r="L4" i="21"/>
  <c r="G11" i="20"/>
  <c r="J11" i="20" s="1"/>
  <c r="L8" i="21"/>
  <c r="G17" i="20"/>
  <c r="J17" i="20" s="1"/>
  <c r="G3" i="20"/>
  <c r="J3" i="20" s="1"/>
  <c r="L3" i="21"/>
  <c r="G4" i="20"/>
  <c r="J4" i="20" s="1"/>
  <c r="G14" i="20"/>
  <c r="J14" i="20" s="1"/>
  <c r="G5" i="20"/>
  <c r="J5" i="20" s="1"/>
  <c r="G9" i="20"/>
  <c r="J9" i="20" s="1"/>
  <c r="L12" i="21"/>
  <c r="L13" i="21"/>
  <c r="G15" i="20"/>
  <c r="J15" i="20" s="1"/>
  <c r="L6" i="21"/>
  <c r="L10" i="21"/>
  <c r="L5" i="21"/>
  <c r="G12" i="20"/>
  <c r="J12" i="20" s="1"/>
  <c r="V50" i="15"/>
  <c r="V9" i="15"/>
  <c r="U27" i="15"/>
  <c r="U26" i="15"/>
  <c r="V37" i="15"/>
  <c r="U62" i="15"/>
  <c r="V69" i="15"/>
  <c r="V44" i="15"/>
  <c r="V48" i="15"/>
  <c r="V34" i="15"/>
  <c r="U19" i="15"/>
  <c r="U17" i="15"/>
  <c r="U4" i="15"/>
  <c r="U40" i="15"/>
  <c r="U57" i="15"/>
  <c r="V18" i="15"/>
  <c r="U59" i="15"/>
  <c r="V45" i="15"/>
  <c r="U6" i="15"/>
  <c r="V3" i="15"/>
  <c r="V40" i="15"/>
  <c r="U51" i="15"/>
  <c r="U52" i="15"/>
  <c r="V36" i="15"/>
  <c r="V60" i="15"/>
  <c r="V38" i="15"/>
  <c r="U75" i="15"/>
  <c r="V54" i="15"/>
  <c r="U10" i="15"/>
  <c r="U48" i="15"/>
  <c r="V5" i="15"/>
  <c r="V76" i="15"/>
  <c r="V42" i="15"/>
  <c r="V77" i="15"/>
  <c r="V13" i="15"/>
  <c r="V47" i="15"/>
  <c r="V74" i="15"/>
  <c r="U25" i="15"/>
  <c r="U64" i="15"/>
  <c r="V39" i="15"/>
  <c r="U46" i="15"/>
  <c r="U16" i="15"/>
  <c r="U32" i="15"/>
  <c r="U78" i="15"/>
  <c r="V29" i="15"/>
  <c r="U72" i="15"/>
  <c r="V57" i="15"/>
  <c r="V35" i="15"/>
  <c r="V78" i="15"/>
  <c r="U45" i="15"/>
  <c r="V8" i="15"/>
  <c r="U53" i="15"/>
  <c r="U22" i="15"/>
  <c r="U39" i="15"/>
  <c r="V20" i="15"/>
  <c r="V26" i="15"/>
  <c r="V70" i="15"/>
  <c r="V11" i="15"/>
  <c r="U14" i="15"/>
  <c r="V17" i="15"/>
  <c r="U55" i="15"/>
  <c r="U71" i="15"/>
  <c r="V28" i="15"/>
  <c r="V27" i="15"/>
  <c r="U37" i="15"/>
  <c r="U56" i="15"/>
  <c r="U77" i="15"/>
  <c r="V22" i="15"/>
  <c r="U8" i="15"/>
  <c r="U28" i="15"/>
  <c r="V52" i="15"/>
  <c r="U5" i="15"/>
  <c r="V59" i="15"/>
  <c r="V63" i="15"/>
  <c r="V33" i="15"/>
  <c r="V10" i="15"/>
  <c r="V25" i="15"/>
  <c r="V66" i="15"/>
  <c r="U54" i="15"/>
  <c r="V49" i="15"/>
  <c r="U33" i="15"/>
  <c r="U29" i="15"/>
  <c r="V15" i="15"/>
  <c r="V55" i="15"/>
  <c r="V51" i="15"/>
  <c r="U15" i="15"/>
  <c r="V7" i="15"/>
  <c r="U11" i="15"/>
  <c r="V58" i="15"/>
  <c r="V4" i="15"/>
  <c r="U47" i="15"/>
  <c r="U63" i="15"/>
  <c r="V68" i="15"/>
  <c r="V73" i="15"/>
  <c r="V43" i="15"/>
  <c r="U36" i="15"/>
  <c r="U34" i="15"/>
  <c r="U65" i="15"/>
  <c r="V32" i="15"/>
  <c r="V67" i="15"/>
  <c r="U74" i="15"/>
  <c r="U76" i="15"/>
  <c r="V65" i="15"/>
  <c r="U20" i="15"/>
  <c r="U67" i="15"/>
  <c r="V21" i="15"/>
  <c r="U73" i="15"/>
  <c r="U12" i="15"/>
  <c r="V53" i="15"/>
  <c r="U23" i="15"/>
  <c r="V46" i="15"/>
  <c r="V31" i="15"/>
  <c r="U3" i="15"/>
  <c r="V30" i="15"/>
  <c r="V71" i="15"/>
  <c r="V41" i="15"/>
  <c r="U18" i="15"/>
  <c r="U61" i="15"/>
  <c r="U69" i="15"/>
  <c r="U42" i="15"/>
  <c r="U68" i="15"/>
  <c r="U24" i="15"/>
  <c r="U79" i="15"/>
  <c r="V14" i="15"/>
  <c r="U60" i="15"/>
  <c r="U7" i="15"/>
  <c r="U35" i="15"/>
  <c r="U50" i="15"/>
  <c r="V16" i="15"/>
  <c r="U21" i="15"/>
  <c r="U70" i="15"/>
  <c r="V79" i="15"/>
  <c r="V24" i="15"/>
  <c r="V64" i="15"/>
  <c r="U13" i="15"/>
  <c r="U44" i="15"/>
  <c r="U58" i="15"/>
  <c r="U41" i="15"/>
  <c r="V6" i="15"/>
  <c r="U43" i="15"/>
  <c r="U31" i="15"/>
  <c r="V56" i="15"/>
  <c r="U38" i="15"/>
  <c r="V72" i="15"/>
  <c r="V75" i="15"/>
  <c r="U30" i="15"/>
  <c r="U49" i="15"/>
  <c r="V23" i="15"/>
  <c r="U9" i="15"/>
  <c r="V61" i="15"/>
  <c r="V12" i="15"/>
  <c r="U66" i="15"/>
  <c r="V62" i="15"/>
  <c r="V19" i="15"/>
  <c r="L17" i="21"/>
  <c r="K7" i="20"/>
  <c r="K15" i="20"/>
  <c r="D6" i="4"/>
  <c r="K4" i="20"/>
  <c r="K10" i="20"/>
  <c r="K11" i="20"/>
  <c r="K14" i="20"/>
  <c r="K16" i="20"/>
  <c r="K12" i="20"/>
  <c r="K5" i="20"/>
  <c r="K17" i="20"/>
  <c r="K13" i="20"/>
  <c r="K9" i="20"/>
  <c r="K3" i="20"/>
  <c r="K8" i="20"/>
  <c r="K6" i="20"/>
  <c r="L6" i="20" l="1"/>
  <c r="L8" i="20"/>
  <c r="L3" i="20"/>
  <c r="L9" i="20"/>
  <c r="L13" i="20"/>
  <c r="L17" i="20"/>
  <c r="L5" i="20"/>
  <c r="L12" i="20"/>
  <c r="L16" i="20"/>
  <c r="L14" i="20"/>
  <c r="L11" i="20"/>
  <c r="L10" i="20"/>
  <c r="L4" i="20"/>
  <c r="L15" i="20"/>
  <c r="L7" i="20"/>
  <c r="C7" i="17"/>
  <c r="AN61" i="15"/>
  <c r="AN29" i="15"/>
  <c r="AO49" i="15"/>
  <c r="AN48" i="15"/>
  <c r="AN35" i="15"/>
  <c r="AO46" i="15"/>
  <c r="AO27" i="15"/>
  <c r="AO57" i="15"/>
  <c r="AO48" i="15"/>
  <c r="AO22" i="15"/>
  <c r="AN46" i="15"/>
  <c r="AO26" i="15"/>
  <c r="AO7" i="15"/>
  <c r="AN63" i="15"/>
  <c r="AO58" i="15"/>
  <c r="AO62" i="15"/>
  <c r="AO10" i="15"/>
  <c r="AO8" i="15"/>
  <c r="AO23" i="15"/>
  <c r="AO44" i="15"/>
  <c r="AN14" i="15"/>
  <c r="AN15" i="15"/>
  <c r="AO29" i="15"/>
  <c r="AN43" i="15"/>
  <c r="AN40" i="15"/>
  <c r="AO5" i="15"/>
  <c r="AO20" i="15"/>
  <c r="AN32" i="15"/>
  <c r="AO39" i="15"/>
  <c r="AO4" i="15"/>
  <c r="AO65" i="15"/>
  <c r="AN36" i="15"/>
  <c r="AN30" i="15"/>
  <c r="AN24" i="15"/>
  <c r="AN42" i="15"/>
  <c r="AN23" i="15"/>
  <c r="AN62" i="15"/>
  <c r="AO30" i="15"/>
  <c r="AO52" i="15"/>
  <c r="AO55" i="15"/>
  <c r="AO59" i="15"/>
  <c r="AO66" i="15"/>
  <c r="AO42" i="15"/>
  <c r="AN12" i="15"/>
  <c r="AO12" i="15"/>
  <c r="AN33" i="15"/>
  <c r="AO32" i="15"/>
  <c r="AN10" i="15"/>
  <c r="AN57" i="15"/>
  <c r="AO47" i="15"/>
  <c r="AN3" i="15"/>
  <c r="AN59" i="15"/>
  <c r="AN31" i="15"/>
  <c r="AN22" i="15"/>
  <c r="AN58" i="15"/>
  <c r="AN54" i="15"/>
  <c r="AN45" i="15"/>
  <c r="AO41" i="15"/>
  <c r="AN56" i="15"/>
  <c r="AN18" i="15"/>
  <c r="AO40" i="15"/>
  <c r="AO18" i="15"/>
  <c r="AO11" i="15"/>
  <c r="AN49" i="15"/>
  <c r="AO25" i="15"/>
  <c r="AN55" i="15"/>
  <c r="AN52" i="15"/>
  <c r="AN13" i="15"/>
  <c r="AO31" i="15"/>
  <c r="K6" i="17"/>
  <c r="K15" i="17"/>
  <c r="K8" i="17"/>
  <c r="K11" i="17"/>
  <c r="K10" i="17"/>
  <c r="K5" i="17"/>
  <c r="K7" i="17"/>
  <c r="K4" i="17"/>
  <c r="K3" i="17"/>
  <c r="K17" i="17"/>
  <c r="K13" i="17"/>
  <c r="K16" i="17"/>
  <c r="K14" i="17"/>
  <c r="K12" i="17"/>
  <c r="K9" i="17"/>
  <c r="AO34" i="15"/>
  <c r="AO6" i="15"/>
  <c r="AN41" i="15"/>
  <c r="AN44" i="15"/>
  <c r="AO38" i="15"/>
  <c r="AO53" i="15"/>
  <c r="AN8" i="15"/>
  <c r="AO15" i="15"/>
  <c r="AN6" i="15"/>
  <c r="AN20" i="15"/>
  <c r="AO63" i="15"/>
  <c r="AO24" i="15"/>
  <c r="AN50" i="15"/>
  <c r="AO45" i="15"/>
  <c r="AO17" i="15"/>
  <c r="AO28" i="15"/>
  <c r="AN21" i="15"/>
  <c r="AO43" i="15"/>
  <c r="AN27" i="15"/>
  <c r="AO21" i="15"/>
  <c r="AN53" i="15"/>
  <c r="AN64" i="15"/>
  <c r="AN16" i="15"/>
  <c r="AN28" i="15"/>
  <c r="AN37" i="15"/>
  <c r="AO13" i="15"/>
  <c r="AO3" i="15"/>
  <c r="AN25" i="15"/>
  <c r="AN17" i="15"/>
  <c r="AO54" i="15"/>
  <c r="AN60" i="15"/>
  <c r="AO33" i="15"/>
  <c r="AN19" i="15"/>
  <c r="AN65" i="15"/>
  <c r="AN38" i="15"/>
  <c r="AN11" i="15"/>
  <c r="AN4" i="15"/>
  <c r="AO61" i="15"/>
  <c r="AN7" i="15"/>
  <c r="AO9" i="15"/>
  <c r="AO50" i="15"/>
  <c r="AN66" i="15"/>
  <c r="AN47" i="15"/>
  <c r="AN34" i="15"/>
  <c r="AN26" i="15"/>
  <c r="AO56" i="15"/>
  <c r="AO64" i="15"/>
  <c r="AO19" i="15"/>
  <c r="AO51" i="15"/>
  <c r="AO14" i="15"/>
  <c r="AO60" i="15"/>
  <c r="AO35" i="15"/>
  <c r="AO36" i="15"/>
  <c r="AO37" i="15"/>
  <c r="AN51" i="15"/>
  <c r="AN5" i="15"/>
  <c r="AO16" i="15"/>
  <c r="AN9" i="15"/>
  <c r="AN39" i="15"/>
  <c r="AP39" i="15" l="1"/>
  <c r="AP9" i="15"/>
  <c r="AQ16" i="15"/>
  <c r="AP5" i="15"/>
  <c r="AP51" i="15"/>
  <c r="AQ37" i="15"/>
  <c r="AQ36" i="15"/>
  <c r="AQ35" i="15"/>
  <c r="AQ60" i="15"/>
  <c r="AQ14" i="15"/>
  <c r="AQ51" i="15"/>
  <c r="AQ19" i="15"/>
  <c r="AQ64" i="15"/>
  <c r="AQ56" i="15"/>
  <c r="AP26" i="15"/>
  <c r="AP34" i="15"/>
  <c r="AP47" i="15"/>
  <c r="AP66" i="15"/>
  <c r="AQ50" i="15"/>
  <c r="AQ9" i="15"/>
  <c r="AP7" i="15"/>
  <c r="AQ61" i="15"/>
  <c r="AP4" i="15"/>
  <c r="AP11" i="15"/>
  <c r="AP38" i="15"/>
  <c r="AP65" i="15"/>
  <c r="AP19" i="15"/>
  <c r="AQ33" i="15"/>
  <c r="AP60" i="15"/>
  <c r="AQ54" i="15"/>
  <c r="AP17" i="15"/>
  <c r="AP25" i="15"/>
  <c r="AQ3" i="15"/>
  <c r="AQ13" i="15"/>
  <c r="AP37" i="15"/>
  <c r="AP28" i="15"/>
  <c r="AP16" i="15"/>
  <c r="AP64" i="15"/>
  <c r="AP53" i="15"/>
  <c r="AQ21" i="15"/>
  <c r="AP27" i="15"/>
  <c r="AQ43" i="15"/>
  <c r="AP21" i="15"/>
  <c r="AQ28" i="15"/>
  <c r="AQ17" i="15"/>
  <c r="AQ45" i="15"/>
  <c r="AP50" i="15"/>
  <c r="AQ24" i="15"/>
  <c r="AQ63" i="15"/>
  <c r="AP20" i="15"/>
  <c r="AP6" i="15"/>
  <c r="AQ15" i="15"/>
  <c r="AP8" i="15"/>
  <c r="AQ53" i="15"/>
  <c r="AQ38" i="15"/>
  <c r="AP44" i="15"/>
  <c r="AP41" i="15"/>
  <c r="AQ6" i="15"/>
  <c r="AQ34" i="15"/>
  <c r="L9" i="17"/>
  <c r="L12" i="17"/>
  <c r="L14" i="17"/>
  <c r="L16" i="17"/>
  <c r="L13" i="17"/>
  <c r="L17" i="17"/>
  <c r="L3" i="17"/>
  <c r="L4" i="17"/>
  <c r="L7" i="17"/>
  <c r="L5" i="17"/>
  <c r="L10" i="17"/>
  <c r="L11" i="17"/>
  <c r="L8" i="17"/>
  <c r="L15" i="17"/>
  <c r="L6" i="17"/>
  <c r="AQ31" i="15"/>
  <c r="AP13" i="15"/>
  <c r="AP52" i="15"/>
  <c r="AP55" i="15"/>
  <c r="AQ25" i="15"/>
  <c r="AP49" i="15"/>
  <c r="AQ11" i="15"/>
  <c r="AQ18" i="15"/>
  <c r="AQ40" i="15"/>
  <c r="AP18" i="15"/>
  <c r="AP56" i="15"/>
  <c r="AQ41" i="15"/>
  <c r="AP45" i="15"/>
  <c r="AP54" i="15"/>
  <c r="AP58" i="15"/>
  <c r="AP22" i="15"/>
  <c r="AP31" i="15"/>
  <c r="AP59" i="15"/>
  <c r="AP3" i="15"/>
  <c r="AQ47" i="15"/>
  <c r="AP57" i="15"/>
  <c r="AP10" i="15"/>
  <c r="AQ32" i="15"/>
  <c r="AP33" i="15"/>
  <c r="AQ12" i="15"/>
  <c r="AP12" i="15"/>
  <c r="AQ42" i="15"/>
  <c r="AQ66" i="15"/>
  <c r="AQ59" i="15"/>
  <c r="AQ55" i="15"/>
  <c r="AQ52" i="15"/>
  <c r="AQ30" i="15"/>
  <c r="AP62" i="15"/>
  <c r="AP23" i="15"/>
  <c r="AP42" i="15"/>
  <c r="AP24" i="15"/>
  <c r="AP30" i="15"/>
  <c r="AP36" i="15"/>
  <c r="AQ65" i="15"/>
  <c r="AQ4" i="15"/>
  <c r="AQ39" i="15"/>
  <c r="AP32" i="15"/>
  <c r="AQ20" i="15"/>
  <c r="AQ5" i="15"/>
  <c r="AP40" i="15"/>
  <c r="AP43" i="15"/>
  <c r="AQ29" i="15"/>
  <c r="AP15" i="15"/>
  <c r="AP14" i="15"/>
  <c r="AQ44" i="15"/>
  <c r="AQ23" i="15"/>
  <c r="AQ8" i="15"/>
  <c r="AQ10" i="15"/>
  <c r="AQ62" i="15"/>
  <c r="AQ58" i="15"/>
  <c r="AP63" i="15"/>
  <c r="AQ7" i="15"/>
  <c r="AQ26" i="15"/>
  <c r="AP46" i="15"/>
  <c r="AQ22" i="15"/>
  <c r="AQ48" i="15"/>
  <c r="AQ57" i="15"/>
  <c r="AQ27" i="15"/>
  <c r="AQ46" i="15"/>
  <c r="AP35" i="15"/>
  <c r="AP48" i="15"/>
  <c r="AQ49" i="15"/>
  <c r="AP29" i="15"/>
  <c r="AP61" i="15"/>
  <c r="O3" i="17" l="1" a="1"/>
  <c r="O3" i="17"/>
  <c r="P3" i="17" s="1"/>
  <c r="O7" i="17"/>
  <c r="P7" i="17" s="1"/>
  <c r="O5" i="17"/>
  <c r="P5" i="17"/>
  <c r="O15" i="17"/>
  <c r="P15" i="17" s="1"/>
  <c r="P16" i="17" s="1"/>
  <c r="P17" i="17" s="1"/>
  <c r="O17" i="17"/>
  <c r="O14" i="17"/>
  <c r="P14" i="17" s="1"/>
  <c r="O13" i="17"/>
  <c r="P13" i="17"/>
  <c r="O12" i="17"/>
  <c r="P12" i="17" s="1"/>
  <c r="O4" i="17"/>
  <c r="P4" i="17" s="1"/>
  <c r="O8" i="17"/>
  <c r="P8" i="17" s="1"/>
  <c r="O11" i="17"/>
  <c r="P11" i="17" s="1"/>
  <c r="O10" i="17"/>
  <c r="P10" i="17" s="1"/>
  <c r="O9" i="17"/>
  <c r="P9" i="17"/>
  <c r="O16" i="17"/>
  <c r="O6" i="17"/>
  <c r="P6" i="17" s="1"/>
  <c r="O3" i="21" a="1"/>
  <c r="P1" i="17" l="1"/>
  <c r="Q9" i="17" s="1"/>
  <c r="O12" i="21"/>
  <c r="P12" i="21"/>
  <c r="O6" i="21"/>
  <c r="P6" i="21"/>
  <c r="O5" i="21"/>
  <c r="P5" i="21" s="1"/>
  <c r="O9" i="21"/>
  <c r="P9" i="21"/>
  <c r="O11" i="21"/>
  <c r="P11" i="21" s="1"/>
  <c r="O15" i="21"/>
  <c r="O16" i="21"/>
  <c r="O4" i="21"/>
  <c r="P4" i="21" s="1"/>
  <c r="O7" i="21"/>
  <c r="P7" i="21"/>
  <c r="O13" i="21"/>
  <c r="P13" i="21" s="1"/>
  <c r="O8" i="21"/>
  <c r="P8" i="21" s="1"/>
  <c r="O14" i="21"/>
  <c r="P14" i="21" s="1"/>
  <c r="P15" i="21" s="1"/>
  <c r="P16" i="21" s="1"/>
  <c r="P17" i="21" s="1"/>
  <c r="O3" i="21"/>
  <c r="P3" i="21" s="1"/>
  <c r="O10" i="21"/>
  <c r="P10" i="21" s="1"/>
  <c r="O17" i="21"/>
  <c r="O3" i="20" a="1"/>
  <c r="P1" i="21" l="1"/>
  <c r="Q5" i="17"/>
  <c r="Q4" i="17"/>
  <c r="Q11" i="17"/>
  <c r="Q7" i="17"/>
  <c r="Q16" i="17"/>
  <c r="Q3" i="17"/>
  <c r="Q8" i="17"/>
  <c r="Q10" i="17"/>
  <c r="Q6" i="17"/>
  <c r="Q14" i="17"/>
  <c r="Q12" i="17"/>
  <c r="Q17" i="17"/>
  <c r="C9" i="4"/>
  <c r="Q13" i="17"/>
  <c r="Q15" i="17"/>
  <c r="Q15" i="21"/>
  <c r="Q6" i="21"/>
  <c r="Q14" i="21"/>
  <c r="Q12" i="21"/>
  <c r="Q3" i="21"/>
  <c r="Q4" i="21"/>
  <c r="Q17" i="21"/>
  <c r="K9" i="4"/>
  <c r="Q10" i="21"/>
  <c r="Q16" i="21"/>
  <c r="Q9" i="21"/>
  <c r="Q13" i="21"/>
  <c r="Q11" i="21"/>
  <c r="Q7" i="21"/>
  <c r="Q5" i="21"/>
  <c r="Q8" i="21"/>
  <c r="O13" i="20"/>
  <c r="P13" i="20" s="1"/>
  <c r="O9" i="20"/>
  <c r="P9" i="20" s="1"/>
  <c r="O14" i="20"/>
  <c r="P14" i="20" s="1"/>
  <c r="P15" i="20" s="1"/>
  <c r="P16" i="20" s="1"/>
  <c r="P17" i="20" s="1"/>
  <c r="O5" i="20"/>
  <c r="P5" i="20"/>
  <c r="O7" i="20"/>
  <c r="P7" i="20" s="1"/>
  <c r="O10" i="20"/>
  <c r="P10" i="20" s="1"/>
  <c r="O4" i="20"/>
  <c r="P4" i="20" s="1"/>
  <c r="O8" i="20"/>
  <c r="P8" i="20" s="1"/>
  <c r="O17" i="20"/>
  <c r="O15" i="20"/>
  <c r="O11" i="20"/>
  <c r="P11" i="20"/>
  <c r="O6" i="20"/>
  <c r="P6" i="20" s="1"/>
  <c r="O12" i="20"/>
  <c r="P12" i="20" s="1"/>
  <c r="O16" i="20"/>
  <c r="O3" i="20"/>
  <c r="P3" i="20" s="1"/>
  <c r="P1" i="20" l="1"/>
  <c r="Q6" i="20"/>
  <c r="Q4" i="20"/>
  <c r="Q8" i="20"/>
  <c r="Q10" i="20"/>
  <c r="Q15" i="20"/>
  <c r="Q5" i="20"/>
  <c r="Q13" i="20"/>
  <c r="Q11" i="20"/>
  <c r="Q3" i="20"/>
  <c r="Q9" i="20"/>
  <c r="Q17" i="20"/>
  <c r="G9" i="4"/>
  <c r="Q16" i="20"/>
  <c r="Q12" i="20"/>
  <c r="Q14" i="20"/>
  <c r="Q7" i="20"/>
</calcChain>
</file>

<file path=xl/sharedStrings.xml><?xml version="1.0" encoding="utf-8"?>
<sst xmlns="http://schemas.openxmlformats.org/spreadsheetml/2006/main" count="1634" uniqueCount="253">
  <si>
    <t>Parameters</t>
  </si>
  <si>
    <t>Real Time</t>
  </si>
  <si>
    <t>Override</t>
  </si>
  <si>
    <t>Spread</t>
  </si>
  <si>
    <t>Used</t>
  </si>
  <si>
    <t>BID</t>
  </si>
  <si>
    <t>ASK</t>
  </si>
  <si>
    <t>Tp</t>
  </si>
  <si>
    <t>Start date</t>
  </si>
  <si>
    <t>Generator</t>
  </si>
  <si>
    <t>Maturity</t>
  </si>
  <si>
    <t>Market quote</t>
  </si>
  <si>
    <t>on</t>
  </si>
  <si>
    <t>ON</t>
  </si>
  <si>
    <t>Source</t>
  </si>
  <si>
    <t>Dp</t>
  </si>
  <si>
    <t>O/N</t>
  </si>
  <si>
    <t>Y</t>
  </si>
  <si>
    <t>tn</t>
  </si>
  <si>
    <t>TN</t>
  </si>
  <si>
    <t>Prefix</t>
  </si>
  <si>
    <t>T/N</t>
  </si>
  <si>
    <t>sn</t>
  </si>
  <si>
    <t>SN</t>
  </si>
  <si>
    <t>Suffix</t>
  </si>
  <si>
    <t>S/N</t>
  </si>
  <si>
    <t>w</t>
  </si>
  <si>
    <t>1W</t>
  </si>
  <si>
    <t>2W</t>
  </si>
  <si>
    <t>standard</t>
  </si>
  <si>
    <t>3W</t>
  </si>
  <si>
    <t>m</t>
  </si>
  <si>
    <t>1M</t>
  </si>
  <si>
    <t>2M</t>
  </si>
  <si>
    <t>stub</t>
  </si>
  <si>
    <t>3M</t>
  </si>
  <si>
    <t>4M</t>
  </si>
  <si>
    <t>5M</t>
  </si>
  <si>
    <t>6M</t>
  </si>
  <si>
    <t>cont</t>
  </si>
  <si>
    <t>7M</t>
  </si>
  <si>
    <t>8M</t>
  </si>
  <si>
    <t>9M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</si>
  <si>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</si>
  <si>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</si>
  <si>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</si>
  <si>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</si>
  <si>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</si>
  <si>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</si>
  <si>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</si>
  <si>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</si>
  <si>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</si>
  <si>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</si>
  <si>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</si>
  <si>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</si>
  <si>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</si>
  <si>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</si>
  <si>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</si>
  <si>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10M</t>
  </si>
  <si>
    <t>11M</t>
  </si>
  <si>
    <t>kruger</t>
  </si>
  <si>
    <t>rt</t>
  </si>
  <si>
    <t>IDN</t>
  </si>
  <si>
    <t>linear</t>
  </si>
  <si>
    <t>r</t>
  </si>
  <si>
    <t>Mid ds.factor</t>
  </si>
  <si>
    <t>Mid ds.rate</t>
  </si>
  <si>
    <t>Convexity spread</t>
  </si>
  <si>
    <t>STUB</t>
  </si>
  <si>
    <t>First Cpn</t>
  </si>
  <si>
    <t>Sf</t>
  </si>
  <si>
    <t>PRIM ACT 1</t>
  </si>
  <si>
    <t>Sw</t>
  </si>
  <si>
    <t>Today</t>
  </si>
  <si>
    <t>dvBool</t>
  </si>
  <si>
    <t>Enabled</t>
  </si>
  <si>
    <t>Currency</t>
  </si>
  <si>
    <t>Curve Name</t>
  </si>
  <si>
    <t>Deposits</t>
  </si>
  <si>
    <t>Futures</t>
  </si>
  <si>
    <t>Swaps</t>
  </si>
  <si>
    <t>CustomField</t>
  </si>
  <si>
    <t>CustomValue</t>
  </si>
  <si>
    <t>Futures End Date</t>
  </si>
  <si>
    <t>Maty Consistency</t>
  </si>
  <si>
    <t>Block Order</t>
  </si>
  <si>
    <t>Compounding</t>
  </si>
  <si>
    <t>Interp DayCount</t>
  </si>
  <si>
    <t>Maty</t>
  </si>
  <si>
    <t>Discount</t>
  </si>
  <si>
    <t>Futures Consistency</t>
  </si>
  <si>
    <t>Output Type</t>
  </si>
  <si>
    <t>Discounts</t>
  </si>
  <si>
    <t>Fra/Futures Tenor</t>
  </si>
  <si>
    <t>Forward</t>
  </si>
  <si>
    <t>Fra/Futures Adjustment</t>
  </si>
  <si>
    <t>Swap Maturity Type</t>
  </si>
  <si>
    <t>years</t>
  </si>
  <si>
    <t>Swap Fix Leg Freq</t>
  </si>
  <si>
    <t>Swap Fix Leg Daycnt</t>
  </si>
  <si>
    <t>Swap Flo Leg Freq</t>
  </si>
  <si>
    <t>Swap Flo Leg Daycnt</t>
  </si>
  <si>
    <t>MSwap Fix Leg Freq</t>
  </si>
  <si>
    <t>MSwap Fix Leg Daycnt</t>
  </si>
  <si>
    <t>30/360</t>
  </si>
  <si>
    <t>30E/360</t>
  </si>
  <si>
    <t>quadra</t>
  </si>
  <si>
    <t>const</t>
  </si>
  <si>
    <t>spline</t>
  </si>
  <si>
    <t>d</t>
  </si>
  <si>
    <t>annual</t>
  </si>
  <si>
    <t>simple</t>
  </si>
  <si>
    <t>Act/Act AFB</t>
  </si>
  <si>
    <t>360/360</t>
  </si>
  <si>
    <t>30E+360</t>
  </si>
  <si>
    <t>Act/360</t>
  </si>
  <si>
    <t>Act/365</t>
  </si>
  <si>
    <t>365/365</t>
  </si>
  <si>
    <t>Act/Act</t>
  </si>
  <si>
    <t>One/One</t>
  </si>
  <si>
    <t>dvDayCount</t>
  </si>
  <si>
    <t>dvInterpType</t>
  </si>
  <si>
    <t>Interp Type</t>
  </si>
  <si>
    <t>Interp On</t>
  </si>
  <si>
    <t>dvInterpOn</t>
  </si>
  <si>
    <t>dvCompounding</t>
  </si>
  <si>
    <t>Zero Rates</t>
  </si>
  <si>
    <t>start</t>
  </si>
  <si>
    <t>end</t>
  </si>
  <si>
    <t>dvFutCons</t>
  </si>
  <si>
    <t>off</t>
  </si>
  <si>
    <t>adjusted</t>
  </si>
  <si>
    <t>dvMatCons</t>
  </si>
  <si>
    <t>dvFutEndDate</t>
  </si>
  <si>
    <t>NoAdjust</t>
  </si>
  <si>
    <t>Backward</t>
  </si>
  <si>
    <t>ModFollowing</t>
  </si>
  <si>
    <t>dvFraFutAdjust</t>
  </si>
  <si>
    <t>months</t>
  </si>
  <si>
    <t>dates</t>
  </si>
  <si>
    <t>dvSwapMatType</t>
  </si>
  <si>
    <t>dvOutputType</t>
  </si>
  <si>
    <t>Optional Parameters</t>
  </si>
  <si>
    <t>Swap First Coupon</t>
  </si>
  <si>
    <t>Stub Priority</t>
  </si>
  <si>
    <t>S</t>
  </si>
  <si>
    <t>FIX CASH</t>
  </si>
  <si>
    <t>LIFFE EUROCHF</t>
  </si>
  <si>
    <t>12M</t>
  </si>
  <si>
    <t>CHF LIBOR 6M STD_C</t>
  </si>
  <si>
    <t>CHF</t>
  </si>
  <si>
    <t>D=CKCC</t>
  </si>
  <si>
    <t>WD=CKCC</t>
  </si>
  <si>
    <t>MD=CKCC</t>
  </si>
  <si>
    <t>CHFAB3L</t>
  </si>
  <si>
    <t>Y=ICAP</t>
  </si>
  <si>
    <t>CHFAB6L</t>
  </si>
  <si>
    <t>CHF3M</t>
  </si>
  <si>
    <t>CHF LIBOR A 3M_C</t>
  </si>
  <si>
    <t xml:space="preserve">Today </t>
  </si>
  <si>
    <t>CHFSTD</t>
  </si>
  <si>
    <t>TIT</t>
  </si>
  <si>
    <t>DTSIMI2</t>
  </si>
  <si>
    <t>CHFISPTIT</t>
  </si>
  <si>
    <t>M=</t>
  </si>
  <si>
    <t>Y=</t>
  </si>
  <si>
    <t>Calendar</t>
  </si>
  <si>
    <t>Settlement Days</t>
  </si>
  <si>
    <t>Forwarding Curve</t>
  </si>
  <si>
    <t>Discounting Curve</t>
  </si>
  <si>
    <t>Float Leg Frequency</t>
  </si>
  <si>
    <t>Float Leg Daycnt</t>
  </si>
  <si>
    <t>Settlement Date</t>
  </si>
  <si>
    <t>Leg NPV</t>
  </si>
  <si>
    <t>Zero</t>
  </si>
  <si>
    <t>Notional</t>
  </si>
  <si>
    <t>Loan Dates</t>
  </si>
  <si>
    <t>ModFollow</t>
  </si>
  <si>
    <t>AdjFlag</t>
  </si>
  <si>
    <t>Impl CDS</t>
  </si>
  <si>
    <t>Recovery Rate</t>
  </si>
  <si>
    <t>Def Loans</t>
  </si>
  <si>
    <t>CHFISPTITCDS</t>
  </si>
  <si>
    <t>M</t>
  </si>
  <si>
    <t>Contrib</t>
  </si>
  <si>
    <t>STD</t>
  </si>
  <si>
    <t>YCName</t>
  </si>
  <si>
    <t>CurveTrigger</t>
  </si>
  <si>
    <t>UNICA</t>
  </si>
  <si>
    <t>Contribute</t>
  </si>
  <si>
    <t>Status</t>
  </si>
  <si>
    <t>FES</t>
  </si>
  <si>
    <t>CASH</t>
  </si>
  <si>
    <t>i</t>
  </si>
  <si>
    <t>Fr</t>
  </si>
  <si>
    <t>3M-6M</t>
  </si>
  <si>
    <t>6M-9M</t>
  </si>
  <si>
    <t>9M-12M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</si>
  <si>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</si>
  <si>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</si>
  <si>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</si>
  <si>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</si>
  <si>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</si>
  <si>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</si>
  <si>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</si>
  <si>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</si>
  <si>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</si>
  <si>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</si>
  <si>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</si>
  <si>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27Y</t>
  </si>
  <si>
    <t>28Y</t>
  </si>
  <si>
    <t>29Y</t>
  </si>
  <si>
    <t>HUF</t>
  </si>
  <si>
    <t>HUFSTD</t>
  </si>
  <si>
    <t>BUHUF</t>
  </si>
  <si>
    <t>D=</t>
  </si>
  <si>
    <t>WD=</t>
  </si>
  <si>
    <t>FRA</t>
  </si>
  <si>
    <t>FRA Parameters</t>
  </si>
  <si>
    <t>Use FRAs</t>
  </si>
  <si>
    <t>PRIMACT_1</t>
  </si>
  <si>
    <t>VALUE_DT1</t>
  </si>
  <si>
    <t>MD=</t>
  </si>
  <si>
    <t>F=ICAP</t>
  </si>
  <si>
    <t>MFSR=</t>
  </si>
  <si>
    <t>Tenor</t>
  </si>
  <si>
    <t>HUFAB6B</t>
  </si>
  <si>
    <t>PLN</t>
  </si>
  <si>
    <t>PLNSTD</t>
  </si>
  <si>
    <t>1Y</t>
  </si>
  <si>
    <t>WIPLN</t>
  </si>
  <si>
    <t>PLNAB6W</t>
  </si>
  <si>
    <t>CASH_STD</t>
  </si>
  <si>
    <t>1w</t>
  </si>
  <si>
    <t>2w</t>
  </si>
  <si>
    <t>1m</t>
  </si>
  <si>
    <t>2m</t>
  </si>
  <si>
    <t>3m</t>
  </si>
  <si>
    <t>4m</t>
  </si>
  <si>
    <t>5m</t>
  </si>
  <si>
    <t>6m</t>
  </si>
  <si>
    <t>CASH_EMM</t>
  </si>
  <si>
    <t>7m</t>
  </si>
  <si>
    <t>8m</t>
  </si>
  <si>
    <t>9m</t>
  </si>
  <si>
    <t>10m</t>
  </si>
  <si>
    <t>11m</t>
  </si>
  <si>
    <t>12m</t>
  </si>
  <si>
    <t>HUF BUB 6M ICA</t>
  </si>
  <si>
    <t>PLN WIB 6M ICA</t>
  </si>
  <si>
    <t>Entity Name</t>
  </si>
  <si>
    <t>Floating Flag</t>
  </si>
  <si>
    <t>Atdefault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</si>
</sst>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1" formatCode="_-* #,##0_-;\-* #,##0_-;_-* &quot;-&quot;_-;_-@_-"/>
    <numFmt numFmtId="164" formatCode="d\ mmm\ yy"/>
    <numFmt numFmtId="165" formatCode="0.000%"/>
    <numFmt numFmtId="166" formatCode="0.0000"/>
    <numFmt numFmtId="167" formatCode="_-[$€]\ * #,##0.00_-;\-[$€]\ * #,##0.00_-;_-[$€]\ * &quot;-&quot;??_-;_-@_-"/>
    <numFmt numFmtId="168" formatCode="dd\ mmm\ yy"/>
    <numFmt numFmtId="169" formatCode="0&quot;W&quot;"/>
    <numFmt numFmtId="170" formatCode="0&quot;M&quot;"/>
    <numFmt numFmtId="171" formatCode="mmm\ yy"/>
    <numFmt numFmtId="172" formatCode="0.000000000"/>
    <numFmt numFmtId="173" formatCode="0&quot;Y&quot;"/>
    <numFmt numFmtId="174" formatCode="General&quot;M&quot;"/>
    <numFmt numFmtId="175" formatCode="General&quot;Y&quot;"/>
    <numFmt numFmtId="176" formatCode="0.000"/>
    <numFmt numFmtId="177" formatCode="d\ mmm\ yyyy"/>
    <numFmt numFmtId="178" formatCode="ddd\,\ mmmm\ d\,\ yyyy"/>
    <numFmt numFmtId="179" formatCode="0.00000"/>
    <numFmt numFmtId="180" formatCode="ddd\,\ mmm\ d\,\ yyyy"/>
  </numFmts>
  <fonts count="24">
    <font>
      <sz val="8"/>
      <name val="Arial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sz val="11"/>
      <color indexed="62"/>
      <name val="Calibri"/>
      <family val="2"/>
    </font>
    <font>
      <sz val="10"/>
      <color indexed="8"/>
      <name val="MS Sans Serif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8"/>
      <color indexed="23"/>
      <name val="Arial"/>
      <family val="2"/>
    </font>
    <font>
      <i/>
      <sz val="8"/>
      <color rgb="FF002060"/>
      <name val="Arial"/>
      <family val="2"/>
    </font>
    <font>
      <b/>
      <i/>
      <sz val="8"/>
      <color theme="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9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1" applyNumberFormat="0" applyAlignment="0" applyProtection="0"/>
    <xf numFmtId="0" fontId="5" fillId="0" borderId="2" applyNumberFormat="0" applyFill="0" applyAlignment="0" applyProtection="0"/>
    <xf numFmtId="0" fontId="6" fillId="17" borderId="3" applyNumberFormat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1" borderId="0" applyNumberFormat="0" applyBorder="0" applyAlignment="0" applyProtection="0"/>
    <xf numFmtId="167" fontId="7" fillId="0" borderId="0" applyFont="0" applyFill="0" applyBorder="0" applyAlignment="0" applyProtection="0"/>
    <xf numFmtId="0" fontId="8" fillId="7" borderId="1" applyNumberFormat="0" applyAlignment="0" applyProtection="0"/>
    <xf numFmtId="41" fontId="9" fillId="0" borderId="0" applyFont="0" applyFill="0" applyBorder="0" applyAlignment="0" applyProtection="0"/>
    <xf numFmtId="0" fontId="10" fillId="22" borderId="0" applyNumberFormat="0" applyBorder="0" applyAlignment="0" applyProtection="0"/>
    <xf numFmtId="0" fontId="7" fillId="23" borderId="4" applyNumberFormat="0" applyFont="0" applyAlignment="0" applyProtection="0"/>
    <xf numFmtId="0" fontId="11" fillId="16" borderId="5" applyNumberFormat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6" applyNumberFormat="0" applyFill="0" applyAlignment="0" applyProtection="0"/>
    <xf numFmtId="0" fontId="1" fillId="24" borderId="7" applyNumberFormat="0" applyFont="0" applyAlignment="0">
      <protection locked="0"/>
    </xf>
  </cellStyleXfs>
  <cellXfs count="251">
    <xf numFmtId="0" fontId="0" fillId="0" borderId="0" xfId="0"/>
    <xf numFmtId="0" fontId="0" fillId="0" borderId="13" xfId="0" applyBorder="1"/>
    <xf numFmtId="0" fontId="0" fillId="0" borderId="0" xfId="0" applyBorder="1"/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Protection="1"/>
    <xf numFmtId="0" fontId="0" fillId="0" borderId="0" xfId="0" applyBorder="1" applyProtection="1"/>
    <xf numFmtId="0" fontId="0" fillId="0" borderId="0" xfId="0" applyAlignment="1" applyProtection="1">
      <alignment horizontal="center"/>
    </xf>
    <xf numFmtId="0" fontId="0" fillId="0" borderId="12" xfId="0" applyFill="1" applyBorder="1" applyAlignment="1" applyProtection="1">
      <alignment horizontal="center"/>
    </xf>
    <xf numFmtId="0" fontId="18" fillId="0" borderId="7" xfId="0" applyFont="1" applyBorder="1" applyAlignment="1" applyProtection="1">
      <alignment horizontal="center"/>
    </xf>
    <xf numFmtId="0" fontId="17" fillId="0" borderId="8" xfId="0" applyFont="1" applyBorder="1" applyAlignment="1" applyProtection="1">
      <alignment horizontal="center"/>
    </xf>
    <xf numFmtId="0" fontId="17" fillId="0" borderId="9" xfId="0" applyFont="1" applyBorder="1" applyAlignment="1" applyProtection="1">
      <alignment horizontal="center"/>
    </xf>
    <xf numFmtId="0" fontId="0" fillId="0" borderId="8" xfId="0" applyBorder="1" applyProtection="1"/>
    <xf numFmtId="0" fontId="18" fillId="0" borderId="0" xfId="0" applyFont="1" applyAlignment="1" applyProtection="1"/>
    <xf numFmtId="0" fontId="0" fillId="0" borderId="0" xfId="0" applyAlignment="1" applyProtection="1"/>
    <xf numFmtId="0" fontId="0" fillId="0" borderId="8" xfId="0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0" borderId="10" xfId="0" applyBorder="1" applyProtection="1"/>
    <xf numFmtId="0" fontId="0" fillId="0" borderId="11" xfId="0" applyBorder="1" applyProtection="1"/>
    <xf numFmtId="14" fontId="0" fillId="0" borderId="0" xfId="0" applyNumberFormat="1" applyAlignment="1" applyProtection="1">
      <alignment horizontal="center"/>
    </xf>
    <xf numFmtId="1" fontId="0" fillId="0" borderId="0" xfId="0" applyNumberFormat="1" applyProtection="1"/>
    <xf numFmtId="0" fontId="0" fillId="0" borderId="12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0" fillId="0" borderId="12" xfId="0" applyBorder="1" applyProtection="1"/>
    <xf numFmtId="0" fontId="0" fillId="0" borderId="13" xfId="0" applyBorder="1" applyProtection="1"/>
    <xf numFmtId="0" fontId="0" fillId="0" borderId="10" xfId="0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17" fillId="0" borderId="18" xfId="0" applyFont="1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0" borderId="17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168" fontId="0" fillId="0" borderId="10" xfId="0" applyNumberFormat="1" applyFill="1" applyBorder="1" applyAlignment="1" applyProtection="1">
      <alignment horizontal="center"/>
    </xf>
    <xf numFmtId="0" fontId="0" fillId="0" borderId="8" xfId="0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17" xfId="0" applyNumberFormat="1" applyBorder="1" applyAlignment="1" applyProtection="1">
      <alignment horizontal="center"/>
    </xf>
    <xf numFmtId="1" fontId="0" fillId="0" borderId="15" xfId="0" applyNumberFormat="1" applyBorder="1" applyAlignment="1" applyProtection="1">
      <alignment horizontal="center"/>
    </xf>
    <xf numFmtId="0" fontId="0" fillId="0" borderId="19" xfId="0" applyBorder="1" applyAlignment="1" applyProtection="1">
      <alignment horizontal="center"/>
    </xf>
    <xf numFmtId="166" fontId="0" fillId="0" borderId="9" xfId="0" applyNumberFormat="1" applyFill="1" applyBorder="1" applyAlignment="1" applyProtection="1">
      <alignment horizontal="center"/>
    </xf>
    <xf numFmtId="166" fontId="0" fillId="0" borderId="11" xfId="0" applyNumberFormat="1" applyFill="1" applyBorder="1" applyAlignment="1" applyProtection="1">
      <alignment horizontal="center"/>
    </xf>
    <xf numFmtId="0" fontId="0" fillId="0" borderId="20" xfId="0" applyBorder="1" applyAlignment="1" applyProtection="1">
      <alignment horizontal="center"/>
    </xf>
    <xf numFmtId="166" fontId="0" fillId="0" borderId="13" xfId="0" applyNumberFormat="1" applyFill="1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168" fontId="0" fillId="0" borderId="8" xfId="0" applyNumberFormat="1" applyFill="1" applyBorder="1" applyAlignment="1" applyProtection="1">
      <alignment horizontal="center"/>
    </xf>
    <xf numFmtId="0" fontId="0" fillId="25" borderId="14" xfId="0" applyFill="1" applyBorder="1" applyProtection="1"/>
    <xf numFmtId="0" fontId="0" fillId="25" borderId="17" xfId="0" applyFill="1" applyBorder="1" applyProtection="1"/>
    <xf numFmtId="0" fontId="0" fillId="25" borderId="15" xfId="0" applyFill="1" applyBorder="1" applyProtection="1"/>
    <xf numFmtId="166" fontId="0" fillId="0" borderId="14" xfId="0" applyNumberFormat="1" applyFill="1" applyBorder="1" applyAlignment="1" applyProtection="1">
      <alignment horizontal="center"/>
    </xf>
    <xf numFmtId="166" fontId="0" fillId="0" borderId="17" xfId="0" applyNumberFormat="1" applyFill="1" applyBorder="1" applyAlignment="1" applyProtection="1">
      <alignment horizontal="center"/>
    </xf>
    <xf numFmtId="166" fontId="0" fillId="0" borderId="15" xfId="0" applyNumberFormat="1" applyFill="1" applyBorder="1" applyAlignment="1" applyProtection="1">
      <alignment horizontal="center"/>
    </xf>
    <xf numFmtId="164" fontId="0" fillId="0" borderId="0" xfId="0" applyNumberFormat="1" applyAlignment="1" applyProtection="1">
      <alignment horizontal="center"/>
    </xf>
    <xf numFmtId="168" fontId="0" fillId="0" borderId="0" xfId="0" applyNumberFormat="1" applyBorder="1" applyProtection="1"/>
    <xf numFmtId="0" fontId="20" fillId="0" borderId="14" xfId="0" applyFont="1" applyBorder="1" applyAlignment="1">
      <alignment horizontal="center"/>
    </xf>
    <xf numFmtId="11" fontId="0" fillId="0" borderId="17" xfId="0" applyNumberFormat="1" applyBorder="1" applyAlignment="1">
      <alignment horizontal="center"/>
    </xf>
    <xf numFmtId="0" fontId="20" fillId="0" borderId="7" xfId="0" applyFont="1" applyBorder="1"/>
    <xf numFmtId="0" fontId="0" fillId="0" borderId="7" xfId="0" applyBorder="1" applyAlignment="1">
      <alignment horizontal="center"/>
    </xf>
    <xf numFmtId="0" fontId="0" fillId="0" borderId="17" xfId="0" applyFill="1" applyBorder="1"/>
    <xf numFmtId="0" fontId="0" fillId="0" borderId="17" xfId="0" applyFill="1" applyBorder="1" applyAlignment="1">
      <alignment horizontal="center"/>
    </xf>
    <xf numFmtId="166" fontId="0" fillId="0" borderId="17" xfId="0" applyNumberFormat="1" applyFill="1" applyBorder="1" applyAlignment="1">
      <alignment horizontal="center"/>
    </xf>
    <xf numFmtId="0" fontId="1" fillId="0" borderId="17" xfId="0" applyFont="1" applyFill="1" applyBorder="1"/>
    <xf numFmtId="0" fontId="0" fillId="0" borderId="15" xfId="0" applyFill="1" applyBorder="1"/>
    <xf numFmtId="0" fontId="0" fillId="0" borderId="15" xfId="0" applyFill="1" applyBorder="1" applyAlignment="1">
      <alignment horizontal="center"/>
    </xf>
    <xf numFmtId="0" fontId="20" fillId="0" borderId="7" xfId="0" applyFont="1" applyFill="1" applyBorder="1" applyAlignment="1">
      <alignment horizontal="center"/>
    </xf>
    <xf numFmtId="0" fontId="0" fillId="0" borderId="14" xfId="0" applyFill="1" applyBorder="1"/>
    <xf numFmtId="166" fontId="0" fillId="0" borderId="14" xfId="0" applyNumberFormat="1" applyFill="1" applyBorder="1" applyAlignment="1">
      <alignment horizontal="center"/>
    </xf>
    <xf numFmtId="0" fontId="0" fillId="0" borderId="16" xfId="0" applyBorder="1" applyAlignment="1" applyProtection="1">
      <alignment horizontal="center"/>
    </xf>
    <xf numFmtId="0" fontId="0" fillId="0" borderId="18" xfId="0" applyBorder="1" applyAlignment="1" applyProtection="1">
      <alignment horizontal="center"/>
    </xf>
    <xf numFmtId="0" fontId="18" fillId="0" borderId="0" xfId="0" applyFont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1" fillId="0" borderId="9" xfId="0" applyFont="1" applyBorder="1" applyProtection="1"/>
    <xf numFmtId="0" fontId="1" fillId="0" borderId="11" xfId="0" applyFont="1" applyBorder="1" applyProtection="1"/>
    <xf numFmtId="0" fontId="1" fillId="0" borderId="13" xfId="0" applyFont="1" applyBorder="1" applyProtection="1"/>
    <xf numFmtId="0" fontId="0" fillId="0" borderId="16" xfId="0" applyBorder="1" applyAlignment="1" applyProtection="1">
      <alignment horizontal="center"/>
    </xf>
    <xf numFmtId="0" fontId="0" fillId="0" borderId="18" xfId="0" applyBorder="1" applyAlignment="1" applyProtection="1">
      <alignment horizontal="center"/>
    </xf>
    <xf numFmtId="0" fontId="18" fillId="0" borderId="0" xfId="0" applyFont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166" fontId="0" fillId="26" borderId="14" xfId="0" applyNumberFormat="1" applyFill="1" applyBorder="1" applyAlignment="1" applyProtection="1">
      <alignment horizontal="center"/>
    </xf>
    <xf numFmtId="166" fontId="0" fillId="26" borderId="17" xfId="0" applyNumberFormat="1" applyFill="1" applyBorder="1" applyAlignment="1" applyProtection="1">
      <alignment horizontal="center"/>
    </xf>
    <xf numFmtId="166" fontId="0" fillId="26" borderId="15" xfId="0" applyNumberFormat="1" applyFill="1" applyBorder="1" applyAlignment="1" applyProtection="1">
      <alignment horizontal="center"/>
    </xf>
    <xf numFmtId="0" fontId="17" fillId="27" borderId="8" xfId="0" applyFont="1" applyFill="1" applyBorder="1" applyAlignment="1" applyProtection="1">
      <alignment horizontal="center"/>
    </xf>
    <xf numFmtId="0" fontId="17" fillId="27" borderId="16" xfId="0" applyFont="1" applyFill="1" applyBorder="1" applyAlignment="1" applyProtection="1">
      <alignment horizontal="center"/>
    </xf>
    <xf numFmtId="14" fontId="19" fillId="29" borderId="14" xfId="0" applyNumberFormat="1" applyFont="1" applyFill="1" applyBorder="1" applyProtection="1"/>
    <xf numFmtId="14" fontId="19" fillId="29" borderId="17" xfId="0" applyNumberFormat="1" applyFont="1" applyFill="1" applyBorder="1" applyProtection="1"/>
    <xf numFmtId="0" fontId="19" fillId="29" borderId="17" xfId="0" applyFont="1" applyFill="1" applyBorder="1" applyProtection="1"/>
    <xf numFmtId="165" fontId="16" fillId="30" borderId="7" xfId="0" applyNumberFormat="1" applyFont="1" applyFill="1" applyBorder="1" applyAlignment="1" applyProtection="1">
      <alignment horizontal="center"/>
    </xf>
    <xf numFmtId="0" fontId="16" fillId="30" borderId="7" xfId="0" applyNumberFormat="1" applyFont="1" applyFill="1" applyBorder="1" applyAlignment="1" applyProtection="1">
      <alignment horizontal="center"/>
    </xf>
    <xf numFmtId="0" fontId="19" fillId="32" borderId="14" xfId="0" applyFont="1" applyFill="1" applyBorder="1" applyProtection="1"/>
    <xf numFmtId="0" fontId="19" fillId="32" borderId="15" xfId="0" applyFont="1" applyFill="1" applyBorder="1" applyProtection="1"/>
    <xf numFmtId="164" fontId="19" fillId="33" borderId="14" xfId="0" applyNumberFormat="1" applyFont="1" applyFill="1" applyBorder="1" applyAlignment="1" applyProtection="1">
      <alignment horizontal="center"/>
    </xf>
    <xf numFmtId="15" fontId="1" fillId="33" borderId="17" xfId="0" applyNumberFormat="1" applyFont="1" applyFill="1" applyBorder="1" applyAlignment="1" applyProtection="1">
      <alignment horizontal="center"/>
      <protection locked="0"/>
    </xf>
    <xf numFmtId="0" fontId="1" fillId="33" borderId="17" xfId="0" applyFont="1" applyFill="1" applyBorder="1" applyAlignment="1" applyProtection="1">
      <alignment horizontal="center"/>
      <protection locked="0"/>
    </xf>
    <xf numFmtId="0" fontId="19" fillId="33" borderId="7" xfId="0" applyFont="1" applyFill="1" applyBorder="1" applyAlignment="1" applyProtection="1">
      <alignment horizontal="center"/>
    </xf>
    <xf numFmtId="0" fontId="19" fillId="33" borderId="14" xfId="0" applyFont="1" applyFill="1" applyBorder="1" applyAlignment="1" applyProtection="1">
      <alignment horizontal="center"/>
    </xf>
    <xf numFmtId="0" fontId="19" fillId="33" borderId="17" xfId="0" applyFont="1" applyFill="1" applyBorder="1" applyAlignment="1" applyProtection="1">
      <alignment horizontal="center"/>
    </xf>
    <xf numFmtId="0" fontId="19" fillId="33" borderId="15" xfId="0" applyFont="1" applyFill="1" applyBorder="1" applyAlignment="1" applyProtection="1">
      <alignment horizontal="center"/>
    </xf>
    <xf numFmtId="0" fontId="0" fillId="33" borderId="7" xfId="0" applyFill="1" applyBorder="1" applyAlignment="1">
      <alignment horizontal="center"/>
    </xf>
    <xf numFmtId="0" fontId="0" fillId="33" borderId="14" xfId="0" applyFill="1" applyBorder="1" applyAlignment="1">
      <alignment horizontal="center"/>
    </xf>
    <xf numFmtId="0" fontId="0" fillId="33" borderId="15" xfId="0" applyFill="1" applyBorder="1" applyAlignment="1" applyProtection="1">
      <alignment horizontal="center"/>
    </xf>
    <xf numFmtId="0" fontId="0" fillId="33" borderId="14" xfId="0" applyFill="1" applyBorder="1" applyAlignment="1" applyProtection="1">
      <alignment horizontal="center"/>
    </xf>
    <xf numFmtId="0" fontId="0" fillId="33" borderId="17" xfId="0" applyFill="1" applyBorder="1" applyAlignment="1" applyProtection="1">
      <alignment horizontal="center"/>
    </xf>
    <xf numFmtId="0" fontId="0" fillId="33" borderId="17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1" borderId="14" xfId="0" applyFill="1" applyBorder="1"/>
    <xf numFmtId="0" fontId="0" fillId="31" borderId="15" xfId="0" applyFill="1" applyBorder="1" applyProtection="1"/>
    <xf numFmtId="173" fontId="0" fillId="34" borderId="14" xfId="0" applyNumberFormat="1" applyFill="1" applyBorder="1" applyAlignment="1" applyProtection="1">
      <alignment horizontal="center"/>
    </xf>
    <xf numFmtId="173" fontId="0" fillId="34" borderId="17" xfId="0" applyNumberFormat="1" applyFill="1" applyBorder="1" applyAlignment="1" applyProtection="1">
      <alignment horizontal="center"/>
    </xf>
    <xf numFmtId="173" fontId="0" fillId="34" borderId="15" xfId="0" applyNumberFormat="1" applyFill="1" applyBorder="1" applyAlignment="1" applyProtection="1">
      <alignment horizontal="center"/>
    </xf>
    <xf numFmtId="171" fontId="0" fillId="34" borderId="14" xfId="0" applyNumberFormat="1" applyFill="1" applyBorder="1" applyAlignment="1" applyProtection="1">
      <alignment horizontal="center"/>
    </xf>
    <xf numFmtId="171" fontId="0" fillId="34" borderId="15" xfId="0" applyNumberFormat="1" applyFill="1" applyBorder="1" applyAlignment="1" applyProtection="1">
      <alignment horizontal="center"/>
    </xf>
    <xf numFmtId="1" fontId="0" fillId="34" borderId="14" xfId="0" applyNumberFormat="1" applyFill="1" applyBorder="1" applyAlignment="1" applyProtection="1">
      <alignment horizontal="center"/>
    </xf>
    <xf numFmtId="1" fontId="0" fillId="34" borderId="17" xfId="0" applyNumberFormat="1" applyFill="1" applyBorder="1" applyAlignment="1" applyProtection="1">
      <alignment horizontal="center"/>
    </xf>
    <xf numFmtId="1" fontId="0" fillId="34" borderId="15" xfId="0" applyNumberFormat="1" applyFill="1" applyBorder="1" applyAlignment="1" applyProtection="1">
      <alignment horizontal="center"/>
    </xf>
    <xf numFmtId="169" fontId="0" fillId="34" borderId="14" xfId="0" applyNumberFormat="1" applyFill="1" applyBorder="1" applyAlignment="1" applyProtection="1">
      <alignment horizontal="center"/>
    </xf>
    <xf numFmtId="169" fontId="0" fillId="34" borderId="17" xfId="0" applyNumberFormat="1" applyFill="1" applyBorder="1" applyAlignment="1" applyProtection="1">
      <alignment horizontal="center"/>
    </xf>
    <xf numFmtId="169" fontId="0" fillId="34" borderId="15" xfId="0" applyNumberFormat="1" applyFill="1" applyBorder="1" applyAlignment="1" applyProtection="1">
      <alignment horizontal="center"/>
    </xf>
    <xf numFmtId="170" fontId="0" fillId="34" borderId="17" xfId="0" applyNumberFormat="1" applyFill="1" applyBorder="1" applyAlignment="1" applyProtection="1">
      <alignment horizontal="center"/>
    </xf>
    <xf numFmtId="170" fontId="0" fillId="34" borderId="15" xfId="0" applyNumberFormat="1" applyFill="1" applyBorder="1" applyAlignment="1" applyProtection="1">
      <alignment horizontal="center"/>
    </xf>
    <xf numFmtId="0" fontId="1" fillId="35" borderId="7" xfId="38" applyFill="1">
      <protection locked="0"/>
    </xf>
    <xf numFmtId="0" fontId="19" fillId="36" borderId="14" xfId="0" applyFont="1" applyFill="1" applyBorder="1" applyProtection="1"/>
    <xf numFmtId="0" fontId="19" fillId="36" borderId="17" xfId="0" applyFont="1" applyFill="1" applyBorder="1" applyProtection="1"/>
    <xf numFmtId="0" fontId="19" fillId="36" borderId="15" xfId="0" applyFont="1" applyFill="1" applyBorder="1" applyProtection="1"/>
    <xf numFmtId="0" fontId="19" fillId="32" borderId="17" xfId="0" applyFont="1" applyFill="1" applyBorder="1" applyProtection="1"/>
    <xf numFmtId="0" fontId="0" fillId="36" borderId="7" xfId="0" applyFill="1" applyBorder="1"/>
    <xf numFmtId="166" fontId="0" fillId="28" borderId="14" xfId="0" applyNumberFormat="1" applyFill="1" applyBorder="1" applyAlignment="1" applyProtection="1">
      <alignment horizontal="center"/>
    </xf>
    <xf numFmtId="166" fontId="0" fillId="28" borderId="15" xfId="0" applyNumberFormat="1" applyFill="1" applyBorder="1" applyAlignment="1" applyProtection="1">
      <alignment horizontal="center"/>
    </xf>
    <xf numFmtId="166" fontId="0" fillId="28" borderId="17" xfId="0" applyNumberFormat="1" applyFill="1" applyBorder="1" applyAlignment="1" applyProtection="1">
      <alignment horizontal="center"/>
    </xf>
    <xf numFmtId="0" fontId="0" fillId="37" borderId="14" xfId="0" applyFill="1" applyBorder="1" applyProtection="1"/>
    <xf numFmtId="0" fontId="0" fillId="37" borderId="17" xfId="0" applyFill="1" applyBorder="1" applyProtection="1"/>
    <xf numFmtId="0" fontId="0" fillId="37" borderId="15" xfId="0" applyFill="1" applyBorder="1" applyProtection="1"/>
    <xf numFmtId="168" fontId="1" fillId="29" borderId="14" xfId="0" applyNumberFormat="1" applyFont="1" applyFill="1" applyBorder="1" applyAlignment="1" applyProtection="1">
      <alignment horizontal="center"/>
    </xf>
    <xf numFmtId="172" fontId="1" fillId="29" borderId="14" xfId="0" applyNumberFormat="1" applyFont="1" applyFill="1" applyBorder="1" applyProtection="1"/>
    <xf numFmtId="168" fontId="1" fillId="29" borderId="17" xfId="0" applyNumberFormat="1" applyFont="1" applyFill="1" applyBorder="1" applyAlignment="1" applyProtection="1">
      <alignment horizontal="center"/>
    </xf>
    <xf numFmtId="172" fontId="1" fillId="29" borderId="17" xfId="0" applyNumberFormat="1" applyFont="1" applyFill="1" applyBorder="1" applyProtection="1"/>
    <xf numFmtId="168" fontId="1" fillId="29" borderId="15" xfId="0" applyNumberFormat="1" applyFont="1" applyFill="1" applyBorder="1" applyAlignment="1" applyProtection="1">
      <alignment horizontal="center"/>
    </xf>
    <xf numFmtId="172" fontId="1" fillId="29" borderId="15" xfId="0" applyNumberFormat="1" applyFont="1" applyFill="1" applyBorder="1" applyProtection="1"/>
    <xf numFmtId="0" fontId="0" fillId="37" borderId="7" xfId="0" applyFill="1" applyBorder="1" applyProtection="1"/>
    <xf numFmtId="0" fontId="0" fillId="0" borderId="0" xfId="0" applyBorder="1" applyAlignment="1">
      <alignment horizontal="center"/>
    </xf>
    <xf numFmtId="0" fontId="1" fillId="0" borderId="16" xfId="0" applyFont="1" applyBorder="1" applyAlignment="1" applyProtection="1">
      <alignment horizontal="center"/>
    </xf>
    <xf numFmtId="0" fontId="19" fillId="26" borderId="15" xfId="0" applyFont="1" applyFill="1" applyBorder="1" applyProtection="1"/>
    <xf numFmtId="49" fontId="1" fillId="0" borderId="11" xfId="0" applyNumberFormat="1" applyFont="1" applyBorder="1" applyProtection="1"/>
    <xf numFmtId="49" fontId="1" fillId="0" borderId="13" xfId="0" applyNumberFormat="1" applyFont="1" applyBorder="1" applyProtection="1"/>
    <xf numFmtId="2" fontId="0" fillId="0" borderId="16" xfId="0" applyNumberFormat="1" applyBorder="1" applyAlignment="1" applyProtection="1">
      <alignment horizontal="center"/>
    </xf>
    <xf numFmtId="2" fontId="0" fillId="0" borderId="18" xfId="0" applyNumberFormat="1" applyBorder="1" applyAlignment="1" applyProtection="1">
      <alignment horizontal="center"/>
    </xf>
    <xf numFmtId="2" fontId="0" fillId="0" borderId="10" xfId="0" applyNumberFormat="1" applyBorder="1" applyAlignment="1" applyProtection="1">
      <alignment horizontal="center"/>
    </xf>
    <xf numFmtId="2" fontId="0" fillId="0" borderId="11" xfId="0" applyNumberFormat="1" applyBorder="1" applyAlignment="1" applyProtection="1">
      <alignment horizontal="center"/>
    </xf>
    <xf numFmtId="2" fontId="0" fillId="0" borderId="12" xfId="0" applyNumberFormat="1" applyBorder="1" applyAlignment="1" applyProtection="1">
      <alignment horizontal="center"/>
    </xf>
    <xf numFmtId="2" fontId="0" fillId="0" borderId="13" xfId="0" applyNumberFormat="1" applyBorder="1" applyAlignment="1" applyProtection="1">
      <alignment horizontal="center"/>
    </xf>
    <xf numFmtId="175" fontId="0" fillId="34" borderId="17" xfId="0" applyNumberFormat="1" applyFill="1" applyBorder="1" applyAlignment="1" applyProtection="1">
      <alignment horizontal="center"/>
    </xf>
    <xf numFmtId="175" fontId="0" fillId="34" borderId="15" xfId="0" applyNumberFormat="1" applyFill="1" applyBorder="1" applyAlignment="1" applyProtection="1">
      <alignment horizontal="center"/>
    </xf>
    <xf numFmtId="176" fontId="0" fillId="26" borderId="17" xfId="0" applyNumberFormat="1" applyFill="1" applyBorder="1" applyAlignment="1" applyProtection="1">
      <alignment horizontal="center"/>
    </xf>
    <xf numFmtId="176" fontId="0" fillId="0" borderId="17" xfId="0" applyNumberFormat="1" applyFill="1" applyBorder="1" applyAlignment="1" applyProtection="1">
      <alignment horizontal="center"/>
    </xf>
    <xf numFmtId="176" fontId="0" fillId="28" borderId="17" xfId="0" applyNumberFormat="1" applyFill="1" applyBorder="1" applyAlignment="1" applyProtection="1">
      <alignment horizontal="center"/>
    </xf>
    <xf numFmtId="176" fontId="0" fillId="26" borderId="15" xfId="0" applyNumberFormat="1" applyFill="1" applyBorder="1" applyAlignment="1" applyProtection="1">
      <alignment horizontal="center"/>
    </xf>
    <xf numFmtId="176" fontId="0" fillId="0" borderId="15" xfId="0" applyNumberFormat="1" applyFill="1" applyBorder="1" applyAlignment="1" applyProtection="1">
      <alignment horizontal="center"/>
    </xf>
    <xf numFmtId="14" fontId="1" fillId="29" borderId="17" xfId="0" applyNumberFormat="1" applyFont="1" applyFill="1" applyBorder="1" applyProtection="1"/>
    <xf numFmtId="0" fontId="1" fillId="29" borderId="15" xfId="0" applyFont="1" applyFill="1" applyBorder="1" applyProtection="1"/>
    <xf numFmtId="0" fontId="1" fillId="32" borderId="17" xfId="0" applyFont="1" applyFill="1" applyBorder="1" applyProtection="1"/>
    <xf numFmtId="0" fontId="1" fillId="31" borderId="7" xfId="0" applyFont="1" applyFill="1" applyBorder="1" applyProtection="1"/>
    <xf numFmtId="0" fontId="1" fillId="32" borderId="14" xfId="0" applyFont="1" applyFill="1" applyBorder="1" applyProtection="1"/>
    <xf numFmtId="177" fontId="0" fillId="0" borderId="7" xfId="0" applyNumberFormat="1" applyBorder="1" applyAlignment="1">
      <alignment horizontal="center"/>
    </xf>
    <xf numFmtId="176" fontId="0" fillId="0" borderId="17" xfId="0" applyNumberFormat="1" applyFill="1" applyBorder="1" applyAlignment="1" applyProtection="1"/>
    <xf numFmtId="176" fontId="0" fillId="0" borderId="15" xfId="0" applyNumberFormat="1" applyFill="1" applyBorder="1" applyAlignment="1" applyProtection="1"/>
    <xf numFmtId="177" fontId="0" fillId="0" borderId="17" xfId="0" applyNumberFormat="1" applyFill="1" applyBorder="1" applyAlignment="1" applyProtection="1">
      <alignment horizontal="center"/>
    </xf>
    <xf numFmtId="177" fontId="0" fillId="0" borderId="15" xfId="0" applyNumberFormat="1" applyFill="1" applyBorder="1" applyAlignment="1" applyProtection="1">
      <alignment horizontal="center"/>
    </xf>
    <xf numFmtId="0" fontId="1" fillId="32" borderId="15" xfId="0" applyFont="1" applyFill="1" applyBorder="1" applyProtection="1"/>
    <xf numFmtId="165" fontId="0" fillId="0" borderId="17" xfId="0" applyNumberFormat="1" applyFill="1" applyBorder="1" applyAlignment="1" applyProtection="1"/>
    <xf numFmtId="165" fontId="0" fillId="0" borderId="15" xfId="0" applyNumberFormat="1" applyFill="1" applyBorder="1" applyAlignment="1" applyProtection="1"/>
    <xf numFmtId="0" fontId="0" fillId="0" borderId="17" xfId="0" applyNumberFormat="1" applyFill="1" applyBorder="1" applyAlignment="1" applyProtection="1">
      <alignment horizontal="center"/>
    </xf>
    <xf numFmtId="0" fontId="0" fillId="0" borderId="15" xfId="0" applyNumberFormat="1" applyFill="1" applyBorder="1" applyAlignment="1" applyProtection="1">
      <alignment horizontal="center"/>
    </xf>
    <xf numFmtId="2" fontId="16" fillId="30" borderId="7" xfId="0" applyNumberFormat="1" applyFont="1" applyFill="1" applyBorder="1" applyAlignment="1" applyProtection="1">
      <alignment horizontal="center"/>
    </xf>
    <xf numFmtId="2" fontId="0" fillId="0" borderId="17" xfId="0" applyNumberFormat="1" applyFill="1" applyBorder="1" applyAlignment="1" applyProtection="1">
      <alignment horizontal="center"/>
    </xf>
    <xf numFmtId="2" fontId="0" fillId="0" borderId="15" xfId="0" applyNumberFormat="1" applyFill="1" applyBorder="1" applyAlignment="1" applyProtection="1">
      <alignment horizontal="center"/>
    </xf>
    <xf numFmtId="176" fontId="21" fillId="28" borderId="15" xfId="0" applyNumberFormat="1" applyFont="1" applyFill="1" applyBorder="1" applyAlignment="1" applyProtection="1">
      <alignment horizontal="center"/>
    </xf>
    <xf numFmtId="166" fontId="21" fillId="28" borderId="15" xfId="0" applyNumberFormat="1" applyFont="1" applyFill="1" applyBorder="1" applyAlignment="1" applyProtection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3" xfId="0" applyBorder="1"/>
    <xf numFmtId="0" fontId="23" fillId="30" borderId="21" xfId="0" applyFont="1" applyFill="1" applyBorder="1" applyAlignment="1">
      <alignment horizontal="center"/>
    </xf>
    <xf numFmtId="0" fontId="23" fillId="30" borderId="23" xfId="0" applyFont="1" applyFill="1" applyBorder="1" applyAlignment="1">
      <alignment horizontal="center"/>
    </xf>
    <xf numFmtId="0" fontId="23" fillId="30" borderId="21" xfId="0" applyFont="1" applyFill="1" applyBorder="1" applyAlignment="1">
      <alignment horizontal="right"/>
    </xf>
    <xf numFmtId="0" fontId="23" fillId="30" borderId="7" xfId="0" applyFont="1" applyFill="1" applyBorder="1" applyAlignment="1">
      <alignment horizontal="right"/>
    </xf>
    <xf numFmtId="0" fontId="23" fillId="30" borderId="24" xfId="0" applyFont="1" applyFill="1" applyBorder="1" applyAlignment="1">
      <alignment horizontal="center"/>
    </xf>
    <xf numFmtId="0" fontId="23" fillId="30" borderId="25" xfId="0" applyFont="1" applyFill="1" applyBorder="1" applyAlignment="1">
      <alignment horizontal="center"/>
    </xf>
    <xf numFmtId="0" fontId="18" fillId="0" borderId="0" xfId="0" applyFont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0" fillId="0" borderId="18" xfId="0" applyBorder="1" applyAlignment="1" applyProtection="1">
      <alignment horizontal="center"/>
    </xf>
    <xf numFmtId="0" fontId="0" fillId="0" borderId="16" xfId="0" applyBorder="1" applyAlignment="1" applyProtection="1">
      <alignment horizontal="center"/>
    </xf>
    <xf numFmtId="0" fontId="17" fillId="37" borderId="22" xfId="0" applyFont="1" applyFill="1" applyBorder="1" applyAlignment="1">
      <alignment horizontal="center"/>
    </xf>
    <xf numFmtId="0" fontId="22" fillId="37" borderId="0" xfId="0" applyNumberFormat="1" applyFont="1" applyFill="1"/>
    <xf numFmtId="0" fontId="18" fillId="0" borderId="0" xfId="0" applyFont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0" fillId="0" borderId="18" xfId="0" applyBorder="1" applyAlignment="1" applyProtection="1">
      <alignment horizontal="center"/>
    </xf>
    <xf numFmtId="0" fontId="0" fillId="0" borderId="16" xfId="0" applyBorder="1" applyAlignment="1" applyProtection="1">
      <alignment horizontal="center"/>
    </xf>
    <xf numFmtId="168" fontId="0" fillId="0" borderId="12" xfId="0" applyNumberFormat="1" applyBorder="1" applyAlignment="1">
      <alignment horizontal="center"/>
    </xf>
    <xf numFmtId="0" fontId="17" fillId="0" borderId="8" xfId="0" applyFont="1" applyFill="1" applyBorder="1" applyAlignment="1" applyProtection="1">
      <alignment horizontal="center"/>
    </xf>
    <xf numFmtId="0" fontId="17" fillId="27" borderId="9" xfId="0" applyFont="1" applyFill="1" applyBorder="1" applyAlignment="1" applyProtection="1">
      <alignment horizontal="center"/>
    </xf>
    <xf numFmtId="0" fontId="19" fillId="29" borderId="14" xfId="0" applyFont="1" applyFill="1" applyBorder="1" applyProtection="1"/>
    <xf numFmtId="0" fontId="1" fillId="29" borderId="14" xfId="0" applyFont="1" applyFill="1" applyBorder="1" applyProtection="1"/>
    <xf numFmtId="0" fontId="1" fillId="29" borderId="17" xfId="0" applyFont="1" applyFill="1" applyBorder="1" applyProtection="1"/>
    <xf numFmtId="0" fontId="1" fillId="33" borderId="17" xfId="0" applyFont="1" applyFill="1" applyBorder="1" applyAlignment="1" applyProtection="1">
      <alignment horizontal="center"/>
    </xf>
    <xf numFmtId="0" fontId="1" fillId="0" borderId="7" xfId="0" applyFont="1" applyFill="1" applyBorder="1" applyProtection="1"/>
    <xf numFmtId="0" fontId="19" fillId="0" borderId="7" xfId="0" applyFont="1" applyFill="1" applyBorder="1" applyProtection="1"/>
    <xf numFmtId="164" fontId="0" fillId="0" borderId="0" xfId="0" applyNumberFormat="1"/>
    <xf numFmtId="164" fontId="0" fillId="0" borderId="7" xfId="0" applyNumberFormat="1" applyBorder="1"/>
    <xf numFmtId="0" fontId="0" fillId="34" borderId="14" xfId="0" applyNumberFormat="1" applyFill="1" applyBorder="1" applyAlignment="1" applyProtection="1">
      <alignment horizontal="center"/>
    </xf>
    <xf numFmtId="0" fontId="0" fillId="34" borderId="17" xfId="0" applyNumberFormat="1" applyFill="1" applyBorder="1" applyAlignment="1" applyProtection="1">
      <alignment horizontal="center"/>
    </xf>
    <xf numFmtId="0" fontId="0" fillId="34" borderId="15" xfId="0" applyNumberFormat="1" applyFill="1" applyBorder="1" applyAlignment="1" applyProtection="1">
      <alignment horizontal="center"/>
    </xf>
    <xf numFmtId="0" fontId="1" fillId="0" borderId="18" xfId="0" applyFont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0" fontId="1" fillId="0" borderId="16" xfId="0" applyFont="1" applyBorder="1" applyProtection="1"/>
    <xf numFmtId="0" fontId="0" fillId="0" borderId="16" xfId="0" applyBorder="1" applyProtection="1"/>
    <xf numFmtId="0" fontId="1" fillId="0" borderId="8" xfId="0" applyFont="1" applyBorder="1" applyAlignment="1" applyProtection="1">
      <alignment horizontal="center"/>
    </xf>
    <xf numFmtId="0" fontId="20" fillId="0" borderId="0" xfId="0" applyFont="1" applyAlignment="1" applyProtection="1">
      <alignment horizontal="center"/>
    </xf>
    <xf numFmtId="179" fontId="0" fillId="0" borderId="0" xfId="0" applyNumberFormat="1" applyProtection="1"/>
    <xf numFmtId="0" fontId="0" fillId="37" borderId="26" xfId="0" applyFill="1" applyBorder="1" applyProtection="1"/>
    <xf numFmtId="174" fontId="0" fillId="34" borderId="26" xfId="0" applyNumberFormat="1" applyFill="1" applyBorder="1" applyAlignment="1" applyProtection="1">
      <alignment horizontal="center"/>
    </xf>
    <xf numFmtId="176" fontId="0" fillId="26" borderId="26" xfId="0" applyNumberFormat="1" applyFill="1" applyBorder="1" applyAlignment="1" applyProtection="1">
      <alignment horizontal="center"/>
    </xf>
    <xf numFmtId="176" fontId="0" fillId="0" borderId="26" xfId="0" applyNumberFormat="1" applyFill="1" applyBorder="1" applyAlignment="1" applyProtection="1">
      <alignment horizontal="center"/>
    </xf>
    <xf numFmtId="176" fontId="0" fillId="28" borderId="26" xfId="0" applyNumberFormat="1" applyFill="1" applyBorder="1" applyAlignment="1" applyProtection="1">
      <alignment horizontal="center"/>
    </xf>
    <xf numFmtId="176" fontId="0" fillId="0" borderId="26" xfId="0" applyNumberFormat="1" applyFill="1" applyBorder="1" applyAlignment="1" applyProtection="1"/>
    <xf numFmtId="177" fontId="0" fillId="0" borderId="26" xfId="0" applyNumberFormat="1" applyFill="1" applyBorder="1" applyAlignment="1" applyProtection="1">
      <alignment horizontal="center"/>
    </xf>
    <xf numFmtId="0" fontId="0" fillId="0" borderId="26" xfId="0" applyNumberFormat="1" applyFill="1" applyBorder="1" applyAlignment="1" applyProtection="1">
      <alignment horizontal="center"/>
    </xf>
    <xf numFmtId="165" fontId="0" fillId="0" borderId="26" xfId="0" applyNumberFormat="1" applyFill="1" applyBorder="1" applyAlignment="1" applyProtection="1"/>
    <xf numFmtId="2" fontId="0" fillId="0" borderId="26" xfId="0" applyNumberFormat="1" applyFill="1" applyBorder="1" applyAlignment="1" applyProtection="1">
      <alignment horizontal="center"/>
    </xf>
    <xf numFmtId="0" fontId="0" fillId="0" borderId="27" xfId="0" applyBorder="1" applyAlignment="1" applyProtection="1">
      <alignment horizontal="center"/>
    </xf>
    <xf numFmtId="0" fontId="0" fillId="38" borderId="27" xfId="0" applyFill="1" applyBorder="1" applyAlignment="1" applyProtection="1">
      <alignment horizontal="center"/>
    </xf>
    <xf numFmtId="0" fontId="0" fillId="38" borderId="28" xfId="0" applyFill="1" applyBorder="1" applyAlignment="1" applyProtection="1">
      <alignment horizontal="center"/>
    </xf>
    <xf numFmtId="0" fontId="20" fillId="0" borderId="16" xfId="0" applyFont="1" applyBorder="1" applyAlignment="1">
      <alignment horizontal="center"/>
    </xf>
    <xf numFmtId="0" fontId="0" fillId="0" borderId="18" xfId="0" applyBorder="1" applyAlignment="1"/>
    <xf numFmtId="165" fontId="16" fillId="30" borderId="16" xfId="0" applyNumberFormat="1" applyFont="1" applyFill="1" applyBorder="1" applyAlignment="1" applyProtection="1">
      <alignment horizontal="center"/>
    </xf>
    <xf numFmtId="165" fontId="16" fillId="30" borderId="18" xfId="0" applyNumberFormat="1" applyFont="1" applyFill="1" applyBorder="1" applyAlignment="1" applyProtection="1">
      <alignment horizontal="center"/>
    </xf>
    <xf numFmtId="0" fontId="18" fillId="0" borderId="0" xfId="0" applyFont="1" applyAlignment="1" applyProtection="1">
      <alignment horizontal="center"/>
    </xf>
    <xf numFmtId="0" fontId="0" fillId="39" borderId="29" xfId="0" applyFill="1" applyBorder="1" applyProtection="1">
      <protection locked="0"/>
    </xf>
    <xf numFmtId="14" fontId="1" fillId="29" borderId="30" xfId="0" applyNumberFormat="1" applyFont="1" applyFill="1" applyBorder="1" applyProtection="1"/>
    <xf numFmtId="178" fontId="1" fillId="34" borderId="30" xfId="0" applyNumberFormat="1" applyFont="1" applyFill="1" applyBorder="1" applyAlignment="1" applyProtection="1">
      <alignment horizontal="center"/>
    </xf>
    <xf numFmtId="15" fontId="1" fillId="34" borderId="17" xfId="0" applyNumberFormat="1" applyFont="1" applyFill="1" applyBorder="1" applyAlignment="1" applyProtection="1">
      <alignment horizontal="center"/>
    </xf>
    <xf numFmtId="0" fontId="1" fillId="34" borderId="17" xfId="0" applyFont="1" applyFill="1" applyBorder="1" applyAlignment="1" applyProtection="1">
      <alignment horizontal="center"/>
    </xf>
    <xf numFmtId="178" fontId="1" fillId="34" borderId="15" xfId="0" applyNumberFormat="1" applyFont="1" applyFill="1" applyBorder="1" applyAlignment="1" applyProtection="1">
      <alignment horizontal="center"/>
    </xf>
    <xf numFmtId="0" fontId="1" fillId="31" borderId="15" xfId="0" applyFont="1" applyFill="1" applyBorder="1" applyProtection="1"/>
    <xf numFmtId="0" fontId="1" fillId="34" borderId="15" xfId="0" applyFont="1" applyFill="1" applyBorder="1" applyAlignment="1" applyProtection="1">
      <alignment horizontal="center"/>
    </xf>
    <xf numFmtId="0" fontId="1" fillId="31" borderId="30" xfId="0" applyFont="1" applyFill="1" applyBorder="1" applyProtection="1"/>
    <xf numFmtId="0" fontId="1" fillId="33" borderId="30" xfId="0" applyFont="1" applyFill="1" applyBorder="1" applyAlignment="1" applyProtection="1">
      <alignment horizontal="center"/>
      <protection locked="0"/>
    </xf>
    <xf numFmtId="0" fontId="1" fillId="36" borderId="17" xfId="0" applyFont="1" applyFill="1" applyBorder="1" applyProtection="1"/>
    <xf numFmtId="0" fontId="1" fillId="36" borderId="30" xfId="0" applyFont="1" applyFill="1" applyBorder="1" applyProtection="1"/>
    <xf numFmtId="0" fontId="1" fillId="33" borderId="30" xfId="0" applyNumberFormat="1" applyFont="1" applyFill="1" applyBorder="1" applyAlignment="1" applyProtection="1">
      <alignment horizontal="center"/>
      <protection locked="0"/>
    </xf>
    <xf numFmtId="0" fontId="1" fillId="36" borderId="15" xfId="0" applyFont="1" applyFill="1" applyBorder="1" applyProtection="1"/>
    <xf numFmtId="9" fontId="0" fillId="33" borderId="17" xfId="0" applyNumberFormat="1" applyFill="1" applyBorder="1" applyAlignment="1" applyProtection="1">
      <alignment horizontal="center"/>
      <protection locked="0"/>
    </xf>
    <xf numFmtId="0" fontId="0" fillId="33" borderId="17" xfId="0" applyFill="1" applyBorder="1" applyAlignment="1" applyProtection="1">
      <alignment horizontal="center"/>
      <protection locked="0"/>
    </xf>
    <xf numFmtId="180" fontId="0" fillId="0" borderId="7" xfId="0" applyNumberFormat="1" applyBorder="1" applyAlignment="1">
      <alignment horizontal="center"/>
    </xf>
  </cellXfs>
  <cellStyles count="39">
    <cellStyle name="20% - Colore 1" xfId="1"/>
    <cellStyle name="20% - Colore 2" xfId="2"/>
    <cellStyle name="20% - Colore 3" xfId="3"/>
    <cellStyle name="20% - Colore 4" xfId="4"/>
    <cellStyle name="20% - Colore 5" xfId="5"/>
    <cellStyle name="20% - Colore 6" xfId="6"/>
    <cellStyle name="40% - Colore 1" xfId="7"/>
    <cellStyle name="40% - Colore 2" xfId="8"/>
    <cellStyle name="40% - Colore 3" xfId="9"/>
    <cellStyle name="40% - Colore 4" xfId="10"/>
    <cellStyle name="40% - Colore 5" xfId="11"/>
    <cellStyle name="40% - Colore 6" xfId="12"/>
    <cellStyle name="60% - Colore 1" xfId="13"/>
    <cellStyle name="60% - Colore 2" xfId="14"/>
    <cellStyle name="60% - Colore 3" xfId="15"/>
    <cellStyle name="60% - Colore 4" xfId="16"/>
    <cellStyle name="60% - Colore 5" xfId="17"/>
    <cellStyle name="60% - Colore 6" xfId="18"/>
    <cellStyle name="Calcolo" xfId="19"/>
    <cellStyle name="Cella collegata" xfId="20"/>
    <cellStyle name="Cella da controllare" xfId="21"/>
    <cellStyle name="Colore 1" xfId="22"/>
    <cellStyle name="Colore 2" xfId="23"/>
    <cellStyle name="Colore 3" xfId="24"/>
    <cellStyle name="Colore 4" xfId="25"/>
    <cellStyle name="Colore 5" xfId="26"/>
    <cellStyle name="Colore 6" xfId="27"/>
    <cellStyle name="Euro" xfId="28"/>
    <cellStyle name="Input" xfId="29" builtinId="20" customBuiltin="1"/>
    <cellStyle name="Migliaia (0)_Anagrafiche Mutui" xfId="30"/>
    <cellStyle name="Neutrale" xfId="31"/>
    <cellStyle name="Normal" xfId="0" builtinId="0"/>
    <cellStyle name="Nota" xfId="32"/>
    <cellStyle name="Output" xfId="33" builtinId="21" customBuiltin="1"/>
    <cellStyle name="Testo avviso" xfId="34"/>
    <cellStyle name="Testo descrittivo" xfId="35"/>
    <cellStyle name="Titolo" xfId="36"/>
    <cellStyle name="Titolo 1" xfId="37"/>
    <cellStyle name="Trigger" xfId="38"/>
  </cellStyles>
  <dxfs count="80">
    <dxf>
      <font>
        <b/>
        <i/>
        <color rgb="FFFFFF00"/>
      </font>
      <fill>
        <patternFill>
          <bgColor rgb="FFFF0000"/>
        </patternFill>
      </fill>
      <border>
        <left/>
        <right/>
        <top/>
        <bottom/>
        <vertical/>
        <horizontal/>
      </border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ill>
        <patternFill>
          <bgColor indexed="22"/>
        </patternFill>
      </fill>
    </dxf>
    <dxf>
      <font>
        <b/>
        <i/>
        <color rgb="FFFFFF00"/>
      </font>
      <fill>
        <patternFill>
          <bgColor rgb="FFFF0000"/>
        </patternFill>
      </fill>
      <border>
        <left/>
        <right/>
        <top/>
        <bottom/>
        <vertical/>
        <horizontal/>
      </border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ill>
        <patternFill>
          <bgColor indexed="22"/>
        </patternFill>
      </fill>
    </dxf>
    <dxf>
      <font>
        <b/>
        <i/>
        <color rgb="FFFFFF00"/>
      </font>
      <fill>
        <patternFill>
          <bgColor rgb="FFFF0000"/>
        </patternFill>
      </fill>
      <border>
        <left/>
        <right/>
        <top/>
        <bottom/>
        <vertical/>
        <horizontal/>
      </border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ill>
        <patternFill>
          <bgColor indexed="22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ill>
        <patternFill>
          <bgColor indexed="22"/>
        </patternFill>
      </fill>
    </dxf>
    <dxf>
      <font>
        <b val="0"/>
        <i/>
      </font>
      <fill>
        <patternFill>
          <bgColor rgb="FFCCFF99"/>
        </patternFill>
      </fill>
    </dxf>
    <dxf>
      <font>
        <b/>
        <i/>
        <color rgb="FFFFFF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FFFF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</font>
      <fill>
        <patternFill>
          <bgColor rgb="FFCCFF99"/>
        </patternFill>
      </fill>
    </dxf>
    <dxf>
      <font>
        <b/>
        <i/>
        <color rgb="FFFFFF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FFFF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</font>
      <fill>
        <patternFill>
          <bgColor rgb="FFCCFF99"/>
        </patternFill>
      </fill>
    </dxf>
    <dxf>
      <font>
        <b/>
        <i/>
        <color rgb="FFFFFF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FFFF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FFCC"/>
      <color rgb="FFCCFF99"/>
      <color rgb="FFCCFF33"/>
      <color rgb="FF000099"/>
      <color rgb="FFFFCCFF"/>
      <color rgb="FFCCECFF"/>
      <color rgb="FFFFFFCC"/>
      <color rgb="FFCCFF66"/>
      <color rgb="FFCCFF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0</v>
        <stp/>
        <stp xml:space="preserve">	BUHUF8MD=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18"/>
        <tr r="Z20" s="18"/>
      </tp>
      <tp>
        <v>2.2000000000000002</v>
        <stp/>
        <stp xml:space="preserve">	BUHUF9MD=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18"/>
        <tr r="Z21" s="18"/>
      </tp>
      <tp>
        <v>2.16</v>
        <stp/>
        <stp xml:space="preserve">	BUHUF6MD=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18"/>
        <tr r="AA18" s="18"/>
      </tp>
      <tp>
        <v>0</v>
        <stp/>
        <stp xml:space="preserve">	BUHUF7MD=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18"/>
        <tr r="AA19" s="18"/>
      </tp>
      <tp>
        <v>0</v>
        <stp/>
        <stp xml:space="preserve">	BUHUF4MD=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18"/>
        <tr r="AA16" s="18"/>
      </tp>
      <tp>
        <v>0</v>
        <stp/>
        <stp xml:space="preserve">	BUHUF5MD=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18"/>
        <tr r="Z17" s="18"/>
      </tp>
      <tp>
        <v>2.1</v>
        <stp/>
        <stp xml:space="preserve">	BUHUF2MD=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18"/>
        <tr r="Z14" s="18"/>
      </tp>
      <tp>
        <v>2.1</v>
        <stp/>
        <stp xml:space="preserve">	BUHUF2WD=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18"/>
        <tr r="Z9" s="18"/>
      </tp>
      <tp>
        <v>2.11</v>
        <stp/>
        <stp xml:space="preserve">	BUHUF3MD=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18"/>
        <tr r="AA15" s="18"/>
      </tp>
      <tp t="s">
        <v>#N/A The record could not be found</v>
        <stp/>
        <stp xml:space="preserve">	BUHUF3WD=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18"/>
        <tr r="AA10" s="18"/>
      </tp>
      <tp>
        <v>2.1</v>
        <stp/>
        <stp xml:space="preserve">	BUHUF1MD=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18"/>
        <tr r="Z13" s="18"/>
      </tp>
      <tp>
        <v>2.04</v>
        <stp/>
        <stp xml:space="preserve">	BUHUF1WD=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18"/>
        <tr r="Z8" s="18"/>
      </tp>
      <tp t="s">
        <v>#N/A The record could not be found</v>
        <stp/>
        <stp xml:space="preserve">	BUHUFTND=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" s="18"/>
        <tr r="Z4" s="18"/>
      </tp>
      <tp t="s">
        <v>#N/A The record could not be found</v>
        <stp/>
        <stp xml:space="preserve">	BUHUFSND=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18"/>
        <tr r="AA5" s="18"/>
      </tp>
      <tp>
        <v>1.27</v>
        <stp/>
        <stp xml:space="preserve">	BUHUFOND=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18"/>
        <tr r="AA3" s="18"/>
      </tp>
      <tp>
        <v>1.94998</v>
        <stp/>
        <stp>_x000E_PLN15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3" s="19"/>
      </tp>
      <tp>
        <v>-4.4999999999999998E-2</v>
        <stp/>
        <stp>_x000E_CHF12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0" s="16"/>
      </tp>
      <tp>
        <v>1.4999999999999999E-2</v>
        <stp/>
        <stp>_x000E_CHF12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0" s="16"/>
      </tp>
      <tp>
        <v>1.9999800000000001</v>
        <stp/>
        <stp>_x000E_PLN15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3" s="19"/>
      </tp>
    </main>
    <main first="pldatasource.rtgetrtdserver">
      <tp>
        <v>100</v>
        <stp/>
        <stp>_x0005_FESZ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4" s="15"/>
        <tr r="AA44" s="16"/>
      </tp>
      <tp>
        <v>100.09</v>
        <stp/>
        <stp>_x0005_FESZ4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15"/>
        <tr r="AA36" s="16"/>
      </tp>
      <tp>
        <v>100.12</v>
        <stp/>
        <stp>_x0005_FESZ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15"/>
        <tr r="AA40" s="16"/>
      </tp>
      <tp>
        <v>100.04</v>
        <stp/>
        <stp>_x0005_FESU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3" s="15"/>
        <tr r="AA43" s="16"/>
      </tp>
      <tp>
        <v>100</v>
        <stp/>
        <stp>_x0005_FESU4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15"/>
        <tr r="AA35" s="16"/>
      </tp>
      <tp>
        <v>100.13</v>
        <stp/>
        <stp>_x0005_FESU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15"/>
        <tr r="AA39" s="16"/>
      </tp>
      <tp>
        <v>1.9959499999999999</v>
        <stp/>
        <stp>_x000E_PLN18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19"/>
      </tp>
      <tp>
        <v>-0.03</v>
        <stp/>
        <stp>_x000E_CHF15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1" s="16"/>
      </tp>
      <tp t="s">
        <v>#N/A The record could not be found</v>
        <stp/>
        <stp>_x000C_CHF12M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15"/>
        <tr r="AA24" s="15"/>
        <tr r="AA24" s="16"/>
        <tr r="Z24" s="16"/>
      </tp>
      <tp>
        <v>0.22</v>
        <stp/>
        <stp>_x000C_CHF10M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15"/>
        <tr r="AA22" s="15"/>
        <tr r="AA22" s="16"/>
        <tr r="Z22" s="16"/>
      </tp>
      <tp>
        <v>0.24</v>
        <stp/>
        <stp>_x000C_CHF11M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15"/>
        <tr r="Z23" s="15"/>
        <tr r="AA23" s="16"/>
        <tr r="Z23" s="16"/>
      </tp>
      <tp>
        <v>0.03</v>
        <stp/>
        <stp>_x000E_CHF15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1" s="16"/>
      </tp>
      <tp>
        <v>100.12</v>
        <stp/>
        <stp>_x0005_FESM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15"/>
        <tr r="Z38" s="16"/>
      </tp>
      <tp>
        <v>2.0459499999999999</v>
        <stp/>
        <stp>_x000E_PLN18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4" s="19"/>
      </tp>
      <tp>
        <v>99.92</v>
        <stp/>
        <stp>_x0005_FESM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15"/>
        <tr r="Z46" s="16"/>
      </tp>
      <tp>
        <v>100.06</v>
        <stp/>
        <stp>_x0005_FESM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2" s="15"/>
        <tr r="Z42" s="16"/>
      </tp>
      <tp t="s">
        <v>#N/A The record could not be found</v>
        <stp/>
        <stp>_x000D_HUFAB6B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3" s="18"/>
        <tr r="AA64" s="18"/>
        <tr r="AA62" s="18"/>
        <tr r="AA68" s="18"/>
        <tr r="AA86" s="18"/>
        <tr r="AA67" s="18"/>
        <tr r="AA90" s="18"/>
        <tr r="AA69" s="18"/>
        <tr r="AA65" s="18"/>
        <tr r="AA85" s="18"/>
        <tr r="AA87" s="18"/>
        <tr r="AA79" s="18"/>
        <tr r="AA70" s="18"/>
        <tr r="AA89" s="18"/>
        <tr r="AA71" s="18"/>
        <tr r="AA72" s="18"/>
        <tr r="AA74" s="18"/>
        <tr r="AA84" s="18"/>
        <tr r="AA77" s="18"/>
        <tr r="AA75" s="18"/>
        <tr r="AA81" s="18"/>
        <tr r="AA78" s="18"/>
        <tr r="AA83" s="18"/>
        <tr r="AA76" s="18"/>
        <tr r="AA80" s="18"/>
        <tr r="AA66" s="18"/>
        <tr r="AA73" s="18"/>
        <tr r="AA88" s="18"/>
        <tr r="AA82" s="18"/>
      </tp>
      <tp t="s">
        <v>#N/A The record could not be found</v>
        <stp/>
        <stp>_x000D_CHFAB6L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9" s="16"/>
        <tr r="AA72" s="16"/>
        <tr r="AA77" s="16"/>
        <tr r="AA88" s="16"/>
        <tr r="AA68" s="16"/>
        <tr r="AA83" s="16"/>
        <tr r="AA82" s="16"/>
        <tr r="AA85" s="16"/>
        <tr r="AA70" s="16"/>
        <tr r="AA78" s="16"/>
        <tr r="AA66" s="16"/>
        <tr r="AA75" s="16"/>
        <tr r="AA81" s="16"/>
        <tr r="AA90" s="16"/>
        <tr r="AA87" s="16"/>
        <tr r="AA74" s="16"/>
        <tr r="AA79" s="16"/>
        <tr r="AA80" s="16"/>
        <tr r="AA84" s="16"/>
        <tr r="AA65" s="16"/>
        <tr r="AA73" s="16"/>
        <tr r="AA71" s="16"/>
        <tr r="AA86" s="16"/>
        <tr r="AA89" s="16"/>
        <tr r="AA76" s="16"/>
        <tr r="AA64" s="16"/>
        <tr r="AA67" s="16"/>
      </tp>
      <tp t="s">
        <v>#N/A The record could not be found</v>
        <stp/>
        <stp>_x000D_CHFAB3L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2" s="15"/>
        <tr r="AA78" s="15"/>
        <tr r="AA68" s="15"/>
        <tr r="AA71" s="15"/>
        <tr r="AA76" s="15"/>
        <tr r="AA83" s="15"/>
        <tr r="AA85" s="15"/>
        <tr r="AA81" s="15"/>
        <tr r="AA86" s="15"/>
        <tr r="AA72" s="15"/>
        <tr r="AA65" s="15"/>
        <tr r="AA79" s="15"/>
        <tr r="AA69" s="15"/>
        <tr r="AA90" s="15"/>
        <tr r="AA87" s="15"/>
        <tr r="AA70" s="15"/>
        <tr r="AA75" s="15"/>
        <tr r="AA73" s="15"/>
        <tr r="AA77" s="15"/>
        <tr r="AA74" s="15"/>
        <tr r="AA66" s="15"/>
        <tr r="AA88" s="15"/>
        <tr r="AA84" s="15"/>
        <tr r="AA89" s="15"/>
        <tr r="AA80" s="15"/>
        <tr r="AA67" s="15"/>
      </tp>
      <tp>
        <v>0</v>
        <stp/>
        <stp>_x000E_CHF18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2" s="16"/>
      </tp>
      <tp>
        <v>2.10338</v>
        <stp/>
        <stp>_x000E_PLN21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5" s="19"/>
      </tp>
      <tp t="s">
        <v>#N/A The record could not be found</v>
        <stp/>
        <stp>_x000D_PLNAB6W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4" s="19"/>
        <tr r="AA63" s="19"/>
        <tr r="AA62" s="19"/>
        <tr r="AA77" s="19"/>
        <tr r="AA72" s="19"/>
        <tr r="AA90" s="19"/>
        <tr r="AA78" s="19"/>
        <tr r="AA87" s="19"/>
        <tr r="AA67" s="19"/>
        <tr r="AA74" s="19"/>
        <tr r="AA83" s="19"/>
        <tr r="AA76" s="19"/>
        <tr r="AA85" s="19"/>
        <tr r="AA70" s="19"/>
        <tr r="AA80" s="19"/>
        <tr r="AA65" s="19"/>
        <tr r="AA69" s="19"/>
        <tr r="AA73" s="19"/>
        <tr r="AA75" s="19"/>
        <tr r="AA88" s="19"/>
        <tr r="AA86" s="19"/>
        <tr r="AA84" s="19"/>
        <tr r="AA89" s="19"/>
        <tr r="AA82" s="19"/>
        <tr r="AA71" s="19"/>
        <tr r="AA66" s="19"/>
        <tr r="AA81" s="19"/>
        <tr r="AA79" s="19"/>
        <tr r="AA68" s="19"/>
      </tp>
      <tp>
        <v>1.89517</v>
        <stp/>
        <stp>_x000E_PLN12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2" s="19"/>
      </tp>
      <tp>
        <v>1.9451700000000001</v>
        <stp/>
        <stp>_x000E_PLN12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2" s="19"/>
      </tp>
      <tp>
        <v>2.0533800000000002</v>
        <stp/>
        <stp>_x000E_PLN21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19"/>
      </tp>
      <tp>
        <v>0.06</v>
        <stp/>
        <stp>_x000E_CHF18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2" s="16"/>
      </tp>
      <tp>
        <v>100.11</v>
        <stp/>
        <stp>_x0005_FESH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15"/>
        <tr r="Z37" s="16"/>
      </tp>
      <tp>
        <v>99.95</v>
        <stp/>
        <stp>_x0005_FESH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15"/>
        <tr r="Z45" s="16"/>
      </tp>
      <tp>
        <v>100.08</v>
        <stp/>
        <stp>_x0005_FESH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1" s="15"/>
        <tr r="Z41" s="16"/>
      </tp>
      <tp>
        <v>100.07</v>
        <stp/>
        <stp>_x0005_FESM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2" s="15"/>
        <tr r="AA42" s="16"/>
      </tp>
      <tp>
        <v>99.94</v>
        <stp/>
        <stp>_x0005_FESM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6" s="15"/>
        <tr r="AA46" s="16"/>
      </tp>
      <tp>
        <v>100.13</v>
        <stp/>
        <stp>_x0005_FESM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15"/>
        <tr r="AA38" s="16"/>
      </tp>
      <tp>
        <v>1.8913500000000001</v>
        <stp/>
        <stp>_x000C_PLN4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8" s="19"/>
      </tp>
      <tp>
        <v>1.86819</v>
        <stp/>
        <stp>_x000C_PLN5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9" s="19"/>
      </tp>
      <tp>
        <v>100.12</v>
        <stp/>
        <stp>_x0005_FESU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15"/>
        <tr r="Z39" s="16"/>
      </tp>
      <tp>
        <v>99.99</v>
        <stp/>
        <stp>_x0005_FESU4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15"/>
        <tr r="Z35" s="16"/>
      </tp>
      <tp>
        <v>100.03</v>
        <stp/>
        <stp>_x0005_FESU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15"/>
        <tr r="Z43" s="16"/>
      </tp>
    </main>
    <main first="pldatasource.rtgetrtdserver">
      <tp>
        <v>2.19</v>
        <stp/>
        <stp>_x000C_HUF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8" s="18"/>
      </tp>
      <tp>
        <v>-0.14499999999999999</v>
        <stp/>
        <stp>_x000C_CHF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8" s="15"/>
      </tp>
      <tp>
        <v>1.8547400000000001</v>
        <stp/>
        <stp>_x000C_PLN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0" s="19"/>
      </tp>
    </main>
    <main first="pldatasource.rtgetrtdserver">
      <tp>
        <v>100.1</v>
        <stp/>
        <stp>_x0005_FESH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1" s="15"/>
        <tr r="AA41" s="16"/>
      </tp>
      <tp>
        <v>99.97</v>
        <stp/>
        <stp>_x0005_FESH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5" s="15"/>
        <tr r="AA45" s="16"/>
      </tp>
      <tp>
        <v>100.12</v>
        <stp/>
        <stp>_x0005_FESH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15"/>
        <tr r="AA37" s="16"/>
      </tp>
    </main>
    <main first="pldatasource.rtgetrtdserver">
      <tp>
        <v>2.0699999999999998</v>
        <stp/>
        <stp>_x000C_HUF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18"/>
      </tp>
      <tp>
        <v>-0.05</v>
        <stp/>
        <stp>_x000C_CHF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15"/>
      </tp>
      <tp>
        <v>5.0000000000000001E-3</v>
        <stp/>
        <stp>_x000C_CHF1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16"/>
      </tp>
      <tp>
        <v>2.1688700000000001</v>
        <stp/>
        <stp>_x000C_PLN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19"/>
      </tp>
      <tp t="s">
        <v>#N/A The record could not be found</v>
        <stp/>
        <stp>_x000D_CHFAB6L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9" s="16"/>
        <tr r="Z64" s="16"/>
        <tr r="Z87" s="16"/>
        <tr r="Z82" s="16"/>
        <tr r="Z78" s="16"/>
        <tr r="Z79" s="16"/>
        <tr r="Z69" s="16"/>
        <tr r="Z68" s="16"/>
        <tr r="Z80" s="16"/>
        <tr r="Z71" s="16"/>
        <tr r="Z77" s="16"/>
        <tr r="Z74" s="16"/>
        <tr r="Z72" s="16"/>
        <tr r="Z85" s="16"/>
        <tr r="Z65" s="16"/>
        <tr r="Z70" s="16"/>
        <tr r="Z84" s="16"/>
        <tr r="Z76" s="16"/>
        <tr r="Z83" s="16"/>
        <tr r="Z88" s="16"/>
        <tr r="Z67" s="16"/>
        <tr r="Z75" s="16"/>
        <tr r="Z66" s="16"/>
        <tr r="Z86" s="16"/>
        <tr r="Z81" s="16"/>
        <tr r="Z90" s="16"/>
        <tr r="Z73" s="16"/>
      </tp>
      <tp t="s">
        <v>#N/A The record could not be found</v>
        <stp/>
        <stp>_x000D_CHFAB3L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0" s="15"/>
        <tr r="Z89" s="15"/>
        <tr r="Z90" s="15"/>
        <tr r="Z68" s="15"/>
        <tr r="Z83" s="15"/>
        <tr r="Z72" s="15"/>
        <tr r="Z67" s="15"/>
        <tr r="Z84" s="15"/>
        <tr r="Z86" s="15"/>
        <tr r="Z82" s="15"/>
        <tr r="Z85" s="15"/>
        <tr r="Z73" s="15"/>
        <tr r="Z87" s="15"/>
        <tr r="Z79" s="15"/>
        <tr r="Z77" s="15"/>
        <tr r="Z76" s="15"/>
        <tr r="Z69" s="15"/>
        <tr r="Z71" s="15"/>
        <tr r="Z74" s="15"/>
        <tr r="Z75" s="15"/>
        <tr r="Z81" s="15"/>
        <tr r="Z78" s="15"/>
        <tr r="Z80" s="15"/>
        <tr r="Z66" s="15"/>
        <tr r="Z88" s="15"/>
        <tr r="Z65" s="15"/>
      </tp>
      <tp t="s">
        <v>#N/A The record could not be found</v>
        <stp/>
        <stp>_x000D_HUFAB6B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18"/>
        <tr r="Z62" s="18"/>
        <tr r="Z63" s="18"/>
        <tr r="Z84" s="18"/>
        <tr r="Z72" s="18"/>
        <tr r="Z71" s="18"/>
        <tr r="Z86" s="18"/>
        <tr r="Z83" s="18"/>
        <tr r="Z81" s="18"/>
        <tr r="Z74" s="18"/>
        <tr r="Z69" s="18"/>
        <tr r="Z79" s="18"/>
        <tr r="Z87" s="18"/>
        <tr r="Z77" s="18"/>
        <tr r="Z80" s="18"/>
        <tr r="Z70" s="18"/>
        <tr r="Z65" s="18"/>
        <tr r="Z88" s="18"/>
        <tr r="Z89" s="18"/>
        <tr r="Z66" s="18"/>
        <tr r="Z82" s="18"/>
        <tr r="Z85" s="18"/>
        <tr r="Z75" s="18"/>
        <tr r="Z68" s="18"/>
        <tr r="Z90" s="18"/>
        <tr r="Z73" s="18"/>
        <tr r="Z78" s="18"/>
        <tr r="Z67" s="18"/>
        <tr r="Z76" s="18"/>
      </tp>
      <tp t="s">
        <v>#N/A The record could not be found</v>
        <stp/>
        <stp>_x000D_PLNAB6W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19"/>
        <tr r="Z63" s="19"/>
        <tr r="Z62" s="19"/>
        <tr r="Z70" s="19"/>
        <tr r="Z76" s="19"/>
        <tr r="Z78" s="19"/>
        <tr r="Z69" s="19"/>
        <tr r="Z75" s="19"/>
        <tr r="Z67" s="19"/>
        <tr r="Z79" s="19"/>
        <tr r="Z86" s="19"/>
        <tr r="Z83" s="19"/>
        <tr r="Z73" s="19"/>
        <tr r="Z90" s="19"/>
        <tr r="Z66" s="19"/>
        <tr r="Z72" s="19"/>
        <tr r="Z68" s="19"/>
        <tr r="Z87" s="19"/>
        <tr r="Z65" s="19"/>
        <tr r="Z88" s="19"/>
        <tr r="Z84" s="19"/>
        <tr r="Z85" s="19"/>
        <tr r="Z89" s="19"/>
        <tr r="Z71" s="19"/>
        <tr r="Z81" s="19"/>
        <tr r="Z74" s="19"/>
        <tr r="Z80" s="19"/>
        <tr r="Z77" s="19"/>
        <tr r="Z82" s="19"/>
      </tp>
    </main>
    <main first="pldatasource.rtgetrtdserver">
      <tp>
        <v>2.09</v>
        <stp/>
        <stp>_x000C_HUF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6" s="18"/>
      </tp>
      <tp>
        <v>-8.5000000000000006E-2</v>
        <stp/>
        <stp>_x000C_CHF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6" s="15"/>
      </tp>
      <tp>
        <v>-1.4999999999999999E-2</v>
        <stp/>
        <stp>_x000C_CHF2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6" s="16"/>
      </tp>
      <tp>
        <v>1.97485</v>
        <stp/>
        <stp>_x000C_PLN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6" s="19"/>
      </tp>
    </main>
    <main first="pldatasource.rtgetrtdserver">
      <tp>
        <v>2.11</v>
        <stp/>
        <stp>_x000C_HUF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7" s="18"/>
      </tp>
      <tp>
        <v>-0.11</v>
        <stp/>
        <stp>_x000C_CHF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7" s="15"/>
      </tp>
      <tp>
        <v>-0.03</v>
        <stp/>
        <stp>_x000C_CHF3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7" s="16"/>
      </tp>
      <tp>
        <v>1.91852</v>
        <stp/>
        <stp>_x000C_PLN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7" s="19"/>
      </tp>
    </main>
    <main first="pldatasource.rtgetrtdserver">
      <tp>
        <v>2.21</v>
        <stp/>
        <stp>_x000C_HUF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7" s="18"/>
      </tp>
      <tp>
        <v>-0.06</v>
        <stp/>
        <stp>_x000C_CHF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7" s="15"/>
      </tp>
      <tp>
        <v>0.02</v>
        <stp/>
        <stp>_x000C_CHF3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7" s="16"/>
      </tp>
      <tp>
        <v>1.96852</v>
        <stp/>
        <stp>_x000C_PLN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7" s="19"/>
      </tp>
      <tp>
        <v>2.19</v>
        <stp/>
        <stp>_x000C_HUF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6" s="18"/>
      </tp>
      <tp>
        <v>-3.5000000000000003E-2</v>
        <stp/>
        <stp>_x000C_CHF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6" s="15"/>
      </tp>
      <tp>
        <v>3.5000000000000003E-2</v>
        <stp/>
        <stp>_x000C_CHF2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6" s="16"/>
      </tp>
      <tp>
        <v>2.0248499999999998</v>
        <stp/>
        <stp>_x000C_PLN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6" s="19"/>
      </tp>
    </main>
    <main first="pldatasource.rtgetrtdserver">
      <tp>
        <v>2.17</v>
        <stp/>
        <stp>_x000C_HUF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5" s="18"/>
      </tp>
      <tp>
        <v>5.5E-2</v>
        <stp/>
        <stp>_x000C_CHF1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5" s="16"/>
      </tp>
      <tp>
        <v>0</v>
        <stp/>
        <stp>_x000C_CHF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5" s="15"/>
      </tp>
      <tp>
        <v>2.2188699999999999</v>
        <stp/>
        <stp>_x000C_PLN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5" s="19"/>
      </tp>
    </main>
    <main first="pldatasource.rtgetrtdserver">
      <tp>
        <v>100.11</v>
        <stp/>
        <stp>_x0005_FESZ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15"/>
        <tr r="Z40" s="16"/>
      </tp>
      <tp>
        <v>100.08</v>
        <stp/>
        <stp>_x0005_FESZ4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15"/>
        <tr r="Z36" s="16"/>
      </tp>
      <tp>
        <v>99.99</v>
        <stp/>
        <stp>_x0005_FESZ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4" s="15"/>
        <tr r="Z44" s="16"/>
      </tp>
    </main>
    <main first="pldatasource.rtgetrtdserver">
      <tp>
        <v>2.29</v>
        <stp/>
        <stp>_x000C_HUF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8" s="18"/>
      </tp>
      <tp>
        <v>-9.5000000000000001E-2</v>
        <stp/>
        <stp>_x000C_CHF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8" s="15"/>
      </tp>
      <tp>
        <v>1.9047400000000001</v>
        <stp/>
        <stp>_x000C_PLN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0" s="19"/>
      </tp>
    </main>
    <main first="pldatasource.rtgetrtdserver">
      <tp>
        <v>1.9181900000000001</v>
        <stp/>
        <stp>_x000C_PLN5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9" s="19"/>
      </tp>
      <tp>
        <v>1.9413499999999999</v>
        <stp/>
        <stp>_x000C_PLN4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8" s="19"/>
      </tp>
    </main>
    <main first="pldatasource.rtgetrtdserver">
      <tp>
        <v>0</v>
        <stp/>
        <stp>_x000D_CHF6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8" s="16"/>
      </tp>
    </main>
    <main first="pldatasource.rtgetrtdserver">
      <tp>
        <v>1.90448</v>
        <stp/>
        <stp>_x000D_PLN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1" s="19"/>
      </tp>
      <tp>
        <v>-0.105</v>
        <stp/>
        <stp>_x000D_CHF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9" s="15"/>
      </tp>
      <tp>
        <v>5.0000000000000001E-3</v>
        <stp/>
        <stp>_x000D_CHF9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9" s="16"/>
      </tp>
      <tp>
        <v>2.37</v>
        <stp/>
        <stp>_x000D_HUF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9" s="18"/>
      </tp>
    </main>
    <main first="pldatasource.rtgetrtdserver">
      <tp>
        <v>2.6775000000000002</v>
        <stp/>
        <stp>_x000E_PLNAB6W8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19"/>
      </tp>
      <tp>
        <v>0.60250000000000004</v>
        <stp/>
        <stp>_x000E_CHFAB6L8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16"/>
      </tp>
      <tp>
        <v>0.48749999999999999</v>
        <stp/>
        <stp>_x000E_CHFAB3L8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15"/>
      </tp>
      <tp>
        <v>3.4649999999999999</v>
        <stp/>
        <stp>_x000E_HUFAB6B8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18"/>
      </tp>
      <tp>
        <v>1.8544799999999999</v>
        <stp/>
        <stp>_x000D_PLN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1" s="19"/>
      </tp>
      <tp>
        <v>2.27</v>
        <stp/>
        <stp>_x000D_HUF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9" s="18"/>
      </tp>
      <tp>
        <v>-0.155</v>
        <stp/>
        <stp>_x000D_CHF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9" s="15"/>
      </tp>
      <tp>
        <v>-5.5E-2</v>
        <stp/>
        <stp>_x000D_CHF9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9" s="16"/>
      </tp>
      <tp>
        <v>2.76</v>
        <stp/>
        <stp>_x000E_PLNAB6W9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19"/>
      </tp>
      <tp>
        <v>0.72499999999999998</v>
        <stp/>
        <stp>_x000E_CHFAB6L9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16"/>
      </tp>
      <tp>
        <v>0.61250000000000004</v>
        <stp/>
        <stp>_x000E_CHFAB3L9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15"/>
      </tp>
      <tp>
        <v>3.62</v>
        <stp/>
        <stp>_x000E_HUFAB6B9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18"/>
      </tp>
      <tp>
        <v>3.68</v>
        <stp/>
        <stp>_x000E_HUFAB6B9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7" s="18"/>
      </tp>
      <tp>
        <v>0.6925</v>
        <stp/>
        <stp>_x000E_CHFAB3L9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7" s="15"/>
      </tp>
      <tp>
        <v>0.80500000000000005</v>
        <stp/>
        <stp>_x000E_CHFAB6L9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7" s="16"/>
      </tp>
      <tp>
        <v>2.82</v>
        <stp/>
        <stp>_x000E_PLNAB6W9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7" s="19"/>
      </tp>
      <tp>
        <v>3.5249999999999999</v>
        <stp/>
        <stp>_x000E_HUFAB6B8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6" s="18"/>
      </tp>
      <tp>
        <v>0.5675</v>
        <stp/>
        <stp>_x000E_CHFAB3L8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6" s="15"/>
      </tp>
      <tp>
        <v>0.6825</v>
        <stp/>
        <stp>_x000E_CHFAB6L8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6" s="16"/>
      </tp>
      <tp>
        <v>2.7374999999999998</v>
        <stp/>
        <stp>_x000E_PLNAB6W8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6" s="19"/>
      </tp>
      <tp>
        <v>2.625</v>
        <stp/>
        <stp>_x000E_HUFAB6B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1" s="18"/>
      </tp>
      <tp>
        <v>-1.4999999999999999E-2</v>
        <stp/>
        <stp>_x000E_CHFAB3L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1" s="15"/>
      </tp>
      <tp>
        <v>9.5000000000000001E-2</v>
        <stp/>
        <stp>_x000E_CHFAB6L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1" s="16"/>
      </tp>
      <tp>
        <v>2.1949999999999998</v>
        <stp/>
        <stp>_x000E_PLNAB6W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1" s="19"/>
      </tp>
      <tp>
        <v>2.46</v>
        <stp/>
        <stp>_x000E_HUFAB6B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0" s="18"/>
      </tp>
      <tp t="s">
        <v>#N/A The record could not be found</v>
        <stp/>
        <stp>_x000E_PLNAB6W1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19"/>
      </tp>
      <tp>
        <v>-5.2499999999999998E-2</v>
        <stp/>
        <stp>_x000E_CHFAB3L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0" s="15"/>
      </tp>
      <tp>
        <v>5.2499999999999998E-2</v>
        <stp/>
        <stp>_x000E_CHFAB6L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0" s="16"/>
      </tp>
      <tp>
        <v>-1.7500000000000002E-2</v>
        <stp/>
        <stp>_x000E_CHFAB6L1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16"/>
      </tp>
      <tp>
        <v>-0.105</v>
        <stp/>
        <stp>_x000E_CHFAB3L1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15"/>
      </tp>
      <tp>
        <v>2.13</v>
        <stp/>
        <stp>_x000E_PLNAB6W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0" s="19"/>
      </tp>
      <tp t="s">
        <v>#N/A The record could not be found</v>
        <stp/>
        <stp>_x000E_HUFAB6B1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18"/>
      </tp>
      <tp t="s">
        <v>#N/A The record could not be found</v>
        <stp/>
        <stp>_x000E_HUFAB6B1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9" s="18"/>
      </tp>
      <tp>
        <v>2.0699999999999998</v>
        <stp/>
        <stp>_x000E_PLNAB6W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19"/>
      </tp>
      <tp>
        <v>-6.5000000000000002E-2</v>
        <stp/>
        <stp>_x000E_CHFAB3L1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9" s="15"/>
      </tp>
      <tp>
        <v>4.2500000000000003E-2</v>
        <stp/>
        <stp>_x000E_CHFAB6L1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9" s="16"/>
      </tp>
      <tp>
        <v>-2.75E-2</v>
        <stp/>
        <stp>_x000E_CHFAB6L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16"/>
      </tp>
      <tp>
        <v>-0.13250000000000001</v>
        <stp/>
        <stp>_x000E_CHFAB3L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15"/>
      </tp>
      <tp t="s">
        <v>#N/A The record could not be found</v>
        <stp/>
        <stp>_x000E_PLNAB6W1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9" s="19"/>
      </tp>
      <tp>
        <v>2.4</v>
        <stp/>
        <stp>_x000E_HUFAB6B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18"/>
      </tp>
      <tp>
        <v>2.1349999999999998</v>
        <stp/>
        <stp>_x000E_PLNAB6W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19"/>
      </tp>
      <tp>
        <v>1.4999999999999999E-2</v>
        <stp/>
        <stp>_x000E_CHFAB6L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16"/>
      </tp>
      <tp>
        <v>-9.5000000000000001E-2</v>
        <stp/>
        <stp>_x000E_CHFAB3L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15"/>
      </tp>
      <tp>
        <v>2.5649999999999999</v>
        <stp/>
        <stp>_x000E_HUFAB6B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18"/>
      </tp>
      <tp>
        <v>3.35</v>
        <stp/>
        <stp>_x000E_HUFAB6B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5" s="18"/>
      </tp>
      <tp>
        <v>2.2599999999999998</v>
        <stp/>
        <stp>_x000E_PLNAB6W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19"/>
      </tp>
      <tp>
        <v>0.435</v>
        <stp/>
        <stp>_x000E_CHFAB3L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5" s="15"/>
      </tp>
      <tp>
        <v>0.55249999999999999</v>
        <stp/>
        <stp>_x000E_CHFAB6L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5" s="16"/>
      </tp>
      <tp>
        <v>9.7500000000000003E-2</v>
        <stp/>
        <stp>_x000E_CHFAB6L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16"/>
      </tp>
      <tp>
        <v>-1.4999999999999999E-2</v>
        <stp/>
        <stp>_x000E_CHFAB3L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15"/>
      </tp>
      <tp>
        <v>2.65</v>
        <stp/>
        <stp>_x000E_PLNAB6W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5" s="19"/>
      </tp>
      <tp>
        <v>2.73</v>
        <stp/>
        <stp>_x000E_HUFAB6B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18"/>
      </tp>
      <tp>
        <v>3.16</v>
        <stp/>
        <stp>_x000E_HUFAB6B6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4" s="18"/>
      </tp>
      <tp>
        <v>2.38</v>
        <stp/>
        <stp>_x000E_PLNAB6W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19"/>
      </tp>
      <tp>
        <v>0.3</v>
        <stp/>
        <stp>_x000E_CHFAB3L6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4" s="15"/>
      </tp>
      <tp>
        <v>0.41749999999999998</v>
        <stp/>
        <stp>_x000E_CHFAB6L6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4" s="16"/>
      </tp>
      <tp>
        <v>0.21</v>
        <stp/>
        <stp>_x000E_CHFAB6L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16"/>
      </tp>
      <tp>
        <v>9.2499999999999999E-2</v>
        <stp/>
        <stp>_x000E_CHFAB3L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15"/>
      </tp>
      <tp>
        <v>2.5499999999999998</v>
        <stp/>
        <stp>_x000E_PLNAB6W6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4" s="19"/>
      </tp>
      <tp>
        <v>2.91</v>
        <stp/>
        <stp>_x000E_HUFAB6B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18"/>
      </tp>
      <tp>
        <v>-0.05</v>
        <stp/>
        <stp>_x000D_CHF6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8" s="16"/>
      </tp>
      <tp>
        <v>2.97</v>
        <stp/>
        <stp>_x000E_HUFAB6B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3" s="18"/>
      </tp>
      <tp>
        <v>2.4900000000000002</v>
        <stp/>
        <stp>_x000E_PLNAB6W6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19"/>
      </tp>
      <tp>
        <v>0.17249999999999999</v>
        <stp/>
        <stp>_x000E_CHFAB3L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3" s="15"/>
      </tp>
      <tp>
        <v>0.28999999999999998</v>
        <stp/>
        <stp>_x000E_CHFAB6L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3" s="16"/>
      </tp>
      <tp>
        <v>0.33750000000000002</v>
        <stp/>
        <stp>_x000E_CHFAB6L6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16"/>
      </tp>
      <tp>
        <v>0.22</v>
        <stp/>
        <stp>_x000E_CHFAB3L6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15"/>
      </tp>
      <tp>
        <v>2.44</v>
        <stp/>
        <stp>_x000E_PLNAB6W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3" s="19"/>
      </tp>
      <tp>
        <v>3.1</v>
        <stp/>
        <stp>_x000E_HUFAB6B6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18"/>
      </tp>
      <tp>
        <v>2.79</v>
        <stp/>
        <stp>_x000E_HUFAB6B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2" s="18"/>
      </tp>
      <tp>
        <v>2.59</v>
        <stp/>
        <stp>_x000E_PLNAB6W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19"/>
      </tp>
      <tp>
        <v>6.5000000000000002E-2</v>
        <stp/>
        <stp>_x000E_CHFAB3L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2" s="15"/>
      </tp>
      <tp>
        <v>0.17749999999999999</v>
        <stp/>
        <stp>_x000E_CHFAB6L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2" s="16"/>
      </tp>
      <tp>
        <v>0.47249999999999998</v>
        <stp/>
        <stp>_x000E_CHFAB6L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16"/>
      </tp>
      <tp>
        <v>0.35499999999999998</v>
        <stp/>
        <stp>_x000E_CHFAB3L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15"/>
      </tp>
      <tp>
        <v>2.3199999999999998</v>
        <stp/>
        <stp>_x000E_PLNAB6W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2" s="19"/>
      </tp>
      <tp>
        <v>3.29</v>
        <stp/>
        <stp>_x000E_HUFAB6B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18"/>
      </tp>
      <tp t="s">
        <v>#N/A</v>
        <stp/>
        <stp>_x0004_STUB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7" s="15"/>
        <tr r="AA27" s="16"/>
        <tr r="AA27" s="18"/>
        <tr r="AA27" s="19"/>
      </tp>
      <tp>
        <v>0</v>
        <stp/>
        <stp xml:space="preserve">
BUHUF11MD=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18"/>
        <tr r="AA23" s="18"/>
      </tp>
      <tp>
        <v>0</v>
        <stp/>
        <stp xml:space="preserve">
BUHUF10MD=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18"/>
        <tr r="Z22" s="18"/>
      </tp>
      <tp t="s">
        <v>#N/A The record could not be found</v>
        <stp/>
        <stp xml:space="preserve">
BUHUF12MD=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18"/>
        <tr r="AA24" s="18"/>
      </tp>
      <tp t="s">
        <v>#N/A The record could not be found</v>
        <stp/>
        <stp xml:space="preserve">
WIPLN10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19"/>
        <tr r="Z22" s="19"/>
      </tp>
      <tp t="s">
        <v>#N/A The record could not be found</v>
        <stp/>
        <stp xml:space="preserve">
WIPLN11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19"/>
        <tr r="AA23" s="19"/>
      </tp>
      <tp t="s">
        <v>#N/A</v>
        <stp/>
        <stp>_x0004_STUB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7" s="15"/>
        <tr r="Z27" s="16"/>
        <tr r="Z27" s="18"/>
        <tr r="Z27" s="19"/>
      </tp>
      <tp>
        <v>195</v>
        <stp/>
        <stp>_x000D_PLNISPTIT30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7" s="21"/>
      </tp>
      <tp>
        <v>188</v>
        <stp/>
        <stp>_x000D_PLNISPTIT25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6" s="21"/>
      </tp>
      <tp>
        <v>166</v>
        <stp/>
        <stp>_x000D_PLNISPTIT20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5" s="21"/>
      </tp>
      <tp>
        <v>140</v>
        <stp/>
        <stp>_x000D_PLNISPTIT15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4" s="21"/>
      </tp>
      <tp>
        <v>101</v>
        <stp/>
        <stp>_x000D_PLNISPTIT10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3" s="21"/>
      </tp>
      <tp>
        <v>206</v>
        <stp/>
        <stp>_x000D_HUFISPTIT25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6" s="20"/>
      </tp>
      <tp>
        <v>194</v>
        <stp/>
        <stp>_x000D_HUFISPTIT20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5" s="20"/>
      </tp>
      <tp>
        <v>247</v>
        <stp/>
        <stp>_x000D_HUFISPTIT30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7" s="20"/>
      </tp>
      <tp>
        <v>143</v>
        <stp/>
        <stp>_x000D_HUFISPTIT15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4" s="20"/>
      </tp>
      <tp>
        <v>82</v>
        <stp/>
        <stp>_x000D_HUFISPTIT10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3" s="20"/>
      </tp>
      <tp>
        <v>130.5</v>
        <stp/>
        <stp>_x000D_CHFISPTIT30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7" s="17"/>
      </tp>
      <tp>
        <v>120.5</v>
        <stp/>
        <stp>_x000D_CHFISPTIT25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6" s="17"/>
      </tp>
      <tp>
        <v>108.5</v>
        <stp/>
        <stp>_x000D_CHFISPTIT20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5" s="17"/>
      </tp>
      <tp>
        <v>95.25</v>
        <stp/>
        <stp>_x000D_CHFISPTIT15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4" s="17"/>
      </tp>
      <tp>
        <v>75.75</v>
        <stp/>
        <stp>_x000D_CHFISPTIT10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3" s="17"/>
      </tp>
      <tp>
        <v>69</v>
        <stp/>
        <stp>_x000C_PLNISPTIT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21"/>
      </tp>
      <tp>
        <v>65</v>
        <stp/>
        <stp>_x000C_PLNISPTIT4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21"/>
      </tp>
      <tp>
        <v>83</v>
        <stp/>
        <stp>_x000C_PLNISPTIT7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21"/>
      </tp>
      <tp>
        <v>15</v>
        <stp/>
        <stp>_x000C_PLNISPTIT6M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21"/>
      </tp>
      <tp>
        <v>80</v>
        <stp/>
        <stp>_x000C_PLNISPTIT6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21"/>
      </tp>
      <tp>
        <v>31</v>
        <stp/>
        <stp>_x000C_PLNISPTIT1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21"/>
      </tp>
      <tp>
        <v>54</v>
        <stp/>
        <stp>_x000C_PLNISPTIT3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21"/>
      </tp>
      <tp>
        <v>45</v>
        <stp/>
        <stp>_x000C_PLNISPTIT2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21"/>
      </tp>
      <tp>
        <v>93</v>
        <stp/>
        <stp>_x000C_PLNISPTIT9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21"/>
      </tp>
      <tp>
        <v>89</v>
        <stp/>
        <stp>_x000C_PLNISPTIT8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21"/>
      </tp>
      <tp>
        <v>34</v>
        <stp/>
        <stp>_x000C_CHFISPTIT1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17"/>
      </tp>
      <tp>
        <v>52.75</v>
        <stp/>
        <stp>_x000C_CHFISPTIT3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17"/>
      </tp>
      <tp>
        <v>48</v>
        <stp/>
        <stp>_x000C_CHFISPTIT2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17"/>
      </tp>
      <tp>
        <v>64</v>
        <stp/>
        <stp>_x000C_CHFISPTIT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17"/>
      </tp>
      <tp>
        <v>63.25</v>
        <stp/>
        <stp>_x000C_CHFISPTIT4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17"/>
      </tp>
      <tp>
        <v>74.5</v>
        <stp/>
        <stp>_x000C_CHFISPTIT7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17"/>
      </tp>
      <tp>
        <v>6</v>
        <stp/>
        <stp>_x000C_CHFISPTIT6M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17"/>
      </tp>
      <tp>
        <v>73</v>
        <stp/>
        <stp>_x000C_CHFISPTIT6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17"/>
      </tp>
      <tp>
        <v>76.8125</v>
        <stp/>
        <stp>_x000C_CHFISPTIT9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17"/>
      </tp>
      <tp>
        <v>73.8125</v>
        <stp/>
        <stp>_x000C_CHFISPTIT8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17"/>
      </tp>
      <tp>
        <v>63</v>
        <stp/>
        <stp>_x000C_HUFISPTIT8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20"/>
      </tp>
      <tp>
        <v>71</v>
        <stp/>
        <stp>_x000C_HUFISPTIT9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20"/>
      </tp>
      <tp>
        <v>14</v>
        <stp/>
        <stp>_x000C_HUFISPTIT4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20"/>
      </tp>
      <tp>
        <v>24</v>
        <stp/>
        <stp>_x000C_HUFISPTIT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20"/>
      </tp>
      <tp>
        <v>-47</v>
        <stp/>
        <stp>_x000C_HUFISPTIT6M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20"/>
      </tp>
      <tp>
        <v>41</v>
        <stp/>
        <stp>_x000C_HUFISPTIT6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20"/>
      </tp>
      <tp>
        <v>52</v>
        <stp/>
        <stp>_x000C_HUFISPTIT7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20"/>
      </tp>
      <tp>
        <v>-41</v>
        <stp/>
        <stp>_x000C_HUFISPTIT1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20"/>
      </tp>
      <tp>
        <v>-18</v>
        <stp/>
        <stp>_x000C_HUFISPTIT2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20"/>
      </tp>
      <tp>
        <v>-4</v>
        <stp/>
        <stp>_x000C_HUFISPTIT3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20"/>
      </tp>
      <tp>
        <v>194</v>
        <stp/>
        <stp>_x000D_PLNISPTIT30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21"/>
      </tp>
      <tp>
        <v>187</v>
        <stp/>
        <stp>_x000D_PLNISPTIT25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21"/>
      </tp>
      <tp>
        <v>165.2</v>
        <stp/>
        <stp>_x000D_PLNISPTIT20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21"/>
      </tp>
      <tp>
        <v>139.5</v>
        <stp/>
        <stp>_x000D_PLNISPTIT15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21"/>
      </tp>
      <tp>
        <v>100.75</v>
        <stp/>
        <stp>_x000D_PLNISPTIT10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21"/>
      </tp>
      <tp>
        <v>129.5</v>
        <stp/>
        <stp>_x000D_CHFISPTIT30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17"/>
      </tp>
      <tp>
        <v>119.5</v>
        <stp/>
        <stp>_x000D_CHFISPTIT25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17"/>
      </tp>
      <tp>
        <v>107.7</v>
        <stp/>
        <stp>_x000D_CHFISPTIT20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17"/>
      </tp>
      <tp>
        <v>94.75</v>
        <stp/>
        <stp>_x000D_CHFISPTIT15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17"/>
      </tp>
      <tp>
        <v>75.5</v>
        <stp/>
        <stp>_x000D_CHFISPTIT10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17"/>
      </tp>
      <tp>
        <v>205</v>
        <stp/>
        <stp>_x000D_HUFISPTIT25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20"/>
      </tp>
      <tp>
        <v>193.2</v>
        <stp/>
        <stp>_x000D_HUFISPTIT20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20"/>
      </tp>
      <tp>
        <v>246</v>
        <stp/>
        <stp>_x000D_HUFISPTIT30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20"/>
      </tp>
      <tp>
        <v>142.5</v>
        <stp/>
        <stp>_x000D_HUFISPTIT15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20"/>
      </tp>
      <tp>
        <v>81.75</v>
        <stp/>
        <stp>_x000D_HUFISPTIT10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20"/>
      </tp>
      <tp t="s">
        <v>#N/A The record could not be found</v>
        <stp/>
        <stp xml:space="preserve">	WIPLN7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19"/>
        <tr r="AA19" s="19"/>
      </tp>
      <tp>
        <v>2.4900000000000002</v>
        <stp/>
        <stp xml:space="preserve">	WIPLN6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19"/>
        <tr r="Z18" s="19"/>
      </tp>
      <tp t="s">
        <v>#N/A The record could not be found</v>
        <stp/>
        <stp xml:space="preserve">	WIPLN5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19"/>
        <tr r="Z17" s="19"/>
      </tp>
      <tp t="s">
        <v>#N/A The record could not be found</v>
        <stp/>
        <stp xml:space="preserve">	WIPLN4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19"/>
        <tr r="Z16" s="19"/>
      </tp>
      <tp>
        <v>2.4900000000000002</v>
        <stp/>
        <stp xml:space="preserve">	WIPLN3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19"/>
        <tr r="AA15" s="19"/>
      </tp>
      <tp t="s">
        <v>#N/A The record could not be found</v>
        <stp/>
        <stp xml:space="preserve">	WIPLN3W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19"/>
        <tr r="AA10" s="19"/>
      </tp>
      <tp t="s">
        <v>#N/A The record could not be found</v>
        <stp/>
        <stp xml:space="preserve">	WIPLN2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19"/>
        <tr r="Z14" s="19"/>
      </tp>
      <tp>
        <v>2.57</v>
        <stp/>
        <stp xml:space="preserve">	WIPLN2W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19"/>
        <tr r="Z9" s="19"/>
      </tp>
      <tp>
        <v>2.54</v>
        <stp/>
        <stp xml:space="preserve">	WIPLN1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19"/>
        <tr r="AA13" s="19"/>
      </tp>
      <tp>
        <v>2.48</v>
        <stp/>
        <stp xml:space="preserve">	WIPLN1Y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19"/>
        <tr r="AA24" s="19"/>
      </tp>
      <tp>
        <v>2.48</v>
        <stp/>
        <stp xml:space="preserve">	WIPLN9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19"/>
        <tr r="AA21" s="19"/>
      </tp>
      <tp t="s">
        <v>#N/A The record could not be found</v>
        <stp/>
        <stp xml:space="preserve">	WIPLN8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19"/>
        <tr r="AA20" s="19"/>
      </tp>
      <tp>
        <v>2.63</v>
        <stp/>
        <stp xml:space="preserve">	WIPLN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" s="19"/>
        <tr r="Z3" s="19"/>
      </tp>
      <tp>
        <v>2.63</v>
        <stp/>
        <stp xml:space="preserve">	WIPLN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19"/>
        <tr r="AA4" s="19"/>
      </tp>
      <tp t="s">
        <v>#N/A The record could not be found</v>
        <stp/>
        <stp xml:space="preserve">	WIPLNS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19"/>
        <tr r="AA5" s="19"/>
      </tp>
      <tp>
        <v>2.57</v>
        <stp/>
        <stp xml:space="preserve">	WIPLNSW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19"/>
        <tr r="AA8" s="19"/>
      </tp>
      <tp>
        <v>80</v>
        <stp/>
        <stp>_x000C_PLNISPTIT6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9" s="21"/>
      </tp>
      <tp>
        <v>15</v>
        <stp/>
        <stp>_x000C_PLNISPTIT6M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3" s="21"/>
      </tp>
      <tp>
        <v>83</v>
        <stp/>
        <stp>_x000C_PLNISPTIT7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0" s="21"/>
      </tp>
      <tp>
        <v>65</v>
        <stp/>
        <stp>_x000C_PLNISPTIT4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7" s="21"/>
      </tp>
      <tp>
        <v>69</v>
        <stp/>
        <stp>_x000C_PLNISPTIT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8" s="21"/>
      </tp>
      <tp>
        <v>45</v>
        <stp/>
        <stp>_x000C_PLNISPTIT2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5" s="21"/>
      </tp>
      <tp>
        <v>54</v>
        <stp/>
        <stp>_x000C_PLNISPTIT3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6" s="21"/>
      </tp>
      <tp>
        <v>31</v>
        <stp/>
        <stp>_x000C_PLNISPTIT1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" s="21"/>
      </tp>
      <tp>
        <v>89</v>
        <stp/>
        <stp>_x000C_PLNISPTIT8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1" s="21"/>
      </tp>
      <tp>
        <v>93</v>
        <stp/>
        <stp>_x000C_PLNISPTIT9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2" s="21"/>
      </tp>
      <tp>
        <v>48</v>
        <stp/>
        <stp>_x000C_CHFISPTIT2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5" s="17"/>
      </tp>
      <tp>
        <v>52.75</v>
        <stp/>
        <stp>_x000C_CHFISPTIT3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6" s="17"/>
      </tp>
      <tp>
        <v>34</v>
        <stp/>
        <stp>_x000C_CHFISPTIT1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" s="17"/>
      </tp>
      <tp>
        <v>73</v>
        <stp/>
        <stp>_x000C_CHFISPTIT6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9" s="17"/>
      </tp>
      <tp>
        <v>6</v>
        <stp/>
        <stp>_x000C_CHFISPTIT6M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3" s="17"/>
      </tp>
      <tp>
        <v>74.5</v>
        <stp/>
        <stp>_x000C_CHFISPTIT7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0" s="17"/>
      </tp>
      <tp>
        <v>63.25</v>
        <stp/>
        <stp>_x000C_CHFISPTIT4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7" s="17"/>
      </tp>
      <tp>
        <v>64</v>
        <stp/>
        <stp>_x000C_CHFISPTIT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8" s="17"/>
      </tp>
      <tp>
        <v>73.8125</v>
        <stp/>
        <stp>_x000C_CHFISPTIT8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1" s="17"/>
      </tp>
      <tp>
        <v>76.8125</v>
        <stp/>
        <stp>_x000C_CHFISPTIT9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2" s="17"/>
      </tp>
      <tp>
        <v>71</v>
        <stp/>
        <stp>_x000C_HUFISPTIT9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2" s="20"/>
      </tp>
      <tp>
        <v>63</v>
        <stp/>
        <stp>_x000C_HUFISPTIT8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1" s="20"/>
      </tp>
      <tp>
        <v>52</v>
        <stp/>
        <stp>_x000C_HUFISPTIT7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0" s="20"/>
      </tp>
      <tp>
        <v>41</v>
        <stp/>
        <stp>_x000C_HUFISPTIT6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9" s="20"/>
      </tp>
      <tp>
        <v>-47</v>
        <stp/>
        <stp>_x000C_HUFISPTIT6M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3" s="20"/>
      </tp>
      <tp>
        <v>24</v>
        <stp/>
        <stp>_x000C_HUFISPTIT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8" s="20"/>
      </tp>
      <tp>
        <v>14</v>
        <stp/>
        <stp>_x000C_HUFISPTIT4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7" s="20"/>
      </tp>
      <tp>
        <v>-4</v>
        <stp/>
        <stp>_x000C_HUFISPTIT3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6" s="20"/>
      </tp>
      <tp>
        <v>-18</v>
        <stp/>
        <stp>_x000C_HUFISPTIT2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5" s="20"/>
      </tp>
      <tp>
        <v>-41</v>
        <stp/>
        <stp>_x000C_HUFISPTIT1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" s="20"/>
      </tp>
      <tp t="s">
        <v>#N/A The record could not be found</v>
        <stp/>
        <stp>_x0001_6	PRIMACT_1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19"/>
      </tp>
      <tp t="s">
        <v>#N/A The record could not be found</v>
        <stp/>
        <stp>_x000B_PLNX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6" s="19"/>
      </tp>
      <tp t="s">
        <v>#N/A The record could not be found</v>
        <stp/>
        <stp>_x000B_PLNX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6" s="19"/>
      </tp>
      <tp t="s">
        <v>#N/A The record could not be found</v>
        <stp/>
        <stp>_x000B_HUFX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5" s="18"/>
        <tr r="AH41" s="18"/>
        <tr r="AH44" s="18"/>
        <tr r="AH42" s="18"/>
        <tr r="AH40" s="18"/>
        <tr r="AH46" s="18"/>
        <tr r="AH43" s="18"/>
      </tp>
      <tp t="s">
        <v>#N/A The record could not be found</v>
        <stp/>
        <stp>_x000B_HUFX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0" s="18"/>
        <tr r="AG46" s="18"/>
        <tr r="AG44" s="18"/>
        <tr r="AG41" s="18"/>
        <tr r="AG45" s="18"/>
        <tr r="AG43" s="18"/>
        <tr r="AG42" s="18"/>
      </tp>
      <tp t="s">
        <v>#N/A The record could not be found</v>
        <stp/>
        <stp>_x000B_CHF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16"/>
        <tr r="AG45" s="16"/>
        <tr r="AG43" s="16"/>
        <tr r="AG46" s="16"/>
      </tp>
      <tp t="s">
        <v>#N/A The record could not be found</v>
        <stp/>
        <stp>_x000B_CHF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4" s="16"/>
        <tr r="AH45" s="16"/>
        <tr r="AH43" s="16"/>
        <tr r="AH46" s="16"/>
      </tp>
      <tp t="s">
        <v>#N/A The record could not be found</v>
        <stp/>
        <stp>_x000B_CHFX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15"/>
        <tr r="AG43" s="15"/>
        <tr r="AG45" s="15"/>
        <tr r="AG40" s="15"/>
        <tr r="AG46" s="15"/>
        <tr r="AG41" s="15"/>
        <tr r="AG42" s="15"/>
      </tp>
      <tp t="s">
        <v>#N/A The record could not be found</v>
        <stp/>
        <stp>_x000B_CHFX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5" s="15"/>
        <tr r="AH44" s="15"/>
        <tr r="AH46" s="15"/>
        <tr r="AH40" s="15"/>
        <tr r="AH43" s="15"/>
        <tr r="AH42" s="15"/>
        <tr r="AH41" s="15"/>
      </tp>
      <tp>
        <v>0.05</v>
        <stp/>
        <stp>_x000B_CHFS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15"/>
        <tr r="AA5" s="15"/>
        <tr r="Z5" s="16"/>
        <tr r="AA5" s="16"/>
      </tp>
      <tp>
        <v>0.05</v>
        <stp/>
        <stp>_x000B_CHFSW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15"/>
        <tr r="AA8" s="15"/>
        <tr r="Z8" s="16"/>
        <tr r="AA8" s="16"/>
      </tp>
      <tp>
        <v>0.05</v>
        <stp/>
        <stp>_x000B_CHFT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" s="15"/>
        <tr r="Z4" s="15"/>
        <tr r="Z4" s="16"/>
        <tr r="AA4" s="16"/>
      </tp>
      <tp t="s">
        <v>#N/A The record could not be found</v>
        <stp/>
        <stp>_x0001_6	VALUE_DT1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19"/>
      </tp>
      <tp>
        <v>41893</v>
        <stp/>
        <stp xml:space="preserve">	BUHUF6MD=	VALUE_DT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18"/>
      </tp>
      <tp>
        <v>0.05</v>
        <stp/>
        <stp>_x000B_CHFO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" s="15"/>
        <tr r="Z3" s="15"/>
        <tr r="AA3" s="16"/>
        <tr r="Z3" s="16"/>
      </tp>
      <tp>
        <v>2.16</v>
        <stp/>
        <stp xml:space="preserve">	BUHUF6MD=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18"/>
      </tp>
      <tp>
        <v>1.5275000000000001</v>
        <stp/>
        <stp>_x000F_CHFAB6L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3" s="16"/>
      </tp>
      <tp>
        <v>1.4550000000000001</v>
        <stp/>
        <stp>_x000F_CHFAB3L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15"/>
      </tp>
      <tp>
        <v>1.6274999999999999</v>
        <stp/>
        <stp>_x000F_CHFAB6L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3" s="16"/>
      </tp>
      <tp>
        <v>1.5549999999999999</v>
        <stp/>
        <stp>_x000F_CHFAB3L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4" s="15"/>
      </tp>
      <tp>
        <v>3.13</v>
        <stp/>
        <stp>_x000F_PLNAB6W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1" s="19"/>
      </tp>
      <tp>
        <v>3.07</v>
        <stp/>
        <stp>_x000F_PLNAB6W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19"/>
      </tp>
      <tp>
        <v>3.76</v>
        <stp/>
        <stp>_x000F_HUFAB6B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1" s="18"/>
      </tp>
      <tp>
        <v>3.7</v>
        <stp/>
        <stp>_x000F_HUFAB6B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18"/>
      </tp>
      <tp>
        <v>1.4875</v>
        <stp/>
        <stp>_x000F_CHFAB6L25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2" s="16"/>
      </tp>
      <tp>
        <v>1.41</v>
        <stp/>
        <stp>_x000F_CHFAB3L25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3" s="15"/>
      </tp>
      <tp>
        <v>1.5874999999999999</v>
        <stp/>
        <stp>_x000F_CHFAB6L25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2" s="16"/>
      </tp>
      <tp>
        <v>1.51</v>
        <stp/>
        <stp>_x000F_CHFAB3L25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3" s="15"/>
      </tp>
      <tp>
        <v>1.395</v>
        <stp/>
        <stp>_x000F_CHFAB6L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16"/>
      </tp>
      <tp>
        <v>1.3125</v>
        <stp/>
        <stp>_x000F_CHFAB3L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2" s="15"/>
      </tp>
      <tp>
        <v>1.4950000000000001</v>
        <stp/>
        <stp>_x000F_CHFAB6L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1" s="16"/>
      </tp>
      <tp>
        <v>1.4125000000000001</v>
        <stp/>
        <stp>_x000F_CHFAB3L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2" s="15"/>
      </tp>
      <tp>
        <v>3.12</v>
        <stp/>
        <stp>_x000F_PLNAB6W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0" s="19"/>
      </tp>
      <tp>
        <v>3.06</v>
        <stp/>
        <stp>_x000F_PLNAB6W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19"/>
      </tp>
      <tp>
        <v>2.89</v>
        <stp/>
        <stp>_x000F_PLNAB6W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8" s="19"/>
      </tp>
      <tp>
        <v>2.9449999999999998</v>
        <stp/>
        <stp>_x000F_PLNAB6W12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19"/>
      </tp>
      <tp>
        <v>3.0049999999999999</v>
        <stp/>
        <stp>_x000F_PLNAB6W12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9" s="19"/>
      </tp>
      <tp>
        <v>2.83</v>
        <stp/>
        <stp>_x000F_PLNAB6W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19"/>
      </tp>
      <tp>
        <v>3.9449999999999998</v>
        <stp/>
        <stp>_x000F_HUFAB6B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0" s="18"/>
      </tp>
      <tp>
        <v>3.8849999999999998</v>
        <stp/>
        <stp>_x000F_HUFAB6B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18"/>
      </tp>
      <tp>
        <v>3.8</v>
        <stp/>
        <stp>_x000F_HUFAB6B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8" s="18"/>
      </tp>
      <tp>
        <v>3.895</v>
        <stp/>
        <stp>_x000F_HUFAB6B12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18"/>
      </tp>
      <tp>
        <v>3.9550000000000001</v>
        <stp/>
        <stp>_x000F_HUFAB6B12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9" s="18"/>
      </tp>
      <tp>
        <v>3.74</v>
        <stp/>
        <stp>_x000F_HUFAB6B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18"/>
      </tp>
      <tp>
        <v>1.2124999999999999</v>
        <stp/>
        <stp>_x000F_CHFAB6L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16"/>
      </tp>
      <tp>
        <v>1.1174999999999999</v>
        <stp/>
        <stp>_x000F_CHFAB3L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15"/>
      </tp>
      <tp>
        <v>1.3125</v>
        <stp/>
        <stp>_x000F_CHFAB6L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0" s="16"/>
      </tp>
      <tp>
        <v>1.2175</v>
        <stp/>
        <stp>_x000F_CHFAB3L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1" s="15"/>
      </tp>
      <tp>
        <v>0.83250000000000002</v>
        <stp/>
        <stp>_x000F_CHFAB6L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16"/>
      </tp>
      <tp>
        <v>0.72</v>
        <stp/>
        <stp>_x000F_CHFAB3L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15"/>
      </tp>
      <tp>
        <v>1.1074999999999999</v>
        <stp/>
        <stp>_x000F_CHFAB6L12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9" s="16"/>
      </tp>
      <tp>
        <v>1.0024999999999999</v>
        <stp/>
        <stp>_x000F_CHFAB3L12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0" s="15"/>
      </tp>
      <tp>
        <v>0.8125</v>
        <stp/>
        <stp>_x000F_CHFAB3L11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15"/>
      </tp>
      <tp>
        <v>0.91249999999999998</v>
        <stp/>
        <stp>_x000F_CHFAB3L11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9" s="15"/>
      </tp>
      <tp>
        <v>1.0075000000000001</v>
        <stp/>
        <stp>_x000F_CHFAB6L12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16"/>
      </tp>
      <tp>
        <v>0.90249999999999997</v>
        <stp/>
        <stp>_x000F_CHFAB3L12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15"/>
      </tp>
      <tp>
        <v>0.91249999999999998</v>
        <stp/>
        <stp>_x000F_CHFAB6L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8" s="16"/>
      </tp>
      <tp>
        <v>0.8</v>
        <stp/>
        <stp>_x000F_CHFAB3L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8" s="15"/>
      </tp>
      <tp t="s">
        <v>#N/A The record could not be found</v>
        <stp/>
        <stp>_x0002_M5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18"/>
        <tr r="Z38" s="19"/>
      </tp>
      <tp t="s">
        <v>#N/A The record could not be found</v>
        <stp/>
        <stp>_x0002_M7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19"/>
        <tr r="Z46" s="18"/>
      </tp>
      <tp t="s">
        <v>#N/A The record could not be found</v>
        <stp/>
        <stp>_x0002_M6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2" s="18"/>
        <tr r="Z42" s="19"/>
      </tp>
      <tp t="s">
        <v>#N/A The record could not be found</v>
        <stp/>
        <stp>_x0002_H5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18"/>
        <tr r="Z37" s="19"/>
      </tp>
      <tp t="s">
        <v>#N/A The record could not be found</v>
        <stp/>
        <stp>_x0002_H7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18"/>
        <tr r="Z45" s="19"/>
      </tp>
      <tp t="s">
        <v>#N/A The record could not be found</v>
        <stp/>
        <stp>_x0002_H6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1" s="18"/>
        <tr r="Z41" s="19"/>
      </tp>
      <tp t="s">
        <v>#N/A The record could not be found</v>
        <stp/>
        <stp>_x0002_Z5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18"/>
        <tr r="Z40" s="19"/>
      </tp>
      <tp t="s">
        <v>#N/A The record could not be found</v>
        <stp/>
        <stp>_x0002_Z4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18"/>
        <tr r="Z36" s="19"/>
      </tp>
      <tp t="s">
        <v>#N/A The record could not be found</v>
        <stp/>
        <stp>_x0002_Z6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4" s="18"/>
        <tr r="Z44" s="19"/>
      </tp>
      <tp t="s">
        <v>#N/A The record could not be found</v>
        <stp/>
        <stp>_x0002_U5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18"/>
        <tr r="Z39" s="19"/>
      </tp>
      <tp t="s">
        <v>#N/A The record could not be found</v>
        <stp/>
        <stp>_x0002_U4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18"/>
        <tr r="Z35" s="19"/>
      </tp>
      <tp t="s">
        <v>#N/A The record could not be found</v>
        <stp/>
        <stp>_x0002_U6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18"/>
        <tr r="Z43" s="19"/>
      </tp>
      <tp t="s">
        <v>#N/A The record could not be found</v>
        <stp/>
        <stp>_x0002_U6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3" s="18"/>
        <tr r="AA43" s="19"/>
      </tp>
      <tp t="s">
        <v>#N/A The record could not be found</v>
        <stp/>
        <stp>_x0002_U4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18"/>
        <tr r="AA35" s="19"/>
      </tp>
      <tp t="s">
        <v>#N/A The record could not be found</v>
        <stp/>
        <stp>_x0002_U5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18"/>
        <tr r="AA39" s="19"/>
      </tp>
      <tp t="s">
        <v>#N/A The record could not be found</v>
        <stp/>
        <stp>_x0002_Z6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4" s="18"/>
        <tr r="AA44" s="19"/>
      </tp>
      <tp t="s">
        <v>#N/A The record could not be found</v>
        <stp/>
        <stp>_x0002_Z4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18"/>
        <tr r="AA36" s="19"/>
      </tp>
      <tp t="s">
        <v>#N/A The record could not be found</v>
        <stp/>
        <stp>_x0002_Z5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18"/>
        <tr r="AA40" s="19"/>
      </tp>
      <tp t="s">
        <v>#N/A The record could not be found</v>
        <stp/>
        <stp>_x0002_M6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2" s="18"/>
        <tr r="AA42" s="19"/>
      </tp>
      <tp t="s">
        <v>#N/A The record could not be found</v>
        <stp/>
        <stp>_x0002_M7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6" s="19"/>
        <tr r="AA46" s="18"/>
      </tp>
      <tp t="s">
        <v>#N/A The record could not be found</v>
        <stp/>
        <stp>_x0002_M5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18"/>
        <tr r="AA38" s="19"/>
      </tp>
      <tp t="s">
        <v>#N/A The record could not be found</v>
        <stp/>
        <stp>_x0002_H6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1" s="18"/>
        <tr r="AA41" s="19"/>
      </tp>
      <tp t="s">
        <v>#N/A The record could not be found</v>
        <stp/>
        <stp>_x0002_H7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5" s="18"/>
        <tr r="AA45" s="19"/>
      </tp>
      <tp t="s">
        <v>#N/A The record could not be found</v>
        <stp/>
        <stp>_x0002_H5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18"/>
        <tr r="AA37" s="19"/>
      </tp>
      <tp>
        <v>41893</v>
        <stp/>
        <stp xml:space="preserve">	CHF6MFSR=	VALUE_DT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16"/>
      </tp>
      <tp>
        <v>0.16</v>
        <stp/>
        <stp>_x000B_CHF8M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15"/>
        <tr r="AA20" s="15"/>
        <tr r="Z20" s="16"/>
        <tr r="AA20" s="16"/>
      </tp>
      <tp>
        <v>0.18</v>
        <stp/>
        <stp>_x000B_CHF9M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15"/>
        <tr r="AA21" s="15"/>
        <tr r="Z21" s="16"/>
        <tr r="AA21" s="16"/>
      </tp>
      <tp>
        <v>41893</v>
        <stp/>
        <stp xml:space="preserve">	CHF3MFSR=	VALUE_DT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15"/>
      </tp>
      <tp>
        <v>0.05</v>
        <stp/>
        <stp>_x000B_CHF1M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15"/>
        <tr r="Z13" s="15"/>
        <tr r="Z13" s="16"/>
        <tr r="AA13" s="16"/>
      </tp>
      <tp>
        <v>5.0000000000000001E-3</v>
        <stp/>
        <stp xml:space="preserve">	CHF3MFSR=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15"/>
      </tp>
      <tp>
        <v>0.05</v>
        <stp/>
        <stp>_x000B_CHF2M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15"/>
        <tr r="Z14" s="15"/>
        <tr r="Z14" s="16"/>
        <tr r="AA14" s="16"/>
      </tp>
      <tp>
        <v>0.05</v>
        <stp/>
        <stp>_x000B_CHF2W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15"/>
        <tr r="Z9" s="15"/>
        <tr r="Z9" s="16"/>
        <tr r="AA9" s="16"/>
      </tp>
      <tp>
        <v>0.05</v>
        <stp/>
        <stp>_x000B_CHF3M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15"/>
        <tr r="Z15" s="15"/>
        <tr r="Z15" s="16"/>
        <tr r="AA15" s="16"/>
      </tp>
      <tp>
        <v>0.05</v>
        <stp/>
        <stp>_x000B_CHF3W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15"/>
        <tr r="Z10" s="15"/>
        <tr r="AA10" s="16"/>
        <tr r="Z10" s="16"/>
      </tp>
      <tp>
        <v>0.1</v>
        <stp/>
        <stp>_x000B_CHF4M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15"/>
        <tr r="Z16" s="15"/>
        <tr r="AA16" s="16"/>
        <tr r="Z16" s="16"/>
      </tp>
      <tp>
        <v>0.11</v>
        <stp/>
        <stp>_x000B_CHF5M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15"/>
        <tr r="Z17" s="15"/>
        <tr r="AA17" s="16"/>
        <tr r="Z17" s="16"/>
      </tp>
      <tp>
        <v>0.12</v>
        <stp/>
        <stp>_x000B_CHF6M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15"/>
        <tr r="AA18" s="15"/>
        <tr r="Z18" s="16"/>
        <tr r="AA18" s="16"/>
      </tp>
      <tp>
        <v>5.1400000000000001E-2</v>
        <stp/>
        <stp xml:space="preserve">	CHF6MFSR=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16"/>
      </tp>
      <tp>
        <v>0.14000000000000001</v>
        <stp/>
        <stp>_x000B_CHF7M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15"/>
        <tr r="AA19" s="15"/>
        <tr r="AA19" s="16"/>
        <tr r="Z19" s="1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190501</xdr:colOff>
          <xdr:row>9</xdr:row>
          <xdr:rowOff>104781</xdr:rowOff>
        </xdr:from>
        <xdr:to>
          <xdr:col>4</xdr:col>
          <xdr:colOff>54384</xdr:colOff>
          <xdr:row>22</xdr:row>
          <xdr:rowOff>105428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UNICA!$P$2:$Q$17" spid="_x0000_s236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1" y="1390656"/>
              <a:ext cx="2997608" cy="185802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102393</xdr:rowOff>
        </xdr:from>
        <xdr:to>
          <xdr:col>8</xdr:col>
          <xdr:colOff>44858</xdr:colOff>
          <xdr:row>22</xdr:row>
          <xdr:rowOff>103040</xdr:rowOff>
        </xdr:to>
        <xdr:pic>
          <xdr:nvPicPr>
            <xdr:cNvPr id="3" name="Picture 2"/>
            <xdr:cNvPicPr>
              <a:picLocks noChangeAspect="1" noChangeArrowheads="1"/>
              <a:extLst>
                <a:ext uri="{84589F7E-364E-4C9E-8A38-B11213B215E9}">
                  <a14:cameraTool cellRange="UNICAHUF!$P$2:$Q$17" spid="_x0000_s2361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371850" y="1388268"/>
              <a:ext cx="2997608" cy="185802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238124</xdr:colOff>
          <xdr:row>9</xdr:row>
          <xdr:rowOff>102394</xdr:rowOff>
        </xdr:from>
        <xdr:to>
          <xdr:col>12</xdr:col>
          <xdr:colOff>44857</xdr:colOff>
          <xdr:row>22</xdr:row>
          <xdr:rowOff>103041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UNICAPLN!$P$2:$Q$17" spid="_x0000_s2361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562724" y="1388269"/>
              <a:ext cx="2997608" cy="185802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914400</xdr:colOff>
          <xdr:row>15</xdr:row>
          <xdr:rowOff>9525</xdr:rowOff>
        </xdr:to>
        <xdr:sp macro="" textlink="">
          <xdr:nvSpPr>
            <xdr:cNvPr id="21505" name="btnRun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914400</xdr:colOff>
          <xdr:row>17</xdr:row>
          <xdr:rowOff>9525</xdr:rowOff>
        </xdr:to>
        <xdr:sp macro="" textlink="">
          <xdr:nvSpPr>
            <xdr:cNvPr id="21506" name="btnFreeze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914400</xdr:colOff>
          <xdr:row>15</xdr:row>
          <xdr:rowOff>9525</xdr:rowOff>
        </xdr:to>
        <xdr:sp macro="" textlink="">
          <xdr:nvSpPr>
            <xdr:cNvPr id="18433" name="btnRun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914400</xdr:colOff>
          <xdr:row>17</xdr:row>
          <xdr:rowOff>9525</xdr:rowOff>
        </xdr:to>
        <xdr:sp macro="" textlink="">
          <xdr:nvSpPr>
            <xdr:cNvPr id="18434" name="btnFreeze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914400</xdr:colOff>
          <xdr:row>15</xdr:row>
          <xdr:rowOff>9525</xdr:rowOff>
        </xdr:to>
        <xdr:sp macro="" textlink="">
          <xdr:nvSpPr>
            <xdr:cNvPr id="26625" name="btnRun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914400</xdr:colOff>
          <xdr:row>17</xdr:row>
          <xdr:rowOff>9525</xdr:rowOff>
        </xdr:to>
        <xdr:sp macro="" textlink="">
          <xdr:nvSpPr>
            <xdr:cNvPr id="26626" name="btnFreeze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914400</xdr:colOff>
          <xdr:row>15</xdr:row>
          <xdr:rowOff>9525</xdr:rowOff>
        </xdr:to>
        <xdr:sp macro="" textlink="">
          <xdr:nvSpPr>
            <xdr:cNvPr id="29697" name="btnRun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914400</xdr:colOff>
          <xdr:row>17</xdr:row>
          <xdr:rowOff>9525</xdr:rowOff>
        </xdr:to>
        <xdr:sp macro="" textlink="">
          <xdr:nvSpPr>
            <xdr:cNvPr id="29698" name="btnFreeze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9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11.emf"/><Relationship Id="rId4" Type="http://schemas.openxmlformats.org/officeDocument/2006/relationships/control" Target="../activeX/activeX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13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/>
  <dimension ref="B2:H30"/>
  <sheetViews>
    <sheetView workbookViewId="0"/>
  </sheetViews>
  <sheetFormatPr defaultRowHeight="11.25"/>
  <cols>
    <col min="1" max="1" width="3.83203125" customWidth="1"/>
    <col min="2" max="2" width="12.83203125" customWidth="1"/>
    <col min="4" max="4" width="3.83203125" customWidth="1"/>
    <col min="5" max="5" width="15.83203125" customWidth="1"/>
    <col min="6" max="7" width="3.83203125" customWidth="1"/>
    <col min="9" max="9" width="3.83203125" customWidth="1"/>
  </cols>
  <sheetData>
    <row r="2" spans="2:8">
      <c r="B2" s="229" t="s">
        <v>120</v>
      </c>
      <c r="C2" s="230"/>
      <c r="E2" s="54" t="s">
        <v>121</v>
      </c>
      <c r="H2" s="54" t="s">
        <v>74</v>
      </c>
    </row>
    <row r="3" spans="2:8">
      <c r="B3" s="3" t="s">
        <v>112</v>
      </c>
      <c r="C3" s="3">
        <v>0</v>
      </c>
      <c r="E3" s="3" t="s">
        <v>63</v>
      </c>
      <c r="H3" s="3" t="b">
        <v>1</v>
      </c>
    </row>
    <row r="4" spans="2:8">
      <c r="B4" s="4" t="s">
        <v>105</v>
      </c>
      <c r="C4" s="4">
        <v>1</v>
      </c>
      <c r="E4" s="4" t="s">
        <v>106</v>
      </c>
      <c r="H4" s="5" t="b">
        <v>0</v>
      </c>
    </row>
    <row r="5" spans="2:8">
      <c r="B5" s="4" t="s">
        <v>113</v>
      </c>
      <c r="C5" s="4">
        <v>2</v>
      </c>
      <c r="E5" s="4" t="s">
        <v>60</v>
      </c>
    </row>
    <row r="6" spans="2:8">
      <c r="B6" s="55" t="s">
        <v>114</v>
      </c>
      <c r="C6" s="4">
        <v>3</v>
      </c>
      <c r="E6" s="4" t="s">
        <v>107</v>
      </c>
    </row>
    <row r="7" spans="2:8">
      <c r="B7" s="4" t="s">
        <v>115</v>
      </c>
      <c r="C7" s="4">
        <v>4</v>
      </c>
      <c r="E7" s="5" t="s">
        <v>108</v>
      </c>
    </row>
    <row r="8" spans="2:8">
      <c r="B8" s="4" t="s">
        <v>116</v>
      </c>
      <c r="C8" s="4">
        <v>5</v>
      </c>
    </row>
    <row r="9" spans="2:8">
      <c r="B9" s="4" t="s">
        <v>117</v>
      </c>
      <c r="C9" s="4">
        <v>6</v>
      </c>
      <c r="E9" s="54" t="s">
        <v>124</v>
      </c>
    </row>
    <row r="10" spans="2:8">
      <c r="B10" s="4" t="s">
        <v>118</v>
      </c>
      <c r="C10" s="4">
        <v>7</v>
      </c>
      <c r="E10" s="3" t="s">
        <v>64</v>
      </c>
    </row>
    <row r="11" spans="2:8">
      <c r="B11" s="4" t="s">
        <v>104</v>
      </c>
      <c r="C11" s="4">
        <v>8</v>
      </c>
      <c r="E11" s="4" t="s">
        <v>61</v>
      </c>
    </row>
    <row r="12" spans="2:8">
      <c r="B12" s="5" t="s">
        <v>119</v>
      </c>
      <c r="C12" s="5">
        <v>9</v>
      </c>
      <c r="E12" s="5" t="s">
        <v>109</v>
      </c>
    </row>
    <row r="13" spans="2:8">
      <c r="E13" s="138"/>
    </row>
    <row r="14" spans="2:8">
      <c r="B14" s="229" t="s">
        <v>137</v>
      </c>
      <c r="C14" s="230"/>
      <c r="E14" s="54" t="s">
        <v>125</v>
      </c>
    </row>
    <row r="15" spans="2:8">
      <c r="B15" s="3" t="s">
        <v>134</v>
      </c>
      <c r="C15" s="3">
        <v>0</v>
      </c>
      <c r="E15" s="3" t="s">
        <v>39</v>
      </c>
    </row>
    <row r="16" spans="2:8">
      <c r="B16" s="4" t="s">
        <v>135</v>
      </c>
      <c r="C16" s="4">
        <v>1</v>
      </c>
      <c r="E16" s="4" t="s">
        <v>110</v>
      </c>
    </row>
    <row r="17" spans="2:5">
      <c r="B17" s="4" t="s">
        <v>94</v>
      </c>
      <c r="C17" s="4">
        <v>2</v>
      </c>
      <c r="E17" s="5" t="s">
        <v>111</v>
      </c>
    </row>
    <row r="18" spans="2:5">
      <c r="B18" s="5" t="s">
        <v>136</v>
      </c>
      <c r="C18" s="5">
        <v>3</v>
      </c>
      <c r="E18" s="138"/>
    </row>
    <row r="19" spans="2:5">
      <c r="E19" s="54" t="s">
        <v>129</v>
      </c>
    </row>
    <row r="20" spans="2:5">
      <c r="B20" s="229" t="s">
        <v>140</v>
      </c>
      <c r="C20" s="230"/>
      <c r="E20" s="3" t="s">
        <v>127</v>
      </c>
    </row>
    <row r="21" spans="2:5">
      <c r="B21" s="3" t="s">
        <v>97</v>
      </c>
      <c r="C21" s="3">
        <v>0</v>
      </c>
      <c r="E21" s="4" t="s">
        <v>128</v>
      </c>
    </row>
    <row r="22" spans="2:5">
      <c r="B22" s="4" t="s">
        <v>138</v>
      </c>
      <c r="C22" s="4">
        <v>1</v>
      </c>
      <c r="E22" s="5" t="s">
        <v>34</v>
      </c>
    </row>
    <row r="23" spans="2:5">
      <c r="B23" s="5" t="s">
        <v>139</v>
      </c>
      <c r="C23" s="5">
        <v>2</v>
      </c>
    </row>
    <row r="24" spans="2:5">
      <c r="E24" s="54" t="s">
        <v>132</v>
      </c>
    </row>
    <row r="25" spans="2:5">
      <c r="B25" s="229" t="s">
        <v>141</v>
      </c>
      <c r="C25" s="230"/>
      <c r="E25" s="3" t="s">
        <v>12</v>
      </c>
    </row>
    <row r="26" spans="2:5">
      <c r="B26" s="3" t="s">
        <v>92</v>
      </c>
      <c r="C26" s="3">
        <v>0</v>
      </c>
      <c r="E26" s="5" t="s">
        <v>130</v>
      </c>
    </row>
    <row r="27" spans="2:5">
      <c r="B27" s="5" t="s">
        <v>126</v>
      </c>
      <c r="C27" s="5">
        <v>1</v>
      </c>
    </row>
    <row r="28" spans="2:5">
      <c r="E28" s="54" t="s">
        <v>133</v>
      </c>
    </row>
    <row r="29" spans="2:5">
      <c r="E29" s="3" t="s">
        <v>29</v>
      </c>
    </row>
    <row r="30" spans="2:5">
      <c r="E30" s="5" t="s">
        <v>131</v>
      </c>
    </row>
  </sheetData>
  <mergeCells count="4">
    <mergeCell ref="B20:C20"/>
    <mergeCell ref="B25:C25"/>
    <mergeCell ref="B2:C2"/>
    <mergeCell ref="B14:C14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4" tint="0.59999389629810485"/>
  </sheetPr>
  <dimension ref="B2:L9"/>
  <sheetViews>
    <sheetView showGridLines="0" tabSelected="1" zoomScaleNormal="100" workbookViewId="0">
      <selection activeCell="C2" sqref="C2"/>
    </sheetView>
  </sheetViews>
  <sheetFormatPr defaultRowHeight="11.25"/>
  <cols>
    <col min="1" max="1" width="3.83203125" customWidth="1"/>
    <col min="3" max="4" width="20.83203125" customWidth="1"/>
    <col min="5" max="5" width="4.83203125" customWidth="1"/>
    <col min="7" max="8" width="20.83203125" customWidth="1"/>
    <col min="9" max="9" width="4.83203125" customWidth="1"/>
    <col min="11" max="12" width="20.83203125" customWidth="1"/>
  </cols>
  <sheetData>
    <row r="2" spans="2:12">
      <c r="B2" s="182" t="s">
        <v>159</v>
      </c>
      <c r="C2" s="250">
        <v>41893</v>
      </c>
    </row>
    <row r="4" spans="2:12">
      <c r="C4" s="179" t="s">
        <v>186</v>
      </c>
      <c r="D4" s="180" t="s">
        <v>187</v>
      </c>
      <c r="G4" s="179" t="s">
        <v>186</v>
      </c>
      <c r="H4" s="180" t="s">
        <v>187</v>
      </c>
      <c r="K4" s="179" t="s">
        <v>186</v>
      </c>
      <c r="L4" s="180" t="s">
        <v>187</v>
      </c>
    </row>
    <row r="5" spans="2:12">
      <c r="B5" s="181" t="s">
        <v>185</v>
      </c>
      <c r="C5" s="176" t="str">
        <f ca="1">INDIRECT($B5&amp;"!"&amp;C$4)</f>
        <v>CHFSTD</v>
      </c>
      <c r="D5" s="177">
        <f ca="1">INDIRECT($B5&amp;"!"&amp;D$4)</f>
        <v>1</v>
      </c>
      <c r="F5" s="181" t="s">
        <v>213</v>
      </c>
      <c r="G5" s="176" t="str">
        <f ca="1">INDIRECT($F5&amp;"!"&amp;G$4)</f>
        <v>HUFSTD</v>
      </c>
      <c r="H5" s="177">
        <f ca="1">INDIRECT($F5&amp;"!"&amp;H$4)</f>
        <v>1</v>
      </c>
      <c r="J5" s="181" t="s">
        <v>228</v>
      </c>
      <c r="K5" s="176" t="str">
        <f ca="1">INDIRECT($J5&amp;"!"&amp;K$4)</f>
        <v>PLNSTD</v>
      </c>
      <c r="L5" s="177">
        <f ca="1">INDIRECT($J5&amp;"!"&amp;L$4)</f>
        <v>1</v>
      </c>
    </row>
    <row r="6" spans="2:12">
      <c r="B6" s="181" t="s">
        <v>35</v>
      </c>
      <c r="C6" s="176" t="str">
        <f ca="1">INDIRECT($B6&amp;"!"&amp;C$4)</f>
        <v>CHF3M</v>
      </c>
      <c r="D6" s="177">
        <f ca="1">INDIRECT($B6&amp;"!"&amp;D$4)</f>
        <v>1</v>
      </c>
      <c r="F6" s="181" t="s">
        <v>213</v>
      </c>
      <c r="G6" s="176" t="str">
        <f ca="1">INDIRECT($F6&amp;"!"&amp;G$4)</f>
        <v>HUFSTD</v>
      </c>
      <c r="H6" s="177">
        <f ca="1">INDIRECT($F6&amp;"!"&amp;H$4)</f>
        <v>1</v>
      </c>
      <c r="J6" s="181" t="s">
        <v>228</v>
      </c>
      <c r="K6" s="176" t="str">
        <f ca="1">INDIRECT($J6&amp;"!"&amp;K$4)</f>
        <v>PLNSTD</v>
      </c>
      <c r="L6" s="177">
        <f ca="1">INDIRECT($J6&amp;"!"&amp;L$4)</f>
        <v>1</v>
      </c>
    </row>
    <row r="8" spans="2:12">
      <c r="C8" s="183" t="s">
        <v>190</v>
      </c>
      <c r="D8" s="184" t="s">
        <v>189</v>
      </c>
      <c r="G8" s="183" t="s">
        <v>190</v>
      </c>
      <c r="H8" s="184" t="s">
        <v>189</v>
      </c>
      <c r="K8" s="183" t="s">
        <v>190</v>
      </c>
      <c r="L8" s="184" t="s">
        <v>189</v>
      </c>
    </row>
    <row r="9" spans="2:12">
      <c r="B9" s="181" t="s">
        <v>188</v>
      </c>
      <c r="C9" s="189" t="str">
        <f>IF(UNICA!IsOK,"OK",NA())</f>
        <v>OK</v>
      </c>
      <c r="D9" s="178" t="b">
        <v>0</v>
      </c>
      <c r="F9" s="181" t="s">
        <v>188</v>
      </c>
      <c r="G9" s="189" t="str">
        <f>IF(UNICAHUF!IsOK,"OK",NA())</f>
        <v>OK</v>
      </c>
      <c r="H9" s="178" t="b">
        <v>0</v>
      </c>
      <c r="J9" s="181" t="s">
        <v>188</v>
      </c>
      <c r="K9" s="189" t="str">
        <f>IF(UNICAPLN!IsOK,"OK",NA())</f>
        <v>OK</v>
      </c>
      <c r="L9" s="178" t="b">
        <v>0</v>
      </c>
    </row>
  </sheetData>
  <phoneticPr fontId="0" type="noConversion"/>
  <conditionalFormatting sqref="C9">
    <cfRule type="containsErrors" dxfId="79" priority="9">
      <formula>ISERROR(C9)</formula>
    </cfRule>
  </conditionalFormatting>
  <conditionalFormatting sqref="D5:D6">
    <cfRule type="containsErrors" dxfId="78" priority="8">
      <formula>ISERROR(D5)</formula>
    </cfRule>
  </conditionalFormatting>
  <conditionalFormatting sqref="D9">
    <cfRule type="cellIs" dxfId="77" priority="7" operator="equal">
      <formula>TRUE</formula>
    </cfRule>
  </conditionalFormatting>
  <conditionalFormatting sqref="H5:H6">
    <cfRule type="containsErrors" dxfId="76" priority="6">
      <formula>ISERROR(H5)</formula>
    </cfRule>
  </conditionalFormatting>
  <conditionalFormatting sqref="G9">
    <cfRule type="containsErrors" dxfId="75" priority="5">
      <formula>ISERROR(G9)</formula>
    </cfRule>
  </conditionalFormatting>
  <conditionalFormatting sqref="H9">
    <cfRule type="cellIs" dxfId="74" priority="4" operator="equal">
      <formula>TRUE</formula>
    </cfRule>
  </conditionalFormatting>
  <conditionalFormatting sqref="L5:L6">
    <cfRule type="containsErrors" dxfId="73" priority="3">
      <formula>ISERROR(L5)</formula>
    </cfRule>
  </conditionalFormatting>
  <conditionalFormatting sqref="K9">
    <cfRule type="containsErrors" dxfId="72" priority="2">
      <formula>ISERROR(K9)</formula>
    </cfRule>
  </conditionalFormatting>
  <conditionalFormatting sqref="L9">
    <cfRule type="cellIs" dxfId="71" priority="1" operator="equal">
      <formula>TRUE</formula>
    </cfRule>
  </conditionalFormatting>
  <dataValidations count="1">
    <dataValidation type="list" allowBlank="1" showInputMessage="1" showErrorMessage="1" sqref="D9 H9 L9">
      <formula1>dvBool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5" tint="0.59999389629810485"/>
    <outlinePr summaryRight="0"/>
  </sheetPr>
  <dimension ref="A1:BH112"/>
  <sheetViews>
    <sheetView showGridLines="0" workbookViewId="0"/>
  </sheetViews>
  <sheetFormatPr defaultRowHeight="11.25" customHeight="1" outlineLevelCol="1"/>
  <cols>
    <col min="1" max="1" width="3.83203125" customWidth="1"/>
    <col min="2" max="2" width="25.83203125" customWidth="1"/>
    <col min="3" max="3" width="12.83203125" customWidth="1"/>
    <col min="4" max="4" width="2.83203125" customWidth="1"/>
    <col min="5" max="5" width="9.33203125" style="6"/>
    <col min="6" max="6" width="9.33203125" style="6" collapsed="1"/>
    <col min="7" max="8" width="9.33203125" style="6" hidden="1" customWidth="1" outlineLevel="1"/>
    <col min="9" max="11" width="9.33203125" style="6"/>
    <col min="12" max="12" width="9.33203125" style="6" collapsed="1"/>
    <col min="13" max="17" width="9.33203125" style="6" hidden="1" customWidth="1" outlineLevel="1"/>
    <col min="18" max="18" width="10.83203125" style="6" hidden="1" customWidth="1" outlineLevel="1"/>
    <col min="19" max="19" width="9.33203125" style="6" hidden="1" customWidth="1" outlineLevel="1"/>
    <col min="20" max="20" width="2.83203125" style="6" customWidth="1"/>
    <col min="21" max="21" width="10.83203125" style="7" customWidth="1"/>
    <col min="22" max="22" width="12.83203125" style="7" customWidth="1"/>
    <col min="25" max="25" width="11.83203125" style="6" customWidth="1"/>
    <col min="26" max="27" width="9.5" style="6" bestFit="1" customWidth="1"/>
    <col min="28" max="28" width="2.83203125" style="6" customWidth="1"/>
    <col min="29" max="29" width="10.33203125" style="6" customWidth="1"/>
    <col min="30" max="30" width="9.33203125" style="6"/>
    <col min="31" max="31" width="2.83203125" customWidth="1"/>
    <col min="32" max="32" width="11.83203125" customWidth="1"/>
    <col min="33" max="34" width="9.5" bestFit="1" customWidth="1"/>
    <col min="35" max="35" width="2.83203125" customWidth="1"/>
    <col min="36" max="36" width="10.33203125" customWidth="1"/>
    <col min="40" max="40" width="9.83203125" style="6" customWidth="1"/>
    <col min="41" max="41" width="9.33203125" style="6" customWidth="1"/>
    <col min="42" max="42" width="12.83203125" style="6" bestFit="1" customWidth="1"/>
    <col min="43" max="43" width="12.83203125" style="6" customWidth="1"/>
    <col min="44" max="44" width="9.33203125" style="6"/>
    <col min="45" max="45" width="10.83203125" style="6" customWidth="1"/>
    <col min="46" max="46" width="16.83203125" style="6" customWidth="1"/>
    <col min="47" max="48" width="10.83203125" style="6" customWidth="1"/>
    <col min="49" max="50" width="9.5" style="6" bestFit="1" customWidth="1"/>
    <col min="51" max="52" width="3.83203125" style="6" customWidth="1"/>
    <col min="53" max="54" width="9.5" style="6" bestFit="1" customWidth="1"/>
    <col min="55" max="16384" width="9.33203125" style="6"/>
  </cols>
  <sheetData>
    <row r="1" spans="1:58" ht="11.25" customHeight="1">
      <c r="A1" s="119"/>
      <c r="B1" s="6"/>
      <c r="C1" s="6"/>
      <c r="D1" s="6"/>
      <c r="E1" s="53"/>
      <c r="F1" s="7"/>
      <c r="G1" s="7"/>
      <c r="H1" s="7"/>
      <c r="I1" s="7"/>
      <c r="J1" s="7"/>
      <c r="K1" s="7"/>
      <c r="L1" s="7"/>
    </row>
    <row r="2" spans="1:58" ht="11.25" customHeight="1">
      <c r="A2" s="6"/>
      <c r="B2" s="231" t="s">
        <v>0</v>
      </c>
      <c r="C2" s="232"/>
      <c r="D2" s="6"/>
      <c r="E2" s="86" t="s">
        <v>75</v>
      </c>
      <c r="G2" s="8"/>
      <c r="H2" s="8"/>
      <c r="I2" s="86" t="s">
        <v>1</v>
      </c>
      <c r="J2" s="86" t="s">
        <v>2</v>
      </c>
      <c r="K2" s="86" t="s">
        <v>3</v>
      </c>
      <c r="L2" s="86" t="s">
        <v>4</v>
      </c>
      <c r="M2" s="8"/>
      <c r="N2" s="8"/>
      <c r="P2" s="8"/>
      <c r="Q2" s="8"/>
      <c r="R2" s="8"/>
      <c r="S2" s="44">
        <f t="array" ref="S2">SUM(1*E3:E20)</f>
        <v>15</v>
      </c>
      <c r="U2" s="87" t="s">
        <v>88</v>
      </c>
      <c r="V2" s="87" t="s">
        <v>89</v>
      </c>
      <c r="Y2" s="10" t="s">
        <v>78</v>
      </c>
      <c r="Z2" s="81" t="str">
        <f>AA2</f>
        <v>ASK</v>
      </c>
      <c r="AA2" s="12" t="s">
        <v>6</v>
      </c>
      <c r="AO2" s="214">
        <f>MATCH(C9,{"simple","annual","cont"},0)-1</f>
        <v>2</v>
      </c>
      <c r="AR2" s="76" t="s">
        <v>7</v>
      </c>
      <c r="AS2" s="76" t="s">
        <v>8</v>
      </c>
      <c r="AT2" s="76" t="s">
        <v>9</v>
      </c>
      <c r="AU2" s="233" t="s">
        <v>10</v>
      </c>
      <c r="AV2" s="233"/>
      <c r="AW2" s="14" t="s">
        <v>65</v>
      </c>
      <c r="AX2" s="14" t="s">
        <v>66</v>
      </c>
      <c r="AY2" s="14"/>
      <c r="AZ2" s="14"/>
      <c r="BA2" s="14" t="s">
        <v>11</v>
      </c>
      <c r="BB2" s="14" t="s">
        <v>67</v>
      </c>
      <c r="BC2" s="15"/>
      <c r="BD2" s="15"/>
    </row>
    <row r="3" spans="1:58" ht="11.25" customHeight="1">
      <c r="A3" s="6"/>
      <c r="B3" s="83" t="s">
        <v>73</v>
      </c>
      <c r="C3" s="90">
        <f>Today</f>
        <v>41893</v>
      </c>
      <c r="D3" s="6"/>
      <c r="E3" s="128" t="b">
        <v>1</v>
      </c>
      <c r="F3" s="111" t="str">
        <f>Y3</f>
        <v>ON</v>
      </c>
      <c r="G3" s="16">
        <v>0</v>
      </c>
      <c r="H3" s="17" t="s">
        <v>12</v>
      </c>
      <c r="I3" s="78">
        <f>AVERAGE(Z3:AA3)</f>
        <v>0.05</v>
      </c>
      <c r="J3" s="49"/>
      <c r="K3" s="125"/>
      <c r="L3" s="49">
        <f t="shared" ref="L3:L16" si="0">IF(ISNUMBER(J3),J3,I3)+K3</f>
        <v>0.05</v>
      </c>
      <c r="M3" s="16">
        <v>1</v>
      </c>
      <c r="N3" s="17">
        <f t="shared" ref="N3:N16" si="1">IF(E3,M3,"")</f>
        <v>1</v>
      </c>
      <c r="O3" s="44">
        <f>IF($S$2&gt;0,1,"")</f>
        <v>1</v>
      </c>
      <c r="P3" s="17">
        <f t="shared" ref="P3:P20" si="2">IF(LEN(O3)&gt;0,SMALL($N$3:$N$20,O3),"")</f>
        <v>1</v>
      </c>
      <c r="Q3" s="16">
        <f t="shared" ref="Q3:Q20" si="3">IF(LEN(O3)&gt;0,INDEX($G$3:$G$20,$P3),"")</f>
        <v>0</v>
      </c>
      <c r="R3" s="39" t="str">
        <f t="shared" ref="R3:R20" si="4">IF(LEN(P3)&gt;0,INDEX($H$3:$H$20,$P3),"")</f>
        <v>on</v>
      </c>
      <c r="S3" s="40">
        <f t="shared" ref="S3:S20" si="5">IF(LEN(P3)&gt;0,INDEX($L$3:$L$20,$P3),"")</f>
        <v>0.05</v>
      </c>
      <c r="U3" s="131">
        <f t="array" ref="U3:V79">_xll.xlCurveBootstrapper(C3+0*TYPE(A1),C4,C5,S2,Q3:S20,S26,R27:S38,S40,R41:S82,C7,C8,C9,C50,B53:B70,C53:C70)</f>
        <v>41893</v>
      </c>
      <c r="V3" s="132">
        <v>1</v>
      </c>
      <c r="Y3" s="16" t="s">
        <v>13</v>
      </c>
      <c r="Z3" s="16">
        <f>_xll.RtGet($AD$3,$AD$4&amp;$Y3&amp;$AD$5,Z$2)</f>
        <v>0.05</v>
      </c>
      <c r="AA3" s="17">
        <f>_xll.RtGet($AD$3,$AD$4&amp;$Y3&amp;$AD$5,AA$2)</f>
        <v>0.05</v>
      </c>
      <c r="AC3" s="13" t="s">
        <v>14</v>
      </c>
      <c r="AD3" s="71" t="s">
        <v>62</v>
      </c>
      <c r="AN3" s="6" t="str">
        <f>_xll.xlShmInterpDisc(CurveName,DATE(YEAR(AU3)+IF(YEAR(AU3)&lt;2000,100,0),MONTH(AU3),DAY(AU3)))</f>
        <v>Date before first TermStructure's date.</v>
      </c>
      <c r="AO3" s="215" t="e">
        <f>_xll.xlShmInterpRate(CurveName,$AO$2,$C$50,DATE(YEAR(AU3)+IF(YEAR(AU3)&lt;2000,100,0),MONTH(AU3),DAY(AU3)))*100</f>
        <v>#VALUE!</v>
      </c>
      <c r="AP3" s="6" t="e">
        <f t="shared" ref="AP3:AP34" si="6">AN3-AW3</f>
        <v>#VALUE!</v>
      </c>
      <c r="AQ3" s="215" t="e">
        <f>AO3-AX3</f>
        <v>#VALUE!</v>
      </c>
      <c r="AR3" s="8" t="s">
        <v>15</v>
      </c>
      <c r="AS3" s="52">
        <v>41551</v>
      </c>
      <c r="AT3" s="8" t="s">
        <v>146</v>
      </c>
      <c r="AU3" s="52">
        <v>41554</v>
      </c>
      <c r="AV3" s="52" t="s">
        <v>16</v>
      </c>
      <c r="AW3" s="6">
        <v>0.99999166673611095</v>
      </c>
      <c r="AX3" s="6">
        <v>0.101388466438196</v>
      </c>
      <c r="BA3" s="6">
        <v>0.1</v>
      </c>
      <c r="BB3" s="6">
        <v>0</v>
      </c>
      <c r="BC3" s="21" t="s">
        <v>17</v>
      </c>
      <c r="BD3" s="52" t="str">
        <f>AV3</f>
        <v>O/N</v>
      </c>
      <c r="BE3" s="6">
        <f>BA3</f>
        <v>0.1</v>
      </c>
      <c r="BF3" s="6">
        <f>BB3</f>
        <v>0</v>
      </c>
    </row>
    <row r="4" spans="1:58" ht="11.25" customHeight="1">
      <c r="A4" s="6"/>
      <c r="B4" s="84" t="s">
        <v>76</v>
      </c>
      <c r="C4" s="91" t="s">
        <v>150</v>
      </c>
      <c r="D4" s="6"/>
      <c r="E4" s="129" t="b">
        <v>1</v>
      </c>
      <c r="F4" s="112" t="str">
        <f>Y4</f>
        <v>TN</v>
      </c>
      <c r="G4" s="29">
        <v>0</v>
      </c>
      <c r="H4" s="30" t="s">
        <v>18</v>
      </c>
      <c r="I4" s="79">
        <f t="shared" ref="I4:I5" si="7">AVERAGE(Z4:AA4)</f>
        <v>0.05</v>
      </c>
      <c r="J4" s="50"/>
      <c r="K4" s="127"/>
      <c r="L4" s="50">
        <f t="shared" si="0"/>
        <v>0.05</v>
      </c>
      <c r="M4" s="29">
        <f t="shared" ref="M4:M16" si="8">M3+1</f>
        <v>2</v>
      </c>
      <c r="N4" s="30">
        <f t="shared" si="1"/>
        <v>2</v>
      </c>
      <c r="O4" s="29">
        <f t="shared" ref="O4:O16" si="9">IF(O3&lt;$S$2,O3+1,"")</f>
        <v>2</v>
      </c>
      <c r="P4" s="30">
        <f t="shared" si="2"/>
        <v>2</v>
      </c>
      <c r="Q4" s="29">
        <f t="shared" si="3"/>
        <v>0</v>
      </c>
      <c r="R4" s="27" t="str">
        <f t="shared" si="4"/>
        <v>tn</v>
      </c>
      <c r="S4" s="41">
        <f t="shared" si="5"/>
        <v>0.05</v>
      </c>
      <c r="U4" s="133">
        <v>41894</v>
      </c>
      <c r="V4" s="134">
        <v>0.99999861111304023</v>
      </c>
      <c r="Y4" s="29" t="s">
        <v>19</v>
      </c>
      <c r="Z4" s="29">
        <f>_xll.RtGet($AD$3,$AD$4&amp;$Y4&amp;$AD$5,Z$2)</f>
        <v>0.05</v>
      </c>
      <c r="AA4" s="30">
        <f>_xll.RtGet($AD$3,$AD$4&amp;$Y4&amp;$AD$5,AA$2)</f>
        <v>0.05</v>
      </c>
      <c r="AC4" s="18" t="s">
        <v>20</v>
      </c>
      <c r="AD4" s="72" t="s">
        <v>150</v>
      </c>
      <c r="AN4" s="6" t="str">
        <f>_xll.xlShmInterpDisc(CurveName,DATE(YEAR(AU4)+IF(YEAR(AU4)&lt;2000,100,0),MONTH(AU4),DAY(AU4)))</f>
        <v>Date before first TermStructure's date.</v>
      </c>
      <c r="AO4" s="215" t="e">
        <f>_xll.xlShmInterpRate(CurveName,$AO$2,$C$50,DATE(YEAR(AU4)+IF(YEAR(AU4)&lt;2000,100,0),MONTH(AU4),DAY(AU4)))*100</f>
        <v>#VALUE!</v>
      </c>
      <c r="AP4" s="6" t="e">
        <f t="shared" si="6"/>
        <v>#VALUE!</v>
      </c>
      <c r="AQ4" s="215" t="e">
        <f t="shared" ref="AQ4:AQ66" si="10">AO4-AX4</f>
        <v>#VALUE!</v>
      </c>
      <c r="AR4" s="8" t="s">
        <v>15</v>
      </c>
      <c r="AS4" s="52">
        <v>41554</v>
      </c>
      <c r="AT4" s="8" t="s">
        <v>146</v>
      </c>
      <c r="AU4" s="52">
        <v>41555</v>
      </c>
      <c r="AV4" s="52" t="s">
        <v>21</v>
      </c>
      <c r="AW4" s="6">
        <v>0.99998888898919702</v>
      </c>
      <c r="AX4" s="6">
        <v>0.101388536846183</v>
      </c>
      <c r="BA4" s="6">
        <v>0.1</v>
      </c>
      <c r="BB4" s="6">
        <v>0</v>
      </c>
      <c r="BC4" s="21" t="s">
        <v>17</v>
      </c>
      <c r="BD4" s="52" t="str">
        <f t="shared" ref="BD4:BD13" si="11">AV4</f>
        <v>T/N</v>
      </c>
      <c r="BE4" s="6">
        <f t="shared" ref="BE4:BF13" si="12">BA4</f>
        <v>0.1</v>
      </c>
      <c r="BF4" s="6">
        <f t="shared" si="12"/>
        <v>0</v>
      </c>
    </row>
    <row r="5" spans="1:58" ht="11.25" customHeight="1">
      <c r="A5" s="6"/>
      <c r="B5" s="85" t="s">
        <v>77</v>
      </c>
      <c r="C5" s="92" t="s">
        <v>160</v>
      </c>
      <c r="D5" s="6"/>
      <c r="E5" s="130" t="b">
        <v>1</v>
      </c>
      <c r="F5" s="113" t="str">
        <f>Y5</f>
        <v>SN</v>
      </c>
      <c r="G5" s="22">
        <v>0</v>
      </c>
      <c r="H5" s="23" t="s">
        <v>22</v>
      </c>
      <c r="I5" s="80">
        <f t="shared" si="7"/>
        <v>0.05</v>
      </c>
      <c r="J5" s="51"/>
      <c r="K5" s="126"/>
      <c r="L5" s="51">
        <f t="shared" si="0"/>
        <v>0.05</v>
      </c>
      <c r="M5" s="29">
        <f t="shared" si="8"/>
        <v>3</v>
      </c>
      <c r="N5" s="30">
        <f t="shared" si="1"/>
        <v>3</v>
      </c>
      <c r="O5" s="29">
        <f t="shared" si="9"/>
        <v>3</v>
      </c>
      <c r="P5" s="30">
        <f t="shared" si="2"/>
        <v>3</v>
      </c>
      <c r="Q5" s="29">
        <f t="shared" si="3"/>
        <v>0</v>
      </c>
      <c r="R5" s="27" t="str">
        <f t="shared" si="4"/>
        <v>sn</v>
      </c>
      <c r="S5" s="41">
        <f t="shared" si="5"/>
        <v>0.05</v>
      </c>
      <c r="U5" s="133">
        <v>41897</v>
      </c>
      <c r="V5" s="134">
        <v>0.99999444446952157</v>
      </c>
      <c r="Y5" s="22" t="s">
        <v>23</v>
      </c>
      <c r="Z5" s="22">
        <f>_xll.RtGet($AD$3,$AD$4&amp;$Y5&amp;$AD$5,Z$2)</f>
        <v>0.05</v>
      </c>
      <c r="AA5" s="23">
        <f>_xll.RtGet($AD$3,$AD$4&amp;$Y5&amp;$AD$5,AA$2)</f>
        <v>0.05</v>
      </c>
      <c r="AC5" s="24" t="s">
        <v>24</v>
      </c>
      <c r="AD5" s="73" t="s">
        <v>151</v>
      </c>
      <c r="AN5" s="6" t="str">
        <f>_xll.xlShmInterpDisc(CurveName,DATE(YEAR(AU5)+IF(YEAR(AU5)&lt;2000,100,0),MONTH(AU5),DAY(AU5)))</f>
        <v>Date before first TermStructure's date.</v>
      </c>
      <c r="AO5" s="215" t="e">
        <f>_xll.xlShmInterpRate(CurveName,$AO$2,$C$50,DATE(YEAR(AU5)+IF(YEAR(AU5)&lt;2000,100,0),MONTH(AU5),DAY(AU5)))*100</f>
        <v>#VALUE!</v>
      </c>
      <c r="AP5" s="6" t="e">
        <f t="shared" si="6"/>
        <v>#VALUE!</v>
      </c>
      <c r="AQ5" s="215" t="e">
        <f t="shared" si="10"/>
        <v>#VALUE!</v>
      </c>
      <c r="AR5" s="8" t="s">
        <v>15</v>
      </c>
      <c r="AS5" s="52">
        <v>41555</v>
      </c>
      <c r="AT5" s="8" t="s">
        <v>146</v>
      </c>
      <c r="AU5" s="52">
        <v>41556</v>
      </c>
      <c r="AV5" s="52" t="s">
        <v>25</v>
      </c>
      <c r="AW5" s="6">
        <v>0.99998611124999903</v>
      </c>
      <c r="AX5" s="6">
        <v>0.101388579091824</v>
      </c>
      <c r="BA5" s="6">
        <v>0.1</v>
      </c>
      <c r="BB5" s="6">
        <v>0</v>
      </c>
      <c r="BC5" s="21" t="s">
        <v>17</v>
      </c>
      <c r="BD5" s="52" t="str">
        <f t="shared" si="11"/>
        <v>S/N</v>
      </c>
      <c r="BE5" s="6">
        <f t="shared" si="12"/>
        <v>0.1</v>
      </c>
      <c r="BF5" s="6">
        <f t="shared" si="12"/>
        <v>0</v>
      </c>
    </row>
    <row r="6" spans="1:58" ht="11.25" customHeight="1">
      <c r="A6" s="7"/>
      <c r="B6" s="159" t="s">
        <v>169</v>
      </c>
      <c r="C6" s="93"/>
      <c r="D6" s="6"/>
      <c r="E6" s="128" t="b">
        <v>1</v>
      </c>
      <c r="F6" s="114">
        <v>1</v>
      </c>
      <c r="G6" s="16">
        <v>1</v>
      </c>
      <c r="H6" s="17" t="s">
        <v>26</v>
      </c>
      <c r="I6" s="78">
        <f>AVERAGE(Z8:AA8)</f>
        <v>0.05</v>
      </c>
      <c r="J6" s="49"/>
      <c r="K6" s="125"/>
      <c r="L6" s="49">
        <f t="shared" si="0"/>
        <v>0.05</v>
      </c>
      <c r="M6" s="29">
        <f t="shared" si="8"/>
        <v>4</v>
      </c>
      <c r="N6" s="30">
        <f t="shared" si="1"/>
        <v>4</v>
      </c>
      <c r="O6" s="29">
        <f t="shared" si="9"/>
        <v>4</v>
      </c>
      <c r="P6" s="30">
        <f t="shared" si="2"/>
        <v>4</v>
      </c>
      <c r="Q6" s="29">
        <f t="shared" si="3"/>
        <v>1</v>
      </c>
      <c r="R6" s="27" t="str">
        <f t="shared" si="4"/>
        <v>w</v>
      </c>
      <c r="S6" s="41">
        <f t="shared" si="5"/>
        <v>0.05</v>
      </c>
      <c r="U6" s="133">
        <v>41898</v>
      </c>
      <c r="V6" s="134">
        <v>0.99999305559027762</v>
      </c>
      <c r="Y6" s="27"/>
      <c r="Z6" s="27"/>
      <c r="AA6" s="27"/>
      <c r="AC6" s="7"/>
      <c r="AD6" s="7"/>
      <c r="AN6" s="6" t="str">
        <f>_xll.xlShmInterpDisc(CurveName,DATE(YEAR(AU6)+IF(YEAR(AU6)&lt;2000,100,0),MONTH(AU6),DAY(AU6)))</f>
        <v>Date before first TermStructure's date.</v>
      </c>
      <c r="AO6" s="215" t="e">
        <f>_xll.xlShmInterpRate(CurveName,$AO$2,$C$50,DATE(YEAR(AU6)+IF(YEAR(AU6)&lt;2000,100,0),MONTH(AU6),DAY(AU6)))*100</f>
        <v>#VALUE!</v>
      </c>
      <c r="AP6" s="6" t="e">
        <f t="shared" si="6"/>
        <v>#VALUE!</v>
      </c>
      <c r="AQ6" s="215" t="e">
        <f t="shared" si="10"/>
        <v>#VALUE!</v>
      </c>
      <c r="AR6" s="8" t="s">
        <v>15</v>
      </c>
      <c r="AS6" s="52">
        <v>41555</v>
      </c>
      <c r="AT6" s="8" t="s">
        <v>146</v>
      </c>
      <c r="AU6" s="52">
        <v>41562</v>
      </c>
      <c r="AV6" s="52" t="s">
        <v>27</v>
      </c>
      <c r="AW6" s="6">
        <v>0.99996944513887498</v>
      </c>
      <c r="AX6" s="6">
        <v>0.101388133601566</v>
      </c>
      <c r="BA6" s="6">
        <v>0.1</v>
      </c>
      <c r="BB6" s="6">
        <v>0</v>
      </c>
      <c r="BC6" s="21" t="s">
        <v>17</v>
      </c>
      <c r="BD6" s="52" t="str">
        <f t="shared" si="11"/>
        <v>1W</v>
      </c>
      <c r="BE6" s="6">
        <f t="shared" si="12"/>
        <v>0.1</v>
      </c>
      <c r="BF6" s="6">
        <f t="shared" si="12"/>
        <v>0</v>
      </c>
    </row>
    <row r="7" spans="1:58" ht="11.25" customHeight="1">
      <c r="A7" s="7"/>
      <c r="B7" s="88" t="s">
        <v>122</v>
      </c>
      <c r="C7" s="94" t="s">
        <v>63</v>
      </c>
      <c r="D7" s="6"/>
      <c r="E7" s="129" t="b">
        <v>1</v>
      </c>
      <c r="F7" s="115">
        <f>Y9</f>
        <v>2</v>
      </c>
      <c r="G7" s="29">
        <v>2</v>
      </c>
      <c r="H7" s="30" t="s">
        <v>26</v>
      </c>
      <c r="I7" s="79">
        <f t="shared" ref="I7:I8" si="13">AVERAGE(Z9:AA9)</f>
        <v>0.05</v>
      </c>
      <c r="J7" s="50"/>
      <c r="K7" s="127"/>
      <c r="L7" s="50">
        <f t="shared" si="0"/>
        <v>0.05</v>
      </c>
      <c r="M7" s="29">
        <f t="shared" si="8"/>
        <v>5</v>
      </c>
      <c r="N7" s="30">
        <f t="shared" si="1"/>
        <v>5</v>
      </c>
      <c r="O7" s="29">
        <f t="shared" si="9"/>
        <v>5</v>
      </c>
      <c r="P7" s="30">
        <f t="shared" si="2"/>
        <v>5</v>
      </c>
      <c r="Q7" s="29">
        <f t="shared" si="3"/>
        <v>2</v>
      </c>
      <c r="R7" s="27" t="str">
        <f t="shared" si="4"/>
        <v>w</v>
      </c>
      <c r="S7" s="41">
        <f t="shared" si="5"/>
        <v>0.05</v>
      </c>
      <c r="U7" s="133">
        <v>41990</v>
      </c>
      <c r="V7" s="134">
        <v>0.99998011637770434</v>
      </c>
      <c r="Y7" s="10" t="s">
        <v>78</v>
      </c>
      <c r="Z7" s="81" t="str">
        <f>AA7</f>
        <v>ASK</v>
      </c>
      <c r="AA7" s="12" t="s">
        <v>6</v>
      </c>
      <c r="AN7" s="6" t="str">
        <f>_xll.xlShmInterpDisc(CurveName,DATE(YEAR(AU7)+IF(YEAR(AU7)&lt;2000,100,0),MONTH(AU7),DAY(AU7)))</f>
        <v>Date before first TermStructure's date.</v>
      </c>
      <c r="AO7" s="215" t="e">
        <f>_xll.xlShmInterpRate(CurveName,$AO$2,$C$50,DATE(YEAR(AU7)+IF(YEAR(AU7)&lt;2000,100,0),MONTH(AU7),DAY(AU7)))*100</f>
        <v>#VALUE!</v>
      </c>
      <c r="AP7" s="6" t="e">
        <f t="shared" si="6"/>
        <v>#VALUE!</v>
      </c>
      <c r="AQ7" s="215" t="e">
        <f t="shared" si="10"/>
        <v>#VALUE!</v>
      </c>
      <c r="AR7" s="8" t="s">
        <v>15</v>
      </c>
      <c r="AS7" s="52">
        <v>41555</v>
      </c>
      <c r="AT7" s="8" t="s">
        <v>146</v>
      </c>
      <c r="AU7" s="52">
        <v>41569</v>
      </c>
      <c r="AV7" s="52" t="s">
        <v>28</v>
      </c>
      <c r="AW7" s="6">
        <v>0.99995000204467299</v>
      </c>
      <c r="AX7" s="6">
        <v>0.10138727734658599</v>
      </c>
      <c r="BA7" s="6">
        <v>0.1</v>
      </c>
      <c r="BB7" s="6">
        <v>0</v>
      </c>
      <c r="BC7" s="21" t="s">
        <v>17</v>
      </c>
      <c r="BD7" s="52" t="str">
        <f t="shared" si="11"/>
        <v>2W</v>
      </c>
      <c r="BE7" s="6">
        <f t="shared" si="12"/>
        <v>0.1</v>
      </c>
      <c r="BF7" s="6">
        <f t="shared" si="12"/>
        <v>0</v>
      </c>
    </row>
    <row r="8" spans="1:58" ht="11.25" customHeight="1">
      <c r="A8" s="7"/>
      <c r="B8" s="123" t="s">
        <v>123</v>
      </c>
      <c r="C8" s="95" t="s">
        <v>64</v>
      </c>
      <c r="D8" s="6"/>
      <c r="E8" s="130" t="b">
        <v>1</v>
      </c>
      <c r="F8" s="116">
        <f>Y10</f>
        <v>3</v>
      </c>
      <c r="G8" s="22">
        <v>3</v>
      </c>
      <c r="H8" s="23" t="s">
        <v>26</v>
      </c>
      <c r="I8" s="80">
        <f t="shared" si="13"/>
        <v>0.05</v>
      </c>
      <c r="J8" s="51"/>
      <c r="K8" s="126"/>
      <c r="L8" s="51">
        <f t="shared" si="0"/>
        <v>0.05</v>
      </c>
      <c r="M8" s="29">
        <f t="shared" si="8"/>
        <v>6</v>
      </c>
      <c r="N8" s="30">
        <f t="shared" si="1"/>
        <v>6</v>
      </c>
      <c r="O8" s="29">
        <f t="shared" si="9"/>
        <v>6</v>
      </c>
      <c r="P8" s="30">
        <f t="shared" si="2"/>
        <v>6</v>
      </c>
      <c r="Q8" s="29">
        <f t="shared" si="3"/>
        <v>3</v>
      </c>
      <c r="R8" s="27" t="str">
        <f t="shared" si="4"/>
        <v>w</v>
      </c>
      <c r="S8" s="41">
        <f t="shared" si="5"/>
        <v>0.05</v>
      </c>
      <c r="U8" s="133">
        <v>42080</v>
      </c>
      <c r="V8" s="134">
        <v>1.0001956585421201</v>
      </c>
      <c r="Y8" s="16" t="s">
        <v>145</v>
      </c>
      <c r="Z8" s="16">
        <f>_xll.RtGet($AD$8,$AD$9&amp;$Y8&amp;$AD$10,Z$7)</f>
        <v>0.05</v>
      </c>
      <c r="AA8" s="17">
        <f>_xll.RtGet($AD$8,$AD$9&amp;$Y8&amp;$AD$10,AA$7)</f>
        <v>0.05</v>
      </c>
      <c r="AC8" s="13" t="s">
        <v>14</v>
      </c>
      <c r="AD8" s="71" t="s">
        <v>62</v>
      </c>
      <c r="AN8" s="6" t="str">
        <f>_xll.xlShmInterpDisc(CurveName,DATE(YEAR(AU8)+IF(YEAR(AU8)&lt;2000,100,0),MONTH(AU8),DAY(AU8)))</f>
        <v>Date before first TermStructure's date.</v>
      </c>
      <c r="AO8" s="215" t="e">
        <f>_xll.xlShmInterpRate(CurveName,$AO$2,$C$50,DATE(YEAR(AU8)+IF(YEAR(AU8)&lt;2000,100,0),MONTH(AU8),DAY(AU8)))*100</f>
        <v>#VALUE!</v>
      </c>
      <c r="AP8" s="6" t="e">
        <f t="shared" si="6"/>
        <v>#VALUE!</v>
      </c>
      <c r="AQ8" s="215" t="e">
        <f t="shared" si="10"/>
        <v>#VALUE!</v>
      </c>
      <c r="AR8" s="8" t="s">
        <v>15</v>
      </c>
      <c r="AS8" s="52">
        <v>41555</v>
      </c>
      <c r="AT8" s="8" t="s">
        <v>146</v>
      </c>
      <c r="AU8" s="52">
        <v>41576</v>
      </c>
      <c r="AV8" s="52" t="s">
        <v>30</v>
      </c>
      <c r="AW8" s="6">
        <v>0.99993055970654698</v>
      </c>
      <c r="AX8" s="6">
        <v>0.101386348630715</v>
      </c>
      <c r="BA8" s="6">
        <v>0.1</v>
      </c>
      <c r="BB8" s="6">
        <v>0</v>
      </c>
      <c r="BC8" s="21" t="s">
        <v>17</v>
      </c>
      <c r="BD8" s="52" t="str">
        <f t="shared" si="11"/>
        <v>3W</v>
      </c>
      <c r="BE8" s="6">
        <f t="shared" si="12"/>
        <v>0.1</v>
      </c>
      <c r="BF8" s="6">
        <f t="shared" si="12"/>
        <v>0</v>
      </c>
    </row>
    <row r="9" spans="1:58" ht="11.25" customHeight="1">
      <c r="A9" s="7"/>
      <c r="B9" s="123" t="s">
        <v>86</v>
      </c>
      <c r="C9" s="95" t="s">
        <v>39</v>
      </c>
      <c r="D9" s="6"/>
      <c r="E9" s="129" t="b">
        <v>1</v>
      </c>
      <c r="F9" s="117">
        <f>Y13</f>
        <v>1</v>
      </c>
      <c r="G9" s="29">
        <v>1</v>
      </c>
      <c r="H9" s="30" t="s">
        <v>31</v>
      </c>
      <c r="I9" s="79">
        <f>AVERAGE(Z13:AA13)</f>
        <v>0.05</v>
      </c>
      <c r="J9" s="50"/>
      <c r="K9" s="127"/>
      <c r="L9" s="50">
        <f t="shared" si="0"/>
        <v>0.05</v>
      </c>
      <c r="M9" s="29">
        <f t="shared" si="8"/>
        <v>7</v>
      </c>
      <c r="N9" s="30">
        <f t="shared" si="1"/>
        <v>7</v>
      </c>
      <c r="O9" s="29">
        <f t="shared" si="9"/>
        <v>7</v>
      </c>
      <c r="P9" s="30">
        <f t="shared" si="2"/>
        <v>7</v>
      </c>
      <c r="Q9" s="29">
        <f t="shared" si="3"/>
        <v>1</v>
      </c>
      <c r="R9" s="27" t="str">
        <f t="shared" si="4"/>
        <v>m</v>
      </c>
      <c r="S9" s="41">
        <f t="shared" si="5"/>
        <v>0.05</v>
      </c>
      <c r="U9" s="133">
        <v>42173</v>
      </c>
      <c r="V9" s="134">
        <v>1.000498101551164</v>
      </c>
      <c r="Y9" s="29">
        <v>2</v>
      </c>
      <c r="Z9" s="29">
        <f>_xll.RtGet($AD$8,$AD$9&amp;$Y9&amp;$AD$10,Z$7)</f>
        <v>0.05</v>
      </c>
      <c r="AA9" s="30">
        <f>_xll.RtGet($AD$8,$AD$9&amp;$Y9&amp;$AD$10,AA$7)</f>
        <v>0.05</v>
      </c>
      <c r="AC9" s="18" t="s">
        <v>20</v>
      </c>
      <c r="AD9" s="72" t="s">
        <v>150</v>
      </c>
      <c r="AN9" s="6" t="str">
        <f>_xll.xlShmInterpDisc(CurveName,DATE(YEAR(AU9)+IF(YEAR(AU9)&lt;2000,100,0),MONTH(AU9),DAY(AU9)))</f>
        <v>Date before first TermStructure's date.</v>
      </c>
      <c r="AO9" s="215" t="e">
        <f>_xll.xlShmInterpRate(CurveName,$AO$2,$C$50,DATE(YEAR(AU9)+IF(YEAR(AU9)&lt;2000,100,0),MONTH(AU9),DAY(AU9)))*100</f>
        <v>#VALUE!</v>
      </c>
      <c r="AP9" s="6" t="e">
        <f t="shared" si="6"/>
        <v>#VALUE!</v>
      </c>
      <c r="AQ9" s="215" t="e">
        <f t="shared" si="10"/>
        <v>#VALUE!</v>
      </c>
      <c r="AR9" s="8" t="s">
        <v>15</v>
      </c>
      <c r="AS9" s="52">
        <v>41555</v>
      </c>
      <c r="AT9" s="8" t="s">
        <v>146</v>
      </c>
      <c r="AU9" s="52">
        <v>41586</v>
      </c>
      <c r="AV9" s="52" t="s">
        <v>32</v>
      </c>
      <c r="AW9" s="6">
        <v>0.99990278624926998</v>
      </c>
      <c r="AX9" s="6">
        <v>0.101384982420004</v>
      </c>
      <c r="BA9" s="6">
        <v>0.1</v>
      </c>
      <c r="BB9" s="6">
        <v>0</v>
      </c>
      <c r="BC9" s="21" t="s">
        <v>17</v>
      </c>
      <c r="BD9" s="52" t="str">
        <f t="shared" si="11"/>
        <v>1M</v>
      </c>
      <c r="BE9" s="6">
        <f t="shared" si="12"/>
        <v>0.1</v>
      </c>
      <c r="BF9" s="6">
        <f t="shared" si="12"/>
        <v>0</v>
      </c>
    </row>
    <row r="10" spans="1:58" ht="11.25" customHeight="1">
      <c r="A10" s="7"/>
      <c r="B10" s="89" t="s">
        <v>87</v>
      </c>
      <c r="C10" s="96" t="s">
        <v>116</v>
      </c>
      <c r="D10" s="6"/>
      <c r="E10" s="129" t="b">
        <v>1</v>
      </c>
      <c r="F10" s="117">
        <f t="shared" ref="F10:F20" si="14">Y14</f>
        <v>2</v>
      </c>
      <c r="G10" s="29">
        <v>2</v>
      </c>
      <c r="H10" s="30" t="s">
        <v>31</v>
      </c>
      <c r="I10" s="79">
        <f t="shared" ref="I10:I20" si="15">AVERAGE(Z14:AA14)</f>
        <v>0.05</v>
      </c>
      <c r="J10" s="50"/>
      <c r="K10" s="127"/>
      <c r="L10" s="50">
        <f t="shared" si="0"/>
        <v>0.05</v>
      </c>
      <c r="M10" s="29">
        <f t="shared" si="8"/>
        <v>8</v>
      </c>
      <c r="N10" s="30">
        <f t="shared" si="1"/>
        <v>8</v>
      </c>
      <c r="O10" s="29">
        <f t="shared" si="9"/>
        <v>8</v>
      </c>
      <c r="P10" s="30">
        <f t="shared" si="2"/>
        <v>8</v>
      </c>
      <c r="Q10" s="29">
        <f t="shared" si="3"/>
        <v>2</v>
      </c>
      <c r="R10" s="27" t="str">
        <f t="shared" si="4"/>
        <v>m</v>
      </c>
      <c r="S10" s="41">
        <f t="shared" si="5"/>
        <v>0.05</v>
      </c>
      <c r="U10" s="133">
        <v>42264</v>
      </c>
      <c r="V10" s="134">
        <v>1.0008235508460284</v>
      </c>
      <c r="Y10" s="22">
        <v>3</v>
      </c>
      <c r="Z10" s="22">
        <f>_xll.RtGet($AD$8,$AD$9&amp;$Y10&amp;$AD$10,Z$7)</f>
        <v>0.05</v>
      </c>
      <c r="AA10" s="23">
        <f>_xll.RtGet($AD$8,$AD$9&amp;$Y10&amp;$AD$10,AA$7)</f>
        <v>0.05</v>
      </c>
      <c r="AC10" s="24" t="s">
        <v>24</v>
      </c>
      <c r="AD10" s="73" t="s">
        <v>152</v>
      </c>
      <c r="AN10" s="6" t="str">
        <f>_xll.xlShmInterpDisc(CurveName,DATE(YEAR(AU10)+IF(YEAR(AU10)&lt;2000,100,0),MONTH(AU10),DAY(AU10)))</f>
        <v>Date before first TermStructure's date.</v>
      </c>
      <c r="AO10" s="215" t="e">
        <f>_xll.xlShmInterpRate(CurveName,$AO$2,$C$50,DATE(YEAR(AU10)+IF(YEAR(AU10)&lt;2000,100,0),MONTH(AU10),DAY(AU10)))*100</f>
        <v>#VALUE!</v>
      </c>
      <c r="AP10" s="6" t="e">
        <f t="shared" si="6"/>
        <v>#VALUE!</v>
      </c>
      <c r="AQ10" s="215" t="e">
        <f t="shared" si="10"/>
        <v>#VALUE!</v>
      </c>
      <c r="AR10" s="8" t="s">
        <v>15</v>
      </c>
      <c r="AS10" s="52">
        <v>41555</v>
      </c>
      <c r="AT10" s="8" t="s">
        <v>146</v>
      </c>
      <c r="AU10" s="52">
        <v>41617</v>
      </c>
      <c r="AV10" s="52" t="s">
        <v>33</v>
      </c>
      <c r="AW10" s="6">
        <v>0.99981669833559395</v>
      </c>
      <c r="AX10" s="6">
        <v>0.101380666918681</v>
      </c>
      <c r="BA10" s="6">
        <v>0.1</v>
      </c>
      <c r="BB10" s="6">
        <v>0</v>
      </c>
      <c r="BC10" s="21" t="s">
        <v>17</v>
      </c>
      <c r="BD10" s="52" t="str">
        <f t="shared" si="11"/>
        <v>2M</v>
      </c>
      <c r="BE10" s="6">
        <f t="shared" si="12"/>
        <v>0.1</v>
      </c>
      <c r="BF10" s="6">
        <f t="shared" si="12"/>
        <v>0</v>
      </c>
    </row>
    <row r="11" spans="1:58" ht="11.25" customHeight="1">
      <c r="A11" s="7"/>
      <c r="B11" s="124" t="s">
        <v>91</v>
      </c>
      <c r="C11" s="97" t="s">
        <v>92</v>
      </c>
      <c r="D11" s="6"/>
      <c r="E11" s="129" t="b">
        <v>1</v>
      </c>
      <c r="F11" s="117">
        <f t="shared" si="14"/>
        <v>3</v>
      </c>
      <c r="G11" s="29">
        <v>3</v>
      </c>
      <c r="H11" s="30" t="s">
        <v>31</v>
      </c>
      <c r="I11" s="79">
        <f t="shared" si="15"/>
        <v>0.05</v>
      </c>
      <c r="J11" s="50"/>
      <c r="K11" s="127"/>
      <c r="L11" s="50">
        <f t="shared" si="0"/>
        <v>0.05</v>
      </c>
      <c r="M11" s="29">
        <f t="shared" si="8"/>
        <v>9</v>
      </c>
      <c r="N11" s="30">
        <f t="shared" si="1"/>
        <v>9</v>
      </c>
      <c r="O11" s="29">
        <f t="shared" si="9"/>
        <v>9</v>
      </c>
      <c r="P11" s="30">
        <f t="shared" si="2"/>
        <v>9</v>
      </c>
      <c r="Q11" s="29">
        <f t="shared" si="3"/>
        <v>3</v>
      </c>
      <c r="R11" s="27" t="str">
        <f t="shared" si="4"/>
        <v>m</v>
      </c>
      <c r="S11" s="41">
        <f t="shared" si="5"/>
        <v>0.05</v>
      </c>
      <c r="U11" s="133">
        <v>42354</v>
      </c>
      <c r="V11" s="134">
        <v>1.0011500454184212</v>
      </c>
      <c r="Y11" s="27"/>
      <c r="Z11" s="27"/>
      <c r="AA11" s="27"/>
      <c r="AN11" s="6" t="str">
        <f>_xll.xlShmInterpDisc(CurveName,DATE(YEAR(AU11)+IF(YEAR(AU11)&lt;2000,100,0),MONTH(AU11),DAY(AU11)))</f>
        <v>Date before first TermStructure's date.</v>
      </c>
      <c r="AO11" s="215" t="e">
        <f>_xll.xlShmInterpRate(CurveName,$AO$2,$C$50,DATE(YEAR(AU11)+IF(YEAR(AU11)&lt;2000,100,0),MONTH(AU11),DAY(AU11)))*100</f>
        <v>#VALUE!</v>
      </c>
      <c r="AP11" s="6" t="e">
        <f t="shared" si="6"/>
        <v>#VALUE!</v>
      </c>
      <c r="AQ11" s="215" t="e">
        <f t="shared" si="10"/>
        <v>#VALUE!</v>
      </c>
      <c r="AR11" s="8" t="s">
        <v>15</v>
      </c>
      <c r="AS11" s="52">
        <v>41555</v>
      </c>
      <c r="AT11" s="8" t="s">
        <v>146</v>
      </c>
      <c r="AU11" s="52">
        <v>41647</v>
      </c>
      <c r="AV11" s="52" t="s">
        <v>35</v>
      </c>
      <c r="AW11" s="6">
        <v>0</v>
      </c>
      <c r="AX11" s="6">
        <v>0</v>
      </c>
      <c r="BA11" s="6">
        <v>0.1</v>
      </c>
      <c r="BB11" s="6">
        <v>0</v>
      </c>
      <c r="BC11" s="21" t="s">
        <v>17</v>
      </c>
      <c r="BD11" s="52" t="str">
        <f t="shared" si="11"/>
        <v>3M</v>
      </c>
      <c r="BE11" s="6">
        <f t="shared" si="12"/>
        <v>0.1</v>
      </c>
      <c r="BF11" s="6">
        <f t="shared" si="12"/>
        <v>0</v>
      </c>
    </row>
    <row r="12" spans="1:58" ht="11.25" customHeight="1">
      <c r="A12" s="7"/>
      <c r="D12" s="6"/>
      <c r="E12" s="129" t="b">
        <v>1</v>
      </c>
      <c r="F12" s="117">
        <f t="shared" si="14"/>
        <v>4</v>
      </c>
      <c r="G12" s="29">
        <v>4</v>
      </c>
      <c r="H12" s="30" t="s">
        <v>31</v>
      </c>
      <c r="I12" s="79">
        <f t="shared" si="15"/>
        <v>0.1</v>
      </c>
      <c r="J12" s="50"/>
      <c r="K12" s="127"/>
      <c r="L12" s="50">
        <f t="shared" si="0"/>
        <v>0.1</v>
      </c>
      <c r="M12" s="29">
        <f t="shared" si="8"/>
        <v>10</v>
      </c>
      <c r="N12" s="30">
        <f t="shared" si="1"/>
        <v>10</v>
      </c>
      <c r="O12" s="29">
        <f t="shared" si="9"/>
        <v>10</v>
      </c>
      <c r="P12" s="30">
        <f t="shared" si="2"/>
        <v>10</v>
      </c>
      <c r="Q12" s="29">
        <f t="shared" si="3"/>
        <v>4</v>
      </c>
      <c r="R12" s="27" t="str">
        <f t="shared" si="4"/>
        <v>m</v>
      </c>
      <c r="S12" s="41">
        <f t="shared" si="5"/>
        <v>0.1</v>
      </c>
      <c r="U12" s="133">
        <v>42445</v>
      </c>
      <c r="V12" s="134">
        <v>1.001461163237964</v>
      </c>
      <c r="Y12" s="10" t="s">
        <v>78</v>
      </c>
      <c r="Z12" s="82" t="str">
        <f>AA12</f>
        <v>ASK</v>
      </c>
      <c r="AA12" s="28" t="s">
        <v>6</v>
      </c>
      <c r="AN12" s="6" t="str">
        <f>_xll.xlShmInterpDisc(CurveName,DATE(YEAR(AU12)+IF(YEAR(AU12)&lt;2000,100,0),MONTH(AU12),DAY(AU12)))</f>
        <v>Date before first TermStructure's date.</v>
      </c>
      <c r="AO12" s="215" t="e">
        <f>_xll.xlShmInterpRate(CurveName,$AO$2,$C$50,DATE(YEAR(AU12)+IF(YEAR(AU12)&lt;2000,100,0),MONTH(AU12),DAY(AU12)))*100</f>
        <v>#VALUE!</v>
      </c>
      <c r="AP12" s="6" t="e">
        <f t="shared" si="6"/>
        <v>#VALUE!</v>
      </c>
      <c r="AQ12" s="215" t="e">
        <f t="shared" si="10"/>
        <v>#VALUE!</v>
      </c>
      <c r="AR12" s="8" t="s">
        <v>15</v>
      </c>
      <c r="AS12" s="52">
        <v>41555</v>
      </c>
      <c r="AT12" s="8" t="s">
        <v>146</v>
      </c>
      <c r="AU12" s="52">
        <v>41680</v>
      </c>
      <c r="AV12" s="52" t="s">
        <v>36</v>
      </c>
      <c r="AW12" s="6">
        <v>0</v>
      </c>
      <c r="AX12" s="6">
        <v>0</v>
      </c>
      <c r="BA12" s="6">
        <v>0.09</v>
      </c>
      <c r="BB12" s="6">
        <v>0</v>
      </c>
      <c r="BC12" s="21" t="s">
        <v>17</v>
      </c>
      <c r="BD12" s="52" t="str">
        <f t="shared" si="11"/>
        <v>4M</v>
      </c>
      <c r="BE12" s="6">
        <f t="shared" si="12"/>
        <v>0.09</v>
      </c>
      <c r="BF12" s="6">
        <f t="shared" si="12"/>
        <v>0</v>
      </c>
    </row>
    <row r="13" spans="1:58" ht="11.25" customHeight="1">
      <c r="A13" s="7"/>
      <c r="D13" s="6"/>
      <c r="E13" s="129" t="b">
        <v>1</v>
      </c>
      <c r="F13" s="117">
        <f t="shared" si="14"/>
        <v>5</v>
      </c>
      <c r="G13" s="29">
        <v>5</v>
      </c>
      <c r="H13" s="30" t="s">
        <v>31</v>
      </c>
      <c r="I13" s="79">
        <f t="shared" si="15"/>
        <v>0.11</v>
      </c>
      <c r="J13" s="50"/>
      <c r="K13" s="127"/>
      <c r="L13" s="50">
        <f t="shared" si="0"/>
        <v>0.11</v>
      </c>
      <c r="M13" s="29">
        <f t="shared" si="8"/>
        <v>11</v>
      </c>
      <c r="N13" s="30">
        <f t="shared" si="1"/>
        <v>11</v>
      </c>
      <c r="O13" s="29">
        <f t="shared" si="9"/>
        <v>11</v>
      </c>
      <c r="P13" s="30">
        <f t="shared" si="2"/>
        <v>11</v>
      </c>
      <c r="Q13" s="29">
        <f t="shared" si="3"/>
        <v>5</v>
      </c>
      <c r="R13" s="27" t="str">
        <f t="shared" si="4"/>
        <v>m</v>
      </c>
      <c r="S13" s="41">
        <f t="shared" si="5"/>
        <v>0.11</v>
      </c>
      <c r="U13" s="133">
        <v>42628</v>
      </c>
      <c r="V13" s="134">
        <v>0.99974437448085962</v>
      </c>
      <c r="Y13" s="29">
        <v>1</v>
      </c>
      <c r="Z13" s="29">
        <f>_xll.RtGet($AD$13,$AD$14&amp;$Y13&amp;$AD$15,Z$12)</f>
        <v>0.05</v>
      </c>
      <c r="AA13" s="30">
        <f>_xll.RtGet($AD$13,$AD$14&amp;$Y13&amp;$AD$15,AA$12)</f>
        <v>0.05</v>
      </c>
      <c r="AC13" s="13" t="s">
        <v>14</v>
      </c>
      <c r="AD13" s="71" t="s">
        <v>62</v>
      </c>
      <c r="AN13" s="6" t="str">
        <f>_xll.xlShmInterpDisc(CurveName,DATE(YEAR(AU13)+IF(YEAR(AU13)&lt;2000,100,0),MONTH(AU13),DAY(AU13)))</f>
        <v>Date before first TermStructure's date.</v>
      </c>
      <c r="AO13" s="215" t="e">
        <f>_xll.xlShmInterpRate(CurveName,$AO$2,$C$50,DATE(YEAR(AU13)+IF(YEAR(AU13)&lt;2000,100,0),MONTH(AU13),DAY(AU13)))*100</f>
        <v>#VALUE!</v>
      </c>
      <c r="AP13" s="6" t="e">
        <f t="shared" si="6"/>
        <v>#VALUE!</v>
      </c>
      <c r="AQ13" s="215" t="e">
        <f t="shared" si="10"/>
        <v>#VALUE!</v>
      </c>
      <c r="AR13" s="8" t="s">
        <v>15</v>
      </c>
      <c r="AS13" s="52">
        <v>41555</v>
      </c>
      <c r="AT13" s="8" t="s">
        <v>146</v>
      </c>
      <c r="AU13" s="52">
        <v>41708</v>
      </c>
      <c r="AV13" s="52" t="s">
        <v>37</v>
      </c>
      <c r="AW13" s="6">
        <v>0</v>
      </c>
      <c r="AX13" s="6">
        <v>0</v>
      </c>
      <c r="BA13" s="6">
        <v>0.12</v>
      </c>
      <c r="BB13" s="6">
        <v>0</v>
      </c>
      <c r="BC13" s="21" t="s">
        <v>17</v>
      </c>
      <c r="BD13" s="52" t="str">
        <f t="shared" si="11"/>
        <v>5M</v>
      </c>
      <c r="BE13" s="6">
        <f t="shared" si="12"/>
        <v>0.12</v>
      </c>
      <c r="BF13" s="6">
        <f t="shared" si="12"/>
        <v>0</v>
      </c>
    </row>
    <row r="14" spans="1:58" ht="11.25" customHeight="1">
      <c r="A14" s="7"/>
      <c r="D14" s="6"/>
      <c r="E14" s="129" t="b">
        <v>1</v>
      </c>
      <c r="F14" s="117">
        <f t="shared" si="14"/>
        <v>6</v>
      </c>
      <c r="G14" s="29">
        <v>6</v>
      </c>
      <c r="H14" s="30" t="s">
        <v>31</v>
      </c>
      <c r="I14" s="79">
        <f t="shared" si="15"/>
        <v>0.12</v>
      </c>
      <c r="J14" s="50"/>
      <c r="K14" s="127"/>
      <c r="L14" s="50">
        <f t="shared" si="0"/>
        <v>0.12</v>
      </c>
      <c r="M14" s="29">
        <f t="shared" si="8"/>
        <v>12</v>
      </c>
      <c r="N14" s="30">
        <f t="shared" si="1"/>
        <v>12</v>
      </c>
      <c r="O14" s="29">
        <f t="shared" si="9"/>
        <v>12</v>
      </c>
      <c r="P14" s="30">
        <f t="shared" si="2"/>
        <v>12</v>
      </c>
      <c r="Q14" s="29">
        <f t="shared" si="3"/>
        <v>6</v>
      </c>
      <c r="R14" s="27" t="str">
        <f t="shared" si="4"/>
        <v>m</v>
      </c>
      <c r="S14" s="41">
        <f t="shared" si="5"/>
        <v>0.12</v>
      </c>
      <c r="U14" s="133">
        <v>42993</v>
      </c>
      <c r="V14" s="134">
        <v>0.99834504674370006</v>
      </c>
      <c r="Y14" s="29">
        <v>2</v>
      </c>
      <c r="Z14" s="29">
        <f>_xll.RtGet($AD$13,$AD$14&amp;$Y14&amp;$AD$15,Z$12)</f>
        <v>0.05</v>
      </c>
      <c r="AA14" s="30">
        <f>_xll.RtGet($AD$13,$AD$14&amp;$Y14&amp;$AD$15,AA$12)</f>
        <v>0.05</v>
      </c>
      <c r="AC14" s="18" t="s">
        <v>20</v>
      </c>
      <c r="AD14" s="72" t="s">
        <v>150</v>
      </c>
      <c r="AN14" s="6" t="str">
        <f>_xll.xlShmInterpDisc(CurveName,DATE(YEAR(AU14)+IF(YEAR(AU14)&lt;2000,100,0),MONTH(AU14),DAY(AU14)))</f>
        <v>Date before first TermStructure's date.</v>
      </c>
      <c r="AO14" s="215" t="e">
        <f>_xll.xlShmInterpRate(CurveName,$AO$2,$C$50,DATE(YEAR(AU14)+IF(YEAR(AU14)&lt;2000,100,0),MONTH(AU14),DAY(AU14)))*100</f>
        <v>#VALUE!</v>
      </c>
      <c r="AP14" s="6" t="e">
        <f t="shared" si="6"/>
        <v>#VALUE!</v>
      </c>
      <c r="AQ14" s="215" t="e">
        <f t="shared" si="10"/>
        <v>#VALUE!</v>
      </c>
      <c r="AR14" s="8" t="s">
        <v>70</v>
      </c>
      <c r="AS14" s="52">
        <v>41626</v>
      </c>
      <c r="AT14" s="8" t="s">
        <v>147</v>
      </c>
      <c r="AU14" s="52">
        <v>41716</v>
      </c>
      <c r="AV14" s="52">
        <v>41609</v>
      </c>
      <c r="AW14" s="6">
        <v>0.99976441372310798</v>
      </c>
      <c r="AX14" s="6">
        <v>5.2120679739245002E-2</v>
      </c>
      <c r="AZ14" s="6">
        <v>2</v>
      </c>
      <c r="BA14" s="6">
        <v>99.984999999999999</v>
      </c>
      <c r="BB14" s="6">
        <v>4.0000000000000002E-4</v>
      </c>
      <c r="BC14" s="21" t="s">
        <v>17</v>
      </c>
      <c r="BD14" s="52" t="str">
        <f>AV15</f>
        <v>6M</v>
      </c>
      <c r="BE14" s="6">
        <f>BA15</f>
        <v>0.15</v>
      </c>
      <c r="BF14" s="6">
        <f>BB15</f>
        <v>0</v>
      </c>
    </row>
    <row r="15" spans="1:58" ht="11.25" customHeight="1">
      <c r="A15" s="7"/>
      <c r="D15" s="6"/>
      <c r="E15" s="129" t="b">
        <v>1</v>
      </c>
      <c r="F15" s="117">
        <f t="shared" si="14"/>
        <v>7</v>
      </c>
      <c r="G15" s="29">
        <v>7</v>
      </c>
      <c r="H15" s="30" t="s">
        <v>31</v>
      </c>
      <c r="I15" s="79">
        <f t="shared" si="15"/>
        <v>0.14000000000000001</v>
      </c>
      <c r="J15" s="50"/>
      <c r="K15" s="127"/>
      <c r="L15" s="50">
        <f t="shared" si="0"/>
        <v>0.14000000000000001</v>
      </c>
      <c r="M15" s="29">
        <f t="shared" si="8"/>
        <v>13</v>
      </c>
      <c r="N15" s="30">
        <f t="shared" si="1"/>
        <v>13</v>
      </c>
      <c r="O15" s="29">
        <f t="shared" si="9"/>
        <v>13</v>
      </c>
      <c r="P15" s="30">
        <f t="shared" si="2"/>
        <v>13</v>
      </c>
      <c r="Q15" s="29">
        <f t="shared" si="3"/>
        <v>7</v>
      </c>
      <c r="R15" s="27" t="str">
        <f t="shared" si="4"/>
        <v>m</v>
      </c>
      <c r="S15" s="41">
        <f t="shared" si="5"/>
        <v>0.14000000000000001</v>
      </c>
      <c r="U15" s="133">
        <v>43360</v>
      </c>
      <c r="V15" s="134">
        <v>0.99449592141917209</v>
      </c>
      <c r="Y15" s="29">
        <v>3</v>
      </c>
      <c r="Z15" s="29">
        <f>_xll.RtGet($AD$13,$AD$14&amp;$Y15&amp;$AD$15,Z$12)</f>
        <v>0.05</v>
      </c>
      <c r="AA15" s="30">
        <f>_xll.RtGet($AD$13,$AD$14&amp;$Y15&amp;$AD$15,AA$12)</f>
        <v>0.05</v>
      </c>
      <c r="AB15"/>
      <c r="AC15" s="24" t="s">
        <v>24</v>
      </c>
      <c r="AD15" s="73" t="s">
        <v>153</v>
      </c>
      <c r="AN15" s="6" t="str">
        <f>_xll.xlShmInterpDisc(CurveName,DATE(YEAR(AU15)+IF(YEAR(AU15)&lt;2000,100,0),MONTH(AU15),DAY(AU15)))</f>
        <v>Date before first TermStructure's date.</v>
      </c>
      <c r="AO15" s="215" t="e">
        <f>_xll.xlShmInterpRate(CurveName,$AO$2,$C$50,DATE(YEAR(AU15)+IF(YEAR(AU15)&lt;2000,100,0),MONTH(AU15),DAY(AU15)))*100</f>
        <v>#VALUE!</v>
      </c>
      <c r="AP15" s="6" t="e">
        <f t="shared" si="6"/>
        <v>#VALUE!</v>
      </c>
      <c r="AQ15" s="215" t="e">
        <f t="shared" si="10"/>
        <v>#VALUE!</v>
      </c>
      <c r="AR15" s="8" t="s">
        <v>15</v>
      </c>
      <c r="AS15" s="52">
        <v>41555</v>
      </c>
      <c r="AT15" s="8" t="s">
        <v>146</v>
      </c>
      <c r="AU15" s="52">
        <v>41737</v>
      </c>
      <c r="AV15" s="52" t="s">
        <v>38</v>
      </c>
      <c r="AW15" s="6">
        <v>0</v>
      </c>
      <c r="AX15" s="6">
        <v>0</v>
      </c>
      <c r="BA15" s="6">
        <v>0.15</v>
      </c>
      <c r="BB15" s="6">
        <v>0</v>
      </c>
      <c r="BC15" s="21" t="s">
        <v>17</v>
      </c>
      <c r="BD15" s="52" t="str">
        <f t="shared" ref="BD15:BD16" si="16">AV16</f>
        <v>7M</v>
      </c>
      <c r="BE15" s="6">
        <f t="shared" ref="BE15:BF16" si="17">BA16</f>
        <v>0.19</v>
      </c>
      <c r="BF15" s="6">
        <f t="shared" si="17"/>
        <v>0</v>
      </c>
    </row>
    <row r="16" spans="1:58" ht="11.25" customHeight="1">
      <c r="A16" s="7"/>
      <c r="D16" s="6"/>
      <c r="E16" s="129" t="b">
        <v>1</v>
      </c>
      <c r="F16" s="117">
        <f t="shared" si="14"/>
        <v>8</v>
      </c>
      <c r="G16" s="29">
        <v>8</v>
      </c>
      <c r="H16" s="30" t="s">
        <v>31</v>
      </c>
      <c r="I16" s="79">
        <f t="shared" si="15"/>
        <v>0.16</v>
      </c>
      <c r="J16" s="50"/>
      <c r="K16" s="127"/>
      <c r="L16" s="50">
        <f t="shared" si="0"/>
        <v>0.16</v>
      </c>
      <c r="M16" s="29">
        <f t="shared" si="8"/>
        <v>14</v>
      </c>
      <c r="N16" s="30">
        <f t="shared" si="1"/>
        <v>14</v>
      </c>
      <c r="O16" s="29">
        <f t="shared" si="9"/>
        <v>14</v>
      </c>
      <c r="P16" s="30">
        <f t="shared" si="2"/>
        <v>14</v>
      </c>
      <c r="Q16" s="29">
        <f t="shared" si="3"/>
        <v>8</v>
      </c>
      <c r="R16" s="27" t="str">
        <f t="shared" si="4"/>
        <v>m</v>
      </c>
      <c r="S16" s="41">
        <f t="shared" si="5"/>
        <v>0.16</v>
      </c>
      <c r="U16" s="133">
        <v>43724</v>
      </c>
      <c r="V16" s="134">
        <v>0.98753514984090529</v>
      </c>
      <c r="Y16" s="29">
        <v>4</v>
      </c>
      <c r="Z16" s="29">
        <f>_xll.RtGet($AD$13,$AD$14&amp;$Y16&amp;$AD$15,Z$12)</f>
        <v>0.1</v>
      </c>
      <c r="AA16" s="30">
        <f>_xll.RtGet($AD$13,$AD$14&amp;$Y16&amp;$AD$15,AA$12)</f>
        <v>0.1</v>
      </c>
      <c r="AB16"/>
      <c r="AC16"/>
      <c r="AD16"/>
      <c r="AN16" s="6" t="str">
        <f>_xll.xlShmInterpDisc(CurveName,DATE(YEAR(AU16)+IF(YEAR(AU16)&lt;2000,100,0),MONTH(AU16),DAY(AU16)))</f>
        <v>Date before first TermStructure's date.</v>
      </c>
      <c r="AO16" s="215" t="e">
        <f>_xll.xlShmInterpRate(CurveName,$AO$2,$C$50,DATE(YEAR(AU16)+IF(YEAR(AU16)&lt;2000,100,0),MONTH(AU16),DAY(AU16)))*100</f>
        <v>#VALUE!</v>
      </c>
      <c r="AP16" s="6" t="e">
        <f t="shared" si="6"/>
        <v>#VALUE!</v>
      </c>
      <c r="AQ16" s="215" t="e">
        <f t="shared" si="10"/>
        <v>#VALUE!</v>
      </c>
      <c r="AR16" s="8" t="s">
        <v>15</v>
      </c>
      <c r="AS16" s="52">
        <v>41555</v>
      </c>
      <c r="AT16" s="8" t="s">
        <v>146</v>
      </c>
      <c r="AU16" s="52">
        <v>41767</v>
      </c>
      <c r="AV16" s="52" t="s">
        <v>40</v>
      </c>
      <c r="AW16" s="6">
        <v>0</v>
      </c>
      <c r="AX16" s="6">
        <v>0</v>
      </c>
      <c r="BA16" s="6">
        <v>0.19</v>
      </c>
      <c r="BB16" s="6">
        <v>0</v>
      </c>
      <c r="BC16" s="21" t="s">
        <v>17</v>
      </c>
      <c r="BD16" s="52" t="str">
        <f t="shared" si="16"/>
        <v>8M</v>
      </c>
      <c r="BE16" s="6">
        <f t="shared" si="17"/>
        <v>0.22</v>
      </c>
      <c r="BF16" s="6">
        <f t="shared" si="17"/>
        <v>0</v>
      </c>
    </row>
    <row r="17" spans="1:60" ht="11.25" customHeight="1">
      <c r="A17" s="7"/>
      <c r="D17" s="6"/>
      <c r="E17" s="129" t="b">
        <v>1</v>
      </c>
      <c r="F17" s="117">
        <f t="shared" si="14"/>
        <v>9</v>
      </c>
      <c r="G17" s="29">
        <v>9</v>
      </c>
      <c r="H17" s="30" t="s">
        <v>31</v>
      </c>
      <c r="I17" s="79">
        <f t="shared" si="15"/>
        <v>0.18</v>
      </c>
      <c r="J17" s="50"/>
      <c r="K17" s="127"/>
      <c r="L17" s="50">
        <f>IF(ISNUMBER(J17),J17,I17)+K17</f>
        <v>0.18</v>
      </c>
      <c r="M17" s="29">
        <f>M16+1</f>
        <v>15</v>
      </c>
      <c r="N17" s="30">
        <f>IF(E17,M17,"")</f>
        <v>15</v>
      </c>
      <c r="O17" s="29">
        <f>IF(O16&lt;$S$2,O16+1,"")</f>
        <v>15</v>
      </c>
      <c r="P17" s="30">
        <f t="shared" si="2"/>
        <v>15</v>
      </c>
      <c r="Q17" s="29">
        <f t="shared" si="3"/>
        <v>9</v>
      </c>
      <c r="R17" s="27" t="str">
        <f t="shared" si="4"/>
        <v>m</v>
      </c>
      <c r="S17" s="41">
        <f t="shared" si="5"/>
        <v>0.18</v>
      </c>
      <c r="U17" s="133">
        <v>44089</v>
      </c>
      <c r="V17" s="134">
        <v>0.97750109313878586</v>
      </c>
      <c r="Y17" s="29">
        <v>5</v>
      </c>
      <c r="Z17" s="29">
        <f>_xll.RtGet($AD$13,$AD$14&amp;$Y17&amp;$AD$15,Z$12)</f>
        <v>0.11</v>
      </c>
      <c r="AA17" s="30">
        <f>_xll.RtGet($AD$13,$AD$14&amp;$Y17&amp;$AD$15,AA$12)</f>
        <v>0.11</v>
      </c>
      <c r="AB17"/>
      <c r="AC17"/>
      <c r="AD17"/>
      <c r="AN17" s="6" t="str">
        <f>_xll.xlShmInterpDisc(CurveName,DATE(YEAR(AU17)+IF(YEAR(AU17)&lt;2000,100,0),MONTH(AU17),DAY(AU17)))</f>
        <v>Date before first TermStructure's date.</v>
      </c>
      <c r="AO17" s="215" t="e">
        <f>_xll.xlShmInterpRate(CurveName,$AO$2,$C$50,DATE(YEAR(AU17)+IF(YEAR(AU17)&lt;2000,100,0),MONTH(AU17),DAY(AU17)))*100</f>
        <v>#VALUE!</v>
      </c>
      <c r="AP17" s="6" t="e">
        <f t="shared" si="6"/>
        <v>#VALUE!</v>
      </c>
      <c r="AQ17" s="215" t="e">
        <f t="shared" si="10"/>
        <v>#VALUE!</v>
      </c>
      <c r="AR17" s="8" t="s">
        <v>15</v>
      </c>
      <c r="AS17" s="52">
        <v>41555</v>
      </c>
      <c r="AT17" s="8" t="s">
        <v>146</v>
      </c>
      <c r="AU17" s="52">
        <v>41800</v>
      </c>
      <c r="AV17" s="52" t="s">
        <v>41</v>
      </c>
      <c r="AW17" s="6">
        <v>0</v>
      </c>
      <c r="AX17" s="6">
        <v>0</v>
      </c>
      <c r="BA17" s="6">
        <v>0.22</v>
      </c>
      <c r="BB17" s="6">
        <v>0</v>
      </c>
      <c r="BC17" s="21" t="s">
        <v>17</v>
      </c>
      <c r="BD17" s="52" t="str">
        <f>AV19</f>
        <v>9M</v>
      </c>
      <c r="BE17" s="6">
        <f>BA19</f>
        <v>0.25</v>
      </c>
      <c r="BF17" s="6">
        <f>BB19</f>
        <v>0</v>
      </c>
    </row>
    <row r="18" spans="1:60" ht="11.25" customHeight="1">
      <c r="A18" s="7"/>
      <c r="D18" s="6"/>
      <c r="E18" s="129" t="b">
        <v>0</v>
      </c>
      <c r="F18" s="117">
        <f t="shared" si="14"/>
        <v>10</v>
      </c>
      <c r="G18" s="29">
        <v>10</v>
      </c>
      <c r="H18" s="30" t="s">
        <v>31</v>
      </c>
      <c r="I18" s="79">
        <f t="shared" si="15"/>
        <v>0.22</v>
      </c>
      <c r="J18" s="50"/>
      <c r="K18" s="127"/>
      <c r="L18" s="50">
        <f>IF(ISNUMBER(J18),J18,I18)+K18</f>
        <v>0.22</v>
      </c>
      <c r="M18" s="29">
        <f>M17+1</f>
        <v>16</v>
      </c>
      <c r="N18" s="30" t="str">
        <f>IF(E18,M18,"")</f>
        <v/>
      </c>
      <c r="O18" s="29" t="str">
        <f>IF(O17&lt;$S$2,O17+1,"")</f>
        <v/>
      </c>
      <c r="P18" s="30" t="str">
        <f t="shared" si="2"/>
        <v/>
      </c>
      <c r="Q18" s="29" t="str">
        <f t="shared" si="3"/>
        <v/>
      </c>
      <c r="R18" s="27" t="str">
        <f t="shared" si="4"/>
        <v/>
      </c>
      <c r="S18" s="41" t="str">
        <f t="shared" si="5"/>
        <v/>
      </c>
      <c r="U18" s="133">
        <v>44454</v>
      </c>
      <c r="V18" s="134">
        <v>0.96451397905006342</v>
      </c>
      <c r="Y18" s="29">
        <v>6</v>
      </c>
      <c r="Z18" s="29">
        <f>_xll.RtGet($AD$13,$AD$14&amp;$Y18&amp;$AD$15,Z$12)</f>
        <v>0.12</v>
      </c>
      <c r="AA18" s="30">
        <f>_xll.RtGet($AD$13,$AD$14&amp;$Y18&amp;$AD$15,AA$12)</f>
        <v>0.12</v>
      </c>
      <c r="AB18"/>
      <c r="AC18"/>
      <c r="AD18"/>
      <c r="AN18" s="6" t="str">
        <f>_xll.xlShmInterpDisc(CurveName,DATE(YEAR(AU18)+IF(YEAR(AU18)&lt;2000,100,0),MONTH(AU18),DAY(AU18)))</f>
        <v>Date before first TermStructure's date.</v>
      </c>
      <c r="AO18" s="215" t="e">
        <f>_xll.xlShmInterpRate(CurveName,$AO$2,$C$50,DATE(YEAR(AU18)+IF(YEAR(AU18)&lt;2000,100,0),MONTH(AU18),DAY(AU18)))*100</f>
        <v>#VALUE!</v>
      </c>
      <c r="AP18" s="6" t="e">
        <f t="shared" si="6"/>
        <v>#VALUE!</v>
      </c>
      <c r="AQ18" s="215" t="e">
        <f t="shared" si="10"/>
        <v>#VALUE!</v>
      </c>
      <c r="AR18" s="8" t="s">
        <v>70</v>
      </c>
      <c r="AS18" s="52">
        <v>41717</v>
      </c>
      <c r="AT18" s="8" t="s">
        <v>147</v>
      </c>
      <c r="AU18" s="52">
        <v>41809</v>
      </c>
      <c r="AV18" s="52">
        <v>41699</v>
      </c>
      <c r="AW18" s="6">
        <v>0.99970267335140095</v>
      </c>
      <c r="AX18" s="6">
        <v>4.20699083371062E-2</v>
      </c>
      <c r="AZ18" s="6">
        <v>2</v>
      </c>
      <c r="BA18" s="6">
        <v>99.974999999999994</v>
      </c>
      <c r="BB18" s="6">
        <v>1.1999999999999999E-3</v>
      </c>
      <c r="BC18" s="21" t="s">
        <v>17</v>
      </c>
      <c r="BD18" s="52" t="str">
        <f t="shared" ref="BD18:BD19" si="18">AV20</f>
        <v>10M</v>
      </c>
      <c r="BE18" s="6">
        <f t="shared" ref="BE18:BF19" si="19">BA20</f>
        <v>0.27</v>
      </c>
      <c r="BF18" s="6">
        <f t="shared" si="19"/>
        <v>0</v>
      </c>
    </row>
    <row r="19" spans="1:60" ht="11.25" customHeight="1">
      <c r="A19" s="7"/>
      <c r="D19" s="6"/>
      <c r="E19" s="129" t="b">
        <v>0</v>
      </c>
      <c r="F19" s="117">
        <f t="shared" si="14"/>
        <v>11</v>
      </c>
      <c r="G19" s="29">
        <v>11</v>
      </c>
      <c r="H19" s="30" t="s">
        <v>31</v>
      </c>
      <c r="I19" s="79">
        <f t="shared" si="15"/>
        <v>0.24</v>
      </c>
      <c r="J19" s="50"/>
      <c r="K19" s="127"/>
      <c r="L19" s="50">
        <f>IF(ISNUMBER(J19),J19,I19)+K19</f>
        <v>0.24</v>
      </c>
      <c r="M19" s="29">
        <f>M18+1</f>
        <v>17</v>
      </c>
      <c r="N19" s="30" t="str">
        <f>IF(E19,M19,"")</f>
        <v/>
      </c>
      <c r="O19" s="29" t="str">
        <f>IF(O18&lt;$S$2,O18+1,"")</f>
        <v/>
      </c>
      <c r="P19" s="30" t="str">
        <f t="shared" si="2"/>
        <v/>
      </c>
      <c r="Q19" s="29" t="str">
        <f t="shared" si="3"/>
        <v/>
      </c>
      <c r="R19" s="27" t="str">
        <f t="shared" si="4"/>
        <v/>
      </c>
      <c r="S19" s="41" t="str">
        <f t="shared" si="5"/>
        <v/>
      </c>
      <c r="U19" s="133">
        <v>44819</v>
      </c>
      <c r="V19" s="134">
        <v>0.94941407071008366</v>
      </c>
      <c r="Y19" s="29">
        <v>7</v>
      </c>
      <c r="Z19" s="29">
        <f>_xll.RtGet($AD$13,$AD$14&amp;$Y19&amp;$AD$15,Z$12)</f>
        <v>0.14000000000000001</v>
      </c>
      <c r="AA19" s="30">
        <f>_xll.RtGet($AD$13,$AD$14&amp;$Y19&amp;$AD$15,AA$12)</f>
        <v>0.14000000000000001</v>
      </c>
      <c r="AB19"/>
      <c r="AC19"/>
      <c r="AD19"/>
      <c r="AN19" s="6" t="str">
        <f>_xll.xlShmInterpDisc(CurveName,DATE(YEAR(AU19)+IF(YEAR(AU19)&lt;2000,100,0),MONTH(AU19),DAY(AU19)))</f>
        <v>Date before first TermStructure's date.</v>
      </c>
      <c r="AO19" s="215" t="e">
        <f>_xll.xlShmInterpRate(CurveName,$AO$2,$C$50,DATE(YEAR(AU19)+IF(YEAR(AU19)&lt;2000,100,0),MONTH(AU19),DAY(AU19)))*100</f>
        <v>#VALUE!</v>
      </c>
      <c r="AP19" s="6" t="e">
        <f t="shared" si="6"/>
        <v>#VALUE!</v>
      </c>
      <c r="AQ19" s="215" t="e">
        <f t="shared" si="10"/>
        <v>#VALUE!</v>
      </c>
      <c r="AR19" s="8" t="s">
        <v>15</v>
      </c>
      <c r="AS19" s="52">
        <v>41555</v>
      </c>
      <c r="AT19" s="8" t="s">
        <v>146</v>
      </c>
      <c r="AU19" s="52">
        <v>41828</v>
      </c>
      <c r="AV19" s="52" t="s">
        <v>42</v>
      </c>
      <c r="AW19" s="6">
        <v>0</v>
      </c>
      <c r="AX19" s="6">
        <v>0</v>
      </c>
      <c r="BA19" s="6">
        <v>0.25</v>
      </c>
      <c r="BB19" s="6">
        <v>0</v>
      </c>
      <c r="BC19" s="21" t="s">
        <v>17</v>
      </c>
      <c r="BD19" s="52" t="str">
        <f t="shared" si="18"/>
        <v>11M</v>
      </c>
      <c r="BE19" s="6">
        <f t="shared" si="19"/>
        <v>0.28999999999999998</v>
      </c>
      <c r="BF19" s="6">
        <f t="shared" si="19"/>
        <v>0</v>
      </c>
    </row>
    <row r="20" spans="1:60" ht="11.25" customHeight="1">
      <c r="A20" s="7"/>
      <c r="B20" s="231" t="s">
        <v>218</v>
      </c>
      <c r="C20" s="232"/>
      <c r="D20" s="6"/>
      <c r="E20" s="130" t="b">
        <v>0</v>
      </c>
      <c r="F20" s="118">
        <f t="shared" si="14"/>
        <v>12</v>
      </c>
      <c r="G20" s="22">
        <v>12</v>
      </c>
      <c r="H20" s="23" t="s">
        <v>31</v>
      </c>
      <c r="I20" s="80" t="e">
        <f t="shared" si="15"/>
        <v>#DIV/0!</v>
      </c>
      <c r="J20" s="51"/>
      <c r="K20" s="175"/>
      <c r="L20" s="51" t="e">
        <f>IF(ISNUMBER(J20),J20,I20)+K20</f>
        <v>#DIV/0!</v>
      </c>
      <c r="M20" s="22">
        <f>M19+1</f>
        <v>18</v>
      </c>
      <c r="N20" s="23" t="str">
        <f>IF(E20,M20,"")</f>
        <v/>
      </c>
      <c r="O20" s="22" t="str">
        <f>IF(O19&lt;$S$2,O19+1,"")</f>
        <v/>
      </c>
      <c r="P20" s="23" t="str">
        <f t="shared" si="2"/>
        <v/>
      </c>
      <c r="Q20" s="22" t="str">
        <f t="shared" si="3"/>
        <v/>
      </c>
      <c r="R20" s="42" t="str">
        <f t="shared" si="4"/>
        <v/>
      </c>
      <c r="S20" s="43" t="str">
        <f t="shared" si="5"/>
        <v/>
      </c>
      <c r="U20" s="133">
        <v>45184</v>
      </c>
      <c r="V20" s="134">
        <v>0.93263567891729071</v>
      </c>
      <c r="Y20" s="29">
        <v>8</v>
      </c>
      <c r="Z20" s="29">
        <f>_xll.RtGet($AD$13,$AD$14&amp;$Y20&amp;$AD$15,Z$12)</f>
        <v>0.16</v>
      </c>
      <c r="AA20" s="30">
        <f>_xll.RtGet($AD$13,$AD$14&amp;$Y20&amp;$AD$15,AA$12)</f>
        <v>0.16</v>
      </c>
      <c r="AB20"/>
      <c r="AC20"/>
      <c r="AD20"/>
      <c r="AN20" s="6" t="str">
        <f>_xll.xlShmInterpDisc(CurveName,DATE(YEAR(AU20)+IF(YEAR(AU20)&lt;2000,100,0),MONTH(AU20),DAY(AU20)))</f>
        <v>Date before first TermStructure's date.</v>
      </c>
      <c r="AO20" s="215" t="e">
        <f>_xll.xlShmInterpRate(CurveName,$AO$2,$C$50,DATE(YEAR(AU20)+IF(YEAR(AU20)&lt;2000,100,0),MONTH(AU20),DAY(AU20)))*100</f>
        <v>#VALUE!</v>
      </c>
      <c r="AP20" s="6" t="e">
        <f t="shared" si="6"/>
        <v>#VALUE!</v>
      </c>
      <c r="AQ20" s="215" t="e">
        <f t="shared" si="10"/>
        <v>#VALUE!</v>
      </c>
      <c r="AR20" s="8" t="s">
        <v>15</v>
      </c>
      <c r="AS20" s="52">
        <v>41555</v>
      </c>
      <c r="AT20" s="8" t="s">
        <v>146</v>
      </c>
      <c r="AU20" s="52">
        <v>41859</v>
      </c>
      <c r="AV20" s="52" t="s">
        <v>58</v>
      </c>
      <c r="AW20" s="6">
        <v>0</v>
      </c>
      <c r="AX20" s="6">
        <v>0</v>
      </c>
      <c r="BA20" s="6">
        <v>0.27</v>
      </c>
      <c r="BB20" s="6">
        <v>0</v>
      </c>
      <c r="BC20" s="21" t="s">
        <v>17</v>
      </c>
      <c r="BD20" s="52" t="str">
        <f>AV23</f>
        <v>12M</v>
      </c>
      <c r="BE20" s="6">
        <f>BA23</f>
        <v>0.32</v>
      </c>
      <c r="BF20" s="6">
        <f>BB23</f>
        <v>0</v>
      </c>
    </row>
    <row r="21" spans="1:60" ht="11.25" customHeight="1">
      <c r="A21" s="7"/>
      <c r="B21" s="159" t="s">
        <v>219</v>
      </c>
      <c r="C21" s="96" t="b">
        <v>0</v>
      </c>
      <c r="D21" s="6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U21" s="133">
        <v>45551</v>
      </c>
      <c r="V21" s="134">
        <v>0.9151632520975943</v>
      </c>
      <c r="Y21" s="29">
        <v>9</v>
      </c>
      <c r="Z21" s="29">
        <f>_xll.RtGet($AD$13,$AD$14&amp;$Y21&amp;$AD$15,Z$12)</f>
        <v>0.18</v>
      </c>
      <c r="AA21" s="30">
        <f>_xll.RtGet($AD$13,$AD$14&amp;$Y21&amp;$AD$15,AA$12)</f>
        <v>0.18</v>
      </c>
      <c r="AB21"/>
      <c r="AC21"/>
      <c r="AD21"/>
      <c r="AN21" s="6" t="str">
        <f>_xll.xlShmInterpDisc(CurveName,DATE(YEAR(AU21)+IF(YEAR(AU21)&lt;2000,100,0),MONTH(AU21),DAY(AU21)))</f>
        <v>Date before first TermStructure's date.</v>
      </c>
      <c r="AO21" s="215" t="e">
        <f>_xll.xlShmInterpRate(CurveName,$AO$2,$C$50,DATE(YEAR(AU21)+IF(YEAR(AU21)&lt;2000,100,0),MONTH(AU21),DAY(AU21)))*100</f>
        <v>#VALUE!</v>
      </c>
      <c r="AP21" s="6" t="e">
        <f t="shared" si="6"/>
        <v>#VALUE!</v>
      </c>
      <c r="AQ21" s="215" t="e">
        <f t="shared" si="10"/>
        <v>#VALUE!</v>
      </c>
      <c r="AR21" s="8" t="s">
        <v>15</v>
      </c>
      <c r="AS21" s="52">
        <v>41555</v>
      </c>
      <c r="AT21" s="8" t="s">
        <v>146</v>
      </c>
      <c r="AU21" s="52">
        <v>41890</v>
      </c>
      <c r="AV21" s="52" t="s">
        <v>59</v>
      </c>
      <c r="AW21" s="6">
        <v>0</v>
      </c>
      <c r="AX21" s="6">
        <v>0</v>
      </c>
      <c r="BA21" s="6">
        <v>0.28999999999999998</v>
      </c>
      <c r="BB21" s="6">
        <v>0</v>
      </c>
      <c r="BC21" s="21" t="s">
        <v>17</v>
      </c>
      <c r="BD21" s="52"/>
    </row>
    <row r="22" spans="1:60" ht="11.25" customHeight="1">
      <c r="A22" s="7"/>
      <c r="B22" s="198" t="s">
        <v>167</v>
      </c>
      <c r="C22" s="94">
        <v>2</v>
      </c>
      <c r="D22" s="6"/>
      <c r="E22" s="86" t="s">
        <v>75</v>
      </c>
      <c r="F22" s="7"/>
      <c r="H22" s="7"/>
      <c r="I22" s="86" t="s">
        <v>1</v>
      </c>
      <c r="J22" s="86" t="s">
        <v>2</v>
      </c>
      <c r="K22" s="86" t="s">
        <v>3</v>
      </c>
      <c r="L22" s="86" t="s">
        <v>4</v>
      </c>
      <c r="M22"/>
      <c r="N22"/>
      <c r="O22"/>
      <c r="P22"/>
      <c r="Q22"/>
      <c r="R22"/>
      <c r="S22"/>
      <c r="U22" s="133">
        <v>46280</v>
      </c>
      <c r="V22" s="134">
        <v>0.87842212783505635</v>
      </c>
      <c r="Y22" s="29">
        <v>10</v>
      </c>
      <c r="Z22" s="29">
        <f>_xll.RtGet($AD$13,$AD$14&amp;$Y22&amp;$AD$15,Z$12)</f>
        <v>0.22</v>
      </c>
      <c r="AA22" s="30">
        <f>_xll.RtGet($AD$13,$AD$14&amp;$Y22&amp;$AD$15,AA$12)</f>
        <v>0.22</v>
      </c>
      <c r="AB22"/>
      <c r="AC22"/>
      <c r="AD22"/>
      <c r="AN22" s="6">
        <f>_xll.xlShmInterpDisc(CurveName,DATE(YEAR(AU22)+IF(YEAR(AU22)&lt;2000,100,0),MONTH(AU22),DAY(AU22)))</f>
        <v>0.99999045799668951</v>
      </c>
      <c r="AO22" s="215">
        <f>_xll.xlShmInterpRate(CurveName,$AO$2,$C$50,DATE(YEAR(AU22)+IF(YEAR(AU22)&lt;2000,100,0),MONTH(AU22),DAY(AU22)))*100</f>
        <v>4.9754968928982284E-2</v>
      </c>
      <c r="AP22" s="6">
        <f t="shared" si="6"/>
        <v>3.7092798451354714E-4</v>
      </c>
      <c r="AQ22" s="215">
        <f t="shared" si="10"/>
        <v>9.9561235174594823E-3</v>
      </c>
      <c r="AR22" s="8" t="s">
        <v>70</v>
      </c>
      <c r="AS22" s="52">
        <v>41808</v>
      </c>
      <c r="AT22" s="8" t="s">
        <v>147</v>
      </c>
      <c r="AU22" s="52">
        <v>41900</v>
      </c>
      <c r="AV22" s="52">
        <v>41791</v>
      </c>
      <c r="AW22" s="6">
        <v>0.99961953001217596</v>
      </c>
      <c r="AX22" s="6">
        <v>3.9798845411522801E-2</v>
      </c>
      <c r="AZ22" s="6">
        <v>2</v>
      </c>
      <c r="BA22" s="6">
        <v>99.965000000000003</v>
      </c>
      <c r="BB22" s="6">
        <v>2.3E-3</v>
      </c>
      <c r="BC22" s="21" t="s">
        <v>17</v>
      </c>
      <c r="BD22" s="52">
        <f>AV14</f>
        <v>41609</v>
      </c>
      <c r="BE22" s="6">
        <f>BA14</f>
        <v>99.984999999999999</v>
      </c>
      <c r="BF22" s="6">
        <f>BB14</f>
        <v>4.0000000000000002E-4</v>
      </c>
    </row>
    <row r="23" spans="1:60" ht="11.25" customHeight="1">
      <c r="A23" s="7"/>
      <c r="B23" s="85" t="s">
        <v>166</v>
      </c>
      <c r="C23" s="95" t="s">
        <v>212</v>
      </c>
      <c r="D23" s="6"/>
      <c r="E23" s="128" t="b">
        <v>0</v>
      </c>
      <c r="F23" s="109" t="str">
        <f>Y27</f>
        <v>STUB</v>
      </c>
      <c r="G23"/>
      <c r="H23"/>
      <c r="I23" s="78" t="e">
        <f>AVERAGE(Z27:AA27)</f>
        <v>#DIV/0!</v>
      </c>
      <c r="J23" s="49"/>
      <c r="K23" s="125"/>
      <c r="L23" s="49" t="e">
        <f>IF(ISNUMBER(J23),J23,I23)+K23</f>
        <v>#DIV/0!</v>
      </c>
      <c r="M23"/>
      <c r="N23"/>
      <c r="O23"/>
      <c r="P23"/>
      <c r="Q23"/>
      <c r="R23"/>
      <c r="S23"/>
      <c r="U23" s="133">
        <v>47378</v>
      </c>
      <c r="V23" s="134">
        <v>0.82290623972383292</v>
      </c>
      <c r="Y23" s="29">
        <v>11</v>
      </c>
      <c r="Z23" s="29">
        <f>_xll.RtGet($AD$13,$AD$14&amp;$Y23&amp;$AD$15,Z$12)</f>
        <v>0.24</v>
      </c>
      <c r="AA23" s="30">
        <f>_xll.RtGet($AD$13,$AD$14&amp;$Y23&amp;$AD$15,AA$12)</f>
        <v>0.24</v>
      </c>
      <c r="AB23"/>
      <c r="AC23"/>
      <c r="AD23"/>
      <c r="AN23" s="6">
        <f>_xll.xlShmInterpDisc(CurveName,DATE(YEAR(AU23)+IF(YEAR(AU23)&lt;2000,100,0),MONTH(AU23),DAY(AU23)))</f>
        <v>0.99997014437217213</v>
      </c>
      <c r="AO23" s="215">
        <f>_xll.xlShmInterpRate(CurveName,$AO$2,$C$50,DATE(YEAR(AU23)+IF(YEAR(AU23)&lt;2000,100,0),MONTH(AU23),DAY(AU23)))*100</f>
        <v>4.0360988271623828E-2</v>
      </c>
      <c r="AP23" s="6">
        <f t="shared" si="6"/>
        <v>0.99997014437217213</v>
      </c>
      <c r="AQ23" s="215">
        <f t="shared" si="10"/>
        <v>4.0360988271623828E-2</v>
      </c>
      <c r="AR23" s="8" t="s">
        <v>15</v>
      </c>
      <c r="AS23" s="52">
        <v>41555</v>
      </c>
      <c r="AT23" s="8" t="s">
        <v>146</v>
      </c>
      <c r="AU23" s="52">
        <v>41920</v>
      </c>
      <c r="AV23" s="52" t="s">
        <v>148</v>
      </c>
      <c r="AW23" s="6">
        <v>0</v>
      </c>
      <c r="AX23" s="6">
        <v>0</v>
      </c>
      <c r="BA23" s="6">
        <v>0.32</v>
      </c>
      <c r="BB23" s="6">
        <v>0</v>
      </c>
      <c r="BC23" s="21" t="s">
        <v>17</v>
      </c>
      <c r="BD23" s="52">
        <f>AV18</f>
        <v>41699</v>
      </c>
      <c r="BE23" s="6">
        <f>BA18</f>
        <v>99.974999999999994</v>
      </c>
      <c r="BF23" s="6">
        <f>BB18</f>
        <v>1.1999999999999999E-3</v>
      </c>
    </row>
    <row r="24" spans="1:60" ht="11.25" customHeight="1">
      <c r="A24" s="7"/>
      <c r="B24" s="85" t="s">
        <v>136</v>
      </c>
      <c r="C24" s="96" t="b">
        <v>1</v>
      </c>
      <c r="D24" s="6"/>
      <c r="E24" s="130" t="b">
        <f>IF(C44,OR(C3=AA31,ISNUMBER(J24)),FALSE)</f>
        <v>0</v>
      </c>
      <c r="F24" s="110" t="s">
        <v>69</v>
      </c>
      <c r="G24"/>
      <c r="H24"/>
      <c r="I24" s="80">
        <f>Z31</f>
        <v>5.1400000000000001E-2</v>
      </c>
      <c r="J24" s="51"/>
      <c r="K24" s="126"/>
      <c r="L24" s="51">
        <f>IF(ISNUMBER(J24),J24,I24)+K24</f>
        <v>5.1400000000000001E-2</v>
      </c>
      <c r="M24"/>
      <c r="N24"/>
      <c r="O24"/>
      <c r="P24"/>
      <c r="Q24"/>
      <c r="R24"/>
      <c r="S24"/>
      <c r="U24" s="133">
        <v>49202</v>
      </c>
      <c r="V24" s="134">
        <v>0.74140763364600482</v>
      </c>
      <c r="Y24" s="22">
        <v>12</v>
      </c>
      <c r="Z24" s="22" t="str">
        <f>_xll.RtGet($AD$13,$AD$14&amp;$Y24&amp;$AD$15,Z$12)</f>
        <v>#N/A The record could not be found</v>
      </c>
      <c r="AA24" s="23" t="str">
        <f>_xll.RtGet($AD$13,$AD$14&amp;$Y24&amp;$AD$15,AA$12)</f>
        <v>#N/A The record could not be found</v>
      </c>
      <c r="AB24"/>
      <c r="AC24"/>
      <c r="AD24"/>
      <c r="AN24" s="6">
        <f>_xll.xlShmInterpDisc(CurveName,DATE(YEAR(AU24)+IF(YEAR(AU24)&lt;2000,100,0),MONTH(AU24),DAY(AU24)))</f>
        <v>0.99998011637770434</v>
      </c>
      <c r="AO24" s="215">
        <f>_xll.xlShmInterpRate(CurveName,$AO$2,$C$50,DATE(YEAR(AU24)+IF(YEAR(AU24)&lt;2000,100,0),MONTH(AU24),DAY(AU24)))*100</f>
        <v>7.4820559709134395E-3</v>
      </c>
      <c r="AP24" s="6">
        <f t="shared" si="6"/>
        <v>5.3961133495139535E-4</v>
      </c>
      <c r="AQ24" s="215">
        <f t="shared" si="10"/>
        <v>-3.9049335721308059E-2</v>
      </c>
      <c r="AR24" s="8" t="s">
        <v>70</v>
      </c>
      <c r="AS24" s="52">
        <v>41899</v>
      </c>
      <c r="AT24" s="8" t="s">
        <v>147</v>
      </c>
      <c r="AU24" s="52">
        <v>41990</v>
      </c>
      <c r="AV24" s="52">
        <v>41883</v>
      </c>
      <c r="AW24" s="6">
        <v>0.99944050504275295</v>
      </c>
      <c r="AX24" s="6">
        <v>4.6531391692221501E-2</v>
      </c>
      <c r="AZ24" s="6">
        <v>2</v>
      </c>
      <c r="BA24" s="6">
        <v>99.924999999999997</v>
      </c>
      <c r="BB24" s="6">
        <v>3.8E-3</v>
      </c>
      <c r="BC24" s="21" t="s">
        <v>17</v>
      </c>
      <c r="BD24" s="52">
        <f>AV22</f>
        <v>41791</v>
      </c>
      <c r="BE24" s="6">
        <f>BA22</f>
        <v>99.965000000000003</v>
      </c>
      <c r="BF24" s="6">
        <f>BB22</f>
        <v>2.3E-3</v>
      </c>
    </row>
    <row r="25" spans="1:60" ht="11.25" customHeight="1">
      <c r="A25" s="7"/>
      <c r="B25" s="203" t="s">
        <v>172</v>
      </c>
      <c r="C25" s="161">
        <f>_xll.xlDateSettle(C23,C3,C22)</f>
        <v>41897</v>
      </c>
      <c r="D25" s="6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U25" s="133">
        <v>51028</v>
      </c>
      <c r="V25" s="134">
        <v>0.67110209943182253</v>
      </c>
      <c r="Y25" s="27"/>
      <c r="Z25" s="27"/>
      <c r="AA25" s="27"/>
      <c r="AB25"/>
      <c r="AC25"/>
      <c r="AD25"/>
      <c r="AN25" s="6">
        <f>_xll.xlShmInterpDisc(CurveName,DATE(YEAR(AU25)+IF(YEAR(AU25)&lt;2000,100,0),MONTH(AU25),DAY(AU25)))</f>
        <v>1.0001956585421201</v>
      </c>
      <c r="AO25" s="215">
        <f>_xll.xlShmInterpRate(CurveName,$AO$2,$C$50,DATE(YEAR(AU25)+IF(YEAR(AU25)&lt;2000,100,0),MONTH(AU25),DAY(AU25)))*100</f>
        <v>-3.8186300680021566E-2</v>
      </c>
      <c r="AP25" s="6">
        <f t="shared" si="6"/>
        <v>1.0284257374800765E-3</v>
      </c>
      <c r="AQ25" s="215">
        <f t="shared" si="10"/>
        <v>-9.5669601357777162E-2</v>
      </c>
      <c r="AR25" s="8" t="s">
        <v>70</v>
      </c>
      <c r="AS25" s="52">
        <v>41990</v>
      </c>
      <c r="AT25" s="8" t="s">
        <v>147</v>
      </c>
      <c r="AU25" s="52">
        <v>42080</v>
      </c>
      <c r="AV25" s="52">
        <v>41974</v>
      </c>
      <c r="AW25" s="6">
        <v>0.99916723280464004</v>
      </c>
      <c r="AX25" s="6">
        <v>5.7483300677755603E-2</v>
      </c>
      <c r="AZ25" s="6">
        <v>2</v>
      </c>
      <c r="BA25" s="6">
        <v>99.885000000000005</v>
      </c>
      <c r="BB25" s="6">
        <v>5.5999999999999999E-3</v>
      </c>
      <c r="BC25" s="21" t="s">
        <v>17</v>
      </c>
      <c r="BD25" s="52">
        <f>AV24</f>
        <v>41883</v>
      </c>
      <c r="BE25" s="6">
        <f>BA24</f>
        <v>99.924999999999997</v>
      </c>
      <c r="BF25" s="6">
        <f>BB24</f>
        <v>3.8E-3</v>
      </c>
    </row>
    <row r="26" spans="1:60" ht="11.25" customHeight="1">
      <c r="A26" s="7"/>
      <c r="D26" s="6"/>
      <c r="E26" s="86" t="s">
        <v>75</v>
      </c>
      <c r="F26" s="7"/>
      <c r="H26" s="7"/>
      <c r="I26" s="86" t="s">
        <v>1</v>
      </c>
      <c r="J26" s="86" t="s">
        <v>2</v>
      </c>
      <c r="K26" s="86" t="s">
        <v>3</v>
      </c>
      <c r="L26" s="86" t="s">
        <v>4</v>
      </c>
      <c r="M26" s="7"/>
      <c r="N26" s="8"/>
      <c r="P26" s="8"/>
      <c r="Q26" s="7"/>
      <c r="R26" s="7"/>
      <c r="S26" s="44">
        <f t="array" ref="S26">SUM(1*E27:E38)</f>
        <v>6</v>
      </c>
      <c r="U26" s="133">
        <v>52855</v>
      </c>
      <c r="V26" s="134">
        <v>0.61240810005205193</v>
      </c>
      <c r="Y26" s="10" t="s">
        <v>68</v>
      </c>
      <c r="Z26" s="77" t="s">
        <v>5</v>
      </c>
      <c r="AA26" s="28" t="s">
        <v>6</v>
      </c>
      <c r="AC26" s="13" t="s">
        <v>14</v>
      </c>
      <c r="AD26" s="71"/>
      <c r="AN26" s="6">
        <f>_xll.xlShmInterpDisc(CurveName,DATE(YEAR(AU26)+IF(YEAR(AU26)&lt;2000,100,0),MONTH(AU26),DAY(AU26)))</f>
        <v>1.000498101551164</v>
      </c>
      <c r="AO26" s="215">
        <f>_xll.xlShmInterpRate(CurveName,$AO$2,$C$50,DATE(YEAR(AU26)+IF(YEAR(AU26)&lt;2000,100,0),MONTH(AU26),DAY(AU26)))*100</f>
        <v>-6.4914929290777329E-2</v>
      </c>
      <c r="AP26" s="6">
        <f t="shared" si="6"/>
        <v>1.7615420770650259E-3</v>
      </c>
      <c r="AQ26" s="215">
        <f t="shared" si="10"/>
        <v>-0.13910260759032603</v>
      </c>
      <c r="AR26" s="8" t="s">
        <v>70</v>
      </c>
      <c r="AS26" s="52">
        <v>42081</v>
      </c>
      <c r="AT26" s="8" t="s">
        <v>147</v>
      </c>
      <c r="AU26" s="52">
        <v>42173</v>
      </c>
      <c r="AV26" s="52">
        <v>42064</v>
      </c>
      <c r="AW26" s="6">
        <v>0.99873655947409901</v>
      </c>
      <c r="AX26" s="6">
        <v>7.4187678299548698E-2</v>
      </c>
      <c r="AZ26" s="6">
        <v>2</v>
      </c>
      <c r="BA26" s="6">
        <v>99.825000000000003</v>
      </c>
      <c r="BB26" s="6">
        <v>7.9000000000000008E-3</v>
      </c>
      <c r="BC26" s="21" t="s">
        <v>17</v>
      </c>
      <c r="BD26" s="52">
        <f t="shared" ref="BD26:BD27" si="20">AV25</f>
        <v>41974</v>
      </c>
      <c r="BE26" s="6">
        <f t="shared" ref="BE26:BF27" si="21">BA25</f>
        <v>99.885000000000005</v>
      </c>
      <c r="BF26" s="6">
        <f t="shared" si="21"/>
        <v>5.5999999999999999E-3</v>
      </c>
    </row>
    <row r="27" spans="1:60" ht="11.25" customHeight="1">
      <c r="A27" s="7"/>
      <c r="D27" s="6"/>
      <c r="E27" s="128" t="b">
        <v>1</v>
      </c>
      <c r="F27" s="206" t="str">
        <f>IF($C$21,IF(LEN(AF35)&gt;0,AF35&amp;"x"&amp;(AF35+$AK$39),""),iText(H27,"mmm yy"))</f>
        <v>Sep 14</v>
      </c>
      <c r="G27" s="204">
        <f>IF(LEN(AF35)&gt;0,_xll.xlDateWorkFw($C$23,_xll.xlDateShiftMonth($C$25,AF35),$C$24),NA())</f>
        <v>41927</v>
      </c>
      <c r="H27" s="205">
        <f>_xll.xlDateNextFutLIFFE(C3)</f>
        <v>41899</v>
      </c>
      <c r="I27" s="78">
        <f>IF($C$21,100-AVERAGE(AG35:AH35),AVERAGE(Z35:AA35))</f>
        <v>99.995000000000005</v>
      </c>
      <c r="J27" s="49"/>
      <c r="K27" s="125">
        <v>4.0000000000000002E-4</v>
      </c>
      <c r="L27" s="49">
        <f t="shared" ref="L27:L38" si="22">IF(ISNUMBER(J27),J27,I27)+K27</f>
        <v>99.995400000000004</v>
      </c>
      <c r="M27" s="16">
        <v>1</v>
      </c>
      <c r="N27" s="17">
        <f t="shared" ref="N27:N38" si="23">IF(E27,M27,"")</f>
        <v>1</v>
      </c>
      <c r="O27" s="44">
        <f>IF($S$26&gt;0,1,"")</f>
        <v>1</v>
      </c>
      <c r="P27" s="17">
        <f t="shared" ref="P27:P38" si="24">IF(LEN(O27)&gt;0,SMALL($N$27:$N$38,O27),"")</f>
        <v>1</v>
      </c>
      <c r="Q27" s="7"/>
      <c r="R27" s="45">
        <f>IF(LEN(P27)&gt;0,IF($C$21,INDEX($G$27:$G$38,$P27),INDEX($H$27:$H$38,$P27)),"")</f>
        <v>41899</v>
      </c>
      <c r="S27" s="40">
        <f t="shared" ref="S27:S32" si="25">IF(LEN(P27)&gt;0,INDEX($L$27:$L$38,$P27),"")</f>
        <v>99.995400000000004</v>
      </c>
      <c r="U27" s="133" t="e">
        <v>#N/A</v>
      </c>
      <c r="V27" s="134" t="e">
        <v>#N/A</v>
      </c>
      <c r="Y27" s="74" t="s">
        <v>68</v>
      </c>
      <c r="Z27" s="74" t="str">
        <f>_xll.RtGet($AD$26,$AD$27&amp;$Y27&amp;$AD$28,Z$26)</f>
        <v>#N/A</v>
      </c>
      <c r="AA27" s="75" t="str">
        <f>_xll.RtGet($AD$26,$AD$27&amp;$Y27&amp;$AD$28,AA$26)</f>
        <v>#N/A</v>
      </c>
      <c r="AC27" s="18" t="s">
        <v>20</v>
      </c>
      <c r="AD27" s="19"/>
      <c r="AN27" s="6">
        <f>_xll.xlShmInterpDisc(CurveName,DATE(YEAR(AU27)+IF(YEAR(AU27)&lt;2000,100,0),MONTH(AU27),DAY(AU27)))</f>
        <v>1.0008953025159915</v>
      </c>
      <c r="AO27" s="215">
        <f>_xll.xlShmInterpRate(CurveName,$AO$2,$C$50,DATE(YEAR(AU27)+IF(YEAR(AU27)&lt;2000,100,0),MONTH(AU27),DAY(AU27)))*100</f>
        <v>-8.3326331553088578E-2</v>
      </c>
      <c r="AP27" s="6">
        <f t="shared" si="6"/>
        <v>4.2999161240384609E-3</v>
      </c>
      <c r="AQ27" s="215">
        <f t="shared" si="10"/>
        <v>-0.25291818578783254</v>
      </c>
      <c r="AR27" s="8" t="s">
        <v>72</v>
      </c>
      <c r="AS27" s="52">
        <v>41555</v>
      </c>
      <c r="AT27" s="8" t="s">
        <v>149</v>
      </c>
      <c r="AU27" s="52">
        <v>42285</v>
      </c>
      <c r="AV27" s="52" t="s">
        <v>43</v>
      </c>
      <c r="AW27" s="6">
        <v>0.996595386391953</v>
      </c>
      <c r="AX27" s="6">
        <v>0.16959185423474399</v>
      </c>
      <c r="BA27" s="6">
        <v>0.17</v>
      </c>
      <c r="BB27" s="6">
        <v>0</v>
      </c>
      <c r="BC27" s="21" t="s">
        <v>17</v>
      </c>
      <c r="BD27" s="52">
        <f t="shared" si="20"/>
        <v>42064</v>
      </c>
      <c r="BE27" s="6">
        <f t="shared" si="21"/>
        <v>99.825000000000003</v>
      </c>
      <c r="BF27" s="6">
        <f t="shared" si="21"/>
        <v>7.9000000000000008E-3</v>
      </c>
    </row>
    <row r="28" spans="1:60" ht="11.25" customHeight="1">
      <c r="A28" s="7"/>
      <c r="D28" s="6"/>
      <c r="E28" s="129" t="b">
        <v>1</v>
      </c>
      <c r="F28" s="207" t="str">
        <f>IF($C$21,IF(LEN(AF36)&gt;0,AF36&amp;"x"&amp;(AF36+$AK$39),""),iText(H28,"mmm yy"))</f>
        <v>Dec 14</v>
      </c>
      <c r="G28" s="204">
        <f>IF(LEN(AF36)&gt;0,_xll.xlDateWorkFw($C$23,_xll.xlDateShiftMonth($C$25,AF36),$C$24),NA())</f>
        <v>41960</v>
      </c>
      <c r="H28" s="204">
        <f>_xll.xlDateNextFutLIFFE(H27)</f>
        <v>41990</v>
      </c>
      <c r="I28" s="79">
        <f t="shared" ref="I28:I38" si="26">IF($C$21,100-AVERAGE(AG36:AH36),AVERAGE(Z36:AA36))</f>
        <v>100.08500000000001</v>
      </c>
      <c r="J28" s="50"/>
      <c r="K28" s="127">
        <v>1.1999999999999999E-3</v>
      </c>
      <c r="L28" s="50">
        <f t="shared" si="22"/>
        <v>100.08620000000001</v>
      </c>
      <c r="M28" s="29">
        <f t="shared" ref="M28:M38" si="27">M27+1</f>
        <v>2</v>
      </c>
      <c r="N28" s="30">
        <f t="shared" si="23"/>
        <v>2</v>
      </c>
      <c r="O28" s="29">
        <f t="shared" ref="O28:O38" si="28">IF(O27&lt;$S$26,O27+1,"")</f>
        <v>2</v>
      </c>
      <c r="P28" s="30">
        <f t="shared" si="24"/>
        <v>2</v>
      </c>
      <c r="Q28" s="7"/>
      <c r="R28" s="34">
        <f t="shared" ref="R28:R38" si="29">IF(LEN(P28)&gt;0,IF($C$21,INDEX($G$27:$G$38,$P28),INDEX($H$27:$H$38,$P28)),"")</f>
        <v>41990</v>
      </c>
      <c r="S28" s="41">
        <f t="shared" si="25"/>
        <v>100.08620000000001</v>
      </c>
      <c r="U28" s="133" t="e">
        <v>#N/A</v>
      </c>
      <c r="V28" s="134" t="e">
        <v>#N/A</v>
      </c>
      <c r="AC28" s="24" t="s">
        <v>24</v>
      </c>
      <c r="AD28" s="25"/>
      <c r="AN28" s="6">
        <f>_xll.xlShmInterpDisc(CurveName,DATE(YEAR(AU28)+IF(YEAR(AU28)&lt;2000,100,0),MONTH(AU28),DAY(AU28)))</f>
        <v>0.9996754236052291</v>
      </c>
      <c r="AO28" s="215">
        <f>_xll.xlShmInterpRate(CurveName,$AO$2,$C$50,DATE(YEAR(AU28)+IF(YEAR(AU28)&lt;2000,100,0),MONTH(AU28),DAY(AU28)))*100</f>
        <v>1.5590738762861718E-2</v>
      </c>
      <c r="AP28" s="6">
        <f t="shared" si="6"/>
        <v>9.0375328440871483E-3</v>
      </c>
      <c r="AQ28" s="215">
        <f t="shared" si="10"/>
        <v>-0.29595793406670728</v>
      </c>
      <c r="AR28" s="8" t="s">
        <v>72</v>
      </c>
      <c r="AS28" s="52">
        <v>41555</v>
      </c>
      <c r="AT28" s="8" t="s">
        <v>149</v>
      </c>
      <c r="AU28" s="52">
        <v>42653</v>
      </c>
      <c r="AV28" s="52" t="s">
        <v>44</v>
      </c>
      <c r="AW28" s="6">
        <v>0.99063789076114195</v>
      </c>
      <c r="AX28" s="6">
        <v>0.311548672829569</v>
      </c>
      <c r="BA28" s="6">
        <v>0.3125</v>
      </c>
      <c r="BB28" s="6">
        <v>0</v>
      </c>
      <c r="BC28" s="21" t="s">
        <v>17</v>
      </c>
      <c r="BD28" s="52"/>
      <c r="BG28"/>
      <c r="BH28"/>
    </row>
    <row r="29" spans="1:60" ht="11.25" customHeight="1">
      <c r="A29" s="7"/>
      <c r="B29" s="231" t="s">
        <v>142</v>
      </c>
      <c r="C29" s="232"/>
      <c r="D29" s="6"/>
      <c r="E29" s="129" t="b">
        <v>1</v>
      </c>
      <c r="F29" s="207" t="str">
        <f>IF($C$21,IF(LEN(AF37)&gt;0,AF37&amp;"x"&amp;(AF37+$AK$39),""),iText(H29,"mmm yy"))</f>
        <v>Mar 15</v>
      </c>
      <c r="G29" s="204">
        <f>IF(LEN(AF37)&gt;0,_xll.xlDateWorkFw($C$23,_xll.xlDateShiftMonth($C$25,AF37),$C$24),NA())</f>
        <v>41988</v>
      </c>
      <c r="H29" s="204">
        <f>_xll.xlDateNextFutLIFFE(H28)</f>
        <v>42081</v>
      </c>
      <c r="I29" s="79">
        <f t="shared" si="26"/>
        <v>100.11500000000001</v>
      </c>
      <c r="J29" s="50"/>
      <c r="K29" s="127">
        <v>2.3E-3</v>
      </c>
      <c r="L29" s="50">
        <f t="shared" si="22"/>
        <v>100.11730000000001</v>
      </c>
      <c r="M29" s="29">
        <f t="shared" si="27"/>
        <v>3</v>
      </c>
      <c r="N29" s="30">
        <f t="shared" si="23"/>
        <v>3</v>
      </c>
      <c r="O29" s="29">
        <f t="shared" si="28"/>
        <v>3</v>
      </c>
      <c r="P29" s="30">
        <f t="shared" si="24"/>
        <v>3</v>
      </c>
      <c r="Q29" s="7"/>
      <c r="R29" s="34">
        <f t="shared" si="29"/>
        <v>42081</v>
      </c>
      <c r="S29" s="41">
        <f t="shared" si="25"/>
        <v>100.11730000000001</v>
      </c>
      <c r="U29" s="133" t="e">
        <v>#N/A</v>
      </c>
      <c r="V29" s="134" t="e">
        <v>#N/A</v>
      </c>
      <c r="Y29" s="27"/>
      <c r="Z29" s="27"/>
      <c r="AA29" s="27"/>
      <c r="AB29"/>
      <c r="AC29"/>
      <c r="AD29"/>
      <c r="AN29" s="6">
        <f>_xll.xlShmInterpDisc(CurveName,DATE(YEAR(AU29)+IF(YEAR(AU29)&lt;2000,100,0),MONTH(AU29),DAY(AU29)))</f>
        <v>0.99814339834765908</v>
      </c>
      <c r="AO29" s="215">
        <f>_xll.xlShmInterpRate(CurveName,$AO$2,$C$50,DATE(YEAR(AU29)+IF(YEAR(AU29)&lt;2000,100,0),MONTH(AU29),DAY(AU29)))*100</f>
        <v>6.034603690246497E-2</v>
      </c>
      <c r="AP29" s="6">
        <f t="shared" si="6"/>
        <v>1.7805682601055084E-2</v>
      </c>
      <c r="AQ29" s="215">
        <f t="shared" si="10"/>
        <v>-0.43407606087502104</v>
      </c>
      <c r="AR29" s="8" t="s">
        <v>72</v>
      </c>
      <c r="AS29" s="52">
        <v>41555</v>
      </c>
      <c r="AT29" s="8" t="s">
        <v>149</v>
      </c>
      <c r="AU29" s="52">
        <v>43017</v>
      </c>
      <c r="AV29" s="52" t="s">
        <v>45</v>
      </c>
      <c r="AW29" s="6">
        <v>0.980337715746604</v>
      </c>
      <c r="AX29" s="6">
        <v>0.49442209777748602</v>
      </c>
      <c r="BA29" s="6">
        <v>0.495</v>
      </c>
      <c r="BB29" s="6">
        <v>0</v>
      </c>
      <c r="BC29" s="21" t="s">
        <v>17</v>
      </c>
      <c r="BD29" s="52"/>
      <c r="BG29"/>
      <c r="BH29"/>
    </row>
    <row r="30" spans="1:60" ht="11.25" customHeight="1">
      <c r="A30" s="7"/>
      <c r="B30" s="88" t="s">
        <v>85</v>
      </c>
      <c r="C30" s="94">
        <v>231</v>
      </c>
      <c r="D30" s="6"/>
      <c r="E30" s="129" t="b">
        <v>1</v>
      </c>
      <c r="F30" s="207" t="str">
        <f>IF($C$21,IF(LEN(AF38)&gt;0,AF38&amp;"x"&amp;(AF38+$AK$39),""),iText(H30,"mmm yy"))</f>
        <v>Jun 15</v>
      </c>
      <c r="G30" s="204">
        <f>IF(LEN(AF38)&gt;0,_xll.xlDateWorkFw($C$23,_xll.xlDateShiftMonth($C$25,AF38),$C$24),NA())</f>
        <v>42079</v>
      </c>
      <c r="H30" s="204">
        <f>_xll.xlDateNextFutLIFFE(H29)</f>
        <v>42172</v>
      </c>
      <c r="I30" s="79">
        <f t="shared" si="26"/>
        <v>100.125</v>
      </c>
      <c r="J30" s="50"/>
      <c r="K30" s="127">
        <v>3.8E-3</v>
      </c>
      <c r="L30" s="50">
        <f t="shared" si="22"/>
        <v>100.1288</v>
      </c>
      <c r="M30" s="29">
        <f t="shared" si="27"/>
        <v>4</v>
      </c>
      <c r="N30" s="30">
        <f t="shared" si="23"/>
        <v>4</v>
      </c>
      <c r="O30" s="29">
        <f t="shared" si="28"/>
        <v>4</v>
      </c>
      <c r="P30" s="30">
        <f t="shared" si="24"/>
        <v>4</v>
      </c>
      <c r="Q30" s="7"/>
      <c r="R30" s="34">
        <f t="shared" si="29"/>
        <v>42172</v>
      </c>
      <c r="S30" s="41">
        <f t="shared" si="25"/>
        <v>100.1288</v>
      </c>
      <c r="U30" s="133" t="e">
        <v>#N/A</v>
      </c>
      <c r="V30" s="134" t="e">
        <v>#N/A</v>
      </c>
      <c r="Y30" s="10" t="s">
        <v>69</v>
      </c>
      <c r="Z30" s="192" t="s">
        <v>220</v>
      </c>
      <c r="AA30" s="192" t="s">
        <v>221</v>
      </c>
      <c r="AC30" s="13" t="s">
        <v>14</v>
      </c>
      <c r="AD30" s="71" t="s">
        <v>62</v>
      </c>
      <c r="AN30" s="6">
        <f>_xll.xlShmInterpDisc(CurveName,DATE(YEAR(AU30)+IF(YEAR(AU30)&lt;2000,100,0),MONTH(AU30),DAY(AU30)))</f>
        <v>0.99415375902789827</v>
      </c>
      <c r="AO30" s="215">
        <f>_xll.xlShmInterpRate(CurveName,$AO$2,$C$50,DATE(YEAR(AU30)+IF(YEAR(AU30)&lt;2000,100,0),MONTH(AU30),DAY(AU30)))*100</f>
        <v>0.14382660989368365</v>
      </c>
      <c r="AP30" s="6">
        <f t="shared" si="6"/>
        <v>2.8693854458030299E-2</v>
      </c>
      <c r="AQ30" s="215">
        <f t="shared" si="10"/>
        <v>-0.55726670903758535</v>
      </c>
      <c r="AR30" s="8" t="s">
        <v>72</v>
      </c>
      <c r="AS30" s="52">
        <v>41555</v>
      </c>
      <c r="AT30" s="8" t="s">
        <v>149</v>
      </c>
      <c r="AU30" s="52">
        <v>43381</v>
      </c>
      <c r="AV30" s="52" t="s">
        <v>46</v>
      </c>
      <c r="AW30" s="6">
        <v>0.96545990456986797</v>
      </c>
      <c r="AX30" s="6">
        <v>0.70109331893126903</v>
      </c>
      <c r="BA30" s="6">
        <v>0.7</v>
      </c>
      <c r="BB30" s="6">
        <v>0</v>
      </c>
      <c r="BC30" s="21" t="s">
        <v>17</v>
      </c>
      <c r="BD30" s="52"/>
      <c r="BF30"/>
      <c r="BG30"/>
      <c r="BH30"/>
    </row>
    <row r="31" spans="1:60" ht="11.25" customHeight="1">
      <c r="A31" s="6"/>
      <c r="B31" s="89" t="s">
        <v>144</v>
      </c>
      <c r="C31" s="96" t="b">
        <v>1</v>
      </c>
      <c r="D31" s="6"/>
      <c r="E31" s="129" t="b">
        <v>1</v>
      </c>
      <c r="F31" s="207" t="str">
        <f>IF($C$21,IF(LEN(AF39)&gt;0,AF39&amp;"x"&amp;(AF39+$AK$39),""),iText(H31,"mmm yy"))</f>
        <v>Sep 15</v>
      </c>
      <c r="G31" s="204">
        <f>IF(LEN(AF39)&gt;0,_xll.xlDateWorkFw($C$23,_xll.xlDateShiftMonth($C$25,AF39),$C$24),NA())</f>
        <v>42170</v>
      </c>
      <c r="H31" s="204">
        <f>_xll.xlDateNextFutLIFFE(H30)</f>
        <v>42263</v>
      </c>
      <c r="I31" s="79">
        <f t="shared" si="26"/>
        <v>100.125</v>
      </c>
      <c r="J31" s="50"/>
      <c r="K31" s="127">
        <v>5.5999999999999999E-3</v>
      </c>
      <c r="L31" s="50">
        <f t="shared" si="22"/>
        <v>100.1306</v>
      </c>
      <c r="M31" s="29">
        <f t="shared" si="27"/>
        <v>5</v>
      </c>
      <c r="N31" s="30">
        <f t="shared" si="23"/>
        <v>5</v>
      </c>
      <c r="O31" s="29">
        <f t="shared" si="28"/>
        <v>5</v>
      </c>
      <c r="P31" s="30">
        <f t="shared" si="24"/>
        <v>5</v>
      </c>
      <c r="Q31" s="7"/>
      <c r="R31" s="34">
        <f t="shared" si="29"/>
        <v>42263</v>
      </c>
      <c r="S31" s="41">
        <f t="shared" si="25"/>
        <v>100.1306</v>
      </c>
      <c r="T31"/>
      <c r="U31" s="133" t="e">
        <v>#N/A</v>
      </c>
      <c r="V31" s="134" t="e">
        <v>#N/A</v>
      </c>
      <c r="Y31" s="139">
        <v>6</v>
      </c>
      <c r="Z31" s="194">
        <f>_xll.RtGet($AD$30,$AD$31&amp;$Y31&amp;$AD$32,Z30)</f>
        <v>5.1400000000000001E-2</v>
      </c>
      <c r="AA31" s="210">
        <f>_xll.RtGet($AD$30,$AD$31&amp;$Y31&amp;$AD$32,AA30)</f>
        <v>41893</v>
      </c>
      <c r="AC31" s="18" t="s">
        <v>20</v>
      </c>
      <c r="AD31" s="72" t="s">
        <v>150</v>
      </c>
      <c r="AN31" s="6">
        <f>_xll.xlShmInterpDisc(CurveName,DATE(YEAR(AU31)+IF(YEAR(AU31)&lt;2000,100,0),MONTH(AU31),DAY(AU31)))</f>
        <v>0.98699911052009526</v>
      </c>
      <c r="AO31" s="215">
        <f>_xll.xlShmInterpRate(CurveName,$AO$2,$C$50,DATE(YEAR(AU31)+IF(YEAR(AU31)&lt;2000,100,0),MONTH(AU31),DAY(AU31)))*100</f>
        <v>0.25776801790313458</v>
      </c>
      <c r="AP31" s="6">
        <f t="shared" si="6"/>
        <v>4.0365285437155229E-2</v>
      </c>
      <c r="AQ31" s="215">
        <f t="shared" si="10"/>
        <v>-0.65419868152085536</v>
      </c>
      <c r="AR31" s="8" t="s">
        <v>72</v>
      </c>
      <c r="AS31" s="52">
        <v>41555</v>
      </c>
      <c r="AT31" s="8" t="s">
        <v>149</v>
      </c>
      <c r="AU31" s="52">
        <v>43746</v>
      </c>
      <c r="AV31" s="52" t="s">
        <v>47</v>
      </c>
      <c r="AW31" s="6">
        <v>0.94663382508294003</v>
      </c>
      <c r="AX31" s="6">
        <v>0.91196669942399</v>
      </c>
      <c r="BA31" s="6">
        <v>0.90749999999999997</v>
      </c>
      <c r="BB31" s="6">
        <v>0</v>
      </c>
      <c r="BC31" s="21" t="s">
        <v>17</v>
      </c>
      <c r="BD31" s="52"/>
      <c r="BF31"/>
      <c r="BG31"/>
      <c r="BH31"/>
    </row>
    <row r="32" spans="1:60" ht="11.25" customHeight="1">
      <c r="A32" s="6"/>
      <c r="B32" s="120" t="s">
        <v>90</v>
      </c>
      <c r="C32" s="94" t="s">
        <v>127</v>
      </c>
      <c r="D32" s="6"/>
      <c r="E32" s="129" t="b">
        <v>1</v>
      </c>
      <c r="F32" s="207" t="str">
        <f>IF($C$21,IF(LEN(AF40)&gt;0,AF40&amp;"x"&amp;(AF40+$AK$39),""),iText(H32,"mmm yy"))</f>
        <v>Dec 15</v>
      </c>
      <c r="G32" s="204">
        <f>IF(LEN(AF40)&gt;0,_xll.xlDateWorkFw($C$23,_xll.xlDateShiftMonth($C$25,AF40),$C$24),NA())</f>
        <v>42262</v>
      </c>
      <c r="H32" s="204">
        <f>_xll.xlDateNextFutLIFFE(H31)</f>
        <v>42354</v>
      </c>
      <c r="I32" s="79">
        <f t="shared" si="26"/>
        <v>100.11500000000001</v>
      </c>
      <c r="J32" s="50"/>
      <c r="K32" s="127">
        <v>7.9000000000000008E-3</v>
      </c>
      <c r="L32" s="50">
        <f t="shared" si="22"/>
        <v>100.12290000000002</v>
      </c>
      <c r="M32" s="29">
        <f t="shared" si="27"/>
        <v>6</v>
      </c>
      <c r="N32" s="30">
        <f t="shared" si="23"/>
        <v>6</v>
      </c>
      <c r="O32" s="29">
        <f t="shared" si="28"/>
        <v>6</v>
      </c>
      <c r="P32" s="30">
        <f t="shared" si="24"/>
        <v>6</v>
      </c>
      <c r="Q32" s="7"/>
      <c r="R32" s="34">
        <f t="shared" si="29"/>
        <v>42354</v>
      </c>
      <c r="S32" s="41">
        <f t="shared" si="25"/>
        <v>100.12290000000002</v>
      </c>
      <c r="T32"/>
      <c r="U32" s="133" t="e">
        <v>#N/A</v>
      </c>
      <c r="V32" s="134" t="e">
        <v>#N/A</v>
      </c>
      <c r="AC32" s="24" t="s">
        <v>24</v>
      </c>
      <c r="AD32" s="73" t="s">
        <v>224</v>
      </c>
      <c r="AN32" s="6">
        <f>_xll.xlShmInterpDisc(CurveName,DATE(YEAR(AU32)+IF(YEAR(AU32)&lt;2000,100,0),MONTH(AU32),DAY(AU32)))</f>
        <v>0.97675643253662892</v>
      </c>
      <c r="AO32" s="215">
        <f>_xll.xlShmInterpRate(CurveName,$AO$2,$C$50,DATE(YEAR(AU32)+IF(YEAR(AU32)&lt;2000,100,0),MONTH(AU32),DAY(AU32)))*100</f>
        <v>0.38684340634009101</v>
      </c>
      <c r="AP32" s="6">
        <f t="shared" si="6"/>
        <v>5.1616883323613916E-2</v>
      </c>
      <c r="AQ32" s="215">
        <f t="shared" si="10"/>
        <v>-0.72213361141010912</v>
      </c>
      <c r="AR32" s="8" t="s">
        <v>72</v>
      </c>
      <c r="AS32" s="52">
        <v>41555</v>
      </c>
      <c r="AT32" s="8" t="s">
        <v>149</v>
      </c>
      <c r="AU32" s="52">
        <v>44112</v>
      </c>
      <c r="AV32" s="52" t="s">
        <v>48</v>
      </c>
      <c r="AW32" s="6">
        <v>0.925139549213015</v>
      </c>
      <c r="AX32" s="6">
        <v>1.1089770177502001</v>
      </c>
      <c r="BA32" s="6">
        <v>1.1000000000000001</v>
      </c>
      <c r="BB32" s="6">
        <v>0</v>
      </c>
      <c r="BC32" s="21" t="s">
        <v>17</v>
      </c>
      <c r="BD32" s="52"/>
      <c r="BF32"/>
      <c r="BG32"/>
      <c r="BH32"/>
    </row>
    <row r="33" spans="1:60" ht="11.25" customHeight="1">
      <c r="A33" s="6"/>
      <c r="B33" s="121" t="s">
        <v>84</v>
      </c>
      <c r="C33" s="95" t="s">
        <v>12</v>
      </c>
      <c r="D33" s="6"/>
      <c r="E33" s="129" t="b">
        <v>0</v>
      </c>
      <c r="F33" s="207" t="str">
        <f>IF($C$21,IF(LEN(AF41)&gt;0,AF41&amp;"x"&amp;(AF41+$AK$39),""),iText(H33,"mmm yy"))</f>
        <v>Mar 16</v>
      </c>
      <c r="G33" s="204">
        <f>IF(LEN(AF41)&gt;0,_xll.xlDateWorkFw($C$23,_xll.xlDateShiftMonth($C$25,AF41),$C$24),NA())</f>
        <v>42353</v>
      </c>
      <c r="H33" s="204">
        <f>_xll.xlDateNextFutLIFFE(H32)</f>
        <v>42445</v>
      </c>
      <c r="I33" s="79">
        <f t="shared" si="26"/>
        <v>100.09</v>
      </c>
      <c r="J33" s="50"/>
      <c r="K33" s="127"/>
      <c r="L33" s="50">
        <f t="shared" si="22"/>
        <v>100.09</v>
      </c>
      <c r="M33" s="29">
        <f t="shared" si="27"/>
        <v>7</v>
      </c>
      <c r="N33" s="30" t="str">
        <f t="shared" si="23"/>
        <v/>
      </c>
      <c r="O33" s="29" t="str">
        <f t="shared" si="28"/>
        <v/>
      </c>
      <c r="P33" s="30" t="str">
        <f t="shared" si="24"/>
        <v/>
      </c>
      <c r="Q33" s="7"/>
      <c r="R33" s="34" t="str">
        <f t="shared" si="29"/>
        <v/>
      </c>
      <c r="S33" s="41"/>
      <c r="T33"/>
      <c r="U33" s="133" t="e">
        <v>#N/A</v>
      </c>
      <c r="V33" s="134" t="e">
        <v>#N/A</v>
      </c>
      <c r="AN33" s="6">
        <f>_xll.xlShmInterpDisc(CurveName,DATE(YEAR(AU33)+IF(YEAR(AU33)&lt;2000,100,0),MONTH(AU33),DAY(AU33)))</f>
        <v>0.96363086871770498</v>
      </c>
      <c r="AO33" s="215">
        <f>_xll.xlShmInterpRate(CurveName,$AO$2,$C$50,DATE(YEAR(AU33)+IF(YEAR(AU33)&lt;2000,100,0),MONTH(AU33),DAY(AU33)))*100</f>
        <v>0.52330284440018182</v>
      </c>
      <c r="AP33" s="6">
        <f t="shared" si="6"/>
        <v>6.1325552489948976E-2</v>
      </c>
      <c r="AQ33" s="215">
        <f t="shared" si="10"/>
        <v>-0.75909120104570815</v>
      </c>
      <c r="AR33" s="8" t="s">
        <v>72</v>
      </c>
      <c r="AS33" s="52">
        <v>41555</v>
      </c>
      <c r="AT33" s="8" t="s">
        <v>149</v>
      </c>
      <c r="AU33" s="52">
        <v>44477</v>
      </c>
      <c r="AV33" s="52" t="s">
        <v>49</v>
      </c>
      <c r="AW33" s="6">
        <v>0.902305316227756</v>
      </c>
      <c r="AX33" s="6">
        <v>1.28239404544589</v>
      </c>
      <c r="BA33" s="6">
        <v>1.2675000000000001</v>
      </c>
      <c r="BB33" s="6">
        <v>0</v>
      </c>
      <c r="BC33" s="21" t="s">
        <v>17</v>
      </c>
      <c r="BD33" s="52"/>
      <c r="BF33"/>
      <c r="BG33"/>
      <c r="BH33"/>
    </row>
    <row r="34" spans="1:60" ht="11.25" customHeight="1">
      <c r="A34" s="7"/>
      <c r="B34" s="122" t="s">
        <v>83</v>
      </c>
      <c r="C34" s="96" t="s">
        <v>29</v>
      </c>
      <c r="D34" s="6"/>
      <c r="E34" s="129" t="b">
        <v>0</v>
      </c>
      <c r="F34" s="207" t="str">
        <f>IF($C$21,IF(LEN(AF42)&gt;0,AF42&amp;"x"&amp;(AF42+$AK$39),""),iText(H34,"mmm yy"))</f>
        <v>Jun 16</v>
      </c>
      <c r="G34" s="204">
        <f>IF(LEN(AF42)&gt;0,_xll.xlDateWorkFw($C$23,_xll.xlDateShiftMonth($C$25,AF42),$C$24),NA())</f>
        <v>42444</v>
      </c>
      <c r="H34" s="204">
        <f>_xll.xlDateNextFutLIFFE(H33)</f>
        <v>42536</v>
      </c>
      <c r="I34" s="79">
        <f t="shared" si="26"/>
        <v>100.065</v>
      </c>
      <c r="J34" s="50"/>
      <c r="K34" s="127"/>
      <c r="L34" s="50">
        <f t="shared" si="22"/>
        <v>100.065</v>
      </c>
      <c r="M34" s="29">
        <f t="shared" si="27"/>
        <v>8</v>
      </c>
      <c r="N34" s="30" t="str">
        <f t="shared" si="23"/>
        <v/>
      </c>
      <c r="O34" s="29" t="str">
        <f t="shared" si="28"/>
        <v/>
      </c>
      <c r="P34" s="30" t="str">
        <f t="shared" si="24"/>
        <v/>
      </c>
      <c r="Q34" s="7"/>
      <c r="R34" s="34" t="str">
        <f t="shared" si="29"/>
        <v/>
      </c>
      <c r="S34" s="41"/>
      <c r="T34"/>
      <c r="U34" s="133" t="e">
        <v>#N/A</v>
      </c>
      <c r="V34" s="134" t="e">
        <v>#N/A</v>
      </c>
      <c r="Y34" s="10" t="s">
        <v>79</v>
      </c>
      <c r="Z34" s="11" t="s">
        <v>5</v>
      </c>
      <c r="AA34" s="12" t="s">
        <v>6</v>
      </c>
      <c r="AF34" s="10" t="s">
        <v>217</v>
      </c>
      <c r="AG34" s="11" t="s">
        <v>5</v>
      </c>
      <c r="AH34" s="12" t="s">
        <v>6</v>
      </c>
      <c r="AN34" s="6">
        <f>_xll.xlShmInterpDisc(CurveName,DATE(YEAR(AU34)+IF(YEAR(AU34)&lt;2000,100,0),MONTH(AU34),DAY(AU34)))</f>
        <v>0.94833149235804348</v>
      </c>
      <c r="AO34" s="215">
        <f>_xll.xlShmInterpRate(CurveName,$AO$2,$C$50,DATE(YEAR(AU34)+IF(YEAR(AU34)&lt;2000,100,0),MONTH(AU34),DAY(AU34)))*100</f>
        <v>0.65617330612173019</v>
      </c>
      <c r="AP34" s="6">
        <f t="shared" si="6"/>
        <v>6.9257389883060516E-2</v>
      </c>
      <c r="AQ34" s="215">
        <f t="shared" si="10"/>
        <v>-0.77241520945836972</v>
      </c>
      <c r="AR34" s="8" t="s">
        <v>72</v>
      </c>
      <c r="AS34" s="52">
        <v>41555</v>
      </c>
      <c r="AT34" s="8" t="s">
        <v>149</v>
      </c>
      <c r="AU34" s="52">
        <v>44844</v>
      </c>
      <c r="AV34" s="52" t="s">
        <v>50</v>
      </c>
      <c r="AW34" s="6">
        <v>0.87907410247498297</v>
      </c>
      <c r="AX34" s="6">
        <v>1.4285885155800999</v>
      </c>
      <c r="BA34" s="6">
        <v>1.4075</v>
      </c>
      <c r="BB34" s="6">
        <v>0</v>
      </c>
      <c r="BC34" s="21" t="s">
        <v>17</v>
      </c>
      <c r="BD34" s="52"/>
      <c r="BF34"/>
      <c r="BG34"/>
      <c r="BH34"/>
    </row>
    <row r="35" spans="1:60" ht="11.25" customHeight="1">
      <c r="A35" s="7"/>
      <c r="B35" s="104" t="s">
        <v>93</v>
      </c>
      <c r="C35" s="98">
        <f>IF(C21,AK39,AD39)</f>
        <v>3</v>
      </c>
      <c r="D35" s="6"/>
      <c r="E35" s="129" t="b">
        <v>0</v>
      </c>
      <c r="F35" s="207" t="str">
        <f>IF($C$21,IF(LEN(AF43)&gt;0,AF43&amp;"x"&amp;(AF43+$AK$39),""),iText(H35,"mmm yy"))</f>
        <v>Sep 16</v>
      </c>
      <c r="G35" s="204" t="e">
        <f>IF(LEN(AF43)&gt;0,_xll.xlDateWorkFw($C$23,_xll.xlDateShiftMonth($C$25,AF43),$C$24),NA())</f>
        <v>#N/A</v>
      </c>
      <c r="H35" s="204">
        <f>_xll.xlDateNextFutLIFFE(H34)</f>
        <v>42634</v>
      </c>
      <c r="I35" s="79">
        <f t="shared" si="26"/>
        <v>100.035</v>
      </c>
      <c r="J35" s="50"/>
      <c r="K35" s="127"/>
      <c r="L35" s="50">
        <f t="shared" si="22"/>
        <v>100.035</v>
      </c>
      <c r="M35" s="29">
        <f t="shared" si="27"/>
        <v>9</v>
      </c>
      <c r="N35" s="30" t="str">
        <f t="shared" si="23"/>
        <v/>
      </c>
      <c r="O35" s="29" t="str">
        <f t="shared" si="28"/>
        <v/>
      </c>
      <c r="P35" s="30" t="str">
        <f t="shared" si="24"/>
        <v/>
      </c>
      <c r="Q35" s="7"/>
      <c r="R35" s="34" t="str">
        <f t="shared" si="29"/>
        <v/>
      </c>
      <c r="S35" s="41"/>
      <c r="U35" s="133" t="e">
        <v>#N/A</v>
      </c>
      <c r="V35" s="134" t="e">
        <v>#N/A</v>
      </c>
      <c r="Y35" s="31" t="str">
        <f>_xll.xlFutCode(H27)</f>
        <v>U4</v>
      </c>
      <c r="Z35" s="16">
        <f>_xll.RtGet($AD$35,$AD$36&amp;$Y35&amp;$AD$37,Z$34)</f>
        <v>99.99</v>
      </c>
      <c r="AA35" s="17">
        <f>_xll.RtGet($AD$35,$AD$36&amp;$Y35&amp;$AD$37,AA$34)</f>
        <v>100</v>
      </c>
      <c r="AC35" s="13" t="s">
        <v>14</v>
      </c>
      <c r="AD35" s="71" t="s">
        <v>62</v>
      </c>
      <c r="AF35" s="31">
        <v>1</v>
      </c>
      <c r="AG35" s="16">
        <f>_xll.RtGet($AK$35,$AK$36&amp;$AF35&amp;"X"&amp;($AF35+$AK$39)&amp;$AK$37,AG$34)</f>
        <v>5.0000000000000001E-3</v>
      </c>
      <c r="AH35" s="17">
        <f>_xll.RtGet($AK$35,$AK$36&amp;$AF35&amp;"X"&amp;($AF35+$AK$39)&amp;$AK$37,AH$34)</f>
        <v>5.5E-2</v>
      </c>
      <c r="AI35" s="6"/>
      <c r="AJ35" s="13" t="s">
        <v>14</v>
      </c>
      <c r="AK35" s="71" t="s">
        <v>62</v>
      </c>
      <c r="AN35" s="6">
        <f>_xll.xlShmInterpDisc(CurveName,DATE(YEAR(AU35)+IF(YEAR(AU35)&lt;2000,100,0),MONTH(AU35),DAY(AU35)))</f>
        <v>0.93154654465905062</v>
      </c>
      <c r="AO35" s="215">
        <f>_xll.xlShmInterpRate(CurveName,$AO$2,$C$50,DATE(YEAR(AU35)+IF(YEAR(AU35)&lt;2000,100,0),MONTH(AU35),DAY(AU35)))*100</f>
        <v>0.7807490138085168</v>
      </c>
      <c r="AP35" s="6">
        <f t="shared" ref="AP35:AP66" si="30">AN35-AW35</f>
        <v>7.5351167751159576E-2</v>
      </c>
      <c r="AQ35" s="215">
        <f t="shared" si="10"/>
        <v>-0.76884600844970319</v>
      </c>
      <c r="AR35" s="8" t="s">
        <v>72</v>
      </c>
      <c r="AS35" s="52">
        <v>41555</v>
      </c>
      <c r="AT35" s="8" t="s">
        <v>149</v>
      </c>
      <c r="AU35" s="52">
        <v>45208</v>
      </c>
      <c r="AV35" s="52" t="s">
        <v>51</v>
      </c>
      <c r="AW35" s="6">
        <v>0.85619537690789105</v>
      </c>
      <c r="AX35" s="6">
        <v>1.54959502225822</v>
      </c>
      <c r="BA35" s="6">
        <v>1.5225</v>
      </c>
      <c r="BB35" s="6">
        <v>0</v>
      </c>
      <c r="BC35" s="21" t="s">
        <v>17</v>
      </c>
      <c r="BD35" s="52"/>
      <c r="BF35"/>
      <c r="BG35"/>
      <c r="BH35"/>
    </row>
    <row r="36" spans="1:60" ht="11.25" customHeight="1">
      <c r="A36" s="7"/>
      <c r="B36" s="105" t="s">
        <v>95</v>
      </c>
      <c r="C36" s="99" t="s">
        <v>94</v>
      </c>
      <c r="D36" s="6"/>
      <c r="E36" s="129" t="b">
        <v>0</v>
      </c>
      <c r="F36" s="207" t="str">
        <f>IF($C$21,IF(LEN(AF44)&gt;0,AF44&amp;"x"&amp;(AF44+$AK$39),""),iText(H36,"mmm yy"))</f>
        <v>Dec 16</v>
      </c>
      <c r="G36" s="204" t="e">
        <f>IF(LEN(AF44)&gt;0,_xll.xlDateWorkFw($C$23,_xll.xlDateShiftMonth($C$25,AF44),$C$24),NA())</f>
        <v>#N/A</v>
      </c>
      <c r="H36" s="204">
        <f>_xll.xlDateNextFutLIFFE(H35)</f>
        <v>42725</v>
      </c>
      <c r="I36" s="79">
        <f t="shared" si="26"/>
        <v>99.995000000000005</v>
      </c>
      <c r="J36" s="50"/>
      <c r="K36" s="127"/>
      <c r="L36" s="50">
        <f t="shared" si="22"/>
        <v>99.995000000000005</v>
      </c>
      <c r="M36" s="29">
        <f t="shared" si="27"/>
        <v>10</v>
      </c>
      <c r="N36" s="30" t="str">
        <f t="shared" si="23"/>
        <v/>
      </c>
      <c r="O36" s="29" t="str">
        <f t="shared" si="28"/>
        <v/>
      </c>
      <c r="P36" s="30" t="str">
        <f t="shared" si="24"/>
        <v/>
      </c>
      <c r="Q36" s="7"/>
      <c r="R36" s="34" t="str">
        <f t="shared" si="29"/>
        <v/>
      </c>
      <c r="S36" s="41"/>
      <c r="U36" s="133" t="e">
        <v>#N/A</v>
      </c>
      <c r="V36" s="134" t="e">
        <v>#N/A</v>
      </c>
      <c r="Y36" s="32" t="str">
        <f>_xll.xlFutCode(H28)</f>
        <v>Z4</v>
      </c>
      <c r="Z36" s="29">
        <f>_xll.RtGet($AD$35,$AD$36&amp;$Y36&amp;$AD$37,Z$34)</f>
        <v>100.08</v>
      </c>
      <c r="AA36" s="30">
        <f>_xll.RtGet($AD$35,$AD$36&amp;$Y36&amp;$AD$37,AA$34)</f>
        <v>100.09</v>
      </c>
      <c r="AC36" s="18" t="s">
        <v>20</v>
      </c>
      <c r="AD36" s="72" t="s">
        <v>191</v>
      </c>
      <c r="AF36" s="32">
        <v>2</v>
      </c>
      <c r="AG36" s="29">
        <f>_xll.RtGet($AK$35,$AK$36&amp;$AF36&amp;"X"&amp;($AF36+$AK$39)&amp;$AK$37,AG$34)</f>
        <v>-1.4999999999999999E-2</v>
      </c>
      <c r="AH36" s="30">
        <f>_xll.RtGet($AK$35,$AK$36&amp;$AF36&amp;"X"&amp;($AF36+$AK$39)&amp;$AK$37,AH$34)</f>
        <v>3.5000000000000003E-2</v>
      </c>
      <c r="AI36" s="6"/>
      <c r="AJ36" s="18" t="s">
        <v>20</v>
      </c>
      <c r="AK36" s="72" t="s">
        <v>150</v>
      </c>
      <c r="AN36" s="6">
        <f>_xll.xlShmInterpDisc(CurveName,DATE(YEAR(AU36)+IF(YEAR(AU36)&lt;2000,100,0),MONTH(AU36),DAY(AU36)))</f>
        <v>0.89633549776360744</v>
      </c>
      <c r="AO36" s="215">
        <f>_xll.xlShmInterpRate(CurveName,$AO$2,$C$50,DATE(YEAR(AU36)+IF(YEAR(AU36)&lt;2000,100,0),MONTH(AU36),DAY(AU36)))*100</f>
        <v>0.98753476557992947</v>
      </c>
      <c r="AP36" s="6">
        <f t="shared" si="30"/>
        <v>8.457332627548042E-2</v>
      </c>
      <c r="AQ36" s="215">
        <f t="shared" si="10"/>
        <v>-0.74759115194657044</v>
      </c>
      <c r="AR36" s="8" t="s">
        <v>72</v>
      </c>
      <c r="AS36" s="52">
        <v>41555</v>
      </c>
      <c r="AT36" s="8" t="s">
        <v>149</v>
      </c>
      <c r="AU36" s="52">
        <v>45938</v>
      </c>
      <c r="AV36" s="52" t="s">
        <v>53</v>
      </c>
      <c r="AW36" s="6">
        <v>0.81176217148812702</v>
      </c>
      <c r="AX36" s="6">
        <v>1.7351259175264999</v>
      </c>
      <c r="BA36" s="6">
        <v>1.6975</v>
      </c>
      <c r="BB36" s="6">
        <v>0</v>
      </c>
      <c r="BC36" s="21" t="s">
        <v>17</v>
      </c>
      <c r="BD36" s="52"/>
      <c r="BF36"/>
      <c r="BG36"/>
      <c r="BH36"/>
    </row>
    <row r="37" spans="1:60" ht="11.25" customHeight="1">
      <c r="A37" s="6"/>
      <c r="B37" s="46" t="s">
        <v>96</v>
      </c>
      <c r="C37" s="100" t="s">
        <v>97</v>
      </c>
      <c r="D37" s="6"/>
      <c r="E37" s="129" t="b">
        <v>0</v>
      </c>
      <c r="F37" s="207" t="str">
        <f>IF($C$21,IF(LEN(AF45)&gt;0,AF45&amp;"x"&amp;(AF45+$AK$39),""),iText(H37,"mmm yy"))</f>
        <v>Mar 17</v>
      </c>
      <c r="G37" s="204" t="e">
        <f>IF(LEN(AF45)&gt;0,_xll.xlDateWorkFw($C$23,_xll.xlDateShiftMonth($C$25,AF45),$C$24),NA())</f>
        <v>#N/A</v>
      </c>
      <c r="H37" s="204">
        <f>_xll.xlDateNextFutLIFFE(H36)</f>
        <v>42809</v>
      </c>
      <c r="I37" s="79">
        <f t="shared" si="26"/>
        <v>99.960000000000008</v>
      </c>
      <c r="J37" s="50"/>
      <c r="K37" s="127"/>
      <c r="L37" s="50">
        <f t="shared" si="22"/>
        <v>99.960000000000008</v>
      </c>
      <c r="M37" s="29">
        <f t="shared" si="27"/>
        <v>11</v>
      </c>
      <c r="N37" s="30" t="str">
        <f t="shared" si="23"/>
        <v/>
      </c>
      <c r="O37" s="29" t="str">
        <f t="shared" si="28"/>
        <v/>
      </c>
      <c r="P37" s="30" t="str">
        <f t="shared" si="24"/>
        <v/>
      </c>
      <c r="Q37" s="7"/>
      <c r="R37" s="34" t="str">
        <f t="shared" si="29"/>
        <v/>
      </c>
      <c r="S37" s="41"/>
      <c r="U37" s="133" t="e">
        <v>#N/A</v>
      </c>
      <c r="V37" s="134" t="e">
        <v>#N/A</v>
      </c>
      <c r="Y37" s="32" t="str">
        <f>_xll.xlFutCode(H29)</f>
        <v>H5</v>
      </c>
      <c r="Z37" s="29">
        <f>_xll.RtGet($AD$35,$AD$36&amp;$Y37&amp;$AD$37,Z$34)</f>
        <v>100.11</v>
      </c>
      <c r="AA37" s="30">
        <f>_xll.RtGet($AD$35,$AD$36&amp;$Y37&amp;$AD$37,AA$34)</f>
        <v>100.12</v>
      </c>
      <c r="AC37" s="24" t="s">
        <v>24</v>
      </c>
      <c r="AD37" s="25"/>
      <c r="AF37" s="32">
        <v>3</v>
      </c>
      <c r="AG37" s="29">
        <f>_xll.RtGet($AK$35,$AK$36&amp;$AF37&amp;"X"&amp;($AF37+$AK$39)&amp;$AK$37,AG$34)</f>
        <v>-0.03</v>
      </c>
      <c r="AH37" s="30">
        <f>_xll.RtGet($AK$35,$AK$36&amp;$AF37&amp;"X"&amp;($AF37+$AK$39)&amp;$AK$37,AH$34)</f>
        <v>0.02</v>
      </c>
      <c r="AI37" s="6"/>
      <c r="AJ37" s="24" t="s">
        <v>24</v>
      </c>
      <c r="AK37" s="73" t="s">
        <v>223</v>
      </c>
      <c r="AN37" s="6">
        <f>_xll.xlShmInterpDisc(CurveName,DATE(YEAR(AU37)+IF(YEAR(AU37)&lt;2000,100,0),MONTH(AU37),DAY(AU37)))</f>
        <v>0.84104783882759937</v>
      </c>
      <c r="AO37" s="215">
        <f>_xll.xlShmInterpRate(CurveName,$AO$2,$C$50,DATE(YEAR(AU37)+IF(YEAR(AU37)&lt;2000,100,0),MONTH(AU37),DAY(AU37)))*100</f>
        <v>1.2287817801705605</v>
      </c>
      <c r="AP37" s="6">
        <f t="shared" si="30"/>
        <v>9.0382760627417347E-2</v>
      </c>
      <c r="AQ37" s="215">
        <f t="shared" si="10"/>
        <v>-0.68005170780446944</v>
      </c>
      <c r="AR37" s="8" t="s">
        <v>72</v>
      </c>
      <c r="AS37" s="52">
        <v>41555</v>
      </c>
      <c r="AT37" s="8" t="s">
        <v>149</v>
      </c>
      <c r="AU37" s="52">
        <v>47035</v>
      </c>
      <c r="AV37" s="52" t="s">
        <v>54</v>
      </c>
      <c r="AW37" s="6">
        <v>0.75066507820018202</v>
      </c>
      <c r="AX37" s="6">
        <v>1.9088334879750299</v>
      </c>
      <c r="BA37" s="6">
        <v>1.86</v>
      </c>
      <c r="BB37" s="6">
        <v>0</v>
      </c>
      <c r="BC37" s="21" t="s">
        <v>17</v>
      </c>
      <c r="BD37" s="52"/>
      <c r="BF37"/>
      <c r="BG37"/>
      <c r="BH37"/>
    </row>
    <row r="38" spans="1:60" ht="11.25" customHeight="1">
      <c r="A38" s="6"/>
      <c r="B38" s="47" t="s">
        <v>102</v>
      </c>
      <c r="C38" s="101"/>
      <c r="D38" s="6"/>
      <c r="E38" s="130" t="b">
        <v>0</v>
      </c>
      <c r="F38" s="208" t="str">
        <f>IF($C$21,IF(LEN(AF46)&gt;0,AF46&amp;"x"&amp;(AF46+$AK$39),""),iText(H38,"mmm yy"))</f>
        <v>Jun 17</v>
      </c>
      <c r="G38" s="204" t="e">
        <f>IF(LEN(AF46)&gt;0,_xll.xlDateWorkFw($C$23,_xll.xlDateShiftMonth($C$25,AF46),$C$24),NA())</f>
        <v>#N/A</v>
      </c>
      <c r="H38" s="204">
        <f>_xll.xlDateNextFutLIFFE(H37)</f>
        <v>42907</v>
      </c>
      <c r="I38" s="80">
        <f t="shared" si="26"/>
        <v>99.93</v>
      </c>
      <c r="J38" s="51"/>
      <c r="K38" s="126"/>
      <c r="L38" s="51">
        <f t="shared" si="22"/>
        <v>99.93</v>
      </c>
      <c r="M38" s="22">
        <f t="shared" si="27"/>
        <v>12</v>
      </c>
      <c r="N38" s="23" t="str">
        <f t="shared" si="23"/>
        <v/>
      </c>
      <c r="O38" s="22" t="str">
        <f t="shared" si="28"/>
        <v/>
      </c>
      <c r="P38" s="23" t="str">
        <f t="shared" si="24"/>
        <v/>
      </c>
      <c r="Q38" s="7"/>
      <c r="R38" s="195" t="str">
        <f t="shared" si="29"/>
        <v/>
      </c>
      <c r="S38" s="1"/>
      <c r="U38" s="133" t="e">
        <v>#N/A</v>
      </c>
      <c r="V38" s="134" t="e">
        <v>#N/A</v>
      </c>
      <c r="Y38" s="32" t="str">
        <f>_xll.xlFutCode(H30)</f>
        <v>M5</v>
      </c>
      <c r="Z38" s="29">
        <f>_xll.RtGet($AD$35,$AD$36&amp;$Y38&amp;$AD$37,Z$34)</f>
        <v>100.12</v>
      </c>
      <c r="AA38" s="30">
        <f>_xll.RtGet($AD$35,$AD$36&amp;$Y38&amp;$AD$37,AA$34)</f>
        <v>100.13</v>
      </c>
      <c r="AF38" s="32">
        <v>6</v>
      </c>
      <c r="AG38" s="29">
        <f>_xll.RtGet($AK$35,$AK$36&amp;$AF38&amp;"X"&amp;($AF38+$AK$39)&amp;$AK$37,AG$34)</f>
        <v>-0.05</v>
      </c>
      <c r="AH38" s="30">
        <f>_xll.RtGet($AK$35,$AK$36&amp;$AF38&amp;"X"&amp;($AF38+$AK$39)&amp;$AK$37,AH$34)</f>
        <v>0</v>
      </c>
      <c r="AI38" s="6"/>
      <c r="AJ38" s="6"/>
      <c r="AK38" s="6"/>
      <c r="AN38" s="6">
        <f>_xll.xlShmInterpDisc(CurveName,DATE(YEAR(AU38)+IF(YEAR(AU38)&lt;2000,100,0),MONTH(AU38),DAY(AU38)))</f>
        <v>0.75709210355589207</v>
      </c>
      <c r="AO38" s="215">
        <f>_xll.xlShmInterpRate(CurveName,$AO$2,$C$50,DATE(YEAR(AU38)+IF(YEAR(AU38)&lt;2000,100,0),MONTH(AU38),DAY(AU38)))*100</f>
        <v>1.4574355399764016</v>
      </c>
      <c r="AP38" s="6">
        <f t="shared" si="30"/>
        <v>8.8986793348855064E-2</v>
      </c>
      <c r="AQ38" s="215">
        <f t="shared" si="10"/>
        <v>-0.55607773822152851</v>
      </c>
      <c r="AR38" s="8" t="s">
        <v>72</v>
      </c>
      <c r="AS38" s="52">
        <v>41555</v>
      </c>
      <c r="AT38" s="8" t="s">
        <v>149</v>
      </c>
      <c r="AU38" s="52">
        <v>12337</v>
      </c>
      <c r="AV38" s="52" t="s">
        <v>55</v>
      </c>
      <c r="AW38" s="6">
        <v>0.66810531020703701</v>
      </c>
      <c r="AX38" s="6">
        <v>2.0135132781979301</v>
      </c>
      <c r="BA38" s="6">
        <v>1.9624999999999999</v>
      </c>
      <c r="BB38" s="6">
        <v>0</v>
      </c>
      <c r="BC38" s="21" t="s">
        <v>17</v>
      </c>
      <c r="BD38" s="52"/>
      <c r="BF38"/>
      <c r="BG38"/>
      <c r="BH38"/>
    </row>
    <row r="39" spans="1:60" ht="11.25" customHeight="1">
      <c r="A39" s="6"/>
      <c r="B39" s="47" t="s">
        <v>103</v>
      </c>
      <c r="C39" s="95"/>
      <c r="D39" s="6"/>
      <c r="M39"/>
      <c r="N39"/>
      <c r="O39"/>
      <c r="P39"/>
      <c r="Q39"/>
      <c r="R39"/>
      <c r="S39"/>
      <c r="U39" s="133" t="e">
        <v>#N/A</v>
      </c>
      <c r="V39" s="134" t="e">
        <v>#N/A</v>
      </c>
      <c r="Y39" s="32" t="str">
        <f>_xll.xlFutCode(H31)</f>
        <v>U5</v>
      </c>
      <c r="Z39" s="29">
        <f>_xll.RtGet($AD$35,$AD$36&amp;$Y39&amp;$AD$37,Z$34)</f>
        <v>100.12</v>
      </c>
      <c r="AA39" s="30">
        <f>_xll.RtGet($AD$35,$AD$36&amp;$Y39&amp;$AD$37,AA$34)</f>
        <v>100.13</v>
      </c>
      <c r="AC39" s="211" t="s">
        <v>225</v>
      </c>
      <c r="AD39" s="209">
        <v>3</v>
      </c>
      <c r="AF39" s="32">
        <v>9</v>
      </c>
      <c r="AG39" s="29">
        <f>_xll.RtGet($AK$35,$AK$36&amp;$AF39&amp;"X"&amp;($AF39+$AK$39)&amp;$AK$37,AG$34)</f>
        <v>-5.5E-2</v>
      </c>
      <c r="AH39" s="30">
        <f>_xll.RtGet($AK$35,$AK$36&amp;$AF39&amp;"X"&amp;($AF39+$AK$39)&amp;$AK$37,AH$34)</f>
        <v>5.0000000000000001E-3</v>
      </c>
      <c r="AI39" s="6"/>
      <c r="AJ39" s="211" t="s">
        <v>225</v>
      </c>
      <c r="AK39" s="209">
        <v>6</v>
      </c>
      <c r="AN39" s="6">
        <f>_xll.xlShmInterpDisc(CurveName,DATE(YEAR(AU39)+IF(YEAR(AU39)&lt;2000,100,0),MONTH(AU39),DAY(AU39)))</f>
        <v>0.68426023558989768</v>
      </c>
      <c r="AO39" s="215">
        <f>_xll.xlShmInterpRate(CurveName,$AO$2,$C$50,DATE(YEAR(AU39)+IF(YEAR(AU39)&lt;2000,100,0),MONTH(AU39),DAY(AU39)))*100</f>
        <v>1.5749709416546593</v>
      </c>
      <c r="AP39" s="6">
        <f t="shared" si="30"/>
        <v>8.553325626993169E-2</v>
      </c>
      <c r="AQ39" s="215">
        <f t="shared" si="10"/>
        <v>-0.47458128929268084</v>
      </c>
      <c r="AR39" s="8" t="s">
        <v>72</v>
      </c>
      <c r="AS39" s="52">
        <v>41555</v>
      </c>
      <c r="AT39" s="8" t="s">
        <v>149</v>
      </c>
      <c r="AU39" s="52">
        <v>14161</v>
      </c>
      <c r="AV39" s="52" t="s">
        <v>56</v>
      </c>
      <c r="AW39" s="6">
        <v>0.59872697931996599</v>
      </c>
      <c r="AX39" s="6">
        <v>2.0495522309473402</v>
      </c>
      <c r="BA39" s="6">
        <v>2.0024999999999999</v>
      </c>
      <c r="BB39" s="6">
        <v>0</v>
      </c>
      <c r="BC39" s="21" t="s">
        <v>17</v>
      </c>
      <c r="BD39" s="52"/>
      <c r="BF39"/>
      <c r="BG39"/>
      <c r="BH39"/>
    </row>
    <row r="40" spans="1:60" ht="11.25" customHeight="1">
      <c r="A40" s="6"/>
      <c r="B40" s="47" t="s">
        <v>98</v>
      </c>
      <c r="C40" s="102">
        <v>1</v>
      </c>
      <c r="D40" s="6"/>
      <c r="E40" s="86" t="s">
        <v>75</v>
      </c>
      <c r="F40" s="7"/>
      <c r="G40" s="7"/>
      <c r="H40" s="7"/>
      <c r="I40" s="86" t="s">
        <v>1</v>
      </c>
      <c r="J40" s="86" t="s">
        <v>2</v>
      </c>
      <c r="K40" s="86" t="s">
        <v>3</v>
      </c>
      <c r="L40" s="86" t="s">
        <v>4</v>
      </c>
      <c r="M40" s="2"/>
      <c r="N40" s="8"/>
      <c r="P40" s="8"/>
      <c r="Q40" s="2"/>
      <c r="R40"/>
      <c r="S40" s="44">
        <f t="array" ref="S40">SUM(1*E41:E82)</f>
        <v>14</v>
      </c>
      <c r="U40" s="133" t="e">
        <v>#N/A</v>
      </c>
      <c r="V40" s="134" t="e">
        <v>#N/A</v>
      </c>
      <c r="Y40" s="32" t="str">
        <f>_xll.xlFutCode(H32)</f>
        <v>Z5</v>
      </c>
      <c r="Z40" s="29">
        <f>_xll.RtGet($AD$35,$AD$36&amp;$Y40&amp;$AD$37,Z$34)</f>
        <v>100.11</v>
      </c>
      <c r="AA40" s="30">
        <f>_xll.RtGet($AD$35,$AD$36&amp;$Y40&amp;$AD$37,AA$34)</f>
        <v>100.12</v>
      </c>
      <c r="AF40" s="32">
        <v>12</v>
      </c>
      <c r="AG40" s="29">
        <f>_xll.RtGet($AK$35,$AK$36&amp;$AF40&amp;"X"&amp;($AF40+$AK$39)&amp;$AK$37,AG$34)</f>
        <v>-4.4999999999999998E-2</v>
      </c>
      <c r="AH40" s="30">
        <f>_xll.RtGet($AK$35,$AK$36&amp;$AF40&amp;"X"&amp;($AF40+$AK$39)&amp;$AK$37,AH$34)</f>
        <v>1.4999999999999999E-2</v>
      </c>
      <c r="AI40" s="6"/>
      <c r="AN40" s="6">
        <f>_xll.xlShmInterpDisc(CurveName,DATE(YEAR(AU40)+IF(YEAR(AU40)&lt;2000,100,0),MONTH(AU40),DAY(AU40)))</f>
        <v>0.62320781266635217</v>
      </c>
      <c r="AO40" s="215">
        <f>_xll.xlShmInterpRate(CurveName,$AO$2,$C$50,DATE(YEAR(AU40)+IF(YEAR(AU40)&lt;2000,100,0),MONTH(AU40),DAY(AU40)))*100</f>
        <v>1.6253834218725141</v>
      </c>
      <c r="AP40" s="6">
        <f t="shared" si="30"/>
        <v>8.5298264736355156E-2</v>
      </c>
      <c r="AQ40" s="215">
        <f t="shared" si="10"/>
        <v>-0.4394252060808661</v>
      </c>
      <c r="AR40" s="8" t="s">
        <v>72</v>
      </c>
      <c r="AS40" s="52">
        <v>41555</v>
      </c>
      <c r="AT40" s="8" t="s">
        <v>149</v>
      </c>
      <c r="AU40" s="52">
        <v>15987</v>
      </c>
      <c r="AV40" s="52" t="s">
        <v>57</v>
      </c>
      <c r="AW40" s="6">
        <v>0.53790954792999701</v>
      </c>
      <c r="AX40" s="6">
        <v>2.0648086279533802</v>
      </c>
      <c r="BA40" s="6">
        <v>2.0225</v>
      </c>
      <c r="BB40" s="6">
        <v>0</v>
      </c>
      <c r="BC40" s="21" t="s">
        <v>17</v>
      </c>
      <c r="BD40" s="52"/>
    </row>
    <row r="41" spans="1:60" ht="11.25" customHeight="1">
      <c r="A41" s="6"/>
      <c r="B41" s="47" t="s">
        <v>99</v>
      </c>
      <c r="C41" s="102" t="s">
        <v>104</v>
      </c>
      <c r="D41" s="6"/>
      <c r="E41" s="137" t="b">
        <v>0</v>
      </c>
      <c r="F41" s="106">
        <f>IF(LEN(Y49)&gt;0,Y49,"")</f>
        <v>1</v>
      </c>
      <c r="G41" s="7"/>
      <c r="H41" s="7"/>
      <c r="I41" s="78">
        <f t="shared" ref="I41:I82" si="31">AVERAGE(Z49:AA49)</f>
        <v>1.2500000000000001E-2</v>
      </c>
      <c r="J41" s="49"/>
      <c r="K41" s="125"/>
      <c r="L41" s="49">
        <f t="shared" ref="L41:L82" si="32">IF(ISNUMBER(J41),J41,I41)+K41</f>
        <v>1.2500000000000001E-2</v>
      </c>
      <c r="M41" s="16">
        <v>1</v>
      </c>
      <c r="N41" s="17" t="str">
        <f t="shared" ref="N41:N82" si="33">IF(E41,M41,"")</f>
        <v/>
      </c>
      <c r="O41" s="44">
        <f>IF($S$40&gt;0,1,"")</f>
        <v>1</v>
      </c>
      <c r="P41" s="17">
        <f t="shared" ref="P41:P82" si="34">IF(LEN(O41)&gt;0,SMALL($N$41:$N$82,O41),"")</f>
        <v>2</v>
      </c>
      <c r="Q41" s="2"/>
      <c r="R41" s="35">
        <f t="shared" ref="R41:R82" si="35">IF(LEN(P41)&gt;0,INDEX($F$41:$F$82,$P41),"")</f>
        <v>2</v>
      </c>
      <c r="S41" s="40">
        <f t="shared" ref="S41:S82" si="36">IF(LEN(P41)&gt;0,INDEX($L$41:$L$82,$P41),"")</f>
        <v>1.2499999999999999E-2</v>
      </c>
      <c r="U41" s="133" t="e">
        <v>#N/A</v>
      </c>
      <c r="V41" s="134" t="e">
        <v>#N/A</v>
      </c>
      <c r="Y41" s="32" t="str">
        <f>_xll.xlFutCode(H33)</f>
        <v>H6</v>
      </c>
      <c r="Z41" s="29">
        <f>_xll.RtGet($AD$35,$AD$36&amp;$Y41&amp;$AD$37,Z$34)</f>
        <v>100.08</v>
      </c>
      <c r="AA41" s="30">
        <f>_xll.RtGet($AD$35,$AD$36&amp;$Y41&amp;$AD$37,AA$34)</f>
        <v>100.1</v>
      </c>
      <c r="AF41" s="32">
        <v>15</v>
      </c>
      <c r="AG41" s="29">
        <f>_xll.RtGet($AK$35,$AK$36&amp;$AF41&amp;"X"&amp;($AF41+$AK$39)&amp;$AK$37,AG$34)</f>
        <v>-0.03</v>
      </c>
      <c r="AH41" s="30">
        <f>_xll.RtGet($AK$35,$AK$36&amp;$AF41&amp;"X"&amp;($AF41+$AK$39)&amp;$AK$37,AH$34)</f>
        <v>0.03</v>
      </c>
      <c r="AI41" s="6"/>
      <c r="AJ41" s="6"/>
      <c r="AK41" s="6"/>
      <c r="AN41" s="6" t="str">
        <f>_xll.xlShmInterpDisc(CurveName,DATE(YEAR(AU41)+IF(YEAR(AU41)&lt;2000,100,0),MONTH(AU41),DAY(AU41)))</f>
        <v>Date before first TermStructure's date.</v>
      </c>
      <c r="AO41" s="215" t="e">
        <f>_xll.xlShmInterpRate(CurveName,$AO$2,$C$50,DATE(YEAR(AU41)+IF(YEAR(AU41)&lt;2000,100,0),MONTH(AU41),DAY(AU41)))*100</f>
        <v>#VALUE!</v>
      </c>
      <c r="AP41" s="6" t="e">
        <f t="shared" si="30"/>
        <v>#VALUE!</v>
      </c>
      <c r="AQ41" s="215" t="e">
        <f t="shared" si="10"/>
        <v>#VALUE!</v>
      </c>
      <c r="AR41" s="8"/>
      <c r="AS41" s="52"/>
      <c r="AT41" s="8"/>
      <c r="AU41" s="20"/>
      <c r="AV41" s="52"/>
      <c r="BC41" s="21"/>
      <c r="BD41" s="52"/>
    </row>
    <row r="42" spans="1:60" ht="11.25" customHeight="1">
      <c r="A42" s="6"/>
      <c r="B42" s="47" t="s">
        <v>100</v>
      </c>
      <c r="C42" s="102">
        <v>2</v>
      </c>
      <c r="D42" s="6"/>
      <c r="E42" s="129" t="b">
        <f>LEN(F42)&gt;0</f>
        <v>1</v>
      </c>
      <c r="F42" s="107">
        <f t="shared" ref="F42:F82" si="37">IF(LEN(Y50)&gt;0,Y50,"")</f>
        <v>2</v>
      </c>
      <c r="G42" s="7"/>
      <c r="I42" s="79">
        <f t="shared" si="31"/>
        <v>1.2499999999999999E-2</v>
      </c>
      <c r="J42" s="50"/>
      <c r="K42" s="127"/>
      <c r="L42" s="50">
        <f t="shared" si="32"/>
        <v>1.2499999999999999E-2</v>
      </c>
      <c r="M42" s="29">
        <f t="shared" ref="M42:M82" si="38">M41+1</f>
        <v>2</v>
      </c>
      <c r="N42" s="30">
        <f t="shared" si="33"/>
        <v>2</v>
      </c>
      <c r="O42" s="29">
        <f t="shared" ref="O42:O82" si="39">IF(O41&lt;$S$40,O41+1,"")</f>
        <v>2</v>
      </c>
      <c r="P42" s="30">
        <f t="shared" si="34"/>
        <v>3</v>
      </c>
      <c r="Q42" s="2"/>
      <c r="R42" s="26">
        <f t="shared" si="35"/>
        <v>3</v>
      </c>
      <c r="S42" s="41">
        <f t="shared" si="36"/>
        <v>5.5E-2</v>
      </c>
      <c r="U42" s="133" t="e">
        <v>#N/A</v>
      </c>
      <c r="V42" s="134" t="e">
        <v>#N/A</v>
      </c>
      <c r="Y42" s="32" t="str">
        <f>_xll.xlFutCode(H34)</f>
        <v>M6</v>
      </c>
      <c r="Z42" s="29">
        <f>_xll.RtGet($AD$35,$AD$36&amp;$Y42&amp;$AD$37,Z$34)</f>
        <v>100.06</v>
      </c>
      <c r="AA42" s="30">
        <f>_xll.RtGet($AD$35,$AD$36&amp;$Y42&amp;$AD$37,AA$34)</f>
        <v>100.07</v>
      </c>
      <c r="AF42" s="32">
        <v>18</v>
      </c>
      <c r="AG42" s="29">
        <f>_xll.RtGet($AK$35,$AK$36&amp;$AF42&amp;"X"&amp;($AF42+$AK$39)&amp;$AK$37,AG$34)</f>
        <v>0</v>
      </c>
      <c r="AH42" s="30">
        <f>_xll.RtGet($AK$35,$AK$36&amp;$AF42&amp;"X"&amp;($AF42+$AK$39)&amp;$AK$37,AH$34)</f>
        <v>0.06</v>
      </c>
      <c r="AI42" s="6"/>
      <c r="AJ42" s="6"/>
      <c r="AK42" s="6"/>
      <c r="AN42" s="6" t="str">
        <f>_xll.xlShmInterpDisc(CurveName,DATE(YEAR(AU42)+IF(YEAR(AU42)&lt;2000,100,0),MONTH(AU42),DAY(AU42)))</f>
        <v>Date before first TermStructure's date.</v>
      </c>
      <c r="AO42" s="215" t="e">
        <f>_xll.xlShmInterpRate(CurveName,$AO$2,$C$50,DATE(YEAR(AU42)+IF(YEAR(AU42)&lt;2000,100,0),MONTH(AU42),DAY(AU42)))*100</f>
        <v>#VALUE!</v>
      </c>
      <c r="AP42" s="6" t="e">
        <f t="shared" si="30"/>
        <v>#VALUE!</v>
      </c>
      <c r="AQ42" s="215" t="e">
        <f t="shared" si="10"/>
        <v>#VALUE!</v>
      </c>
      <c r="AR42" s="8"/>
      <c r="AS42" s="52"/>
      <c r="AT42" s="8"/>
      <c r="AU42" s="20"/>
      <c r="AV42" s="52"/>
      <c r="BC42" s="21"/>
      <c r="BD42" s="52"/>
    </row>
    <row r="43" spans="1:60" ht="11.25" customHeight="1">
      <c r="A43" s="6"/>
      <c r="B43" s="48" t="s">
        <v>101</v>
      </c>
      <c r="C43" s="103" t="s">
        <v>115</v>
      </c>
      <c r="D43" s="6"/>
      <c r="E43" s="129" t="b">
        <f t="shared" ref="E43:E82" si="40">LEN(F43)&gt;0</f>
        <v>1</v>
      </c>
      <c r="F43" s="107">
        <f t="shared" si="37"/>
        <v>3</v>
      </c>
      <c r="G43" s="7"/>
      <c r="I43" s="79">
        <f t="shared" si="31"/>
        <v>5.5E-2</v>
      </c>
      <c r="J43" s="50"/>
      <c r="K43" s="127"/>
      <c r="L43" s="50">
        <f t="shared" si="32"/>
        <v>5.5E-2</v>
      </c>
      <c r="M43" s="29">
        <f t="shared" si="38"/>
        <v>3</v>
      </c>
      <c r="N43" s="30">
        <f t="shared" si="33"/>
        <v>3</v>
      </c>
      <c r="O43" s="29">
        <f t="shared" si="39"/>
        <v>3</v>
      </c>
      <c r="P43" s="30">
        <f t="shared" si="34"/>
        <v>4</v>
      </c>
      <c r="Q43" s="7"/>
      <c r="R43" s="26">
        <f t="shared" si="35"/>
        <v>4</v>
      </c>
      <c r="S43" s="41">
        <f t="shared" si="36"/>
        <v>0.13750000000000001</v>
      </c>
      <c r="U43" s="133" t="e">
        <v>#N/A</v>
      </c>
      <c r="V43" s="134" t="e">
        <v>#N/A</v>
      </c>
      <c r="Y43" s="32" t="str">
        <f>_xll.xlFutCode(H35)</f>
        <v>U6</v>
      </c>
      <c r="Z43" s="29">
        <f>_xll.RtGet($AD$35,$AD$36&amp;$Y43&amp;$AD$37,Z$34)</f>
        <v>100.03</v>
      </c>
      <c r="AA43" s="30">
        <f>_xll.RtGet($AD$35,$AD$36&amp;$Y43&amp;$AD$37,AA$34)</f>
        <v>100.04</v>
      </c>
      <c r="AF43" s="32"/>
      <c r="AG43" s="29" t="str">
        <f>_xll.RtGet($AK$35,$AK$36&amp;$AF43&amp;"X"&amp;($AF43+$AK$39)&amp;$AK$37,AG$34)</f>
        <v>#N/A The record could not be found</v>
      </c>
      <c r="AH43" s="30" t="str">
        <f>_xll.RtGet($AK$35,$AK$36&amp;$AF43&amp;"X"&amp;($AF43+$AK$39)&amp;$AK$37,AH$34)</f>
        <v>#N/A The record could not be found</v>
      </c>
      <c r="AI43" s="6"/>
      <c r="AJ43" s="6"/>
      <c r="AK43" s="6"/>
      <c r="AN43" s="6" t="str">
        <f>_xll.xlShmInterpDisc(CurveName,DATE(YEAR(AU43)+IF(YEAR(AU43)&lt;2000,100,0),MONTH(AU43),DAY(AU43)))</f>
        <v>Date before first TermStructure's date.</v>
      </c>
      <c r="AO43" s="215" t="e">
        <f>_xll.xlShmInterpRate(CurveName,$AO$2,$C$50,DATE(YEAR(AU43)+IF(YEAR(AU43)&lt;2000,100,0),MONTH(AU43),DAY(AU43)))*100</f>
        <v>#VALUE!</v>
      </c>
      <c r="AP43" s="6" t="e">
        <f t="shared" si="30"/>
        <v>#VALUE!</v>
      </c>
      <c r="AQ43" s="215" t="e">
        <f t="shared" si="10"/>
        <v>#VALUE!</v>
      </c>
      <c r="AR43" s="8"/>
      <c r="AS43" s="52"/>
      <c r="AT43" s="8"/>
      <c r="AU43" s="20"/>
      <c r="AV43" s="52"/>
      <c r="BC43" s="21"/>
      <c r="BD43" s="52"/>
    </row>
    <row r="44" spans="1:60" ht="11.25" customHeight="1">
      <c r="A44" s="6"/>
      <c r="B44" s="140" t="s">
        <v>143</v>
      </c>
      <c r="C44" s="93" t="b">
        <v>0</v>
      </c>
      <c r="D44" s="6"/>
      <c r="E44" s="129" t="b">
        <f t="shared" si="40"/>
        <v>1</v>
      </c>
      <c r="F44" s="107">
        <f t="shared" si="37"/>
        <v>4</v>
      </c>
      <c r="G44" s="7"/>
      <c r="I44" s="79">
        <f t="shared" si="31"/>
        <v>0.13750000000000001</v>
      </c>
      <c r="J44" s="50"/>
      <c r="K44" s="127"/>
      <c r="L44" s="50">
        <f t="shared" si="32"/>
        <v>0.13750000000000001</v>
      </c>
      <c r="M44" s="29">
        <f t="shared" si="38"/>
        <v>4</v>
      </c>
      <c r="N44" s="30">
        <f t="shared" si="33"/>
        <v>4</v>
      </c>
      <c r="O44" s="29">
        <f t="shared" si="39"/>
        <v>4</v>
      </c>
      <c r="P44" s="30">
        <f t="shared" si="34"/>
        <v>5</v>
      </c>
      <c r="Q44" s="7"/>
      <c r="R44" s="26">
        <f t="shared" si="35"/>
        <v>5</v>
      </c>
      <c r="S44" s="41">
        <f t="shared" si="36"/>
        <v>0.25</v>
      </c>
      <c r="U44" s="133" t="e">
        <v>#N/A</v>
      </c>
      <c r="V44" s="134" t="e">
        <v>#N/A</v>
      </c>
      <c r="Y44" s="32" t="str">
        <f>_xll.xlFutCode(H36)</f>
        <v>Z6</v>
      </c>
      <c r="Z44" s="29">
        <f>_xll.RtGet($AD$35,$AD$36&amp;$Y44&amp;$AD$37,Z$34)</f>
        <v>99.99</v>
      </c>
      <c r="AA44" s="30">
        <f>_xll.RtGet($AD$35,$AD$36&amp;$Y44&amp;$AD$37,AA$34)</f>
        <v>100</v>
      </c>
      <c r="AF44" s="32"/>
      <c r="AG44" s="29" t="str">
        <f>_xll.RtGet($AK$35,$AK$36&amp;$AF44&amp;"X"&amp;($AF44+$AK$39)&amp;$AK$37,AG$34)</f>
        <v>#N/A The record could not be found</v>
      </c>
      <c r="AH44" s="30" t="str">
        <f>_xll.RtGet($AK$35,$AK$36&amp;$AF44&amp;"X"&amp;($AF44+$AK$39)&amp;$AK$37,AH$34)</f>
        <v>#N/A The record could not be found</v>
      </c>
      <c r="AI44" s="6"/>
      <c r="AJ44" s="6"/>
      <c r="AK44" s="6"/>
      <c r="AN44" s="6" t="str">
        <f>_xll.xlShmInterpDisc(CurveName,DATE(YEAR(AU44)+IF(YEAR(AU44)&lt;2000,100,0),MONTH(AU44),DAY(AU44)))</f>
        <v>Date before first TermStructure's date.</v>
      </c>
      <c r="AO44" s="215" t="e">
        <f>_xll.xlShmInterpRate(CurveName,$AO$2,$C$50,DATE(YEAR(AU44)+IF(YEAR(AU44)&lt;2000,100,0),MONTH(AU44),DAY(AU44)))*100</f>
        <v>#VALUE!</v>
      </c>
      <c r="AP44" s="6" t="e">
        <f t="shared" si="30"/>
        <v>#VALUE!</v>
      </c>
      <c r="AQ44" s="215" t="e">
        <f t="shared" si="10"/>
        <v>#VALUE!</v>
      </c>
      <c r="AR44" s="8"/>
      <c r="AS44" s="52"/>
      <c r="AT44" s="8"/>
      <c r="AU44" s="20"/>
      <c r="AV44" s="52"/>
      <c r="BC44" s="21"/>
      <c r="BD44" s="52"/>
    </row>
    <row r="45" spans="1:60" ht="11.25" customHeight="1">
      <c r="A45" s="6"/>
      <c r="D45" s="6"/>
      <c r="E45" s="129" t="b">
        <v>1</v>
      </c>
      <c r="F45" s="107">
        <f t="shared" si="37"/>
        <v>5</v>
      </c>
      <c r="G45" s="7"/>
      <c r="I45" s="79">
        <f t="shared" si="31"/>
        <v>0.25</v>
      </c>
      <c r="J45" s="50"/>
      <c r="K45" s="127"/>
      <c r="L45" s="50">
        <f t="shared" si="32"/>
        <v>0.25</v>
      </c>
      <c r="M45" s="29">
        <f t="shared" si="38"/>
        <v>5</v>
      </c>
      <c r="N45" s="30">
        <f t="shared" si="33"/>
        <v>5</v>
      </c>
      <c r="O45" s="29">
        <f t="shared" si="39"/>
        <v>5</v>
      </c>
      <c r="P45" s="30">
        <f t="shared" si="34"/>
        <v>6</v>
      </c>
      <c r="Q45" s="7"/>
      <c r="R45" s="26">
        <f t="shared" si="35"/>
        <v>6</v>
      </c>
      <c r="S45" s="41">
        <f t="shared" si="36"/>
        <v>0.3775</v>
      </c>
      <c r="U45" s="133" t="e">
        <v>#N/A</v>
      </c>
      <c r="V45" s="134" t="e">
        <v>#N/A</v>
      </c>
      <c r="Y45" s="32" t="str">
        <f>_xll.xlFutCode(H37)</f>
        <v>H7</v>
      </c>
      <c r="Z45" s="29">
        <f>_xll.RtGet($AD$35,$AD$36&amp;$Y45&amp;$AD$37,Z$34)</f>
        <v>99.95</v>
      </c>
      <c r="AA45" s="30">
        <f>_xll.RtGet($AD$35,$AD$36&amp;$Y45&amp;$AD$37,AA$34)</f>
        <v>99.97</v>
      </c>
      <c r="AF45" s="32"/>
      <c r="AG45" s="29" t="str">
        <f>_xll.RtGet($AK$35,$AK$36&amp;$AF45&amp;"X"&amp;($AF45+$AK$39)&amp;$AK$37,AG$34)</f>
        <v>#N/A The record could not be found</v>
      </c>
      <c r="AH45" s="30" t="str">
        <f>_xll.RtGet($AK$35,$AK$36&amp;$AF45&amp;"X"&amp;($AF45+$AK$39)&amp;$AK$37,AH$34)</f>
        <v>#N/A The record could not be found</v>
      </c>
      <c r="AI45" s="6"/>
      <c r="AJ45" s="6"/>
      <c r="AK45" s="6"/>
      <c r="AN45" s="6" t="str">
        <f>_xll.xlShmInterpDisc(CurveName,DATE(YEAR(AU45)+IF(YEAR(AU45)&lt;2000,100,0),MONTH(AU45),DAY(AU45)))</f>
        <v>Date before first TermStructure's date.</v>
      </c>
      <c r="AO45" s="215" t="e">
        <f>_xll.xlShmInterpRate(CurveName,$AO$2,$C$50,DATE(YEAR(AU45)+IF(YEAR(AU45)&lt;2000,100,0),MONTH(AU45),DAY(AU45)))*100</f>
        <v>#VALUE!</v>
      </c>
      <c r="AP45" s="6" t="e">
        <f t="shared" si="30"/>
        <v>#VALUE!</v>
      </c>
      <c r="AQ45" s="215" t="e">
        <f t="shared" si="10"/>
        <v>#VALUE!</v>
      </c>
      <c r="AR45" s="8"/>
      <c r="AS45" s="52"/>
      <c r="AT45" s="8"/>
      <c r="AU45" s="20"/>
      <c r="AV45" s="52"/>
      <c r="BC45" s="21"/>
      <c r="BD45" s="52"/>
    </row>
    <row r="46" spans="1:60" ht="11.25" customHeight="1">
      <c r="A46" s="6"/>
      <c r="D46" s="6"/>
      <c r="E46" s="129" t="b">
        <f t="shared" si="40"/>
        <v>1</v>
      </c>
      <c r="F46" s="107">
        <f t="shared" si="37"/>
        <v>6</v>
      </c>
      <c r="G46" s="7"/>
      <c r="I46" s="79">
        <f t="shared" si="31"/>
        <v>0.3775</v>
      </c>
      <c r="J46" s="50"/>
      <c r="K46" s="127"/>
      <c r="L46" s="50">
        <f t="shared" si="32"/>
        <v>0.3775</v>
      </c>
      <c r="M46" s="29">
        <f t="shared" si="38"/>
        <v>6</v>
      </c>
      <c r="N46" s="30">
        <f t="shared" si="33"/>
        <v>6</v>
      </c>
      <c r="O46" s="29">
        <f t="shared" si="39"/>
        <v>6</v>
      </c>
      <c r="P46" s="30">
        <f t="shared" si="34"/>
        <v>7</v>
      </c>
      <c r="Q46" s="7"/>
      <c r="R46" s="26">
        <f t="shared" si="35"/>
        <v>7</v>
      </c>
      <c r="S46" s="41">
        <f t="shared" si="36"/>
        <v>0.51249999999999996</v>
      </c>
      <c r="U46" s="133" t="e">
        <v>#N/A</v>
      </c>
      <c r="V46" s="134" t="e">
        <v>#N/A</v>
      </c>
      <c r="Y46" s="33" t="str">
        <f>_xll.xlFutCode(H38)</f>
        <v>M7</v>
      </c>
      <c r="Z46" s="22">
        <f>_xll.RtGet($AD$35,$AD$36&amp;$Y46&amp;$AD$37,Z$34)</f>
        <v>99.92</v>
      </c>
      <c r="AA46" s="23">
        <f>_xll.RtGet($AD$35,$AD$36&amp;$Y46&amp;$AD$37,AA$34)</f>
        <v>99.94</v>
      </c>
      <c r="AF46" s="33"/>
      <c r="AG46" s="22" t="str">
        <f>_xll.RtGet($AK$35,$AK$36&amp;$AF46&amp;"X"&amp;($AF46+$AK$39)&amp;$AK$37,AG$34)</f>
        <v>#N/A The record could not be found</v>
      </c>
      <c r="AH46" s="23" t="str">
        <f>_xll.RtGet($AK$35,$AK$36&amp;$AF46&amp;"X"&amp;($AF46+$AK$39)&amp;$AK$37,AH$34)</f>
        <v>#N/A The record could not be found</v>
      </c>
      <c r="AI46" s="6"/>
      <c r="AJ46" s="6"/>
      <c r="AK46" s="6"/>
      <c r="AN46" s="6" t="str">
        <f>_xll.xlShmInterpDisc(CurveName,DATE(YEAR(AU46)+IF(YEAR(AU46)&lt;2000,100,0),MONTH(AU46),DAY(AU46)))</f>
        <v>Date before first TermStructure's date.</v>
      </c>
      <c r="AO46" s="215" t="e">
        <f>_xll.xlShmInterpRate(CurveName,$AO$2,$C$50,DATE(YEAR(AU46)+IF(YEAR(AU46)&lt;2000,100,0),MONTH(AU46),DAY(AU46)))*100</f>
        <v>#VALUE!</v>
      </c>
      <c r="AP46" s="6" t="e">
        <f t="shared" si="30"/>
        <v>#VALUE!</v>
      </c>
      <c r="AQ46" s="215" t="e">
        <f t="shared" si="10"/>
        <v>#VALUE!</v>
      </c>
      <c r="AR46" s="8"/>
      <c r="AS46" s="52"/>
      <c r="AT46" s="8"/>
      <c r="AU46" s="20"/>
      <c r="AV46" s="52"/>
      <c r="BC46" s="21"/>
      <c r="BD46" s="52"/>
    </row>
    <row r="47" spans="1:60" ht="11.25" customHeight="1">
      <c r="A47" s="6"/>
      <c r="D47" s="6"/>
      <c r="E47" s="129" t="b">
        <f t="shared" si="40"/>
        <v>1</v>
      </c>
      <c r="F47" s="107">
        <f t="shared" si="37"/>
        <v>7</v>
      </c>
      <c r="G47" s="7"/>
      <c r="I47" s="79">
        <f t="shared" si="31"/>
        <v>0.51249999999999996</v>
      </c>
      <c r="J47" s="50"/>
      <c r="K47" s="127"/>
      <c r="L47" s="50">
        <f t="shared" si="32"/>
        <v>0.51249999999999996</v>
      </c>
      <c r="M47" s="29">
        <f t="shared" si="38"/>
        <v>7</v>
      </c>
      <c r="N47" s="30">
        <f t="shared" si="33"/>
        <v>7</v>
      </c>
      <c r="O47" s="29">
        <f t="shared" si="39"/>
        <v>7</v>
      </c>
      <c r="P47" s="30">
        <f t="shared" si="34"/>
        <v>8</v>
      </c>
      <c r="Q47" s="7"/>
      <c r="R47" s="26">
        <f t="shared" si="35"/>
        <v>8</v>
      </c>
      <c r="S47" s="41">
        <f t="shared" si="36"/>
        <v>0.64250000000000007</v>
      </c>
      <c r="U47" s="133" t="e">
        <v>#N/A</v>
      </c>
      <c r="V47" s="134" t="e">
        <v>#N/A</v>
      </c>
      <c r="AI47" s="6"/>
      <c r="AJ47" s="6"/>
      <c r="AK47" s="6"/>
      <c r="AN47" s="6" t="str">
        <f>_xll.xlShmInterpDisc(CurveName,DATE(YEAR(AU47)+IF(YEAR(AU47)&lt;2000,100,0),MONTH(AU47),DAY(AU47)))</f>
        <v>Date before first TermStructure's date.</v>
      </c>
      <c r="AO47" s="215" t="e">
        <f>_xll.xlShmInterpRate(CurveName,$AO$2,$C$50,DATE(YEAR(AU47)+IF(YEAR(AU47)&lt;2000,100,0),MONTH(AU47),DAY(AU47)))*100</f>
        <v>#VALUE!</v>
      </c>
      <c r="AP47" s="6" t="e">
        <f t="shared" si="30"/>
        <v>#VALUE!</v>
      </c>
      <c r="AQ47" s="215" t="e">
        <f t="shared" si="10"/>
        <v>#VALUE!</v>
      </c>
      <c r="AR47" s="8"/>
      <c r="AS47" s="52"/>
      <c r="AT47" s="8"/>
      <c r="AU47" s="20"/>
      <c r="AV47" s="52"/>
      <c r="BC47" s="21"/>
      <c r="BD47" s="52"/>
    </row>
    <row r="48" spans="1:60" ht="11.25" customHeight="1">
      <c r="A48" s="6"/>
      <c r="D48" s="6"/>
      <c r="E48" s="129" t="b">
        <f t="shared" si="40"/>
        <v>1</v>
      </c>
      <c r="F48" s="107">
        <f t="shared" si="37"/>
        <v>8</v>
      </c>
      <c r="G48" s="7"/>
      <c r="I48" s="79">
        <f t="shared" si="31"/>
        <v>0.64250000000000007</v>
      </c>
      <c r="J48" s="50"/>
      <c r="K48" s="127"/>
      <c r="L48" s="50">
        <f t="shared" si="32"/>
        <v>0.64250000000000007</v>
      </c>
      <c r="M48" s="29">
        <f t="shared" si="38"/>
        <v>8</v>
      </c>
      <c r="N48" s="30">
        <f t="shared" si="33"/>
        <v>8</v>
      </c>
      <c r="O48" s="29">
        <f t="shared" si="39"/>
        <v>8</v>
      </c>
      <c r="P48" s="30">
        <f t="shared" si="34"/>
        <v>9</v>
      </c>
      <c r="Q48" s="7"/>
      <c r="R48" s="26">
        <f t="shared" si="35"/>
        <v>9</v>
      </c>
      <c r="S48" s="41">
        <f t="shared" si="36"/>
        <v>0.76500000000000001</v>
      </c>
      <c r="U48" s="133" t="e">
        <v>#N/A</v>
      </c>
      <c r="V48" s="134" t="e">
        <v>#N/A</v>
      </c>
      <c r="Y48" s="10" t="s">
        <v>80</v>
      </c>
      <c r="Z48" s="11" t="s">
        <v>5</v>
      </c>
      <c r="AA48" s="12" t="s">
        <v>6</v>
      </c>
      <c r="AN48" s="6" t="str">
        <f>_xll.xlShmInterpDisc(CurveName,DATE(YEAR(AU48)+IF(YEAR(AU48)&lt;2000,100,0),MONTH(AU48),DAY(AU48)))</f>
        <v>Date before first TermStructure's date.</v>
      </c>
      <c r="AO48" s="215" t="e">
        <f>_xll.xlShmInterpRate(CurveName,$AO$2,$C$50,DATE(YEAR(AU48)+IF(YEAR(AU48)&lt;2000,100,0),MONTH(AU48),DAY(AU48)))*100</f>
        <v>#VALUE!</v>
      </c>
      <c r="AP48" s="6" t="e">
        <f t="shared" si="30"/>
        <v>#VALUE!</v>
      </c>
      <c r="AQ48" s="215" t="e">
        <f t="shared" si="10"/>
        <v>#VALUE!</v>
      </c>
      <c r="AR48" s="8"/>
      <c r="AS48" s="52"/>
      <c r="AT48" s="8"/>
      <c r="AU48" s="20"/>
      <c r="AV48" s="52"/>
      <c r="BC48" s="21"/>
      <c r="BD48" s="52"/>
    </row>
    <row r="49" spans="1:56" ht="11.25" customHeight="1">
      <c r="A49" s="6"/>
      <c r="D49" s="6"/>
      <c r="E49" s="129" t="b">
        <f t="shared" si="40"/>
        <v>1</v>
      </c>
      <c r="F49" s="107">
        <f t="shared" si="37"/>
        <v>9</v>
      </c>
      <c r="G49" s="7"/>
      <c r="I49" s="79">
        <f t="shared" si="31"/>
        <v>0.76500000000000001</v>
      </c>
      <c r="J49" s="50"/>
      <c r="K49" s="127"/>
      <c r="L49" s="50">
        <f t="shared" si="32"/>
        <v>0.76500000000000001</v>
      </c>
      <c r="M49" s="29">
        <f t="shared" si="38"/>
        <v>9</v>
      </c>
      <c r="N49" s="30">
        <f t="shared" si="33"/>
        <v>9</v>
      </c>
      <c r="O49" s="29">
        <f t="shared" si="39"/>
        <v>9</v>
      </c>
      <c r="P49" s="30">
        <f t="shared" si="34"/>
        <v>10</v>
      </c>
      <c r="Q49" s="7"/>
      <c r="R49" s="26">
        <f t="shared" si="35"/>
        <v>10</v>
      </c>
      <c r="S49" s="41">
        <f t="shared" si="36"/>
        <v>0.87250000000000005</v>
      </c>
      <c r="U49" s="133" t="e">
        <v>#N/A</v>
      </c>
      <c r="V49" s="134" t="e">
        <v>#N/A</v>
      </c>
      <c r="Y49" s="36">
        <v>1</v>
      </c>
      <c r="Z49" s="16">
        <f>_xll.RtGet($AD$50,$AD$51&amp;$Y49&amp;$AD$52,Z$48)</f>
        <v>-1.7500000000000002E-2</v>
      </c>
      <c r="AA49" s="17">
        <f>_xll.RtGet($AD$50,$AD$51&amp;$Y49&amp;$AD$52,AA$48)</f>
        <v>4.2500000000000003E-2</v>
      </c>
      <c r="AN49" s="6" t="str">
        <f>_xll.xlShmInterpDisc(CurveName,DATE(YEAR(AU49)+IF(YEAR(AU49)&lt;2000,100,0),MONTH(AU49),DAY(AU49)))</f>
        <v>Date before first TermStructure's date.</v>
      </c>
      <c r="AO49" s="215" t="e">
        <f>_xll.xlShmInterpRate(CurveName,$AO$2,$C$50,DATE(YEAR(AU49)+IF(YEAR(AU49)&lt;2000,100,0),MONTH(AU49),DAY(AU49)))*100</f>
        <v>#VALUE!</v>
      </c>
      <c r="AP49" s="6" t="e">
        <f t="shared" si="30"/>
        <v>#VALUE!</v>
      </c>
      <c r="AQ49" s="215" t="e">
        <f t="shared" si="10"/>
        <v>#VALUE!</v>
      </c>
      <c r="AR49" s="8"/>
      <c r="AS49" s="52"/>
      <c r="AT49" s="8"/>
      <c r="AU49" s="20"/>
      <c r="AV49" s="52"/>
      <c r="BC49" s="21"/>
      <c r="BD49" s="52"/>
    </row>
    <row r="50" spans="1:56" ht="11.25" customHeight="1">
      <c r="A50" s="6"/>
      <c r="B50" s="56" t="s">
        <v>87</v>
      </c>
      <c r="C50" s="57">
        <f>VLOOKUP(C10,dvCurveBootstrapperDayCount,2,FALSE)</f>
        <v>5</v>
      </c>
      <c r="D50" s="6"/>
      <c r="E50" s="129" t="b">
        <f t="shared" si="40"/>
        <v>1</v>
      </c>
      <c r="F50" s="107">
        <f t="shared" si="37"/>
        <v>10</v>
      </c>
      <c r="G50" s="7"/>
      <c r="I50" s="79">
        <f t="shared" si="31"/>
        <v>0.87250000000000005</v>
      </c>
      <c r="J50" s="50"/>
      <c r="K50" s="127"/>
      <c r="L50" s="50">
        <f t="shared" si="32"/>
        <v>0.87250000000000005</v>
      </c>
      <c r="M50" s="29">
        <f t="shared" si="38"/>
        <v>10</v>
      </c>
      <c r="N50" s="30">
        <f t="shared" si="33"/>
        <v>10</v>
      </c>
      <c r="O50" s="29">
        <f t="shared" si="39"/>
        <v>10</v>
      </c>
      <c r="P50" s="30">
        <f t="shared" si="34"/>
        <v>11</v>
      </c>
      <c r="Q50" s="7"/>
      <c r="R50" s="26">
        <f t="shared" si="35"/>
        <v>12</v>
      </c>
      <c r="S50" s="41">
        <f t="shared" si="36"/>
        <v>1.0575000000000001</v>
      </c>
      <c r="U50" s="133" t="e">
        <v>#N/A</v>
      </c>
      <c r="V50" s="134" t="e">
        <v>#N/A</v>
      </c>
      <c r="Y50" s="37">
        <v>2</v>
      </c>
      <c r="Z50" s="29">
        <f>_xll.RtGet($AD$50,$AD$51&amp;$Y50&amp;$AD$52,Z$48)</f>
        <v>-2.75E-2</v>
      </c>
      <c r="AA50" s="30">
        <f>_xll.RtGet($AD$50,$AD$51&amp;$Y50&amp;$AD$52,AA$48)</f>
        <v>5.2499999999999998E-2</v>
      </c>
      <c r="AC50" s="13" t="s">
        <v>14</v>
      </c>
      <c r="AD50" s="71" t="s">
        <v>62</v>
      </c>
      <c r="AN50" s="6" t="str">
        <f>_xll.xlShmInterpDisc(CurveName,DATE(YEAR(AU50)+IF(YEAR(AU50)&lt;2000,100,0),MONTH(AU50),DAY(AU50)))</f>
        <v>Date before first TermStructure's date.</v>
      </c>
      <c r="AO50" s="215" t="e">
        <f>_xll.xlShmInterpRate(CurveName,$AO$2,$C$50,DATE(YEAR(AU50)+IF(YEAR(AU50)&lt;2000,100,0),MONTH(AU50),DAY(AU50)))*100</f>
        <v>#VALUE!</v>
      </c>
      <c r="AP50" s="6" t="e">
        <f t="shared" si="30"/>
        <v>#VALUE!</v>
      </c>
      <c r="AQ50" s="215" t="e">
        <f t="shared" si="10"/>
        <v>#VALUE!</v>
      </c>
      <c r="AR50" s="8"/>
      <c r="AS50" s="52"/>
      <c r="AT50" s="8"/>
      <c r="AU50" s="20"/>
      <c r="AV50" s="52"/>
      <c r="BC50" s="21"/>
      <c r="BD50" s="52"/>
    </row>
    <row r="51" spans="1:56" ht="11.25" customHeight="1">
      <c r="A51" s="6"/>
      <c r="D51" s="6"/>
      <c r="E51" s="129" t="b">
        <f t="shared" si="40"/>
        <v>1</v>
      </c>
      <c r="F51" s="107">
        <f t="shared" si="37"/>
        <v>12</v>
      </c>
      <c r="G51" s="7"/>
      <c r="I51" s="79">
        <f t="shared" si="31"/>
        <v>1.0575000000000001</v>
      </c>
      <c r="J51" s="50"/>
      <c r="K51" s="127"/>
      <c r="L51" s="50">
        <f t="shared" si="32"/>
        <v>1.0575000000000001</v>
      </c>
      <c r="M51" s="29">
        <f t="shared" si="38"/>
        <v>11</v>
      </c>
      <c r="N51" s="30">
        <f t="shared" si="33"/>
        <v>11</v>
      </c>
      <c r="O51" s="29">
        <f t="shared" si="39"/>
        <v>11</v>
      </c>
      <c r="P51" s="30">
        <f t="shared" si="34"/>
        <v>12</v>
      </c>
      <c r="Q51" s="7"/>
      <c r="R51" s="26">
        <f t="shared" si="35"/>
        <v>15</v>
      </c>
      <c r="S51" s="41">
        <f t="shared" si="36"/>
        <v>1.2625</v>
      </c>
      <c r="U51" s="133" t="e">
        <v>#N/A</v>
      </c>
      <c r="V51" s="134" t="e">
        <v>#N/A</v>
      </c>
      <c r="Y51" s="37">
        <v>3</v>
      </c>
      <c r="Z51" s="29">
        <f>_xll.RtGet($AD$50,$AD$51&amp;$Y51&amp;$AD$52,Z$48)</f>
        <v>1.4999999999999999E-2</v>
      </c>
      <c r="AA51" s="30">
        <f>_xll.RtGet($AD$50,$AD$51&amp;$Y51&amp;$AD$52,AA$48)</f>
        <v>9.5000000000000001E-2</v>
      </c>
      <c r="AC51" s="18" t="s">
        <v>20</v>
      </c>
      <c r="AD51" s="72" t="s">
        <v>156</v>
      </c>
      <c r="AN51" s="6" t="str">
        <f>_xll.xlShmInterpDisc(CurveName,DATE(YEAR(AU51)+IF(YEAR(AU51)&lt;2000,100,0),MONTH(AU51),DAY(AU51)))</f>
        <v>Date before first TermStructure's date.</v>
      </c>
      <c r="AO51" s="215" t="e">
        <f>_xll.xlShmInterpRate(CurveName,$AO$2,$C$50,DATE(YEAR(AU51)+IF(YEAR(AU51)&lt;2000,100,0),MONTH(AU51),DAY(AU51)))*100</f>
        <v>#VALUE!</v>
      </c>
      <c r="AP51" s="6" t="e">
        <f t="shared" si="30"/>
        <v>#VALUE!</v>
      </c>
      <c r="AQ51" s="215" t="e">
        <f t="shared" si="10"/>
        <v>#VALUE!</v>
      </c>
      <c r="AR51" s="8"/>
      <c r="AS51" s="52"/>
      <c r="AT51" s="8"/>
      <c r="AU51" s="20"/>
      <c r="AV51" s="52"/>
      <c r="BC51" s="21"/>
      <c r="BD51" s="52"/>
    </row>
    <row r="52" spans="1:56" ht="11.25" customHeight="1">
      <c r="B52" s="64" t="s">
        <v>81</v>
      </c>
      <c r="C52" s="64" t="s">
        <v>82</v>
      </c>
      <c r="E52" s="129" t="b">
        <f t="shared" si="40"/>
        <v>1</v>
      </c>
      <c r="F52" s="107">
        <f t="shared" si="37"/>
        <v>15</v>
      </c>
      <c r="G52" s="7"/>
      <c r="I52" s="79">
        <f t="shared" si="31"/>
        <v>1.2625</v>
      </c>
      <c r="J52" s="50"/>
      <c r="K52" s="127"/>
      <c r="L52" s="50">
        <f t="shared" si="32"/>
        <v>1.2625</v>
      </c>
      <c r="M52" s="29">
        <f t="shared" si="38"/>
        <v>12</v>
      </c>
      <c r="N52" s="30">
        <f t="shared" si="33"/>
        <v>12</v>
      </c>
      <c r="O52" s="29">
        <f t="shared" si="39"/>
        <v>12</v>
      </c>
      <c r="P52" s="30">
        <f t="shared" si="34"/>
        <v>13</v>
      </c>
      <c r="Q52" s="7"/>
      <c r="R52" s="26">
        <f t="shared" si="35"/>
        <v>20</v>
      </c>
      <c r="S52" s="41">
        <f t="shared" si="36"/>
        <v>1.4450000000000001</v>
      </c>
      <c r="U52" s="133" t="e">
        <v>#N/A</v>
      </c>
      <c r="V52" s="134" t="e">
        <v>#N/A</v>
      </c>
      <c r="Y52" s="37">
        <v>4</v>
      </c>
      <c r="Z52" s="29">
        <f>_xll.RtGet($AD$50,$AD$51&amp;$Y52&amp;$AD$52,Z$48)</f>
        <v>9.7500000000000003E-2</v>
      </c>
      <c r="AA52" s="30">
        <f>_xll.RtGet($AD$50,$AD$51&amp;$Y52&amp;$AD$52,AA$48)</f>
        <v>0.17749999999999999</v>
      </c>
      <c r="AC52" s="24" t="s">
        <v>24</v>
      </c>
      <c r="AD52" s="73" t="s">
        <v>155</v>
      </c>
      <c r="AN52" s="6" t="str">
        <f>_xll.xlShmInterpDisc(CurveName,DATE(YEAR(AU52)+IF(YEAR(AU52)&lt;2000,100,0),MONTH(AU52),DAY(AU52)))</f>
        <v>Date before first TermStructure's date.</v>
      </c>
      <c r="AO52" s="215" t="e">
        <f>_xll.xlShmInterpRate(CurveName,$AO$2,$C$50,DATE(YEAR(AU52)+IF(YEAR(AU52)&lt;2000,100,0),MONTH(AU52),DAY(AU52)))*100</f>
        <v>#VALUE!</v>
      </c>
      <c r="AP52" s="6" t="e">
        <f t="shared" si="30"/>
        <v>#VALUE!</v>
      </c>
      <c r="AQ52" s="215" t="e">
        <f t="shared" si="10"/>
        <v>#VALUE!</v>
      </c>
      <c r="AR52" s="8"/>
      <c r="AS52" s="52"/>
      <c r="AT52" s="8"/>
      <c r="AU52" s="20"/>
      <c r="AV52" s="52"/>
      <c r="BC52" s="21"/>
      <c r="BD52" s="52"/>
    </row>
    <row r="53" spans="1:56" ht="11.25" customHeight="1">
      <c r="B53" s="58" t="str">
        <f>"DiscCurveName"&amp;IF(ISBLANK(C6),"","#"&amp;C6)</f>
        <v>DiscCurveName</v>
      </c>
      <c r="C53" s="59"/>
      <c r="E53" s="129" t="b">
        <f t="shared" si="40"/>
        <v>1</v>
      </c>
      <c r="F53" s="107">
        <f t="shared" si="37"/>
        <v>20</v>
      </c>
      <c r="G53" s="7"/>
      <c r="I53" s="79">
        <f t="shared" si="31"/>
        <v>1.4450000000000001</v>
      </c>
      <c r="J53" s="50"/>
      <c r="K53" s="127"/>
      <c r="L53" s="50">
        <f t="shared" si="32"/>
        <v>1.4450000000000001</v>
      </c>
      <c r="M53" s="29">
        <f t="shared" si="38"/>
        <v>13</v>
      </c>
      <c r="N53" s="30">
        <f t="shared" si="33"/>
        <v>13</v>
      </c>
      <c r="O53" s="29">
        <f t="shared" si="39"/>
        <v>13</v>
      </c>
      <c r="P53" s="30">
        <f t="shared" si="34"/>
        <v>14</v>
      </c>
      <c r="Q53" s="7"/>
      <c r="R53" s="26">
        <f t="shared" si="35"/>
        <v>25</v>
      </c>
      <c r="S53" s="41">
        <f t="shared" si="36"/>
        <v>1.5375000000000001</v>
      </c>
      <c r="U53" s="133" t="e">
        <v>#N/A</v>
      </c>
      <c r="V53" s="134" t="e">
        <v>#N/A</v>
      </c>
      <c r="Y53" s="37">
        <v>5</v>
      </c>
      <c r="Z53" s="29">
        <f>_xll.RtGet($AD$50,$AD$51&amp;$Y53&amp;$AD$52,Z$48)</f>
        <v>0.21</v>
      </c>
      <c r="AA53" s="30">
        <f>_xll.RtGet($AD$50,$AD$51&amp;$Y53&amp;$AD$52,AA$48)</f>
        <v>0.28999999999999998</v>
      </c>
      <c r="AN53" s="6" t="str">
        <f>_xll.xlShmInterpDisc(CurveName,DATE(YEAR(AU53)+IF(YEAR(AU53)&lt;2000,100,0),MONTH(AU53),DAY(AU53)))</f>
        <v>Date before first TermStructure's date.</v>
      </c>
      <c r="AO53" s="215" t="e">
        <f>_xll.xlShmInterpRate(CurveName,$AO$2,$C$50,DATE(YEAR(AU53)+IF(YEAR(AU53)&lt;2000,100,0),MONTH(AU53),DAY(AU53)))*100</f>
        <v>#VALUE!</v>
      </c>
      <c r="AP53" s="6" t="e">
        <f t="shared" si="30"/>
        <v>#VALUE!</v>
      </c>
      <c r="AQ53" s="215" t="e">
        <f t="shared" si="10"/>
        <v>#VALUE!</v>
      </c>
      <c r="AR53" s="8"/>
      <c r="AS53" s="52"/>
      <c r="AT53" s="8"/>
      <c r="AU53" s="20"/>
      <c r="AV53" s="52"/>
      <c r="BC53" s="21"/>
      <c r="BD53" s="52"/>
    </row>
    <row r="54" spans="1:56" ht="11.25" customHeight="1">
      <c r="B54" s="58" t="str">
        <f>"BlockOrder"&amp;IF(ISBLANK(C30),"","#"&amp;C30)</f>
        <v>BlockOrder#231</v>
      </c>
      <c r="C54" s="59"/>
      <c r="E54" s="129" t="b">
        <f t="shared" si="40"/>
        <v>1</v>
      </c>
      <c r="F54" s="107">
        <f t="shared" si="37"/>
        <v>25</v>
      </c>
      <c r="G54" s="7"/>
      <c r="H54" s="7"/>
      <c r="I54" s="79">
        <f t="shared" si="31"/>
        <v>1.5375000000000001</v>
      </c>
      <c r="J54" s="50"/>
      <c r="K54" s="127"/>
      <c r="L54" s="50">
        <f t="shared" si="32"/>
        <v>1.5375000000000001</v>
      </c>
      <c r="M54" s="29">
        <f t="shared" si="38"/>
        <v>14</v>
      </c>
      <c r="N54" s="30">
        <f t="shared" si="33"/>
        <v>14</v>
      </c>
      <c r="O54" s="29">
        <f t="shared" si="39"/>
        <v>14</v>
      </c>
      <c r="P54" s="30">
        <f t="shared" si="34"/>
        <v>15</v>
      </c>
      <c r="Q54" s="7"/>
      <c r="R54" s="26">
        <f t="shared" si="35"/>
        <v>30</v>
      </c>
      <c r="S54" s="41">
        <f t="shared" si="36"/>
        <v>1.5775000000000001</v>
      </c>
      <c r="U54" s="133" t="e">
        <v>#N/A</v>
      </c>
      <c r="V54" s="134" t="e">
        <v>#N/A</v>
      </c>
      <c r="Y54" s="37">
        <v>6</v>
      </c>
      <c r="Z54" s="29">
        <f>_xll.RtGet($AD$50,$AD$51&amp;$Y54&amp;$AD$52,Z$48)</f>
        <v>0.33750000000000002</v>
      </c>
      <c r="AA54" s="30">
        <f>_xll.RtGet($AD$50,$AD$51&amp;$Y54&amp;$AD$52,AA$48)</f>
        <v>0.41749999999999998</v>
      </c>
      <c r="AN54" s="6" t="str">
        <f>_xll.xlShmInterpDisc(CurveName,DATE(YEAR(AU54)+IF(YEAR(AU54)&lt;2000,100,0),MONTH(AU54),DAY(AU54)))</f>
        <v>Date before first TermStructure's date.</v>
      </c>
      <c r="AO54" s="215" t="e">
        <f>_xll.xlShmInterpRate(CurveName,$AO$2,$C$50,DATE(YEAR(AU54)+IF(YEAR(AU54)&lt;2000,100,0),MONTH(AU54),DAY(AU54)))*100</f>
        <v>#VALUE!</v>
      </c>
      <c r="AP54" s="6" t="e">
        <f t="shared" si="30"/>
        <v>#VALUE!</v>
      </c>
      <c r="AQ54" s="215" t="e">
        <f t="shared" si="10"/>
        <v>#VALUE!</v>
      </c>
      <c r="AR54" s="8"/>
      <c r="AS54" s="52"/>
      <c r="AT54" s="8"/>
      <c r="AU54" s="20"/>
      <c r="AV54" s="52"/>
      <c r="BC54" s="21"/>
      <c r="BD54" s="52"/>
    </row>
    <row r="55" spans="1:56" ht="11.25" customHeight="1">
      <c r="B55" s="58" t="str">
        <f>"MatBlockCons"&amp;IF(ISBLANK(C33),"","#"&amp;C33)</f>
        <v>MatBlockCons#on</v>
      </c>
      <c r="C55" s="59"/>
      <c r="E55" s="129" t="b">
        <f t="shared" si="40"/>
        <v>1</v>
      </c>
      <c r="F55" s="107">
        <f t="shared" si="37"/>
        <v>30</v>
      </c>
      <c r="G55" s="7"/>
      <c r="H55" s="7"/>
      <c r="I55" s="79">
        <f t="shared" si="31"/>
        <v>1.5775000000000001</v>
      </c>
      <c r="J55" s="50"/>
      <c r="K55" s="127"/>
      <c r="L55" s="50">
        <f t="shared" si="32"/>
        <v>1.5775000000000001</v>
      </c>
      <c r="M55" s="29">
        <f t="shared" si="38"/>
        <v>15</v>
      </c>
      <c r="N55" s="30">
        <f t="shared" si="33"/>
        <v>15</v>
      </c>
      <c r="O55" s="29" t="str">
        <f t="shared" si="39"/>
        <v/>
      </c>
      <c r="P55" s="30" t="str">
        <f t="shared" si="34"/>
        <v/>
      </c>
      <c r="Q55" s="7"/>
      <c r="R55" s="26" t="str">
        <f t="shared" si="35"/>
        <v/>
      </c>
      <c r="S55" s="41" t="str">
        <f t="shared" si="36"/>
        <v/>
      </c>
      <c r="U55" s="133" t="e">
        <v>#N/A</v>
      </c>
      <c r="V55" s="134" t="e">
        <v>#N/A</v>
      </c>
      <c r="Y55" s="37">
        <v>7</v>
      </c>
      <c r="Z55" s="29">
        <f>_xll.RtGet($AD$50,$AD$51&amp;$Y55&amp;$AD$52,Z$48)</f>
        <v>0.47249999999999998</v>
      </c>
      <c r="AA55" s="30">
        <f>_xll.RtGet($AD$50,$AD$51&amp;$Y55&amp;$AD$52,AA$48)</f>
        <v>0.55249999999999999</v>
      </c>
      <c r="AN55" s="6" t="str">
        <f>_xll.xlShmInterpDisc(CurveName,DATE(YEAR(AU55)+IF(YEAR(AU55)&lt;2000,100,0),MONTH(AU55),DAY(AU55)))</f>
        <v>Date before first TermStructure's date.</v>
      </c>
      <c r="AO55" s="215" t="e">
        <f>_xll.xlShmInterpRate(CurveName,$AO$2,$C$50,DATE(YEAR(AU55)+IF(YEAR(AU55)&lt;2000,100,0),MONTH(AU55),DAY(AU55)))*100</f>
        <v>#VALUE!</v>
      </c>
      <c r="AP55" s="6" t="e">
        <f t="shared" si="30"/>
        <v>#VALUE!</v>
      </c>
      <c r="AQ55" s="215" t="e">
        <f t="shared" si="10"/>
        <v>#VALUE!</v>
      </c>
      <c r="AR55" s="8"/>
      <c r="AS55" s="52"/>
      <c r="AT55" s="8"/>
      <c r="AU55" s="20"/>
      <c r="AV55" s="52"/>
      <c r="BC55" s="21"/>
      <c r="BD55" s="52"/>
    </row>
    <row r="56" spans="1:56" ht="11.25" customHeight="1">
      <c r="B56" s="58" t="str">
        <f>"FutEndDate"&amp;IF(ISBLANK(C34),"","#"&amp;C34)</f>
        <v>FutEndDate#standard</v>
      </c>
      <c r="C56" s="59"/>
      <c r="E56" s="129" t="b">
        <f t="shared" si="40"/>
        <v>0</v>
      </c>
      <c r="F56" s="107" t="str">
        <f t="shared" si="37"/>
        <v/>
      </c>
      <c r="G56" s="7"/>
      <c r="H56" s="7"/>
      <c r="I56" s="79" t="e">
        <f t="shared" si="31"/>
        <v>#DIV/0!</v>
      </c>
      <c r="J56" s="50"/>
      <c r="K56" s="127"/>
      <c r="L56" s="50" t="e">
        <f t="shared" si="32"/>
        <v>#DIV/0!</v>
      </c>
      <c r="M56" s="29">
        <f t="shared" si="38"/>
        <v>16</v>
      </c>
      <c r="N56" s="30" t="str">
        <f t="shared" si="33"/>
        <v/>
      </c>
      <c r="O56" s="29" t="str">
        <f t="shared" si="39"/>
        <v/>
      </c>
      <c r="P56" s="30" t="str">
        <f t="shared" si="34"/>
        <v/>
      </c>
      <c r="Q56" s="7"/>
      <c r="R56" s="26" t="str">
        <f t="shared" si="35"/>
        <v/>
      </c>
      <c r="S56" s="41" t="str">
        <f t="shared" si="36"/>
        <v/>
      </c>
      <c r="U56" s="133" t="e">
        <v>#N/A</v>
      </c>
      <c r="V56" s="134" t="e">
        <v>#N/A</v>
      </c>
      <c r="Y56" s="37">
        <v>8</v>
      </c>
      <c r="Z56" s="29">
        <f>_xll.RtGet($AD$50,$AD$51&amp;$Y56&amp;$AD$52,Z$48)</f>
        <v>0.60250000000000004</v>
      </c>
      <c r="AA56" s="30">
        <f>_xll.RtGet($AD$50,$AD$51&amp;$Y56&amp;$AD$52,AA$48)</f>
        <v>0.6825</v>
      </c>
      <c r="AN56" s="6" t="str">
        <f>_xll.xlShmInterpDisc(CurveName,DATE(YEAR(AU56)+IF(YEAR(AU56)&lt;2000,100,0),MONTH(AU56),DAY(AU56)))</f>
        <v>Date before first TermStructure's date.</v>
      </c>
      <c r="AO56" s="215" t="e">
        <f>_xll.xlShmInterpRate(CurveName,$AO$2,$C$50,DATE(YEAR(AU56)+IF(YEAR(AU56)&lt;2000,100,0),MONTH(AU56),DAY(AU56)))*100</f>
        <v>#VALUE!</v>
      </c>
      <c r="AP56" s="6" t="e">
        <f t="shared" si="30"/>
        <v>#VALUE!</v>
      </c>
      <c r="AQ56" s="215" t="e">
        <f t="shared" si="10"/>
        <v>#VALUE!</v>
      </c>
      <c r="AR56" s="8"/>
      <c r="AS56" s="52"/>
      <c r="AT56" s="8"/>
      <c r="AU56" s="20"/>
      <c r="AV56" s="52"/>
      <c r="BC56" s="21"/>
      <c r="BD56" s="52"/>
    </row>
    <row r="57" spans="1:56" ht="11.25" customHeight="1">
      <c r="B57" s="58" t="str">
        <f>"FutBlockCons"&amp;IF(ISBLANK(C32),"","#"&amp;C32)</f>
        <v>FutBlockCons#start</v>
      </c>
      <c r="C57" s="59"/>
      <c r="E57" s="129" t="b">
        <f t="shared" si="40"/>
        <v>0</v>
      </c>
      <c r="F57" s="107" t="str">
        <f t="shared" si="37"/>
        <v/>
      </c>
      <c r="G57" s="7"/>
      <c r="H57" s="7"/>
      <c r="I57" s="79" t="e">
        <f t="shared" si="31"/>
        <v>#DIV/0!</v>
      </c>
      <c r="J57" s="50"/>
      <c r="K57" s="127"/>
      <c r="L57" s="50" t="e">
        <f t="shared" si="32"/>
        <v>#DIV/0!</v>
      </c>
      <c r="M57" s="29">
        <f t="shared" si="38"/>
        <v>17</v>
      </c>
      <c r="N57" s="30" t="str">
        <f t="shared" si="33"/>
        <v/>
      </c>
      <c r="O57" s="29" t="str">
        <f t="shared" si="39"/>
        <v/>
      </c>
      <c r="P57" s="30" t="str">
        <f t="shared" si="34"/>
        <v/>
      </c>
      <c r="Q57" s="7"/>
      <c r="R57" s="26" t="str">
        <f t="shared" si="35"/>
        <v/>
      </c>
      <c r="S57" s="41" t="str">
        <f t="shared" si="36"/>
        <v/>
      </c>
      <c r="U57" s="133" t="e">
        <v>#N/A</v>
      </c>
      <c r="V57" s="134" t="e">
        <v>#N/A</v>
      </c>
      <c r="Y57" s="37">
        <v>9</v>
      </c>
      <c r="Z57" s="29">
        <f>_xll.RtGet($AD$50,$AD$51&amp;$Y57&amp;$AD$52,Z$48)</f>
        <v>0.72499999999999998</v>
      </c>
      <c r="AA57" s="30">
        <f>_xll.RtGet($AD$50,$AD$51&amp;$Y57&amp;$AD$52,AA$48)</f>
        <v>0.80500000000000005</v>
      </c>
      <c r="AN57" s="6" t="str">
        <f>_xll.xlShmInterpDisc(CurveName,DATE(YEAR(AU57)+IF(YEAR(AU57)&lt;2000,100,0),MONTH(AU57),DAY(AU57)))</f>
        <v>Date before first TermStructure's date.</v>
      </c>
      <c r="AO57" s="215" t="e">
        <f>_xll.xlShmInterpRate(CurveName,$AO$2,$C$50,DATE(YEAR(AU57)+IF(YEAR(AU57)&lt;2000,100,0),MONTH(AU57),DAY(AU57)))*100</f>
        <v>#VALUE!</v>
      </c>
      <c r="AP57" s="6" t="e">
        <f t="shared" si="30"/>
        <v>#VALUE!</v>
      </c>
      <c r="AQ57" s="215" t="e">
        <f t="shared" si="10"/>
        <v>#VALUE!</v>
      </c>
      <c r="AR57" s="8"/>
      <c r="AS57" s="52"/>
      <c r="AT57" s="8"/>
      <c r="AU57" s="20"/>
      <c r="AV57" s="52"/>
      <c r="BC57" s="21"/>
      <c r="BD57" s="52"/>
    </row>
    <row r="58" spans="1:56" ht="11.25" customHeight="1">
      <c r="B58" s="65" t="str">
        <f>IF(E23,"FutBlockStubRate","")</f>
        <v/>
      </c>
      <c r="C58" s="66">
        <f>IF(E23,L23,0)</f>
        <v>0</v>
      </c>
      <c r="E58" s="129" t="b">
        <f t="shared" si="40"/>
        <v>0</v>
      </c>
      <c r="F58" s="107" t="str">
        <f t="shared" si="37"/>
        <v/>
      </c>
      <c r="G58" s="7"/>
      <c r="H58" s="7"/>
      <c r="I58" s="79" t="e">
        <f t="shared" si="31"/>
        <v>#DIV/0!</v>
      </c>
      <c r="J58" s="50"/>
      <c r="K58" s="127"/>
      <c r="L58" s="50" t="e">
        <f t="shared" si="32"/>
        <v>#DIV/0!</v>
      </c>
      <c r="M58" s="29">
        <f t="shared" si="38"/>
        <v>18</v>
      </c>
      <c r="N58" s="30" t="str">
        <f t="shared" si="33"/>
        <v/>
      </c>
      <c r="O58" s="29" t="str">
        <f t="shared" si="39"/>
        <v/>
      </c>
      <c r="P58" s="30" t="str">
        <f t="shared" si="34"/>
        <v/>
      </c>
      <c r="Q58" s="7"/>
      <c r="R58" s="26" t="str">
        <f t="shared" si="35"/>
        <v/>
      </c>
      <c r="S58" s="41" t="str">
        <f t="shared" si="36"/>
        <v/>
      </c>
      <c r="U58" s="133" t="e">
        <v>#N/A</v>
      </c>
      <c r="V58" s="134" t="e">
        <v>#N/A</v>
      </c>
      <c r="Y58" s="37">
        <v>10</v>
      </c>
      <c r="Z58" s="29">
        <f>_xll.RtGet($AD$50,$AD$51&amp;$Y58&amp;$AD$52,Z$48)</f>
        <v>0.83250000000000002</v>
      </c>
      <c r="AA58" s="30">
        <f>_xll.RtGet($AD$50,$AD$51&amp;$Y58&amp;$AD$52,AA$48)</f>
        <v>0.91249999999999998</v>
      </c>
      <c r="AN58" s="6" t="str">
        <f>_xll.xlShmInterpDisc(CurveName,DATE(YEAR(AU58)+IF(YEAR(AU58)&lt;2000,100,0),MONTH(AU58),DAY(AU58)))</f>
        <v>Date before first TermStructure's date.</v>
      </c>
      <c r="AO58" s="215" t="e">
        <f>_xll.xlShmInterpRate(CurveName,$AO$2,$C$50,DATE(YEAR(AU58)+IF(YEAR(AU58)&lt;2000,100,0),MONTH(AU58),DAY(AU58)))*100</f>
        <v>#VALUE!</v>
      </c>
      <c r="AP58" s="6" t="e">
        <f t="shared" si="30"/>
        <v>#VALUE!</v>
      </c>
      <c r="AQ58" s="215" t="e">
        <f t="shared" si="10"/>
        <v>#VALUE!</v>
      </c>
      <c r="AR58" s="8"/>
      <c r="AS58" s="52"/>
      <c r="AT58" s="8"/>
      <c r="AU58" s="20"/>
      <c r="AV58" s="52"/>
      <c r="BC58" s="21"/>
      <c r="BD58" s="52"/>
    </row>
    <row r="59" spans="1:56" ht="11.25" customHeight="1">
      <c r="B59" s="58" t="str">
        <f>IF(ISBLANK(C35),"","FraFutTenor")</f>
        <v>FraFutTenor</v>
      </c>
      <c r="C59" s="59">
        <f>C35</f>
        <v>3</v>
      </c>
      <c r="E59" s="129" t="b">
        <f t="shared" si="40"/>
        <v>0</v>
      </c>
      <c r="F59" s="107" t="str">
        <f t="shared" si="37"/>
        <v/>
      </c>
      <c r="G59" s="7"/>
      <c r="H59" s="7"/>
      <c r="I59" s="79" t="e">
        <f t="shared" si="31"/>
        <v>#DIV/0!</v>
      </c>
      <c r="J59" s="50"/>
      <c r="K59" s="127"/>
      <c r="L59" s="50" t="e">
        <f t="shared" si="32"/>
        <v>#DIV/0!</v>
      </c>
      <c r="M59" s="29">
        <f t="shared" si="38"/>
        <v>19</v>
      </c>
      <c r="N59" s="30" t="str">
        <f t="shared" si="33"/>
        <v/>
      </c>
      <c r="O59" s="29" t="str">
        <f t="shared" si="39"/>
        <v/>
      </c>
      <c r="P59" s="30" t="str">
        <f t="shared" si="34"/>
        <v/>
      </c>
      <c r="Q59" s="7"/>
      <c r="R59" s="26" t="str">
        <f t="shared" si="35"/>
        <v/>
      </c>
      <c r="S59" s="41" t="str">
        <f t="shared" si="36"/>
        <v/>
      </c>
      <c r="U59" s="133" t="e">
        <v>#N/A</v>
      </c>
      <c r="V59" s="134" t="e">
        <v>#N/A</v>
      </c>
      <c r="Y59" s="37">
        <v>12</v>
      </c>
      <c r="Z59" s="29">
        <f>_xll.RtGet($AD$50,$AD$51&amp;$Y59&amp;$AD$52,Z$48)</f>
        <v>1.0075000000000001</v>
      </c>
      <c r="AA59" s="30">
        <f>_xll.RtGet($AD$50,$AD$51&amp;$Y59&amp;$AD$52,AA$48)</f>
        <v>1.1074999999999999</v>
      </c>
      <c r="AN59" s="6" t="str">
        <f>_xll.xlShmInterpDisc(CurveName,DATE(YEAR(AU59)+IF(YEAR(AU59)&lt;2000,100,0),MONTH(AU59),DAY(AU59)))</f>
        <v>Date before first TermStructure's date.</v>
      </c>
      <c r="AO59" s="215" t="e">
        <f>_xll.xlShmInterpRate(CurveName,$AO$2,$C$50,DATE(YEAR(AU59)+IF(YEAR(AU59)&lt;2000,100,0),MONTH(AU59),DAY(AU59)))*100</f>
        <v>#VALUE!</v>
      </c>
      <c r="AP59" s="6" t="e">
        <f t="shared" si="30"/>
        <v>#VALUE!</v>
      </c>
      <c r="AQ59" s="215" t="e">
        <f t="shared" si="10"/>
        <v>#VALUE!</v>
      </c>
      <c r="AR59" s="8"/>
      <c r="AS59" s="52"/>
      <c r="AT59" s="8"/>
      <c r="AU59" s="20"/>
      <c r="AV59" s="52"/>
      <c r="BC59" s="21"/>
      <c r="BD59" s="52"/>
    </row>
    <row r="60" spans="1:56" ht="11.25" customHeight="1">
      <c r="B60" s="61" t="str">
        <f>IF(ISBLANK(C36),"","FraFutAdjType")</f>
        <v>FraFutAdjType</v>
      </c>
      <c r="C60" s="59">
        <f>IF(ISBLANK(C36),0,VLOOKUP(C36,dvCurveBootstrapperFraFutAdjust,2,FALSE))</f>
        <v>2</v>
      </c>
      <c r="E60" s="129" t="b">
        <f t="shared" si="40"/>
        <v>0</v>
      </c>
      <c r="F60" s="107" t="str">
        <f t="shared" si="37"/>
        <v/>
      </c>
      <c r="G60" s="7"/>
      <c r="H60" s="7"/>
      <c r="I60" s="79" t="e">
        <f t="shared" si="31"/>
        <v>#DIV/0!</v>
      </c>
      <c r="J60" s="50"/>
      <c r="K60" s="127"/>
      <c r="L60" s="50" t="e">
        <f t="shared" si="32"/>
        <v>#DIV/0!</v>
      </c>
      <c r="M60" s="29">
        <f t="shared" si="38"/>
        <v>20</v>
      </c>
      <c r="N60" s="30" t="str">
        <f t="shared" si="33"/>
        <v/>
      </c>
      <c r="O60" s="29" t="str">
        <f t="shared" si="39"/>
        <v/>
      </c>
      <c r="P60" s="30" t="str">
        <f t="shared" si="34"/>
        <v/>
      </c>
      <c r="Q60" s="7"/>
      <c r="R60" s="26" t="str">
        <f t="shared" si="35"/>
        <v/>
      </c>
      <c r="S60" s="41" t="str">
        <f t="shared" si="36"/>
        <v/>
      </c>
      <c r="U60" s="133" t="e">
        <v>#N/A</v>
      </c>
      <c r="V60" s="134" t="e">
        <v>#N/A</v>
      </c>
      <c r="Y60" s="37">
        <v>15</v>
      </c>
      <c r="Z60" s="29">
        <f>_xll.RtGet($AD$50,$AD$51&amp;$Y60&amp;$AD$52,Z$48)</f>
        <v>1.2124999999999999</v>
      </c>
      <c r="AA60" s="30">
        <f>_xll.RtGet($AD$50,$AD$51&amp;$Y60&amp;$AD$52,AA$48)</f>
        <v>1.3125</v>
      </c>
      <c r="AN60" s="6" t="str">
        <f>_xll.xlShmInterpDisc(CurveName,DATE(YEAR(AU60)+IF(YEAR(AU60)&lt;2000,100,0),MONTH(AU60),DAY(AU60)))</f>
        <v>Date before first TermStructure's date.</v>
      </c>
      <c r="AO60" s="215" t="e">
        <f>_xll.xlShmInterpRate(CurveName,$AO$2,$C$50,DATE(YEAR(AU60)+IF(YEAR(AU60)&lt;2000,100,0),MONTH(AU60),DAY(AU60)))*100</f>
        <v>#VALUE!</v>
      </c>
      <c r="AP60" s="6" t="e">
        <f t="shared" si="30"/>
        <v>#VALUE!</v>
      </c>
      <c r="AQ60" s="215" t="e">
        <f t="shared" si="10"/>
        <v>#VALUE!</v>
      </c>
      <c r="AR60" s="8"/>
      <c r="AS60" s="52"/>
      <c r="AT60" s="8"/>
      <c r="AU60" s="20"/>
      <c r="AV60" s="52"/>
      <c r="BC60" s="21"/>
      <c r="BD60" s="52"/>
    </row>
    <row r="61" spans="1:56" ht="11.25" customHeight="1">
      <c r="A61" s="2"/>
      <c r="B61" s="58" t="str">
        <f>IF(ISBLANK(C37),"","SwapMatType")</f>
        <v>SwapMatType</v>
      </c>
      <c r="C61" s="59">
        <f>IF(ISBLANK(C37),0,VLOOKUP(C37,dvCurveBootstrapperSwapMatType,2,FALSE))</f>
        <v>0</v>
      </c>
      <c r="D61" s="2"/>
      <c r="E61" s="129" t="b">
        <f t="shared" si="40"/>
        <v>0</v>
      </c>
      <c r="F61" s="107" t="str">
        <f t="shared" si="37"/>
        <v/>
      </c>
      <c r="G61" s="7"/>
      <c r="H61" s="7"/>
      <c r="I61" s="79" t="e">
        <f t="shared" si="31"/>
        <v>#DIV/0!</v>
      </c>
      <c r="J61" s="50"/>
      <c r="K61" s="127"/>
      <c r="L61" s="50" t="e">
        <f t="shared" si="32"/>
        <v>#DIV/0!</v>
      </c>
      <c r="M61" s="29">
        <f t="shared" si="38"/>
        <v>21</v>
      </c>
      <c r="N61" s="30" t="str">
        <f t="shared" si="33"/>
        <v/>
      </c>
      <c r="O61" s="29" t="str">
        <f t="shared" si="39"/>
        <v/>
      </c>
      <c r="P61" s="30" t="str">
        <f t="shared" si="34"/>
        <v/>
      </c>
      <c r="Q61" s="7"/>
      <c r="R61" s="26" t="str">
        <f t="shared" si="35"/>
        <v/>
      </c>
      <c r="S61" s="41" t="str">
        <f t="shared" si="36"/>
        <v/>
      </c>
      <c r="U61" s="133" t="e">
        <v>#N/A</v>
      </c>
      <c r="V61" s="134" t="e">
        <v>#N/A</v>
      </c>
      <c r="Y61" s="37">
        <v>20</v>
      </c>
      <c r="Z61" s="29">
        <f>_xll.RtGet($AD$50,$AD$51&amp;$Y61&amp;$AD$52,Z$48)</f>
        <v>1.395</v>
      </c>
      <c r="AA61" s="30">
        <f>_xll.RtGet($AD$50,$AD$51&amp;$Y61&amp;$AD$52,AA$48)</f>
        <v>1.4950000000000001</v>
      </c>
      <c r="AN61" s="6" t="str">
        <f>_xll.xlShmInterpDisc(CurveName,DATE(YEAR(AU61)+IF(YEAR(AU61)&lt;2000,100,0),MONTH(AU61),DAY(AU61)))</f>
        <v>Date before first TermStructure's date.</v>
      </c>
      <c r="AO61" s="215" t="e">
        <f>_xll.xlShmInterpRate(CurveName,$AO$2,$C$50,DATE(YEAR(AU61)+IF(YEAR(AU61)&lt;2000,100,0),MONTH(AU61),DAY(AU61)))*100</f>
        <v>#VALUE!</v>
      </c>
      <c r="AP61" s="6" t="e">
        <f t="shared" si="30"/>
        <v>#VALUE!</v>
      </c>
      <c r="AQ61" s="215" t="e">
        <f t="shared" si="10"/>
        <v>#VALUE!</v>
      </c>
      <c r="AR61" s="8"/>
      <c r="AS61" s="52"/>
      <c r="AT61" s="8"/>
      <c r="AU61" s="20"/>
      <c r="AV61" s="52"/>
      <c r="BC61" s="21"/>
      <c r="BD61" s="52"/>
    </row>
    <row r="62" spans="1:56" ht="11.25" customHeight="1">
      <c r="A62" s="2"/>
      <c r="B62" s="58" t="str">
        <f>IF(ISBLANK(C38),"","MSwapFixFreq")</f>
        <v/>
      </c>
      <c r="C62" s="59">
        <f>C38</f>
        <v>0</v>
      </c>
      <c r="D62" s="2"/>
      <c r="E62" s="129" t="b">
        <f t="shared" si="40"/>
        <v>0</v>
      </c>
      <c r="F62" s="107" t="str">
        <f t="shared" si="37"/>
        <v/>
      </c>
      <c r="G62" s="7"/>
      <c r="H62" s="7"/>
      <c r="I62" s="79" t="e">
        <f t="shared" si="31"/>
        <v>#DIV/0!</v>
      </c>
      <c r="J62" s="50"/>
      <c r="K62" s="127"/>
      <c r="L62" s="50" t="e">
        <f t="shared" si="32"/>
        <v>#DIV/0!</v>
      </c>
      <c r="M62" s="29">
        <f t="shared" si="38"/>
        <v>22</v>
      </c>
      <c r="N62" s="30" t="str">
        <f t="shared" si="33"/>
        <v/>
      </c>
      <c r="O62" s="29" t="str">
        <f t="shared" si="39"/>
        <v/>
      </c>
      <c r="P62" s="30" t="str">
        <f t="shared" si="34"/>
        <v/>
      </c>
      <c r="Q62" s="7"/>
      <c r="R62" s="26" t="str">
        <f t="shared" si="35"/>
        <v/>
      </c>
      <c r="S62" s="41" t="str">
        <f t="shared" si="36"/>
        <v/>
      </c>
      <c r="U62" s="133" t="e">
        <v>#N/A</v>
      </c>
      <c r="V62" s="134" t="e">
        <v>#N/A</v>
      </c>
      <c r="Y62" s="37">
        <v>25</v>
      </c>
      <c r="Z62" s="29">
        <f>_xll.RtGet($AD$50,$AD$51&amp;$Y62&amp;$AD$52,Z$48)</f>
        <v>1.4875</v>
      </c>
      <c r="AA62" s="30">
        <f>_xll.RtGet($AD$50,$AD$51&amp;$Y62&amp;$AD$52,AA$48)</f>
        <v>1.5874999999999999</v>
      </c>
      <c r="AN62" s="6" t="str">
        <f>_xll.xlShmInterpDisc(CurveName,DATE(YEAR(AU62)+IF(YEAR(AU62)&lt;2000,100,0),MONTH(AU62),DAY(AU62)))</f>
        <v>Date before first TermStructure's date.</v>
      </c>
      <c r="AO62" s="215" t="e">
        <f>_xll.xlShmInterpRate(CurveName,$AO$2,$C$50,DATE(YEAR(AU62)+IF(YEAR(AU62)&lt;2000,100,0),MONTH(AU62),DAY(AU62)))*100</f>
        <v>#VALUE!</v>
      </c>
      <c r="AP62" s="6" t="e">
        <f t="shared" si="30"/>
        <v>#VALUE!</v>
      </c>
      <c r="AQ62" s="215" t="e">
        <f t="shared" si="10"/>
        <v>#VALUE!</v>
      </c>
      <c r="AR62" s="8"/>
      <c r="AS62" s="52"/>
      <c r="AT62" s="8"/>
      <c r="AU62" s="20"/>
      <c r="AV62" s="52"/>
      <c r="BC62" s="21"/>
      <c r="BD62" s="52"/>
    </row>
    <row r="63" spans="1:56" ht="11.25" customHeight="1">
      <c r="A63" s="2"/>
      <c r="B63" s="58" t="str">
        <f>IF(ISBLANK(C39),"","MSwapFixYrf")</f>
        <v/>
      </c>
      <c r="C63" s="59">
        <f>IF(ISBLANK(C39),0,VLOOKUP(C39,dvCurveBootstrapperDayCount,2,FALSE))</f>
        <v>0</v>
      </c>
      <c r="D63" s="2"/>
      <c r="E63" s="129" t="b">
        <f t="shared" si="40"/>
        <v>0</v>
      </c>
      <c r="F63" s="107" t="str">
        <f t="shared" si="37"/>
        <v/>
      </c>
      <c r="G63" s="7"/>
      <c r="H63" s="7"/>
      <c r="I63" s="79" t="e">
        <f t="shared" si="31"/>
        <v>#DIV/0!</v>
      </c>
      <c r="J63" s="50"/>
      <c r="K63" s="127"/>
      <c r="L63" s="50" t="e">
        <f t="shared" si="32"/>
        <v>#DIV/0!</v>
      </c>
      <c r="M63" s="29">
        <f t="shared" si="38"/>
        <v>23</v>
      </c>
      <c r="N63" s="30" t="str">
        <f t="shared" si="33"/>
        <v/>
      </c>
      <c r="O63" s="29" t="str">
        <f t="shared" si="39"/>
        <v/>
      </c>
      <c r="P63" s="30" t="str">
        <f t="shared" si="34"/>
        <v/>
      </c>
      <c r="Q63" s="7"/>
      <c r="R63" s="26" t="str">
        <f t="shared" si="35"/>
        <v/>
      </c>
      <c r="S63" s="41" t="str">
        <f t="shared" si="36"/>
        <v/>
      </c>
      <c r="U63" s="133" t="e">
        <v>#N/A</v>
      </c>
      <c r="V63" s="134" t="e">
        <v>#N/A</v>
      </c>
      <c r="Y63" s="37">
        <v>30</v>
      </c>
      <c r="Z63" s="29">
        <f>_xll.RtGet($AD$50,$AD$51&amp;$Y63&amp;$AD$52,Z$48)</f>
        <v>1.5275000000000001</v>
      </c>
      <c r="AA63" s="30">
        <f>_xll.RtGet($AD$50,$AD$51&amp;$Y63&amp;$AD$52,AA$48)</f>
        <v>1.6274999999999999</v>
      </c>
      <c r="AN63" s="6" t="str">
        <f>_xll.xlShmInterpDisc(CurveName,DATE(YEAR(AU63)+IF(YEAR(AU63)&lt;2000,100,0),MONTH(AU63),DAY(AU63)))</f>
        <v>Date before first TermStructure's date.</v>
      </c>
      <c r="AO63" s="215" t="e">
        <f>_xll.xlShmInterpRate(CurveName,$AO$2,$C$50,DATE(YEAR(AU63)+IF(YEAR(AU63)&lt;2000,100,0),MONTH(AU63),DAY(AU63)))*100</f>
        <v>#VALUE!</v>
      </c>
      <c r="AP63" s="6" t="e">
        <f t="shared" si="30"/>
        <v>#VALUE!</v>
      </c>
      <c r="AQ63" s="215" t="e">
        <f t="shared" si="10"/>
        <v>#VALUE!</v>
      </c>
      <c r="AR63" s="8"/>
      <c r="AS63" s="52"/>
      <c r="AT63" s="8"/>
      <c r="AU63" s="20"/>
      <c r="AV63" s="52"/>
      <c r="BC63" s="21"/>
      <c r="BD63" s="52"/>
    </row>
    <row r="64" spans="1:56" ht="11.25" customHeight="1">
      <c r="B64" s="58" t="str">
        <f>IF(ISBLANK(C40),"","SwapFixFreq")</f>
        <v>SwapFixFreq</v>
      </c>
      <c r="C64" s="59">
        <f>C40</f>
        <v>1</v>
      </c>
      <c r="E64" s="129" t="b">
        <f t="shared" si="40"/>
        <v>0</v>
      </c>
      <c r="F64" s="107" t="str">
        <f t="shared" si="37"/>
        <v/>
      </c>
      <c r="G64" s="7"/>
      <c r="H64" s="7"/>
      <c r="I64" s="79" t="e">
        <f t="shared" si="31"/>
        <v>#DIV/0!</v>
      </c>
      <c r="J64" s="50"/>
      <c r="K64" s="127"/>
      <c r="L64" s="50" t="e">
        <f t="shared" si="32"/>
        <v>#DIV/0!</v>
      </c>
      <c r="M64" s="29">
        <f t="shared" si="38"/>
        <v>24</v>
      </c>
      <c r="N64" s="30" t="str">
        <f t="shared" si="33"/>
        <v/>
      </c>
      <c r="O64" s="29" t="str">
        <f t="shared" si="39"/>
        <v/>
      </c>
      <c r="P64" s="30" t="str">
        <f t="shared" si="34"/>
        <v/>
      </c>
      <c r="Q64" s="7"/>
      <c r="R64" s="26" t="str">
        <f t="shared" si="35"/>
        <v/>
      </c>
      <c r="S64" s="41" t="str">
        <f t="shared" si="36"/>
        <v/>
      </c>
      <c r="U64" s="133" t="e">
        <v>#N/A</v>
      </c>
      <c r="V64" s="134" t="e">
        <v>#N/A</v>
      </c>
      <c r="Y64" s="37"/>
      <c r="Z64" s="29" t="str">
        <f>_xll.RtGet($AD$50,$AD$51&amp;$Y64&amp;$AD$52,Z$48)</f>
        <v>#N/A The record could not be found</v>
      </c>
      <c r="AA64" s="30" t="str">
        <f>_xll.RtGet($AD$50,$AD$51&amp;$Y64&amp;$AD$52,AA$48)</f>
        <v>#N/A The record could not be found</v>
      </c>
      <c r="AN64" s="6" t="str">
        <f>_xll.xlShmInterpDisc(CurveName,DATE(YEAR(AU64)+IF(YEAR(AU64)&lt;2000,100,0),MONTH(AU64),DAY(AU64)))</f>
        <v>Date before first TermStructure's date.</v>
      </c>
      <c r="AO64" s="215" t="e">
        <f>_xll.xlShmInterpRate(CurveName,$AO$2,$C$50,DATE(YEAR(AU64)+IF(YEAR(AU64)&lt;2000,100,0),MONTH(AU64),DAY(AU64)))*100</f>
        <v>#VALUE!</v>
      </c>
      <c r="AP64" s="6" t="e">
        <f t="shared" si="30"/>
        <v>#VALUE!</v>
      </c>
      <c r="AQ64" s="215" t="e">
        <f t="shared" si="10"/>
        <v>#VALUE!</v>
      </c>
      <c r="AR64" s="8"/>
      <c r="AS64" s="52"/>
      <c r="AT64" s="8"/>
      <c r="AU64" s="20"/>
      <c r="AV64" s="52"/>
      <c r="BC64" s="21"/>
      <c r="BD64" s="52"/>
    </row>
    <row r="65" spans="2:56" ht="11.25" customHeight="1">
      <c r="B65" s="58" t="str">
        <f>IF(ISBLANK(C41),"","SwapFixYrf")</f>
        <v>SwapFixYrf</v>
      </c>
      <c r="C65" s="59">
        <f>IF(ISBLANK(C41),0,VLOOKUP(C41,dvCurveBootstrapperDayCount,2,FALSE))</f>
        <v>8</v>
      </c>
      <c r="E65" s="129" t="b">
        <f t="shared" si="40"/>
        <v>0</v>
      </c>
      <c r="F65" s="107" t="str">
        <f t="shared" si="37"/>
        <v/>
      </c>
      <c r="G65" s="7"/>
      <c r="H65" s="7"/>
      <c r="I65" s="79" t="e">
        <f t="shared" si="31"/>
        <v>#DIV/0!</v>
      </c>
      <c r="J65" s="50"/>
      <c r="K65" s="127"/>
      <c r="L65" s="50" t="e">
        <f t="shared" si="32"/>
        <v>#DIV/0!</v>
      </c>
      <c r="M65" s="29">
        <f t="shared" si="38"/>
        <v>25</v>
      </c>
      <c r="N65" s="30" t="str">
        <f t="shared" si="33"/>
        <v/>
      </c>
      <c r="O65" s="29" t="str">
        <f t="shared" si="39"/>
        <v/>
      </c>
      <c r="P65" s="30" t="str">
        <f t="shared" si="34"/>
        <v/>
      </c>
      <c r="Q65" s="7"/>
      <c r="R65" s="26" t="str">
        <f t="shared" si="35"/>
        <v/>
      </c>
      <c r="S65" s="41" t="str">
        <f t="shared" si="36"/>
        <v/>
      </c>
      <c r="U65" s="133" t="e">
        <v>#N/A</v>
      </c>
      <c r="V65" s="134" t="e">
        <v>#N/A</v>
      </c>
      <c r="Y65" s="37"/>
      <c r="Z65" s="29" t="str">
        <f>_xll.RtGet($AD$50,$AD$51&amp;$Y65&amp;$AD$52,Z$48)</f>
        <v>#N/A The record could not be found</v>
      </c>
      <c r="AA65" s="30" t="str">
        <f>_xll.RtGet($AD$50,$AD$51&amp;$Y65&amp;$AD$52,AA$48)</f>
        <v>#N/A The record could not be found</v>
      </c>
      <c r="AN65" s="6" t="str">
        <f>_xll.xlShmInterpDisc(CurveName,DATE(YEAR(AU65)+IF(YEAR(AU65)&lt;2000,100,0),MONTH(AU65),DAY(AU65)))</f>
        <v>Date before first TermStructure's date.</v>
      </c>
      <c r="AO65" s="215" t="e">
        <f>_xll.xlShmInterpRate(CurveName,$AO$2,$C$50,DATE(YEAR(AU65)+IF(YEAR(AU65)&lt;2000,100,0),MONTH(AU65),DAY(AU65)))*100</f>
        <v>#VALUE!</v>
      </c>
      <c r="AP65" s="6" t="e">
        <f t="shared" si="30"/>
        <v>#VALUE!</v>
      </c>
      <c r="AQ65" s="215" t="e">
        <f t="shared" si="10"/>
        <v>#VALUE!</v>
      </c>
      <c r="AR65" s="8"/>
      <c r="AS65" s="52"/>
      <c r="AT65" s="8"/>
      <c r="AU65" s="20"/>
      <c r="AV65" s="52"/>
      <c r="BC65" s="21"/>
      <c r="BD65" s="52"/>
    </row>
    <row r="66" spans="2:56" ht="11.25" customHeight="1">
      <c r="B66" s="58" t="str">
        <f>IF(ISBLANK(C42),"","SwapFltFreq")</f>
        <v>SwapFltFreq</v>
      </c>
      <c r="C66" s="59">
        <f>C42</f>
        <v>2</v>
      </c>
      <c r="E66" s="129" t="b">
        <f t="shared" si="40"/>
        <v>0</v>
      </c>
      <c r="F66" s="107" t="str">
        <f t="shared" si="37"/>
        <v/>
      </c>
      <c r="G66" s="7"/>
      <c r="H66" s="7"/>
      <c r="I66" s="79" t="e">
        <f t="shared" si="31"/>
        <v>#DIV/0!</v>
      </c>
      <c r="J66" s="50"/>
      <c r="K66" s="127"/>
      <c r="L66" s="50" t="e">
        <f t="shared" si="32"/>
        <v>#DIV/0!</v>
      </c>
      <c r="M66" s="29">
        <f t="shared" si="38"/>
        <v>26</v>
      </c>
      <c r="N66" s="30" t="str">
        <f t="shared" si="33"/>
        <v/>
      </c>
      <c r="O66" s="29" t="str">
        <f t="shared" si="39"/>
        <v/>
      </c>
      <c r="P66" s="30" t="str">
        <f t="shared" si="34"/>
        <v/>
      </c>
      <c r="Q66" s="7"/>
      <c r="R66" s="26" t="str">
        <f t="shared" si="35"/>
        <v/>
      </c>
      <c r="S66" s="41" t="str">
        <f t="shared" si="36"/>
        <v/>
      </c>
      <c r="U66" s="133" t="e">
        <v>#N/A</v>
      </c>
      <c r="V66" s="134" t="e">
        <v>#N/A</v>
      </c>
      <c r="Y66" s="37"/>
      <c r="Z66" s="29" t="str">
        <f>_xll.RtGet($AD$50,$AD$51&amp;$Y66&amp;$AD$52,Z$48)</f>
        <v>#N/A The record could not be found</v>
      </c>
      <c r="AA66" s="30" t="str">
        <f>_xll.RtGet($AD$50,$AD$51&amp;$Y66&amp;$AD$52,AA$48)</f>
        <v>#N/A The record could not be found</v>
      </c>
      <c r="AN66" s="6" t="str">
        <f>_xll.xlShmInterpDisc(CurveName,DATE(YEAR(AU66)+IF(YEAR(AU66)&lt;2000,100,0),MONTH(AU66),DAY(AU66)))</f>
        <v>Date before first TermStructure's date.</v>
      </c>
      <c r="AO66" s="215" t="e">
        <f>_xll.xlShmInterpRate(CurveName,$AO$2,$C$50,DATE(YEAR(AU66)+IF(YEAR(AU66)&lt;2000,100,0),MONTH(AU66),DAY(AU66)))*100</f>
        <v>#VALUE!</v>
      </c>
      <c r="AP66" s="6" t="e">
        <f t="shared" si="30"/>
        <v>#VALUE!</v>
      </c>
      <c r="AQ66" s="215" t="e">
        <f t="shared" si="10"/>
        <v>#VALUE!</v>
      </c>
      <c r="AR66" s="8"/>
      <c r="AS66" s="52"/>
      <c r="AT66" s="8"/>
      <c r="AU66" s="20"/>
      <c r="AV66" s="52"/>
      <c r="BC66" s="21"/>
      <c r="BD66" s="52"/>
    </row>
    <row r="67" spans="2:56" ht="11.25" customHeight="1">
      <c r="B67" s="58" t="str">
        <f>IF(ISBLANK(C43),"","SwapFltYrf")</f>
        <v>SwapFltYrf</v>
      </c>
      <c r="C67" s="59">
        <f>IF(ISBLANK(C43),0,VLOOKUP(C43,dvCurveBootstrapperDayCount,2,FALSE))</f>
        <v>4</v>
      </c>
      <c r="E67" s="129" t="b">
        <f t="shared" si="40"/>
        <v>0</v>
      </c>
      <c r="F67" s="107" t="str">
        <f t="shared" si="37"/>
        <v/>
      </c>
      <c r="G67" s="7"/>
      <c r="H67" s="7"/>
      <c r="I67" s="79" t="e">
        <f t="shared" si="31"/>
        <v>#DIV/0!</v>
      </c>
      <c r="J67" s="50"/>
      <c r="K67" s="127"/>
      <c r="L67" s="50" t="e">
        <f t="shared" si="32"/>
        <v>#DIV/0!</v>
      </c>
      <c r="M67" s="29">
        <f t="shared" si="38"/>
        <v>27</v>
      </c>
      <c r="N67" s="30" t="str">
        <f t="shared" si="33"/>
        <v/>
      </c>
      <c r="O67" s="29" t="str">
        <f t="shared" si="39"/>
        <v/>
      </c>
      <c r="P67" s="30" t="str">
        <f t="shared" si="34"/>
        <v/>
      </c>
      <c r="Q67" s="7"/>
      <c r="R67" s="26" t="str">
        <f t="shared" si="35"/>
        <v/>
      </c>
      <c r="S67" s="41" t="str">
        <f t="shared" si="36"/>
        <v/>
      </c>
      <c r="U67" s="133" t="e">
        <v>#N/A</v>
      </c>
      <c r="V67" s="134" t="e">
        <v>#N/A</v>
      </c>
      <c r="Y67" s="37"/>
      <c r="Z67" s="29" t="str">
        <f>_xll.RtGet($AD$50,$AD$51&amp;$Y67&amp;$AD$52,Z$48)</f>
        <v>#N/A The record could not be found</v>
      </c>
      <c r="AA67" s="30" t="str">
        <f>_xll.RtGet($AD$50,$AD$51&amp;$Y67&amp;$AD$52,AA$48)</f>
        <v>#N/A The record could not be found</v>
      </c>
    </row>
    <row r="68" spans="2:56" ht="11.25" customHeight="1">
      <c r="B68" s="58" t="str">
        <f>IF(E24,"SwapFirstCpn","")</f>
        <v/>
      </c>
      <c r="C68" s="60">
        <f>IF(E24,L24,0)</f>
        <v>0</v>
      </c>
      <c r="E68" s="129" t="b">
        <f t="shared" si="40"/>
        <v>0</v>
      </c>
      <c r="F68" s="107" t="str">
        <f t="shared" si="37"/>
        <v/>
      </c>
      <c r="G68" s="7"/>
      <c r="H68" s="7"/>
      <c r="I68" s="79" t="e">
        <f t="shared" si="31"/>
        <v>#DIV/0!</v>
      </c>
      <c r="J68" s="50"/>
      <c r="K68" s="127"/>
      <c r="L68" s="50" t="e">
        <f t="shared" si="32"/>
        <v>#DIV/0!</v>
      </c>
      <c r="M68" s="29">
        <f t="shared" si="38"/>
        <v>28</v>
      </c>
      <c r="N68" s="30" t="str">
        <f t="shared" si="33"/>
        <v/>
      </c>
      <c r="O68" s="29" t="str">
        <f t="shared" si="39"/>
        <v/>
      </c>
      <c r="P68" s="30" t="str">
        <f t="shared" si="34"/>
        <v/>
      </c>
      <c r="Q68" s="7"/>
      <c r="R68" s="26" t="str">
        <f t="shared" si="35"/>
        <v/>
      </c>
      <c r="S68" s="41" t="str">
        <f t="shared" si="36"/>
        <v/>
      </c>
      <c r="U68" s="133" t="e">
        <v>#N/A</v>
      </c>
      <c r="V68" s="134" t="e">
        <v>#N/A</v>
      </c>
      <c r="Y68" s="37"/>
      <c r="Z68" s="29" t="str">
        <f>_xll.RtGet($AD$50,$AD$51&amp;$Y68&amp;$AD$52,Z$48)</f>
        <v>#N/A The record could not be found</v>
      </c>
      <c r="AA68" s="30" t="str">
        <f>_xll.RtGet($AD$50,$AD$51&amp;$Y68&amp;$AD$52,AA$48)</f>
        <v>#N/A The record could not be found</v>
      </c>
    </row>
    <row r="69" spans="2:56" ht="11.25" customHeight="1">
      <c r="B69" s="58" t="str">
        <f>IF(ISBLANK(C31),"","StubPriority")</f>
        <v>StubPriority</v>
      </c>
      <c r="C69" s="59">
        <f>IF(C31,1,0)</f>
        <v>1</v>
      </c>
      <c r="E69" s="129" t="b">
        <f t="shared" si="40"/>
        <v>0</v>
      </c>
      <c r="F69" s="107" t="str">
        <f t="shared" si="37"/>
        <v/>
      </c>
      <c r="G69" s="7"/>
      <c r="H69" s="7"/>
      <c r="I69" s="79" t="e">
        <f t="shared" si="31"/>
        <v>#DIV/0!</v>
      </c>
      <c r="J69" s="50"/>
      <c r="K69" s="127"/>
      <c r="L69" s="50" t="e">
        <f t="shared" si="32"/>
        <v>#DIV/0!</v>
      </c>
      <c r="M69" s="29">
        <f t="shared" si="38"/>
        <v>29</v>
      </c>
      <c r="N69" s="30" t="str">
        <f t="shared" si="33"/>
        <v/>
      </c>
      <c r="O69" s="29" t="str">
        <f t="shared" si="39"/>
        <v/>
      </c>
      <c r="P69" s="30" t="str">
        <f t="shared" si="34"/>
        <v/>
      </c>
      <c r="Q69" s="7"/>
      <c r="R69" s="26" t="str">
        <f t="shared" si="35"/>
        <v/>
      </c>
      <c r="S69" s="41" t="str">
        <f t="shared" si="36"/>
        <v/>
      </c>
      <c r="U69" s="133" t="e">
        <v>#N/A</v>
      </c>
      <c r="V69" s="134" t="e">
        <v>#N/A</v>
      </c>
      <c r="Y69" s="37"/>
      <c r="Z69" s="29" t="str">
        <f>_xll.RtGet($AD$50,$AD$51&amp;$Y69&amp;$AD$52,Z$48)</f>
        <v>#N/A The record could not be found</v>
      </c>
      <c r="AA69" s="30" t="str">
        <f>_xll.RtGet($AD$50,$AD$51&amp;$Y69&amp;$AD$52,AA$48)</f>
        <v>#N/A The record could not be found</v>
      </c>
    </row>
    <row r="70" spans="2:56" ht="11.25" customHeight="1">
      <c r="B70" s="62" t="str">
        <f>IF(ISBLANK(C11),"","OutputType")</f>
        <v>OutputType</v>
      </c>
      <c r="C70" s="63">
        <f>IF(ISBLANK(C11),0,VLOOKUP(C11,dvCurveBootstrapperOutputType,2,FALSE))</f>
        <v>0</v>
      </c>
      <c r="E70" s="129" t="b">
        <f t="shared" si="40"/>
        <v>0</v>
      </c>
      <c r="F70" s="107" t="str">
        <f t="shared" si="37"/>
        <v/>
      </c>
      <c r="G70" s="7"/>
      <c r="H70" s="7"/>
      <c r="I70" s="79" t="e">
        <f t="shared" si="31"/>
        <v>#DIV/0!</v>
      </c>
      <c r="J70" s="50"/>
      <c r="K70" s="127"/>
      <c r="L70" s="50" t="e">
        <f t="shared" si="32"/>
        <v>#DIV/0!</v>
      </c>
      <c r="M70" s="29">
        <f t="shared" si="38"/>
        <v>30</v>
      </c>
      <c r="N70" s="30" t="str">
        <f t="shared" si="33"/>
        <v/>
      </c>
      <c r="O70" s="29" t="str">
        <f t="shared" si="39"/>
        <v/>
      </c>
      <c r="P70" s="30" t="str">
        <f t="shared" si="34"/>
        <v/>
      </c>
      <c r="Q70" s="7"/>
      <c r="R70" s="26" t="str">
        <f t="shared" si="35"/>
        <v/>
      </c>
      <c r="S70" s="41" t="str">
        <f t="shared" si="36"/>
        <v/>
      </c>
      <c r="U70" s="133" t="e">
        <v>#N/A</v>
      </c>
      <c r="V70" s="134" t="e">
        <v>#N/A</v>
      </c>
      <c r="Y70" s="37"/>
      <c r="Z70" s="29" t="str">
        <f>_xll.RtGet($AD$50,$AD$51&amp;$Y70&amp;$AD$52,Z$48)</f>
        <v>#N/A The record could not be found</v>
      </c>
      <c r="AA70" s="30" t="str">
        <f>_xll.RtGet($AD$50,$AD$51&amp;$Y70&amp;$AD$52,AA$48)</f>
        <v>#N/A The record could not be found</v>
      </c>
    </row>
    <row r="71" spans="2:56" ht="11.25" customHeight="1">
      <c r="E71" s="129" t="b">
        <f t="shared" si="40"/>
        <v>0</v>
      </c>
      <c r="F71" s="107" t="str">
        <f t="shared" si="37"/>
        <v/>
      </c>
      <c r="G71" s="7"/>
      <c r="H71" s="7"/>
      <c r="I71" s="79" t="e">
        <f t="shared" si="31"/>
        <v>#DIV/0!</v>
      </c>
      <c r="J71" s="50"/>
      <c r="K71" s="127"/>
      <c r="L71" s="50" t="e">
        <f t="shared" si="32"/>
        <v>#DIV/0!</v>
      </c>
      <c r="M71" s="29">
        <f t="shared" si="38"/>
        <v>31</v>
      </c>
      <c r="N71" s="30" t="str">
        <f t="shared" si="33"/>
        <v/>
      </c>
      <c r="O71" s="29" t="str">
        <f t="shared" si="39"/>
        <v/>
      </c>
      <c r="P71" s="30" t="str">
        <f t="shared" si="34"/>
        <v/>
      </c>
      <c r="Q71" s="7"/>
      <c r="R71" s="26" t="str">
        <f t="shared" si="35"/>
        <v/>
      </c>
      <c r="S71" s="41" t="str">
        <f t="shared" si="36"/>
        <v/>
      </c>
      <c r="U71" s="133" t="e">
        <v>#N/A</v>
      </c>
      <c r="V71" s="134" t="e">
        <v>#N/A</v>
      </c>
      <c r="Y71" s="37"/>
      <c r="Z71" s="29" t="str">
        <f>_xll.RtGet($AD$50,$AD$51&amp;$Y71&amp;$AD$52,Z$48)</f>
        <v>#N/A The record could not be found</v>
      </c>
      <c r="AA71" s="30" t="str">
        <f>_xll.RtGet($AD$50,$AD$51&amp;$Y71&amp;$AD$52,AA$48)</f>
        <v>#N/A The record could not be found</v>
      </c>
    </row>
    <row r="72" spans="2:56" ht="11.25" customHeight="1">
      <c r="E72" s="129" t="b">
        <f t="shared" si="40"/>
        <v>0</v>
      </c>
      <c r="F72" s="107" t="str">
        <f t="shared" si="37"/>
        <v/>
      </c>
      <c r="G72" s="7"/>
      <c r="H72" s="7"/>
      <c r="I72" s="79" t="e">
        <f t="shared" si="31"/>
        <v>#DIV/0!</v>
      </c>
      <c r="J72" s="50"/>
      <c r="K72" s="127"/>
      <c r="L72" s="50" t="e">
        <f t="shared" si="32"/>
        <v>#DIV/0!</v>
      </c>
      <c r="M72" s="29">
        <f t="shared" si="38"/>
        <v>32</v>
      </c>
      <c r="N72" s="30" t="str">
        <f t="shared" si="33"/>
        <v/>
      </c>
      <c r="O72" s="29" t="str">
        <f t="shared" si="39"/>
        <v/>
      </c>
      <c r="P72" s="30" t="str">
        <f t="shared" si="34"/>
        <v/>
      </c>
      <c r="Q72" s="7"/>
      <c r="R72" s="26" t="str">
        <f t="shared" si="35"/>
        <v/>
      </c>
      <c r="S72" s="41" t="str">
        <f t="shared" si="36"/>
        <v/>
      </c>
      <c r="U72" s="133" t="e">
        <v>#N/A</v>
      </c>
      <c r="V72" s="134" t="e">
        <v>#N/A</v>
      </c>
      <c r="Y72" s="37"/>
      <c r="Z72" s="29" t="str">
        <f>_xll.RtGet($AD$50,$AD$51&amp;$Y72&amp;$AD$52,Z$48)</f>
        <v>#N/A The record could not be found</v>
      </c>
      <c r="AA72" s="30" t="str">
        <f>_xll.RtGet($AD$50,$AD$51&amp;$Y72&amp;$AD$52,AA$48)</f>
        <v>#N/A The record could not be found</v>
      </c>
    </row>
    <row r="73" spans="2:56" ht="11.25" customHeight="1">
      <c r="E73" s="129" t="b">
        <f t="shared" si="40"/>
        <v>0</v>
      </c>
      <c r="F73" s="107" t="str">
        <f t="shared" si="37"/>
        <v/>
      </c>
      <c r="G73" s="7"/>
      <c r="H73" s="7"/>
      <c r="I73" s="79" t="e">
        <f t="shared" si="31"/>
        <v>#DIV/0!</v>
      </c>
      <c r="J73" s="50"/>
      <c r="K73" s="127"/>
      <c r="L73" s="50" t="e">
        <f t="shared" si="32"/>
        <v>#DIV/0!</v>
      </c>
      <c r="M73" s="29">
        <f t="shared" si="38"/>
        <v>33</v>
      </c>
      <c r="N73" s="30" t="str">
        <f t="shared" si="33"/>
        <v/>
      </c>
      <c r="O73" s="29" t="str">
        <f t="shared" si="39"/>
        <v/>
      </c>
      <c r="P73" s="30" t="str">
        <f t="shared" si="34"/>
        <v/>
      </c>
      <c r="Q73" s="7"/>
      <c r="R73" s="26" t="str">
        <f t="shared" si="35"/>
        <v/>
      </c>
      <c r="S73" s="41" t="str">
        <f t="shared" si="36"/>
        <v/>
      </c>
      <c r="U73" s="133" t="e">
        <v>#N/A</v>
      </c>
      <c r="V73" s="134" t="e">
        <v>#N/A</v>
      </c>
      <c r="Y73" s="37"/>
      <c r="Z73" s="29" t="str">
        <f>_xll.RtGet($AD$50,$AD$51&amp;$Y73&amp;$AD$52,Z$48)</f>
        <v>#N/A The record could not be found</v>
      </c>
      <c r="AA73" s="30" t="str">
        <f>_xll.RtGet($AD$50,$AD$51&amp;$Y73&amp;$AD$52,AA$48)</f>
        <v>#N/A The record could not be found</v>
      </c>
    </row>
    <row r="74" spans="2:56" ht="11.25" customHeight="1">
      <c r="E74" s="129" t="b">
        <f t="shared" si="40"/>
        <v>0</v>
      </c>
      <c r="F74" s="107" t="str">
        <f t="shared" si="37"/>
        <v/>
      </c>
      <c r="G74" s="7"/>
      <c r="H74" s="7"/>
      <c r="I74" s="79" t="e">
        <f t="shared" si="31"/>
        <v>#DIV/0!</v>
      </c>
      <c r="J74" s="50"/>
      <c r="K74" s="127"/>
      <c r="L74" s="50" t="e">
        <f t="shared" si="32"/>
        <v>#DIV/0!</v>
      </c>
      <c r="M74" s="29">
        <f t="shared" si="38"/>
        <v>34</v>
      </c>
      <c r="N74" s="30" t="str">
        <f t="shared" si="33"/>
        <v/>
      </c>
      <c r="O74" s="29" t="str">
        <f t="shared" si="39"/>
        <v/>
      </c>
      <c r="P74" s="30" t="str">
        <f t="shared" si="34"/>
        <v/>
      </c>
      <c r="Q74" s="7"/>
      <c r="R74" s="26" t="str">
        <f t="shared" si="35"/>
        <v/>
      </c>
      <c r="S74" s="41" t="str">
        <f t="shared" si="36"/>
        <v/>
      </c>
      <c r="U74" s="133" t="e">
        <v>#N/A</v>
      </c>
      <c r="V74" s="134" t="e">
        <v>#N/A</v>
      </c>
      <c r="Y74" s="37"/>
      <c r="Z74" s="29" t="str">
        <f>_xll.RtGet($AD$50,$AD$51&amp;$Y74&amp;$AD$52,Z$48)</f>
        <v>#N/A The record could not be found</v>
      </c>
      <c r="AA74" s="30" t="str">
        <f>_xll.RtGet($AD$50,$AD$51&amp;$Y74&amp;$AD$52,AA$48)</f>
        <v>#N/A The record could not be found</v>
      </c>
    </row>
    <row r="75" spans="2:56" ht="11.25" customHeight="1">
      <c r="E75" s="129" t="b">
        <f t="shared" si="40"/>
        <v>0</v>
      </c>
      <c r="F75" s="107" t="str">
        <f t="shared" si="37"/>
        <v/>
      </c>
      <c r="G75" s="7"/>
      <c r="H75" s="7"/>
      <c r="I75" s="79" t="e">
        <f t="shared" si="31"/>
        <v>#DIV/0!</v>
      </c>
      <c r="J75" s="50"/>
      <c r="K75" s="127"/>
      <c r="L75" s="50" t="e">
        <f t="shared" si="32"/>
        <v>#DIV/0!</v>
      </c>
      <c r="M75" s="29">
        <f t="shared" si="38"/>
        <v>35</v>
      </c>
      <c r="N75" s="30" t="str">
        <f t="shared" si="33"/>
        <v/>
      </c>
      <c r="O75" s="29" t="str">
        <f t="shared" si="39"/>
        <v/>
      </c>
      <c r="P75" s="30" t="str">
        <f t="shared" si="34"/>
        <v/>
      </c>
      <c r="Q75" s="7"/>
      <c r="R75" s="26" t="str">
        <f t="shared" si="35"/>
        <v/>
      </c>
      <c r="S75" s="41" t="str">
        <f t="shared" si="36"/>
        <v/>
      </c>
      <c r="U75" s="133" t="e">
        <v>#N/A</v>
      </c>
      <c r="V75" s="134" t="e">
        <v>#N/A</v>
      </c>
      <c r="Y75" s="37"/>
      <c r="Z75" s="29" t="str">
        <f>_xll.RtGet($AD$50,$AD$51&amp;$Y75&amp;$AD$52,Z$48)</f>
        <v>#N/A The record could not be found</v>
      </c>
      <c r="AA75" s="30" t="str">
        <f>_xll.RtGet($AD$50,$AD$51&amp;$Y75&amp;$AD$52,AA$48)</f>
        <v>#N/A The record could not be found</v>
      </c>
    </row>
    <row r="76" spans="2:56" ht="11.25" customHeight="1">
      <c r="E76" s="129" t="b">
        <f t="shared" si="40"/>
        <v>0</v>
      </c>
      <c r="F76" s="107" t="str">
        <f t="shared" si="37"/>
        <v/>
      </c>
      <c r="G76" s="7"/>
      <c r="H76" s="7"/>
      <c r="I76" s="79" t="e">
        <f t="shared" si="31"/>
        <v>#DIV/0!</v>
      </c>
      <c r="J76" s="50"/>
      <c r="K76" s="127"/>
      <c r="L76" s="50" t="e">
        <f t="shared" si="32"/>
        <v>#DIV/0!</v>
      </c>
      <c r="M76" s="29">
        <f t="shared" si="38"/>
        <v>36</v>
      </c>
      <c r="N76" s="30" t="str">
        <f t="shared" si="33"/>
        <v/>
      </c>
      <c r="O76" s="29" t="str">
        <f t="shared" si="39"/>
        <v/>
      </c>
      <c r="P76" s="30" t="str">
        <f t="shared" si="34"/>
        <v/>
      </c>
      <c r="Q76" s="7"/>
      <c r="R76" s="26" t="str">
        <f t="shared" si="35"/>
        <v/>
      </c>
      <c r="S76" s="41" t="str">
        <f t="shared" si="36"/>
        <v/>
      </c>
      <c r="U76" s="133" t="e">
        <v>#N/A</v>
      </c>
      <c r="V76" s="134" t="e">
        <v>#N/A</v>
      </c>
      <c r="Y76" s="37"/>
      <c r="Z76" s="29" t="str">
        <f>_xll.RtGet($AD$50,$AD$51&amp;$Y76&amp;$AD$52,Z$48)</f>
        <v>#N/A The record could not be found</v>
      </c>
      <c r="AA76" s="30" t="str">
        <f>_xll.RtGet($AD$50,$AD$51&amp;$Y76&amp;$AD$52,AA$48)</f>
        <v>#N/A The record could not be found</v>
      </c>
    </row>
    <row r="77" spans="2:56" ht="11.25" customHeight="1">
      <c r="E77" s="129" t="b">
        <f t="shared" si="40"/>
        <v>0</v>
      </c>
      <c r="F77" s="107" t="str">
        <f t="shared" si="37"/>
        <v/>
      </c>
      <c r="G77" s="7"/>
      <c r="H77" s="7"/>
      <c r="I77" s="79" t="e">
        <f t="shared" si="31"/>
        <v>#DIV/0!</v>
      </c>
      <c r="J77" s="50"/>
      <c r="K77" s="127"/>
      <c r="L77" s="50" t="e">
        <f t="shared" si="32"/>
        <v>#DIV/0!</v>
      </c>
      <c r="M77" s="29">
        <f t="shared" si="38"/>
        <v>37</v>
      </c>
      <c r="N77" s="30" t="str">
        <f t="shared" si="33"/>
        <v/>
      </c>
      <c r="O77" s="29" t="str">
        <f t="shared" si="39"/>
        <v/>
      </c>
      <c r="P77" s="30" t="str">
        <f t="shared" si="34"/>
        <v/>
      </c>
      <c r="Q77" s="7"/>
      <c r="R77" s="26" t="str">
        <f t="shared" si="35"/>
        <v/>
      </c>
      <c r="S77" s="41" t="str">
        <f t="shared" si="36"/>
        <v/>
      </c>
      <c r="U77" s="133" t="e">
        <v>#N/A</v>
      </c>
      <c r="V77" s="134" t="e">
        <v>#N/A</v>
      </c>
      <c r="Y77" s="37"/>
      <c r="Z77" s="29" t="str">
        <f>_xll.RtGet($AD$50,$AD$51&amp;$Y77&amp;$AD$52,Z$48)</f>
        <v>#N/A The record could not be found</v>
      </c>
      <c r="AA77" s="30" t="str">
        <f>_xll.RtGet($AD$50,$AD$51&amp;$Y77&amp;$AD$52,AA$48)</f>
        <v>#N/A The record could not be found</v>
      </c>
    </row>
    <row r="78" spans="2:56" ht="11.25" customHeight="1">
      <c r="E78" s="129" t="b">
        <f t="shared" si="40"/>
        <v>0</v>
      </c>
      <c r="F78" s="107" t="str">
        <f t="shared" si="37"/>
        <v/>
      </c>
      <c r="G78" s="7"/>
      <c r="H78" s="7"/>
      <c r="I78" s="79" t="e">
        <f t="shared" si="31"/>
        <v>#DIV/0!</v>
      </c>
      <c r="J78" s="50"/>
      <c r="K78" s="127"/>
      <c r="L78" s="50" t="e">
        <f t="shared" si="32"/>
        <v>#DIV/0!</v>
      </c>
      <c r="M78" s="29">
        <f t="shared" si="38"/>
        <v>38</v>
      </c>
      <c r="N78" s="30" t="str">
        <f t="shared" si="33"/>
        <v/>
      </c>
      <c r="O78" s="29" t="str">
        <f t="shared" si="39"/>
        <v/>
      </c>
      <c r="P78" s="30" t="str">
        <f t="shared" si="34"/>
        <v/>
      </c>
      <c r="Q78" s="7"/>
      <c r="R78" s="26" t="str">
        <f t="shared" si="35"/>
        <v/>
      </c>
      <c r="S78" s="41" t="str">
        <f t="shared" si="36"/>
        <v/>
      </c>
      <c r="U78" s="133" t="e">
        <v>#N/A</v>
      </c>
      <c r="V78" s="134" t="e">
        <v>#N/A</v>
      </c>
      <c r="Y78" s="37"/>
      <c r="Z78" s="29" t="str">
        <f>_xll.RtGet($AD$50,$AD$51&amp;$Y78&amp;$AD$52,Z$48)</f>
        <v>#N/A The record could not be found</v>
      </c>
      <c r="AA78" s="30" t="str">
        <f>_xll.RtGet($AD$50,$AD$51&amp;$Y78&amp;$AD$52,AA$48)</f>
        <v>#N/A The record could not be found</v>
      </c>
    </row>
    <row r="79" spans="2:56" ht="11.25" customHeight="1">
      <c r="E79" s="129" t="b">
        <f t="shared" si="40"/>
        <v>0</v>
      </c>
      <c r="F79" s="107" t="str">
        <f t="shared" si="37"/>
        <v/>
      </c>
      <c r="G79" s="7"/>
      <c r="H79" s="7"/>
      <c r="I79" s="79" t="e">
        <f t="shared" si="31"/>
        <v>#DIV/0!</v>
      </c>
      <c r="J79" s="50"/>
      <c r="K79" s="127"/>
      <c r="L79" s="50" t="e">
        <f t="shared" si="32"/>
        <v>#DIV/0!</v>
      </c>
      <c r="M79" s="29">
        <f t="shared" si="38"/>
        <v>39</v>
      </c>
      <c r="N79" s="30" t="str">
        <f t="shared" si="33"/>
        <v/>
      </c>
      <c r="O79" s="29" t="str">
        <f t="shared" si="39"/>
        <v/>
      </c>
      <c r="P79" s="30" t="str">
        <f t="shared" si="34"/>
        <v/>
      </c>
      <c r="Q79" s="7"/>
      <c r="R79" s="26" t="str">
        <f t="shared" si="35"/>
        <v/>
      </c>
      <c r="S79" s="41" t="str">
        <f t="shared" si="36"/>
        <v/>
      </c>
      <c r="U79" s="135" t="e">
        <v>#N/A</v>
      </c>
      <c r="V79" s="136" t="e">
        <v>#N/A</v>
      </c>
      <c r="Y79" s="37"/>
      <c r="Z79" s="29" t="str">
        <f>_xll.RtGet($AD$50,$AD$51&amp;$Y79&amp;$AD$52,Z$48)</f>
        <v>#N/A The record could not be found</v>
      </c>
      <c r="AA79" s="30" t="str">
        <f>_xll.RtGet($AD$50,$AD$51&amp;$Y79&amp;$AD$52,AA$48)</f>
        <v>#N/A The record could not be found</v>
      </c>
    </row>
    <row r="80" spans="2:56" ht="11.25" customHeight="1">
      <c r="E80" s="129" t="b">
        <f t="shared" si="40"/>
        <v>0</v>
      </c>
      <c r="F80" s="107" t="str">
        <f t="shared" si="37"/>
        <v/>
      </c>
      <c r="G80" s="7"/>
      <c r="H80" s="7"/>
      <c r="I80" s="79" t="e">
        <f t="shared" si="31"/>
        <v>#DIV/0!</v>
      </c>
      <c r="J80" s="50"/>
      <c r="K80" s="127"/>
      <c r="L80" s="50" t="e">
        <f t="shared" si="32"/>
        <v>#DIV/0!</v>
      </c>
      <c r="M80" s="29">
        <f t="shared" si="38"/>
        <v>40</v>
      </c>
      <c r="N80" s="30" t="str">
        <f t="shared" si="33"/>
        <v/>
      </c>
      <c r="O80" s="29" t="str">
        <f t="shared" si="39"/>
        <v/>
      </c>
      <c r="P80" s="30" t="str">
        <f t="shared" si="34"/>
        <v/>
      </c>
      <c r="Q80" s="7"/>
      <c r="R80" s="26" t="str">
        <f t="shared" si="35"/>
        <v/>
      </c>
      <c r="S80" s="41" t="str">
        <f t="shared" si="36"/>
        <v/>
      </c>
      <c r="Y80" s="37"/>
      <c r="Z80" s="29" t="str">
        <f>_xll.RtGet($AD$50,$AD$51&amp;$Y80&amp;$AD$52,Z$48)</f>
        <v>#N/A The record could not be found</v>
      </c>
      <c r="AA80" s="30" t="str">
        <f>_xll.RtGet($AD$50,$AD$51&amp;$Y80&amp;$AD$52,AA$48)</f>
        <v>#N/A The record could not be found</v>
      </c>
    </row>
    <row r="81" spans="5:27" ht="11.25" customHeight="1">
      <c r="E81" s="129" t="b">
        <f t="shared" si="40"/>
        <v>0</v>
      </c>
      <c r="F81" s="107" t="str">
        <f t="shared" si="37"/>
        <v/>
      </c>
      <c r="G81" s="7"/>
      <c r="H81" s="7"/>
      <c r="I81" s="79" t="e">
        <f t="shared" si="31"/>
        <v>#DIV/0!</v>
      </c>
      <c r="J81" s="50"/>
      <c r="K81" s="127"/>
      <c r="L81" s="50" t="e">
        <f t="shared" si="32"/>
        <v>#DIV/0!</v>
      </c>
      <c r="M81" s="29">
        <f t="shared" si="38"/>
        <v>41</v>
      </c>
      <c r="N81" s="30" t="str">
        <f t="shared" si="33"/>
        <v/>
      </c>
      <c r="O81" s="29" t="str">
        <f t="shared" si="39"/>
        <v/>
      </c>
      <c r="P81" s="30" t="str">
        <f t="shared" si="34"/>
        <v/>
      </c>
      <c r="Q81" s="7"/>
      <c r="R81" s="26" t="str">
        <f t="shared" si="35"/>
        <v/>
      </c>
      <c r="S81" s="41" t="str">
        <f t="shared" si="36"/>
        <v/>
      </c>
      <c r="Y81" s="37"/>
      <c r="Z81" s="29" t="str">
        <f>_xll.RtGet($AD$50,$AD$51&amp;$Y81&amp;$AD$52,Z$48)</f>
        <v>#N/A The record could not be found</v>
      </c>
      <c r="AA81" s="30" t="str">
        <f>_xll.RtGet($AD$50,$AD$51&amp;$Y81&amp;$AD$52,AA$48)</f>
        <v>#N/A The record could not be found</v>
      </c>
    </row>
    <row r="82" spans="5:27" ht="11.25" customHeight="1">
      <c r="E82" s="130" t="b">
        <f t="shared" si="40"/>
        <v>0</v>
      </c>
      <c r="F82" s="108" t="str">
        <f t="shared" si="37"/>
        <v/>
      </c>
      <c r="I82" s="80" t="e">
        <f t="shared" si="31"/>
        <v>#DIV/0!</v>
      </c>
      <c r="J82" s="51"/>
      <c r="K82" s="126"/>
      <c r="L82" s="51" t="e">
        <f t="shared" si="32"/>
        <v>#DIV/0!</v>
      </c>
      <c r="M82" s="22">
        <f t="shared" si="38"/>
        <v>42</v>
      </c>
      <c r="N82" s="23" t="str">
        <f t="shared" si="33"/>
        <v/>
      </c>
      <c r="O82" s="22" t="str">
        <f t="shared" si="39"/>
        <v/>
      </c>
      <c r="P82" s="23" t="str">
        <f t="shared" si="34"/>
        <v/>
      </c>
      <c r="R82" s="9" t="str">
        <f t="shared" si="35"/>
        <v/>
      </c>
      <c r="S82" s="43" t="str">
        <f t="shared" si="36"/>
        <v/>
      </c>
      <c r="Y82" s="37"/>
      <c r="Z82" s="29" t="str">
        <f>_xll.RtGet($AD$50,$AD$51&amp;$Y82&amp;$AD$52,Z$48)</f>
        <v>#N/A The record could not be found</v>
      </c>
      <c r="AA82" s="30" t="str">
        <f>_xll.RtGet($AD$50,$AD$51&amp;$Y82&amp;$AD$52,AA$48)</f>
        <v>#N/A The record could not be found</v>
      </c>
    </row>
    <row r="83" spans="5:27" ht="11.25" customHeight="1">
      <c r="I83" s="7"/>
      <c r="J83" s="7"/>
      <c r="K83" s="7"/>
      <c r="L83" s="7"/>
      <c r="N83"/>
      <c r="O83"/>
      <c r="Y83" s="37"/>
      <c r="Z83" s="29" t="str">
        <f>_xll.RtGet($AD$50,$AD$51&amp;$Y83&amp;$AD$52,Z$48)</f>
        <v>#N/A The record could not be found</v>
      </c>
      <c r="AA83" s="30" t="str">
        <f>_xll.RtGet($AD$50,$AD$51&amp;$Y83&amp;$AD$52,AA$48)</f>
        <v>#N/A The record could not be found</v>
      </c>
    </row>
    <row r="84" spans="5:27" ht="11.25" customHeight="1">
      <c r="N84"/>
      <c r="O84"/>
      <c r="Y84" s="37"/>
      <c r="Z84" s="29" t="str">
        <f>_xll.RtGet($AD$50,$AD$51&amp;$Y84&amp;$AD$52,Z$48)</f>
        <v>#N/A The record could not be found</v>
      </c>
      <c r="AA84" s="30" t="str">
        <f>_xll.RtGet($AD$50,$AD$51&amp;$Y84&amp;$AD$52,AA$48)</f>
        <v>#N/A The record could not be found</v>
      </c>
    </row>
    <row r="85" spans="5:27" ht="11.25" customHeight="1">
      <c r="N85"/>
      <c r="O85"/>
      <c r="Y85" s="37"/>
      <c r="Z85" s="29" t="str">
        <f>_xll.RtGet($AD$50,$AD$51&amp;$Y85&amp;$AD$52,Z$48)</f>
        <v>#N/A The record could not be found</v>
      </c>
      <c r="AA85" s="30" t="str">
        <f>_xll.RtGet($AD$50,$AD$51&amp;$Y85&amp;$AD$52,AA$48)</f>
        <v>#N/A The record could not be found</v>
      </c>
    </row>
    <row r="86" spans="5:27" ht="11.25" customHeight="1">
      <c r="N86"/>
      <c r="O86"/>
      <c r="Y86" s="37"/>
      <c r="Z86" s="29" t="str">
        <f>_xll.RtGet($AD$50,$AD$51&amp;$Y86&amp;$AD$52,Z$48)</f>
        <v>#N/A The record could not be found</v>
      </c>
      <c r="AA86" s="30" t="str">
        <f>_xll.RtGet($AD$50,$AD$51&amp;$Y86&amp;$AD$52,AA$48)</f>
        <v>#N/A The record could not be found</v>
      </c>
    </row>
    <row r="87" spans="5:27" ht="11.25" customHeight="1">
      <c r="N87"/>
      <c r="O87"/>
      <c r="Y87" s="37"/>
      <c r="Z87" s="29" t="str">
        <f>_xll.RtGet($AD$50,$AD$51&amp;$Y87&amp;$AD$52,Z$48)</f>
        <v>#N/A The record could not be found</v>
      </c>
      <c r="AA87" s="30" t="str">
        <f>_xll.RtGet($AD$50,$AD$51&amp;$Y87&amp;$AD$52,AA$48)</f>
        <v>#N/A The record could not be found</v>
      </c>
    </row>
    <row r="88" spans="5:27" ht="11.25" customHeight="1">
      <c r="N88"/>
      <c r="O88"/>
      <c r="Y88" s="37"/>
      <c r="Z88" s="29" t="str">
        <f>_xll.RtGet($AD$50,$AD$51&amp;$Y88&amp;$AD$52,Z$48)</f>
        <v>#N/A The record could not be found</v>
      </c>
      <c r="AA88" s="30" t="str">
        <f>_xll.RtGet($AD$50,$AD$51&amp;$Y88&amp;$AD$52,AA$48)</f>
        <v>#N/A The record could not be found</v>
      </c>
    </row>
    <row r="89" spans="5:27" ht="11.25" customHeight="1">
      <c r="N89"/>
      <c r="O89"/>
      <c r="Y89" s="37"/>
      <c r="Z89" s="29" t="str">
        <f>_xll.RtGet($AD$50,$AD$51&amp;$Y89&amp;$AD$52,Z$48)</f>
        <v>#N/A The record could not be found</v>
      </c>
      <c r="AA89" s="30" t="str">
        <f>_xll.RtGet($AD$50,$AD$51&amp;$Y89&amp;$AD$52,AA$48)</f>
        <v>#N/A The record could not be found</v>
      </c>
    </row>
    <row r="90" spans="5:27" ht="11.25" customHeight="1">
      <c r="N90"/>
      <c r="O90"/>
      <c r="Y90" s="38"/>
      <c r="Z90" s="22" t="str">
        <f>_xll.RtGet($AD$50,$AD$51&amp;$Y90&amp;$AD$52,Z$48)</f>
        <v>#N/A The record could not be found</v>
      </c>
      <c r="AA90" s="23" t="str">
        <f>_xll.RtGet($AD$50,$AD$51&amp;$Y90&amp;$AD$52,AA$48)</f>
        <v>#N/A The record could not be found</v>
      </c>
    </row>
    <row r="91" spans="5:27" ht="11.25" customHeight="1">
      <c r="N91"/>
      <c r="O91"/>
    </row>
    <row r="92" spans="5:27" ht="11.25" customHeight="1">
      <c r="N92"/>
      <c r="O92"/>
    </row>
    <row r="93" spans="5:27" ht="11.25" customHeight="1">
      <c r="N93"/>
      <c r="O93"/>
    </row>
    <row r="94" spans="5:27" ht="11.25" customHeight="1">
      <c r="N94"/>
      <c r="O94"/>
    </row>
    <row r="95" spans="5:27" ht="11.25" customHeight="1">
      <c r="N95"/>
      <c r="O95"/>
    </row>
    <row r="96" spans="5:27" ht="11.25" customHeight="1">
      <c r="N96"/>
      <c r="O96"/>
    </row>
    <row r="97" spans="14:15" ht="11.25" customHeight="1">
      <c r="N97"/>
      <c r="O97"/>
    </row>
    <row r="98" spans="14:15" ht="11.25" customHeight="1">
      <c r="N98"/>
      <c r="O98"/>
    </row>
    <row r="99" spans="14:15" ht="11.25" customHeight="1">
      <c r="N99"/>
      <c r="O99"/>
    </row>
    <row r="100" spans="14:15" ht="11.25" customHeight="1">
      <c r="N100"/>
      <c r="O100"/>
    </row>
    <row r="101" spans="14:15" ht="11.25" customHeight="1">
      <c r="N101"/>
      <c r="O101"/>
    </row>
    <row r="102" spans="14:15" ht="11.25" customHeight="1">
      <c r="N102"/>
      <c r="O102"/>
    </row>
    <row r="103" spans="14:15" ht="11.25" customHeight="1">
      <c r="N103"/>
      <c r="O103"/>
    </row>
    <row r="104" spans="14:15" ht="11.25" customHeight="1">
      <c r="N104"/>
      <c r="O104"/>
    </row>
    <row r="105" spans="14:15" ht="11.25" customHeight="1">
      <c r="N105"/>
      <c r="O105"/>
    </row>
    <row r="106" spans="14:15" ht="11.25" customHeight="1">
      <c r="N106"/>
      <c r="O106"/>
    </row>
    <row r="107" spans="14:15" ht="11.25" customHeight="1">
      <c r="N107"/>
      <c r="O107"/>
    </row>
    <row r="108" spans="14:15" ht="11.25" customHeight="1">
      <c r="N108"/>
      <c r="O108"/>
    </row>
    <row r="109" spans="14:15" ht="11.25" customHeight="1">
      <c r="N109"/>
      <c r="O109"/>
    </row>
    <row r="110" spans="14:15" ht="11.25" customHeight="1">
      <c r="N110"/>
      <c r="O110"/>
    </row>
    <row r="111" spans="14:15" ht="11.25" customHeight="1">
      <c r="N111"/>
      <c r="O111"/>
    </row>
    <row r="112" spans="14:15" ht="11.25" customHeight="1">
      <c r="N112"/>
      <c r="O112"/>
    </row>
  </sheetData>
  <sheetProtection formatCells="0" formatColumns="0" formatRows="0"/>
  <mergeCells count="4">
    <mergeCell ref="B2:C2"/>
    <mergeCell ref="AU2:AV2"/>
    <mergeCell ref="B29:C29"/>
    <mergeCell ref="B20:C20"/>
  </mergeCells>
  <conditionalFormatting sqref="AP3:AQ66">
    <cfRule type="expression" dxfId="70" priority="22" stopIfTrue="1">
      <formula>AW3=0</formula>
    </cfRule>
  </conditionalFormatting>
  <conditionalFormatting sqref="E3:E20 E27:E38 E41:E82 E23:E24">
    <cfRule type="cellIs" dxfId="69" priority="21" stopIfTrue="1" operator="equal">
      <formula>FALSE</formula>
    </cfRule>
  </conditionalFormatting>
  <conditionalFormatting sqref="I3:L20">
    <cfRule type="expression" dxfId="68" priority="15" stopIfTrue="1">
      <formula>NOT($E3)</formula>
    </cfRule>
  </conditionalFormatting>
  <conditionalFormatting sqref="I23:L24">
    <cfRule type="expression" dxfId="67" priority="13" stopIfTrue="1">
      <formula>NOT($E23)</formula>
    </cfRule>
  </conditionalFormatting>
  <conditionalFormatting sqref="I27:L38">
    <cfRule type="expression" dxfId="66" priority="11" stopIfTrue="1">
      <formula>NOT($E27)</formula>
    </cfRule>
  </conditionalFormatting>
  <conditionalFormatting sqref="I41:L82">
    <cfRule type="expression" dxfId="65" priority="9" stopIfTrue="1">
      <formula>NOT($E41)</formula>
    </cfRule>
  </conditionalFormatting>
  <conditionalFormatting sqref="L3:L20">
    <cfRule type="expression" dxfId="64" priority="16" stopIfTrue="1">
      <formula>ISNUMBER(J3)</formula>
    </cfRule>
    <cfRule type="expression" dxfId="63" priority="20" stopIfTrue="1">
      <formula>ISNUMBER(K3)</formula>
    </cfRule>
  </conditionalFormatting>
  <conditionalFormatting sqref="L23:L24">
    <cfRule type="expression" dxfId="62" priority="14" stopIfTrue="1">
      <formula>ISNUMBER(J23)</formula>
    </cfRule>
    <cfRule type="expression" dxfId="61" priority="19" stopIfTrue="1">
      <formula>ISNUMBER(K23)</formula>
    </cfRule>
  </conditionalFormatting>
  <conditionalFormatting sqref="L27:L38">
    <cfRule type="expression" dxfId="60" priority="12" stopIfTrue="1">
      <formula>ISNUMBER(J27)</formula>
    </cfRule>
    <cfRule type="expression" dxfId="59" priority="18" stopIfTrue="1">
      <formula>ISNUMBER(K27)</formula>
    </cfRule>
  </conditionalFormatting>
  <conditionalFormatting sqref="L41:L82">
    <cfRule type="expression" dxfId="58" priority="10" stopIfTrue="1">
      <formula>ISNUMBER(J41)</formula>
    </cfRule>
    <cfRule type="expression" dxfId="57" priority="17" stopIfTrue="1">
      <formula>ISNUMBER(K41)</formula>
    </cfRule>
  </conditionalFormatting>
  <dataValidations count="11">
    <dataValidation type="list" allowBlank="1" showInputMessage="1" showErrorMessage="1" sqref="C34">
      <formula1>dvCurveBootstrapperFutEndDate</formula1>
    </dataValidation>
    <dataValidation type="list" allowBlank="1" showInputMessage="1" showErrorMessage="1" sqref="C33">
      <formula1>dvCurveBootstrapperMatCons</formula1>
    </dataValidation>
    <dataValidation type="list" allowBlank="1" showInputMessage="1" showErrorMessage="1" sqref="C32">
      <formula1>dvCurveBootstrapperFutCons</formula1>
    </dataValidation>
    <dataValidation type="list" allowBlank="1" showInputMessage="1" showErrorMessage="1" sqref="C36">
      <formula1>INDEX(dvCurveBootstrapperFraFutAdjust,0,1)</formula1>
    </dataValidation>
    <dataValidation type="list" allowBlank="1" showInputMessage="1" showErrorMessage="1" sqref="C37">
      <formula1>INDEX(dvCurveBootstrapperSwapMatType,0,1)</formula1>
    </dataValidation>
    <dataValidation type="list" allowBlank="1" showInputMessage="1" showErrorMessage="1" sqref="E41:E82 E3:E20 C31 E27:E38 C21 E23:E24 C24 C44">
      <formula1>dvBool</formula1>
    </dataValidation>
    <dataValidation type="list" allowBlank="1" showInputMessage="1" showErrorMessage="1" sqref="C7">
      <formula1>dvCurveBootstrapperInterpType</formula1>
    </dataValidation>
    <dataValidation type="list" allowBlank="1" showInputMessage="1" showErrorMessage="1" sqref="C8">
      <formula1>dvCurveBootstrapperInterpOn</formula1>
    </dataValidation>
    <dataValidation type="list" allowBlank="1" showInputMessage="1" showErrorMessage="1" sqref="C9">
      <formula1>dvCurveBootstrapperCompounding</formula1>
    </dataValidation>
    <dataValidation type="list" allowBlank="1" showInputMessage="1" showErrorMessage="1" sqref="C11">
      <formula1>INDEX(dvCurveBootstrapperOutputType,0,1)</formula1>
    </dataValidation>
    <dataValidation type="list" allowBlank="1" showInputMessage="1" showErrorMessage="1" sqref="C43 C10 C41 C39">
      <formula1>INDEX(dvCurveBootstrapperDayCount,0,1)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btnRun">
          <controlPr defaultSize="0" autoLine="0" r:id="rId5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1</xdr:col>
                <xdr:colOff>914400</xdr:colOff>
                <xdr:row>15</xdr:row>
                <xdr:rowOff>9525</xdr:rowOff>
              </to>
            </anchor>
          </controlPr>
        </control>
      </mc:Choice>
      <mc:Fallback>
        <control shapeId="21505" r:id="rId4" name="btnRun"/>
      </mc:Fallback>
    </mc:AlternateContent>
    <mc:AlternateContent xmlns:mc="http://schemas.openxmlformats.org/markup-compatibility/2006">
      <mc:Choice Requires="x14">
        <control shapeId="21506" r:id="rId6" name="btnFreeze">
          <controlPr defaultSize="0" autoLine="0" r:id="rId7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1</xdr:col>
                <xdr:colOff>914400</xdr:colOff>
                <xdr:row>17</xdr:row>
                <xdr:rowOff>9525</xdr:rowOff>
              </to>
            </anchor>
          </controlPr>
        </control>
      </mc:Choice>
      <mc:Fallback>
        <control shapeId="21506" r:id="rId6" name="btnFree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 tint="0.39997558519241921"/>
    <outlinePr summaryRight="0"/>
  </sheetPr>
  <dimension ref="A1:BH112"/>
  <sheetViews>
    <sheetView showGridLines="0" workbookViewId="0"/>
  </sheetViews>
  <sheetFormatPr defaultRowHeight="11.25" customHeight="1" outlineLevelCol="1"/>
  <cols>
    <col min="1" max="1" width="3.83203125" customWidth="1"/>
    <col min="2" max="2" width="25.83203125" customWidth="1"/>
    <col min="3" max="3" width="12.83203125" customWidth="1"/>
    <col min="4" max="4" width="2.83203125" customWidth="1"/>
    <col min="5" max="5" width="9.33203125" style="6"/>
    <col min="6" max="6" width="9.33203125" style="6" collapsed="1"/>
    <col min="7" max="8" width="9.33203125" style="6" hidden="1" customWidth="1" outlineLevel="1"/>
    <col min="9" max="11" width="9.33203125" style="6"/>
    <col min="12" max="12" width="9.33203125" style="6" collapsed="1"/>
    <col min="13" max="17" width="9.33203125" style="6" hidden="1" customWidth="1" outlineLevel="1"/>
    <col min="18" max="18" width="10.83203125" style="6" hidden="1" customWidth="1" outlineLevel="1"/>
    <col min="19" max="19" width="9.33203125" style="6" hidden="1" customWidth="1" outlineLevel="1"/>
    <col min="20" max="20" width="2.83203125" style="6" customWidth="1"/>
    <col min="21" max="21" width="10.83203125" style="7" customWidth="1"/>
    <col min="22" max="22" width="12.83203125" style="7" customWidth="1"/>
    <col min="25" max="25" width="11.83203125" style="6" customWidth="1"/>
    <col min="26" max="27" width="9.5" style="6" bestFit="1" customWidth="1"/>
    <col min="28" max="28" width="2.83203125" style="6" customWidth="1"/>
    <col min="29" max="29" width="10.33203125" style="6" customWidth="1"/>
    <col min="30" max="30" width="9.33203125" style="6"/>
    <col min="31" max="31" width="2.83203125" customWidth="1"/>
    <col min="32" max="32" width="11.83203125" customWidth="1"/>
    <col min="33" max="34" width="9.5" bestFit="1" customWidth="1"/>
    <col min="35" max="35" width="2.83203125" customWidth="1"/>
    <col min="36" max="36" width="10.33203125" customWidth="1"/>
    <col min="40" max="40" width="9.83203125" style="6" customWidth="1"/>
    <col min="41" max="41" width="9.33203125" style="6" customWidth="1"/>
    <col min="42" max="42" width="12.83203125" style="6" bestFit="1" customWidth="1"/>
    <col min="43" max="43" width="12.83203125" style="6" customWidth="1"/>
    <col min="44" max="44" width="9.33203125" style="6"/>
    <col min="45" max="45" width="10.83203125" style="6" customWidth="1"/>
    <col min="46" max="46" width="16.83203125" style="6" customWidth="1"/>
    <col min="47" max="48" width="10.83203125" style="6" customWidth="1"/>
    <col min="49" max="50" width="9.5" style="6" bestFit="1" customWidth="1"/>
    <col min="51" max="52" width="3.83203125" style="6" customWidth="1"/>
    <col min="53" max="54" width="9.5" style="6" bestFit="1" customWidth="1"/>
    <col min="55" max="16384" width="9.33203125" style="6"/>
  </cols>
  <sheetData>
    <row r="1" spans="1:58" ht="11.25" customHeight="1">
      <c r="A1" s="119"/>
      <c r="B1" s="6"/>
      <c r="C1" s="6"/>
      <c r="D1" s="6"/>
      <c r="E1" s="53"/>
      <c r="F1" s="7"/>
      <c r="G1" s="7"/>
      <c r="H1" s="7"/>
      <c r="I1" s="7"/>
      <c r="J1" s="7"/>
      <c r="K1" s="7"/>
      <c r="L1" s="7"/>
    </row>
    <row r="2" spans="1:58" ht="11.25" customHeight="1">
      <c r="A2" s="6"/>
      <c r="B2" s="231" t="s">
        <v>0</v>
      </c>
      <c r="C2" s="232"/>
      <c r="D2" s="6"/>
      <c r="E2" s="86" t="s">
        <v>75</v>
      </c>
      <c r="G2" s="8"/>
      <c r="H2" s="8"/>
      <c r="I2" s="86" t="s">
        <v>1</v>
      </c>
      <c r="J2" s="86" t="s">
        <v>2</v>
      </c>
      <c r="K2" s="86" t="s">
        <v>3</v>
      </c>
      <c r="L2" s="86" t="s">
        <v>4</v>
      </c>
      <c r="M2" s="8"/>
      <c r="N2" s="8"/>
      <c r="P2" s="8"/>
      <c r="Q2" s="8"/>
      <c r="R2" s="8"/>
      <c r="S2" s="44">
        <f t="array" ref="S2">SUM(1*E3:E20)</f>
        <v>15</v>
      </c>
      <c r="U2" s="87" t="s">
        <v>88</v>
      </c>
      <c r="V2" s="87" t="s">
        <v>89</v>
      </c>
      <c r="Y2" s="10" t="s">
        <v>78</v>
      </c>
      <c r="Z2" s="81" t="str">
        <f>AA2</f>
        <v>ASK</v>
      </c>
      <c r="AA2" s="12" t="s">
        <v>6</v>
      </c>
      <c r="AO2" s="214">
        <f>MATCH(C9,{"simple","annual","cont"},0)-1</f>
        <v>2</v>
      </c>
      <c r="AR2" s="69" t="s">
        <v>7</v>
      </c>
      <c r="AS2" s="69" t="s">
        <v>8</v>
      </c>
      <c r="AT2" s="69" t="s">
        <v>9</v>
      </c>
      <c r="AU2" s="233" t="s">
        <v>10</v>
      </c>
      <c r="AV2" s="233"/>
      <c r="AW2" s="14" t="s">
        <v>65</v>
      </c>
      <c r="AX2" s="14" t="s">
        <v>66</v>
      </c>
      <c r="AY2" s="14"/>
      <c r="AZ2" s="14"/>
      <c r="BA2" s="14" t="s">
        <v>11</v>
      </c>
      <c r="BB2" s="14" t="s">
        <v>67</v>
      </c>
      <c r="BC2" s="15"/>
      <c r="BD2" s="15"/>
    </row>
    <row r="3" spans="1:58" ht="11.25" customHeight="1">
      <c r="A3" s="6"/>
      <c r="B3" s="83" t="s">
        <v>73</v>
      </c>
      <c r="C3" s="90">
        <f>Today</f>
        <v>41893</v>
      </c>
      <c r="D3" s="6"/>
      <c r="E3" s="128" t="b">
        <v>1</v>
      </c>
      <c r="F3" s="111" t="str">
        <f>Y3</f>
        <v>ON</v>
      </c>
      <c r="G3" s="16">
        <v>0</v>
      </c>
      <c r="H3" s="17" t="s">
        <v>12</v>
      </c>
      <c r="I3" s="78">
        <f>AVERAGE(Z3:AA3)</f>
        <v>0.05</v>
      </c>
      <c r="J3" s="49"/>
      <c r="K3" s="125"/>
      <c r="L3" s="49">
        <f t="shared" ref="L3:L16" si="0">IF(ISNUMBER(J3),J3,I3)+K3</f>
        <v>0.05</v>
      </c>
      <c r="M3" s="16">
        <v>1</v>
      </c>
      <c r="N3" s="17">
        <f t="shared" ref="N3:N16" si="1">IF(E3,M3,"")</f>
        <v>1</v>
      </c>
      <c r="O3" s="44">
        <f>IF($S$2&gt;0,1,"")</f>
        <v>1</v>
      </c>
      <c r="P3" s="17">
        <f t="shared" ref="P3:P20" si="2">IF(LEN(O3)&gt;0,SMALL($N$3:$N$20,O3),"")</f>
        <v>1</v>
      </c>
      <c r="Q3" s="16">
        <f t="shared" ref="Q3:Q20" si="3">IF(LEN(O3)&gt;0,INDEX($G$3:$G$20,$P3),"")</f>
        <v>0</v>
      </c>
      <c r="R3" s="39" t="str">
        <f t="shared" ref="R3:R20" si="4">IF(LEN(P3)&gt;0,INDEX($H$3:$H$20,$P3),"")</f>
        <v>on</v>
      </c>
      <c r="S3" s="40">
        <f t="shared" ref="S3:S20" si="5">IF(LEN(P3)&gt;0,INDEX($L$3:$L$20,$P3),"")</f>
        <v>0.05</v>
      </c>
      <c r="U3" s="131">
        <f t="array" ref="U3:V79">_xll.xlCurveBootstrapper(C3+0*TYPE(A1),C4,C5,S2,Q3:S20,S26,R27:S38,S40,R41:S82,C7,C8,C9,C50,B53:B70,C53:C70)</f>
        <v>41893</v>
      </c>
      <c r="V3" s="132">
        <v>1</v>
      </c>
      <c r="Y3" s="16" t="s">
        <v>13</v>
      </c>
      <c r="Z3" s="16">
        <f>_xll.RtGet($AD$3,$AD$4&amp;$Y3&amp;$AD$5,Z$2)</f>
        <v>0.05</v>
      </c>
      <c r="AA3" s="17">
        <f>_xll.RtGet($AD$3,$AD$4&amp;$Y3&amp;$AD$5,AA$2)</f>
        <v>0.05</v>
      </c>
      <c r="AC3" s="13" t="s">
        <v>14</v>
      </c>
      <c r="AD3" s="71" t="s">
        <v>62</v>
      </c>
      <c r="AN3" s="6" t="str">
        <f>_xll.xlShmInterpDisc(CurveName,DATE(YEAR(AU3)+IF(YEAR(AU3)&lt;2000,100,0),MONTH(AU3),DAY(AU3)))</f>
        <v>Date before first TermStructure's date.</v>
      </c>
      <c r="AO3" s="215" t="e">
        <f>_xll.xlShmInterpRate(CurveName,$AO$2,$C$50,DATE(YEAR(AU3)+IF(YEAR(AU3)&lt;2000,100,0),MONTH(AU3),DAY(AU3)))*100</f>
        <v>#VALUE!</v>
      </c>
      <c r="AP3" s="6" t="e">
        <f t="shared" ref="AP3:AP34" si="6">AN3-AW3</f>
        <v>#VALUE!</v>
      </c>
      <c r="AQ3" s="215" t="e">
        <f>AO3-AX3</f>
        <v>#VALUE!</v>
      </c>
      <c r="AR3" s="8" t="s">
        <v>15</v>
      </c>
      <c r="AS3" s="52">
        <v>41551</v>
      </c>
      <c r="AT3" s="8" t="s">
        <v>146</v>
      </c>
      <c r="AU3" s="52">
        <v>41554</v>
      </c>
      <c r="AV3" s="52" t="s">
        <v>16</v>
      </c>
      <c r="AW3" s="6">
        <v>0.99999166673611095</v>
      </c>
      <c r="AX3" s="6">
        <v>0.101388466438196</v>
      </c>
      <c r="BA3" s="6">
        <v>0.1</v>
      </c>
      <c r="BB3" s="6">
        <v>0</v>
      </c>
      <c r="BC3" s="21" t="s">
        <v>17</v>
      </c>
      <c r="BD3" s="52" t="str">
        <f>AV3</f>
        <v>O/N</v>
      </c>
      <c r="BE3" s="6">
        <f>BA3</f>
        <v>0.1</v>
      </c>
      <c r="BF3" s="6">
        <f>BB3</f>
        <v>0</v>
      </c>
    </row>
    <row r="4" spans="1:58" ht="11.25" customHeight="1">
      <c r="A4" s="6"/>
      <c r="B4" s="84" t="s">
        <v>76</v>
      </c>
      <c r="C4" s="91" t="s">
        <v>150</v>
      </c>
      <c r="D4" s="6"/>
      <c r="E4" s="129" t="b">
        <v>1</v>
      </c>
      <c r="F4" s="112" t="str">
        <f>Y4</f>
        <v>TN</v>
      </c>
      <c r="G4" s="29">
        <v>0</v>
      </c>
      <c r="H4" s="30" t="s">
        <v>18</v>
      </c>
      <c r="I4" s="79">
        <f t="shared" ref="I4:I5" si="7">AVERAGE(Z4:AA4)</f>
        <v>0.05</v>
      </c>
      <c r="J4" s="50"/>
      <c r="K4" s="127"/>
      <c r="L4" s="50">
        <f t="shared" si="0"/>
        <v>0.05</v>
      </c>
      <c r="M4" s="29">
        <f t="shared" ref="M4:M16" si="8">M3+1</f>
        <v>2</v>
      </c>
      <c r="N4" s="30">
        <f t="shared" si="1"/>
        <v>2</v>
      </c>
      <c r="O4" s="29">
        <f t="shared" ref="O4:O16" si="9">IF(O3&lt;$S$2,O3+1,"")</f>
        <v>2</v>
      </c>
      <c r="P4" s="30">
        <f t="shared" si="2"/>
        <v>2</v>
      </c>
      <c r="Q4" s="29">
        <f t="shared" si="3"/>
        <v>0</v>
      </c>
      <c r="R4" s="27" t="str">
        <f t="shared" si="4"/>
        <v>tn</v>
      </c>
      <c r="S4" s="41">
        <f t="shared" si="5"/>
        <v>0.05</v>
      </c>
      <c r="U4" s="133">
        <v>41894</v>
      </c>
      <c r="V4" s="134">
        <v>0.99999861111304023</v>
      </c>
      <c r="Y4" s="29" t="s">
        <v>19</v>
      </c>
      <c r="Z4" s="29">
        <f>_xll.RtGet($AD$3,$AD$4&amp;$Y4&amp;$AD$5,Z$2)</f>
        <v>0.05</v>
      </c>
      <c r="AA4" s="30">
        <f>_xll.RtGet($AD$3,$AD$4&amp;$Y4&amp;$AD$5,AA$2)</f>
        <v>0.05</v>
      </c>
      <c r="AC4" s="18" t="s">
        <v>20</v>
      </c>
      <c r="AD4" s="72" t="s">
        <v>150</v>
      </c>
      <c r="AN4" s="6" t="str">
        <f>_xll.xlShmInterpDisc(CurveName,DATE(YEAR(AU4)+IF(YEAR(AU4)&lt;2000,100,0),MONTH(AU4),DAY(AU4)))</f>
        <v>Date before first TermStructure's date.</v>
      </c>
      <c r="AO4" s="215" t="e">
        <f>_xll.xlShmInterpRate(CurveName,$AO$2,$C$50,DATE(YEAR(AU4)+IF(YEAR(AU4)&lt;2000,100,0),MONTH(AU4),DAY(AU4)))*100</f>
        <v>#VALUE!</v>
      </c>
      <c r="AP4" s="6" t="e">
        <f t="shared" si="6"/>
        <v>#VALUE!</v>
      </c>
      <c r="AQ4" s="215" t="e">
        <f t="shared" ref="AQ4:AQ66" si="10">AO4-AX4</f>
        <v>#VALUE!</v>
      </c>
      <c r="AR4" s="8" t="s">
        <v>15</v>
      </c>
      <c r="AS4" s="52">
        <v>41554</v>
      </c>
      <c r="AT4" s="8" t="s">
        <v>146</v>
      </c>
      <c r="AU4" s="52">
        <v>41555</v>
      </c>
      <c r="AV4" s="52" t="s">
        <v>21</v>
      </c>
      <c r="AW4" s="6">
        <v>0.99998888898919702</v>
      </c>
      <c r="AX4" s="6">
        <v>0.101388536846183</v>
      </c>
      <c r="BA4" s="6">
        <v>0.1</v>
      </c>
      <c r="BB4" s="6">
        <v>0</v>
      </c>
      <c r="BC4" s="21" t="s">
        <v>17</v>
      </c>
      <c r="BD4" s="52" t="str">
        <f t="shared" ref="BD4:BD13" si="11">AV4</f>
        <v>T/N</v>
      </c>
      <c r="BE4" s="6">
        <f t="shared" ref="BE4:BF13" si="12">BA4</f>
        <v>0.1</v>
      </c>
      <c r="BF4" s="6">
        <f t="shared" si="12"/>
        <v>0</v>
      </c>
    </row>
    <row r="5" spans="1:58" ht="11.25" customHeight="1">
      <c r="A5" s="6"/>
      <c r="B5" s="85" t="s">
        <v>77</v>
      </c>
      <c r="C5" s="92" t="s">
        <v>157</v>
      </c>
      <c r="D5" s="6"/>
      <c r="E5" s="130" t="b">
        <v>1</v>
      </c>
      <c r="F5" s="113" t="str">
        <f>Y5</f>
        <v>SN</v>
      </c>
      <c r="G5" s="22">
        <v>0</v>
      </c>
      <c r="H5" s="23" t="s">
        <v>22</v>
      </c>
      <c r="I5" s="80">
        <f t="shared" si="7"/>
        <v>0.05</v>
      </c>
      <c r="J5" s="51"/>
      <c r="K5" s="126"/>
      <c r="L5" s="51">
        <f t="shared" si="0"/>
        <v>0.05</v>
      </c>
      <c r="M5" s="29">
        <f t="shared" si="8"/>
        <v>3</v>
      </c>
      <c r="N5" s="30">
        <f t="shared" si="1"/>
        <v>3</v>
      </c>
      <c r="O5" s="29">
        <f t="shared" si="9"/>
        <v>3</v>
      </c>
      <c r="P5" s="30">
        <f t="shared" si="2"/>
        <v>3</v>
      </c>
      <c r="Q5" s="29">
        <f t="shared" si="3"/>
        <v>0</v>
      </c>
      <c r="R5" s="27" t="str">
        <f t="shared" si="4"/>
        <v>sn</v>
      </c>
      <c r="S5" s="41">
        <f t="shared" si="5"/>
        <v>0.05</v>
      </c>
      <c r="U5" s="133">
        <v>41897</v>
      </c>
      <c r="V5" s="134">
        <v>0.99999444446952157</v>
      </c>
      <c r="Y5" s="22" t="s">
        <v>23</v>
      </c>
      <c r="Z5" s="22">
        <f>_xll.RtGet($AD$3,$AD$4&amp;$Y5&amp;$AD$5,Z$2)</f>
        <v>0.05</v>
      </c>
      <c r="AA5" s="23">
        <f>_xll.RtGet($AD$3,$AD$4&amp;$Y5&amp;$AD$5,AA$2)</f>
        <v>0.05</v>
      </c>
      <c r="AC5" s="24" t="s">
        <v>24</v>
      </c>
      <c r="AD5" s="73" t="s">
        <v>151</v>
      </c>
      <c r="AN5" s="6" t="str">
        <f>_xll.xlShmInterpDisc(CurveName,DATE(YEAR(AU5)+IF(YEAR(AU5)&lt;2000,100,0),MONTH(AU5),DAY(AU5)))</f>
        <v>Date before first TermStructure's date.</v>
      </c>
      <c r="AO5" s="215" t="e">
        <f>_xll.xlShmInterpRate(CurveName,$AO$2,$C$50,DATE(YEAR(AU5)+IF(YEAR(AU5)&lt;2000,100,0),MONTH(AU5),DAY(AU5)))*100</f>
        <v>#VALUE!</v>
      </c>
      <c r="AP5" s="6" t="e">
        <f t="shared" si="6"/>
        <v>#VALUE!</v>
      </c>
      <c r="AQ5" s="215" t="e">
        <f t="shared" si="10"/>
        <v>#VALUE!</v>
      </c>
      <c r="AR5" s="8" t="s">
        <v>15</v>
      </c>
      <c r="AS5" s="52">
        <v>41555</v>
      </c>
      <c r="AT5" s="8" t="s">
        <v>146</v>
      </c>
      <c r="AU5" s="52">
        <v>41556</v>
      </c>
      <c r="AV5" s="52" t="s">
        <v>25</v>
      </c>
      <c r="AW5" s="6">
        <v>0.99998611124999903</v>
      </c>
      <c r="AX5" s="6">
        <v>0.101388579091824</v>
      </c>
      <c r="BA5" s="6">
        <v>0.1</v>
      </c>
      <c r="BB5" s="6">
        <v>0</v>
      </c>
      <c r="BC5" s="21" t="s">
        <v>17</v>
      </c>
      <c r="BD5" s="52" t="str">
        <f t="shared" si="11"/>
        <v>S/N</v>
      </c>
      <c r="BE5" s="6">
        <f t="shared" si="12"/>
        <v>0.1</v>
      </c>
      <c r="BF5" s="6">
        <f t="shared" si="12"/>
        <v>0</v>
      </c>
    </row>
    <row r="6" spans="1:58" ht="11.25" customHeight="1">
      <c r="A6" s="7"/>
      <c r="B6" s="159" t="s">
        <v>169</v>
      </c>
      <c r="C6" s="93"/>
      <c r="D6" s="6"/>
      <c r="E6" s="128" t="b">
        <v>1</v>
      </c>
      <c r="F6" s="114">
        <v>1</v>
      </c>
      <c r="G6" s="16">
        <v>1</v>
      </c>
      <c r="H6" s="17" t="s">
        <v>26</v>
      </c>
      <c r="I6" s="78">
        <f>AVERAGE(Z8:AA8)</f>
        <v>0.05</v>
      </c>
      <c r="J6" s="49"/>
      <c r="K6" s="125"/>
      <c r="L6" s="49">
        <f t="shared" si="0"/>
        <v>0.05</v>
      </c>
      <c r="M6" s="29">
        <f t="shared" si="8"/>
        <v>4</v>
      </c>
      <c r="N6" s="30">
        <f t="shared" si="1"/>
        <v>4</v>
      </c>
      <c r="O6" s="29">
        <f t="shared" si="9"/>
        <v>4</v>
      </c>
      <c r="P6" s="30">
        <f t="shared" si="2"/>
        <v>4</v>
      </c>
      <c r="Q6" s="29">
        <f t="shared" si="3"/>
        <v>1</v>
      </c>
      <c r="R6" s="27" t="str">
        <f t="shared" si="4"/>
        <v>w</v>
      </c>
      <c r="S6" s="41">
        <f t="shared" si="5"/>
        <v>0.05</v>
      </c>
      <c r="U6" s="133">
        <v>41898</v>
      </c>
      <c r="V6" s="134">
        <v>0.99999305559027762</v>
      </c>
      <c r="Y6" s="27"/>
      <c r="Z6" s="27"/>
      <c r="AA6" s="27"/>
      <c r="AC6" s="7"/>
      <c r="AD6" s="7"/>
      <c r="AN6" s="6" t="str">
        <f>_xll.xlShmInterpDisc(CurveName,DATE(YEAR(AU6)+IF(YEAR(AU6)&lt;2000,100,0),MONTH(AU6),DAY(AU6)))</f>
        <v>Date before first TermStructure's date.</v>
      </c>
      <c r="AO6" s="215" t="e">
        <f>_xll.xlShmInterpRate(CurveName,$AO$2,$C$50,DATE(YEAR(AU6)+IF(YEAR(AU6)&lt;2000,100,0),MONTH(AU6),DAY(AU6)))*100</f>
        <v>#VALUE!</v>
      </c>
      <c r="AP6" s="6" t="e">
        <f t="shared" si="6"/>
        <v>#VALUE!</v>
      </c>
      <c r="AQ6" s="215" t="e">
        <f t="shared" si="10"/>
        <v>#VALUE!</v>
      </c>
      <c r="AR6" s="8" t="s">
        <v>15</v>
      </c>
      <c r="AS6" s="52">
        <v>41555</v>
      </c>
      <c r="AT6" s="8" t="s">
        <v>146</v>
      </c>
      <c r="AU6" s="52">
        <v>41562</v>
      </c>
      <c r="AV6" s="52" t="s">
        <v>27</v>
      </c>
      <c r="AW6" s="6">
        <v>0.99996944513887498</v>
      </c>
      <c r="AX6" s="6">
        <v>0.101388133601566</v>
      </c>
      <c r="BA6" s="6">
        <v>0.1</v>
      </c>
      <c r="BB6" s="6">
        <v>0</v>
      </c>
      <c r="BC6" s="21" t="s">
        <v>17</v>
      </c>
      <c r="BD6" s="52" t="str">
        <f t="shared" si="11"/>
        <v>1W</v>
      </c>
      <c r="BE6" s="6">
        <f t="shared" si="12"/>
        <v>0.1</v>
      </c>
      <c r="BF6" s="6">
        <f t="shared" si="12"/>
        <v>0</v>
      </c>
    </row>
    <row r="7" spans="1:58" ht="11.25" customHeight="1">
      <c r="A7" s="7"/>
      <c r="B7" s="88" t="s">
        <v>122</v>
      </c>
      <c r="C7" s="94" t="s">
        <v>63</v>
      </c>
      <c r="D7" s="6"/>
      <c r="E7" s="129" t="b">
        <v>1</v>
      </c>
      <c r="F7" s="115">
        <f>Y9</f>
        <v>2</v>
      </c>
      <c r="G7" s="29">
        <v>2</v>
      </c>
      <c r="H7" s="30" t="s">
        <v>26</v>
      </c>
      <c r="I7" s="79">
        <f t="shared" ref="I7:I8" si="13">AVERAGE(Z9:AA9)</f>
        <v>0.05</v>
      </c>
      <c r="J7" s="50"/>
      <c r="K7" s="127"/>
      <c r="L7" s="50">
        <f t="shared" si="0"/>
        <v>0.05</v>
      </c>
      <c r="M7" s="29">
        <f t="shared" si="8"/>
        <v>5</v>
      </c>
      <c r="N7" s="30">
        <f t="shared" si="1"/>
        <v>5</v>
      </c>
      <c r="O7" s="29">
        <f t="shared" si="9"/>
        <v>5</v>
      </c>
      <c r="P7" s="30">
        <f t="shared" si="2"/>
        <v>5</v>
      </c>
      <c r="Q7" s="29">
        <f t="shared" si="3"/>
        <v>2</v>
      </c>
      <c r="R7" s="27" t="str">
        <f t="shared" si="4"/>
        <v>w</v>
      </c>
      <c r="S7" s="41">
        <f t="shared" si="5"/>
        <v>0.05</v>
      </c>
      <c r="U7" s="133">
        <v>41990</v>
      </c>
      <c r="V7" s="134">
        <v>0.99998011637770434</v>
      </c>
      <c r="Y7" s="10" t="s">
        <v>78</v>
      </c>
      <c r="Z7" s="81" t="str">
        <f>AA7</f>
        <v>ASK</v>
      </c>
      <c r="AA7" s="12" t="s">
        <v>6</v>
      </c>
      <c r="AN7" s="6" t="str">
        <f>_xll.xlShmInterpDisc(CurveName,DATE(YEAR(AU7)+IF(YEAR(AU7)&lt;2000,100,0),MONTH(AU7),DAY(AU7)))</f>
        <v>Date before first TermStructure's date.</v>
      </c>
      <c r="AO7" s="215" t="e">
        <f>_xll.xlShmInterpRate(CurveName,$AO$2,$C$50,DATE(YEAR(AU7)+IF(YEAR(AU7)&lt;2000,100,0),MONTH(AU7),DAY(AU7)))*100</f>
        <v>#VALUE!</v>
      </c>
      <c r="AP7" s="6" t="e">
        <f t="shared" si="6"/>
        <v>#VALUE!</v>
      </c>
      <c r="AQ7" s="215" t="e">
        <f t="shared" si="10"/>
        <v>#VALUE!</v>
      </c>
      <c r="AR7" s="8" t="s">
        <v>15</v>
      </c>
      <c r="AS7" s="52">
        <v>41555</v>
      </c>
      <c r="AT7" s="8" t="s">
        <v>146</v>
      </c>
      <c r="AU7" s="52">
        <v>41569</v>
      </c>
      <c r="AV7" s="52" t="s">
        <v>28</v>
      </c>
      <c r="AW7" s="6">
        <v>0.99995000204467299</v>
      </c>
      <c r="AX7" s="6">
        <v>0.10138727734658599</v>
      </c>
      <c r="BA7" s="6">
        <v>0.1</v>
      </c>
      <c r="BB7" s="6">
        <v>0</v>
      </c>
      <c r="BC7" s="21" t="s">
        <v>17</v>
      </c>
      <c r="BD7" s="52" t="str">
        <f t="shared" si="11"/>
        <v>2W</v>
      </c>
      <c r="BE7" s="6">
        <f t="shared" si="12"/>
        <v>0.1</v>
      </c>
      <c r="BF7" s="6">
        <f t="shared" si="12"/>
        <v>0</v>
      </c>
    </row>
    <row r="8" spans="1:58" ht="11.25" customHeight="1">
      <c r="A8" s="7"/>
      <c r="B8" s="123" t="s">
        <v>123</v>
      </c>
      <c r="C8" s="95" t="s">
        <v>64</v>
      </c>
      <c r="D8" s="6"/>
      <c r="E8" s="130" t="b">
        <v>1</v>
      </c>
      <c r="F8" s="116">
        <f>Y10</f>
        <v>3</v>
      </c>
      <c r="G8" s="22">
        <v>3</v>
      </c>
      <c r="H8" s="23" t="s">
        <v>26</v>
      </c>
      <c r="I8" s="80">
        <f t="shared" si="13"/>
        <v>0.05</v>
      </c>
      <c r="J8" s="51"/>
      <c r="K8" s="126"/>
      <c r="L8" s="51">
        <f t="shared" si="0"/>
        <v>0.05</v>
      </c>
      <c r="M8" s="29">
        <f t="shared" si="8"/>
        <v>6</v>
      </c>
      <c r="N8" s="30">
        <f t="shared" si="1"/>
        <v>6</v>
      </c>
      <c r="O8" s="29">
        <f t="shared" si="9"/>
        <v>6</v>
      </c>
      <c r="P8" s="30">
        <f t="shared" si="2"/>
        <v>6</v>
      </c>
      <c r="Q8" s="29">
        <f t="shared" si="3"/>
        <v>3</v>
      </c>
      <c r="R8" s="27" t="str">
        <f t="shared" si="4"/>
        <v>w</v>
      </c>
      <c r="S8" s="41">
        <f t="shared" si="5"/>
        <v>0.05</v>
      </c>
      <c r="U8" s="133">
        <v>42080</v>
      </c>
      <c r="V8" s="134">
        <v>1.0001956585421201</v>
      </c>
      <c r="Y8" s="16" t="s">
        <v>145</v>
      </c>
      <c r="Z8" s="16">
        <f>_xll.RtGet($AD$8,$AD$9&amp;$Y8&amp;$AD$10,Z$7)</f>
        <v>0.05</v>
      </c>
      <c r="AA8" s="17">
        <f>_xll.RtGet($AD$8,$AD$9&amp;$Y8&amp;$AD$10,AA$7)</f>
        <v>0.05</v>
      </c>
      <c r="AC8" s="13" t="s">
        <v>14</v>
      </c>
      <c r="AD8" s="71" t="s">
        <v>62</v>
      </c>
      <c r="AN8" s="6" t="str">
        <f>_xll.xlShmInterpDisc(CurveName,DATE(YEAR(AU8)+IF(YEAR(AU8)&lt;2000,100,0),MONTH(AU8),DAY(AU8)))</f>
        <v>Date before first TermStructure's date.</v>
      </c>
      <c r="AO8" s="215" t="e">
        <f>_xll.xlShmInterpRate(CurveName,$AO$2,$C$50,DATE(YEAR(AU8)+IF(YEAR(AU8)&lt;2000,100,0),MONTH(AU8),DAY(AU8)))*100</f>
        <v>#VALUE!</v>
      </c>
      <c r="AP8" s="6" t="e">
        <f t="shared" si="6"/>
        <v>#VALUE!</v>
      </c>
      <c r="AQ8" s="215" t="e">
        <f t="shared" si="10"/>
        <v>#VALUE!</v>
      </c>
      <c r="AR8" s="8" t="s">
        <v>15</v>
      </c>
      <c r="AS8" s="52">
        <v>41555</v>
      </c>
      <c r="AT8" s="8" t="s">
        <v>146</v>
      </c>
      <c r="AU8" s="52">
        <v>41576</v>
      </c>
      <c r="AV8" s="52" t="s">
        <v>30</v>
      </c>
      <c r="AW8" s="6">
        <v>0.99993055970654698</v>
      </c>
      <c r="AX8" s="6">
        <v>0.101386348630715</v>
      </c>
      <c r="BA8" s="6">
        <v>0.1</v>
      </c>
      <c r="BB8" s="6">
        <v>0</v>
      </c>
      <c r="BC8" s="21" t="s">
        <v>17</v>
      </c>
      <c r="BD8" s="52" t="str">
        <f t="shared" si="11"/>
        <v>3W</v>
      </c>
      <c r="BE8" s="6">
        <f t="shared" si="12"/>
        <v>0.1</v>
      </c>
      <c r="BF8" s="6">
        <f t="shared" si="12"/>
        <v>0</v>
      </c>
    </row>
    <row r="9" spans="1:58" ht="11.25" customHeight="1">
      <c r="A9" s="7"/>
      <c r="B9" s="123" t="s">
        <v>86</v>
      </c>
      <c r="C9" s="95" t="s">
        <v>39</v>
      </c>
      <c r="D9" s="6"/>
      <c r="E9" s="129" t="b">
        <v>1</v>
      </c>
      <c r="F9" s="117">
        <f>Y13</f>
        <v>1</v>
      </c>
      <c r="G9" s="29">
        <v>1</v>
      </c>
      <c r="H9" s="30" t="s">
        <v>31</v>
      </c>
      <c r="I9" s="79">
        <f>AVERAGE(Z13:AA13)</f>
        <v>0.05</v>
      </c>
      <c r="J9" s="50"/>
      <c r="K9" s="127"/>
      <c r="L9" s="50">
        <f t="shared" si="0"/>
        <v>0.05</v>
      </c>
      <c r="M9" s="29">
        <f t="shared" si="8"/>
        <v>7</v>
      </c>
      <c r="N9" s="30">
        <f t="shared" si="1"/>
        <v>7</v>
      </c>
      <c r="O9" s="29">
        <f t="shared" si="9"/>
        <v>7</v>
      </c>
      <c r="P9" s="30">
        <f t="shared" si="2"/>
        <v>7</v>
      </c>
      <c r="Q9" s="29">
        <f t="shared" si="3"/>
        <v>1</v>
      </c>
      <c r="R9" s="27" t="str">
        <f t="shared" si="4"/>
        <v>m</v>
      </c>
      <c r="S9" s="41">
        <f t="shared" si="5"/>
        <v>0.05</v>
      </c>
      <c r="U9" s="133">
        <v>42173</v>
      </c>
      <c r="V9" s="134">
        <v>1.000498101551164</v>
      </c>
      <c r="Y9" s="29">
        <v>2</v>
      </c>
      <c r="Z9" s="29">
        <f>_xll.RtGet($AD$8,$AD$9&amp;$Y9&amp;$AD$10,Z$7)</f>
        <v>0.05</v>
      </c>
      <c r="AA9" s="30">
        <f>_xll.RtGet($AD$8,$AD$9&amp;$Y9&amp;$AD$10,AA$7)</f>
        <v>0.05</v>
      </c>
      <c r="AC9" s="18" t="s">
        <v>20</v>
      </c>
      <c r="AD9" s="72" t="s">
        <v>150</v>
      </c>
      <c r="AN9" s="6" t="str">
        <f>_xll.xlShmInterpDisc(CurveName,DATE(YEAR(AU9)+IF(YEAR(AU9)&lt;2000,100,0),MONTH(AU9),DAY(AU9)))</f>
        <v>Date before first TermStructure's date.</v>
      </c>
      <c r="AO9" s="215" t="e">
        <f>_xll.xlShmInterpRate(CurveName,$AO$2,$C$50,DATE(YEAR(AU9)+IF(YEAR(AU9)&lt;2000,100,0),MONTH(AU9),DAY(AU9)))*100</f>
        <v>#VALUE!</v>
      </c>
      <c r="AP9" s="6" t="e">
        <f t="shared" si="6"/>
        <v>#VALUE!</v>
      </c>
      <c r="AQ9" s="215" t="e">
        <f t="shared" si="10"/>
        <v>#VALUE!</v>
      </c>
      <c r="AR9" s="8" t="s">
        <v>15</v>
      </c>
      <c r="AS9" s="52">
        <v>41555</v>
      </c>
      <c r="AT9" s="8" t="s">
        <v>146</v>
      </c>
      <c r="AU9" s="52">
        <v>41586</v>
      </c>
      <c r="AV9" s="52" t="s">
        <v>32</v>
      </c>
      <c r="AW9" s="6">
        <v>0.99990278624926998</v>
      </c>
      <c r="AX9" s="6">
        <v>0.101384982420004</v>
      </c>
      <c r="BA9" s="6">
        <v>0.1</v>
      </c>
      <c r="BB9" s="6">
        <v>0</v>
      </c>
      <c r="BC9" s="21" t="s">
        <v>17</v>
      </c>
      <c r="BD9" s="52" t="str">
        <f t="shared" si="11"/>
        <v>1M</v>
      </c>
      <c r="BE9" s="6">
        <f t="shared" si="12"/>
        <v>0.1</v>
      </c>
      <c r="BF9" s="6">
        <f t="shared" si="12"/>
        <v>0</v>
      </c>
    </row>
    <row r="10" spans="1:58" ht="11.25" customHeight="1">
      <c r="A10" s="7"/>
      <c r="B10" s="89" t="s">
        <v>87</v>
      </c>
      <c r="C10" s="96" t="s">
        <v>116</v>
      </c>
      <c r="D10" s="6"/>
      <c r="E10" s="129" t="b">
        <v>1</v>
      </c>
      <c r="F10" s="117">
        <f t="shared" ref="F10:F20" si="14">Y14</f>
        <v>2</v>
      </c>
      <c r="G10" s="29">
        <v>2</v>
      </c>
      <c r="H10" s="30" t="s">
        <v>31</v>
      </c>
      <c r="I10" s="79">
        <f t="shared" ref="I10:I20" si="15">AVERAGE(Z14:AA14)</f>
        <v>0.05</v>
      </c>
      <c r="J10" s="50"/>
      <c r="K10" s="127"/>
      <c r="L10" s="50">
        <f t="shared" si="0"/>
        <v>0.05</v>
      </c>
      <c r="M10" s="29">
        <f t="shared" si="8"/>
        <v>8</v>
      </c>
      <c r="N10" s="30">
        <f t="shared" si="1"/>
        <v>8</v>
      </c>
      <c r="O10" s="29">
        <f t="shared" si="9"/>
        <v>8</v>
      </c>
      <c r="P10" s="30">
        <f t="shared" si="2"/>
        <v>8</v>
      </c>
      <c r="Q10" s="29">
        <f t="shared" si="3"/>
        <v>2</v>
      </c>
      <c r="R10" s="27" t="str">
        <f t="shared" si="4"/>
        <v>m</v>
      </c>
      <c r="S10" s="41">
        <f t="shared" si="5"/>
        <v>0.05</v>
      </c>
      <c r="U10" s="133">
        <v>42264</v>
      </c>
      <c r="V10" s="134">
        <v>1.0008235508460284</v>
      </c>
      <c r="Y10" s="22">
        <v>3</v>
      </c>
      <c r="Z10" s="22">
        <f>_xll.RtGet($AD$8,$AD$9&amp;$Y10&amp;$AD$10,Z$7)</f>
        <v>0.05</v>
      </c>
      <c r="AA10" s="23">
        <f>_xll.RtGet($AD$8,$AD$9&amp;$Y10&amp;$AD$10,AA$7)</f>
        <v>0.05</v>
      </c>
      <c r="AC10" s="24" t="s">
        <v>24</v>
      </c>
      <c r="AD10" s="73" t="s">
        <v>152</v>
      </c>
      <c r="AN10" s="6" t="str">
        <f>_xll.xlShmInterpDisc(CurveName,DATE(YEAR(AU10)+IF(YEAR(AU10)&lt;2000,100,0),MONTH(AU10),DAY(AU10)))</f>
        <v>Date before first TermStructure's date.</v>
      </c>
      <c r="AO10" s="215" t="e">
        <f>_xll.xlShmInterpRate(CurveName,$AO$2,$C$50,DATE(YEAR(AU10)+IF(YEAR(AU10)&lt;2000,100,0),MONTH(AU10),DAY(AU10)))*100</f>
        <v>#VALUE!</v>
      </c>
      <c r="AP10" s="6" t="e">
        <f t="shared" si="6"/>
        <v>#VALUE!</v>
      </c>
      <c r="AQ10" s="215" t="e">
        <f t="shared" si="10"/>
        <v>#VALUE!</v>
      </c>
      <c r="AR10" s="8" t="s">
        <v>15</v>
      </c>
      <c r="AS10" s="52">
        <v>41555</v>
      </c>
      <c r="AT10" s="8" t="s">
        <v>146</v>
      </c>
      <c r="AU10" s="52">
        <v>41617</v>
      </c>
      <c r="AV10" s="52" t="s">
        <v>33</v>
      </c>
      <c r="AW10" s="6">
        <v>0.99981669833559395</v>
      </c>
      <c r="AX10" s="6">
        <v>0.101380666918681</v>
      </c>
      <c r="BA10" s="6">
        <v>0.1</v>
      </c>
      <c r="BB10" s="6">
        <v>0</v>
      </c>
      <c r="BC10" s="21" t="s">
        <v>17</v>
      </c>
      <c r="BD10" s="52" t="str">
        <f t="shared" si="11"/>
        <v>2M</v>
      </c>
      <c r="BE10" s="6">
        <f t="shared" si="12"/>
        <v>0.1</v>
      </c>
      <c r="BF10" s="6">
        <f t="shared" si="12"/>
        <v>0</v>
      </c>
    </row>
    <row r="11" spans="1:58" ht="11.25" customHeight="1">
      <c r="A11" s="7"/>
      <c r="B11" s="124" t="s">
        <v>91</v>
      </c>
      <c r="C11" s="97" t="s">
        <v>92</v>
      </c>
      <c r="D11" s="6"/>
      <c r="E11" s="129" t="b">
        <v>1</v>
      </c>
      <c r="F11" s="117">
        <f t="shared" si="14"/>
        <v>3</v>
      </c>
      <c r="G11" s="29">
        <v>3</v>
      </c>
      <c r="H11" s="30" t="s">
        <v>31</v>
      </c>
      <c r="I11" s="79">
        <f t="shared" si="15"/>
        <v>0.05</v>
      </c>
      <c r="J11" s="50"/>
      <c r="K11" s="127"/>
      <c r="L11" s="50">
        <f t="shared" si="0"/>
        <v>0.05</v>
      </c>
      <c r="M11" s="29">
        <f t="shared" si="8"/>
        <v>9</v>
      </c>
      <c r="N11" s="30">
        <f t="shared" si="1"/>
        <v>9</v>
      </c>
      <c r="O11" s="29">
        <f t="shared" si="9"/>
        <v>9</v>
      </c>
      <c r="P11" s="30">
        <f t="shared" si="2"/>
        <v>9</v>
      </c>
      <c r="Q11" s="29">
        <f t="shared" si="3"/>
        <v>3</v>
      </c>
      <c r="R11" s="27" t="str">
        <f t="shared" si="4"/>
        <v>m</v>
      </c>
      <c r="S11" s="41">
        <f t="shared" si="5"/>
        <v>0.05</v>
      </c>
      <c r="U11" s="133">
        <v>42354</v>
      </c>
      <c r="V11" s="134">
        <v>1.0011500454184212</v>
      </c>
      <c r="Y11" s="27"/>
      <c r="Z11" s="27"/>
      <c r="AA11" s="27"/>
      <c r="AN11" s="6" t="str">
        <f>_xll.xlShmInterpDisc(CurveName,DATE(YEAR(AU11)+IF(YEAR(AU11)&lt;2000,100,0),MONTH(AU11),DAY(AU11)))</f>
        <v>Date before first TermStructure's date.</v>
      </c>
      <c r="AO11" s="215" t="e">
        <f>_xll.xlShmInterpRate(CurveName,$AO$2,$C$50,DATE(YEAR(AU11)+IF(YEAR(AU11)&lt;2000,100,0),MONTH(AU11),DAY(AU11)))*100</f>
        <v>#VALUE!</v>
      </c>
      <c r="AP11" s="6" t="e">
        <f t="shared" si="6"/>
        <v>#VALUE!</v>
      </c>
      <c r="AQ11" s="215" t="e">
        <f t="shared" si="10"/>
        <v>#VALUE!</v>
      </c>
      <c r="AR11" s="8" t="s">
        <v>15</v>
      </c>
      <c r="AS11" s="52">
        <v>41555</v>
      </c>
      <c r="AT11" s="8" t="s">
        <v>146</v>
      </c>
      <c r="AU11" s="52">
        <v>41647</v>
      </c>
      <c r="AV11" s="52" t="s">
        <v>35</v>
      </c>
      <c r="AW11" s="6">
        <v>0</v>
      </c>
      <c r="AX11" s="6">
        <v>0</v>
      </c>
      <c r="BA11" s="6">
        <v>0.1</v>
      </c>
      <c r="BB11" s="6">
        <v>0</v>
      </c>
      <c r="BC11" s="21" t="s">
        <v>17</v>
      </c>
      <c r="BD11" s="52" t="str">
        <f t="shared" si="11"/>
        <v>3M</v>
      </c>
      <c r="BE11" s="6">
        <f t="shared" si="12"/>
        <v>0.1</v>
      </c>
      <c r="BF11" s="6">
        <f t="shared" si="12"/>
        <v>0</v>
      </c>
    </row>
    <row r="12" spans="1:58" ht="11.25" customHeight="1">
      <c r="A12" s="7"/>
      <c r="D12" s="6"/>
      <c r="E12" s="129" t="b">
        <v>1</v>
      </c>
      <c r="F12" s="117">
        <f t="shared" si="14"/>
        <v>4</v>
      </c>
      <c r="G12" s="29">
        <v>4</v>
      </c>
      <c r="H12" s="30" t="s">
        <v>31</v>
      </c>
      <c r="I12" s="79">
        <f t="shared" si="15"/>
        <v>0.1</v>
      </c>
      <c r="J12" s="50"/>
      <c r="K12" s="127"/>
      <c r="L12" s="50">
        <f t="shared" si="0"/>
        <v>0.1</v>
      </c>
      <c r="M12" s="29">
        <f t="shared" si="8"/>
        <v>10</v>
      </c>
      <c r="N12" s="30">
        <f t="shared" si="1"/>
        <v>10</v>
      </c>
      <c r="O12" s="29">
        <f t="shared" si="9"/>
        <v>10</v>
      </c>
      <c r="P12" s="30">
        <f t="shared" si="2"/>
        <v>10</v>
      </c>
      <c r="Q12" s="29">
        <f t="shared" si="3"/>
        <v>4</v>
      </c>
      <c r="R12" s="27" t="str">
        <f t="shared" si="4"/>
        <v>m</v>
      </c>
      <c r="S12" s="41">
        <f t="shared" si="5"/>
        <v>0.1</v>
      </c>
      <c r="U12" s="133">
        <v>42445</v>
      </c>
      <c r="V12" s="134">
        <v>1.001461163237964</v>
      </c>
      <c r="Y12" s="10" t="s">
        <v>78</v>
      </c>
      <c r="Z12" s="82" t="str">
        <f>AA12</f>
        <v>ASK</v>
      </c>
      <c r="AA12" s="28" t="s">
        <v>6</v>
      </c>
      <c r="AN12" s="6" t="str">
        <f>_xll.xlShmInterpDisc(CurveName,DATE(YEAR(AU12)+IF(YEAR(AU12)&lt;2000,100,0),MONTH(AU12),DAY(AU12)))</f>
        <v>Date before first TermStructure's date.</v>
      </c>
      <c r="AO12" s="215" t="e">
        <f>_xll.xlShmInterpRate(CurveName,$AO$2,$C$50,DATE(YEAR(AU12)+IF(YEAR(AU12)&lt;2000,100,0),MONTH(AU12),DAY(AU12)))*100</f>
        <v>#VALUE!</v>
      </c>
      <c r="AP12" s="6" t="e">
        <f t="shared" si="6"/>
        <v>#VALUE!</v>
      </c>
      <c r="AQ12" s="215" t="e">
        <f t="shared" si="10"/>
        <v>#VALUE!</v>
      </c>
      <c r="AR12" s="8" t="s">
        <v>15</v>
      </c>
      <c r="AS12" s="52">
        <v>41555</v>
      </c>
      <c r="AT12" s="8" t="s">
        <v>146</v>
      </c>
      <c r="AU12" s="52">
        <v>41680</v>
      </c>
      <c r="AV12" s="52" t="s">
        <v>36</v>
      </c>
      <c r="AW12" s="6">
        <v>0</v>
      </c>
      <c r="AX12" s="6">
        <v>0</v>
      </c>
      <c r="BA12" s="6">
        <v>0.01</v>
      </c>
      <c r="BB12" s="6">
        <v>0</v>
      </c>
      <c r="BC12" s="21" t="s">
        <v>17</v>
      </c>
      <c r="BD12" s="52" t="str">
        <f t="shared" si="11"/>
        <v>4M</v>
      </c>
      <c r="BE12" s="6">
        <f t="shared" si="12"/>
        <v>0.01</v>
      </c>
      <c r="BF12" s="6">
        <f t="shared" si="12"/>
        <v>0</v>
      </c>
    </row>
    <row r="13" spans="1:58" ht="11.25" customHeight="1">
      <c r="A13" s="7"/>
      <c r="D13" s="6"/>
      <c r="E13" s="129" t="b">
        <v>1</v>
      </c>
      <c r="F13" s="117">
        <f t="shared" si="14"/>
        <v>5</v>
      </c>
      <c r="G13" s="29">
        <v>5</v>
      </c>
      <c r="H13" s="30" t="s">
        <v>31</v>
      </c>
      <c r="I13" s="79">
        <f t="shared" si="15"/>
        <v>0.11</v>
      </c>
      <c r="J13" s="50"/>
      <c r="K13" s="127"/>
      <c r="L13" s="50">
        <f t="shared" si="0"/>
        <v>0.11</v>
      </c>
      <c r="M13" s="29">
        <f t="shared" si="8"/>
        <v>11</v>
      </c>
      <c r="N13" s="30">
        <f t="shared" si="1"/>
        <v>11</v>
      </c>
      <c r="O13" s="29">
        <f t="shared" si="9"/>
        <v>11</v>
      </c>
      <c r="P13" s="30">
        <f t="shared" si="2"/>
        <v>11</v>
      </c>
      <c r="Q13" s="29">
        <f t="shared" si="3"/>
        <v>5</v>
      </c>
      <c r="R13" s="27" t="str">
        <f t="shared" si="4"/>
        <v>m</v>
      </c>
      <c r="S13" s="41">
        <f t="shared" si="5"/>
        <v>0.11</v>
      </c>
      <c r="U13" s="133">
        <v>42628</v>
      </c>
      <c r="V13" s="134">
        <v>1.0018431793096712</v>
      </c>
      <c r="Y13" s="29">
        <v>1</v>
      </c>
      <c r="Z13" s="29">
        <f>_xll.RtGet($AD$13,$AD$14&amp;$Y13&amp;$AD$15,Z$12)</f>
        <v>0.05</v>
      </c>
      <c r="AA13" s="30">
        <f>_xll.RtGet($AD$13,$AD$14&amp;$Y13&amp;$AD$15,AA$12)</f>
        <v>0.05</v>
      </c>
      <c r="AC13" s="13" t="s">
        <v>14</v>
      </c>
      <c r="AD13" s="71" t="s">
        <v>62</v>
      </c>
      <c r="AN13" s="6" t="str">
        <f>_xll.xlShmInterpDisc(CurveName,DATE(YEAR(AU13)+IF(YEAR(AU13)&lt;2000,100,0),MONTH(AU13),DAY(AU13)))</f>
        <v>Date before first TermStructure's date.</v>
      </c>
      <c r="AO13" s="215" t="e">
        <f>_xll.xlShmInterpRate(CurveName,$AO$2,$C$50,DATE(YEAR(AU13)+IF(YEAR(AU13)&lt;2000,100,0),MONTH(AU13),DAY(AU13)))*100</f>
        <v>#VALUE!</v>
      </c>
      <c r="AP13" s="6" t="e">
        <f t="shared" si="6"/>
        <v>#VALUE!</v>
      </c>
      <c r="AQ13" s="215" t="e">
        <f t="shared" si="10"/>
        <v>#VALUE!</v>
      </c>
      <c r="AR13" s="8" t="s">
        <v>15</v>
      </c>
      <c r="AS13" s="52">
        <v>41555</v>
      </c>
      <c r="AT13" s="8" t="s">
        <v>146</v>
      </c>
      <c r="AU13" s="52">
        <v>41708</v>
      </c>
      <c r="AV13" s="52" t="s">
        <v>37</v>
      </c>
      <c r="AW13" s="6">
        <v>0</v>
      </c>
      <c r="AX13" s="6">
        <v>0</v>
      </c>
      <c r="BA13" s="6">
        <v>0.04</v>
      </c>
      <c r="BB13" s="6">
        <v>0</v>
      </c>
      <c r="BC13" s="21" t="s">
        <v>17</v>
      </c>
      <c r="BD13" s="52" t="str">
        <f t="shared" si="11"/>
        <v>5M</v>
      </c>
      <c r="BE13" s="6">
        <f t="shared" si="12"/>
        <v>0.04</v>
      </c>
      <c r="BF13" s="6">
        <f t="shared" si="12"/>
        <v>0</v>
      </c>
    </row>
    <row r="14" spans="1:58" ht="11.25" customHeight="1">
      <c r="A14" s="7"/>
      <c r="D14" s="6"/>
      <c r="E14" s="129" t="b">
        <v>1</v>
      </c>
      <c r="F14" s="117">
        <f t="shared" si="14"/>
        <v>6</v>
      </c>
      <c r="G14" s="29">
        <v>6</v>
      </c>
      <c r="H14" s="30" t="s">
        <v>31</v>
      </c>
      <c r="I14" s="79">
        <f t="shared" si="15"/>
        <v>0.12</v>
      </c>
      <c r="J14" s="50"/>
      <c r="K14" s="127"/>
      <c r="L14" s="50">
        <f t="shared" si="0"/>
        <v>0.12</v>
      </c>
      <c r="M14" s="29">
        <f t="shared" si="8"/>
        <v>12</v>
      </c>
      <c r="N14" s="30">
        <f t="shared" si="1"/>
        <v>12</v>
      </c>
      <c r="O14" s="29">
        <f t="shared" si="9"/>
        <v>12</v>
      </c>
      <c r="P14" s="30">
        <f t="shared" si="2"/>
        <v>12</v>
      </c>
      <c r="Q14" s="29">
        <f t="shared" si="3"/>
        <v>6</v>
      </c>
      <c r="R14" s="27" t="str">
        <f t="shared" si="4"/>
        <v>m</v>
      </c>
      <c r="S14" s="41">
        <f t="shared" si="5"/>
        <v>0.12</v>
      </c>
      <c r="U14" s="133">
        <v>42993</v>
      </c>
      <c r="V14" s="134">
        <v>1.0016430859891685</v>
      </c>
      <c r="Y14" s="29">
        <v>2</v>
      </c>
      <c r="Z14" s="29">
        <f>_xll.RtGet($AD$13,$AD$14&amp;$Y14&amp;$AD$15,Z$12)</f>
        <v>0.05</v>
      </c>
      <c r="AA14" s="30">
        <f>_xll.RtGet($AD$13,$AD$14&amp;$Y14&amp;$AD$15,AA$12)</f>
        <v>0.05</v>
      </c>
      <c r="AC14" s="18" t="s">
        <v>20</v>
      </c>
      <c r="AD14" s="72" t="s">
        <v>150</v>
      </c>
      <c r="AN14" s="6" t="str">
        <f>_xll.xlShmInterpDisc(CurveName,DATE(YEAR(AU14)+IF(YEAR(AU14)&lt;2000,100,0),MONTH(AU14),DAY(AU14)))</f>
        <v>Date before first TermStructure's date.</v>
      </c>
      <c r="AO14" s="215" t="e">
        <f>_xll.xlShmInterpRate(CurveName,$AO$2,$C$50,DATE(YEAR(AU14)+IF(YEAR(AU14)&lt;2000,100,0),MONTH(AU14),DAY(AU14)))*100</f>
        <v>#VALUE!</v>
      </c>
      <c r="AP14" s="6" t="e">
        <f t="shared" si="6"/>
        <v>#VALUE!</v>
      </c>
      <c r="AQ14" s="215" t="e">
        <f t="shared" si="10"/>
        <v>#VALUE!</v>
      </c>
      <c r="AR14" s="8" t="s">
        <v>70</v>
      </c>
      <c r="AS14" s="52">
        <v>41626</v>
      </c>
      <c r="AT14" s="8" t="s">
        <v>147</v>
      </c>
      <c r="AU14" s="52">
        <v>41716</v>
      </c>
      <c r="AV14" s="52">
        <v>41609</v>
      </c>
      <c r="AW14" s="6">
        <v>0.99976441372310798</v>
      </c>
      <c r="AX14" s="6">
        <v>5.2120679739245002E-2</v>
      </c>
      <c r="BA14" s="6">
        <v>99.984999999999999</v>
      </c>
      <c r="BB14" s="6">
        <v>4.0000000000000002E-4</v>
      </c>
      <c r="BC14" s="21" t="s">
        <v>17</v>
      </c>
      <c r="BD14" s="52" t="str">
        <f>AV15</f>
        <v>6M</v>
      </c>
      <c r="BE14" s="6">
        <f>BA15</f>
        <v>0.09</v>
      </c>
      <c r="BF14" s="6">
        <f>BB15</f>
        <v>0</v>
      </c>
    </row>
    <row r="15" spans="1:58" ht="11.25" customHeight="1">
      <c r="A15" s="7"/>
      <c r="D15" s="6"/>
      <c r="E15" s="129" t="b">
        <v>1</v>
      </c>
      <c r="F15" s="117">
        <f t="shared" si="14"/>
        <v>7</v>
      </c>
      <c r="G15" s="29">
        <v>7</v>
      </c>
      <c r="H15" s="30" t="s">
        <v>31</v>
      </c>
      <c r="I15" s="79">
        <f t="shared" si="15"/>
        <v>0.14000000000000001</v>
      </c>
      <c r="J15" s="50"/>
      <c r="K15" s="127"/>
      <c r="L15" s="50">
        <f t="shared" si="0"/>
        <v>0.14000000000000001</v>
      </c>
      <c r="M15" s="29">
        <f t="shared" si="8"/>
        <v>13</v>
      </c>
      <c r="N15" s="30">
        <f t="shared" si="1"/>
        <v>13</v>
      </c>
      <c r="O15" s="29">
        <f t="shared" si="9"/>
        <v>13</v>
      </c>
      <c r="P15" s="30">
        <f t="shared" si="2"/>
        <v>13</v>
      </c>
      <c r="Q15" s="29">
        <f t="shared" si="3"/>
        <v>7</v>
      </c>
      <c r="R15" s="27" t="str">
        <f t="shared" si="4"/>
        <v>m</v>
      </c>
      <c r="S15" s="41">
        <f t="shared" si="5"/>
        <v>0.14000000000000001</v>
      </c>
      <c r="U15" s="133">
        <v>43360</v>
      </c>
      <c r="V15" s="134">
        <v>0.99898850993755173</v>
      </c>
      <c r="Y15" s="29">
        <v>3</v>
      </c>
      <c r="Z15" s="29">
        <f>_xll.RtGet($AD$13,$AD$14&amp;$Y15&amp;$AD$15,Z$12)</f>
        <v>0.05</v>
      </c>
      <c r="AA15" s="30">
        <f>_xll.RtGet($AD$13,$AD$14&amp;$Y15&amp;$AD$15,AA$12)</f>
        <v>0.05</v>
      </c>
      <c r="AB15"/>
      <c r="AC15" s="24" t="s">
        <v>24</v>
      </c>
      <c r="AD15" s="73" t="s">
        <v>153</v>
      </c>
      <c r="AN15" s="6" t="str">
        <f>_xll.xlShmInterpDisc(CurveName,DATE(YEAR(AU15)+IF(YEAR(AU15)&lt;2000,100,0),MONTH(AU15),DAY(AU15)))</f>
        <v>Date before first TermStructure's date.</v>
      </c>
      <c r="AO15" s="215" t="e">
        <f>_xll.xlShmInterpRate(CurveName,$AO$2,$C$50,DATE(YEAR(AU15)+IF(YEAR(AU15)&lt;2000,100,0),MONTH(AU15),DAY(AU15)))*100</f>
        <v>#VALUE!</v>
      </c>
      <c r="AP15" s="6" t="e">
        <f t="shared" si="6"/>
        <v>#VALUE!</v>
      </c>
      <c r="AQ15" s="215" t="e">
        <f t="shared" si="10"/>
        <v>#VALUE!</v>
      </c>
      <c r="AR15" s="8" t="s">
        <v>15</v>
      </c>
      <c r="AS15" s="52">
        <v>41555</v>
      </c>
      <c r="AT15" s="8" t="s">
        <v>146</v>
      </c>
      <c r="AU15" s="52">
        <v>41737</v>
      </c>
      <c r="AV15" s="52" t="s">
        <v>38</v>
      </c>
      <c r="AW15" s="6">
        <v>0</v>
      </c>
      <c r="AX15" s="6">
        <v>0</v>
      </c>
      <c r="BA15" s="6">
        <v>0.09</v>
      </c>
      <c r="BB15" s="6">
        <v>0</v>
      </c>
      <c r="BC15" s="21" t="s">
        <v>17</v>
      </c>
      <c r="BD15" s="52" t="str">
        <f t="shared" ref="BD15:BD16" si="16">AV16</f>
        <v>7M</v>
      </c>
      <c r="BE15" s="6">
        <f t="shared" ref="BE15:BF16" si="17">BA16</f>
        <v>0.1</v>
      </c>
      <c r="BF15" s="6">
        <f t="shared" si="17"/>
        <v>0</v>
      </c>
    </row>
    <row r="16" spans="1:58" ht="11.25" customHeight="1">
      <c r="A16" s="7"/>
      <c r="D16" s="6"/>
      <c r="E16" s="129" t="b">
        <v>1</v>
      </c>
      <c r="F16" s="117">
        <f t="shared" si="14"/>
        <v>8</v>
      </c>
      <c r="G16" s="29">
        <v>8</v>
      </c>
      <c r="H16" s="30" t="s">
        <v>31</v>
      </c>
      <c r="I16" s="79">
        <f t="shared" si="15"/>
        <v>0.16</v>
      </c>
      <c r="J16" s="50"/>
      <c r="K16" s="127"/>
      <c r="L16" s="50">
        <f t="shared" si="0"/>
        <v>0.16</v>
      </c>
      <c r="M16" s="29">
        <f t="shared" si="8"/>
        <v>14</v>
      </c>
      <c r="N16" s="30">
        <f t="shared" si="1"/>
        <v>14</v>
      </c>
      <c r="O16" s="29">
        <f t="shared" si="9"/>
        <v>14</v>
      </c>
      <c r="P16" s="30">
        <f t="shared" si="2"/>
        <v>14</v>
      </c>
      <c r="Q16" s="29">
        <f t="shared" si="3"/>
        <v>8</v>
      </c>
      <c r="R16" s="27" t="str">
        <f t="shared" si="4"/>
        <v>m</v>
      </c>
      <c r="S16" s="41">
        <f t="shared" si="5"/>
        <v>0.16</v>
      </c>
      <c r="U16" s="133">
        <v>43724</v>
      </c>
      <c r="V16" s="134">
        <v>0.99336645226403275</v>
      </c>
      <c r="Y16" s="29">
        <v>4</v>
      </c>
      <c r="Z16" s="29">
        <f>_xll.RtGet($AD$13,$AD$14&amp;$Y16&amp;$AD$15,Z$12)</f>
        <v>0.1</v>
      </c>
      <c r="AA16" s="30">
        <f>_xll.RtGet($AD$13,$AD$14&amp;$Y16&amp;$AD$15,AA$12)</f>
        <v>0.1</v>
      </c>
      <c r="AB16"/>
      <c r="AC16"/>
      <c r="AD16"/>
      <c r="AN16" s="6" t="str">
        <f>_xll.xlShmInterpDisc(CurveName,DATE(YEAR(AU16)+IF(YEAR(AU16)&lt;2000,100,0),MONTH(AU16),DAY(AU16)))</f>
        <v>Date before first TermStructure's date.</v>
      </c>
      <c r="AO16" s="215" t="e">
        <f>_xll.xlShmInterpRate(CurveName,$AO$2,$C$50,DATE(YEAR(AU16)+IF(YEAR(AU16)&lt;2000,100,0),MONTH(AU16),DAY(AU16)))*100</f>
        <v>#VALUE!</v>
      </c>
      <c r="AP16" s="6" t="e">
        <f t="shared" si="6"/>
        <v>#VALUE!</v>
      </c>
      <c r="AQ16" s="215" t="e">
        <f t="shared" si="10"/>
        <v>#VALUE!</v>
      </c>
      <c r="AR16" s="8" t="s">
        <v>15</v>
      </c>
      <c r="AS16" s="52">
        <v>41555</v>
      </c>
      <c r="AT16" s="8" t="s">
        <v>146</v>
      </c>
      <c r="AU16" s="52">
        <v>41767</v>
      </c>
      <c r="AV16" s="52" t="s">
        <v>40</v>
      </c>
      <c r="AW16" s="6">
        <v>0</v>
      </c>
      <c r="AX16" s="6">
        <v>0</v>
      </c>
      <c r="BA16" s="6">
        <v>0.1</v>
      </c>
      <c r="BB16" s="6">
        <v>0</v>
      </c>
      <c r="BC16" s="21" t="s">
        <v>17</v>
      </c>
      <c r="BD16" s="52" t="str">
        <f t="shared" si="16"/>
        <v>8M</v>
      </c>
      <c r="BE16" s="6">
        <f t="shared" si="17"/>
        <v>0.14000000000000001</v>
      </c>
      <c r="BF16" s="6">
        <f t="shared" si="17"/>
        <v>0</v>
      </c>
    </row>
    <row r="17" spans="1:60" ht="11.25" customHeight="1">
      <c r="A17" s="7"/>
      <c r="D17" s="6"/>
      <c r="E17" s="129" t="b">
        <v>1</v>
      </c>
      <c r="F17" s="117">
        <f t="shared" si="14"/>
        <v>9</v>
      </c>
      <c r="G17" s="29">
        <v>9</v>
      </c>
      <c r="H17" s="30" t="s">
        <v>31</v>
      </c>
      <c r="I17" s="79">
        <f t="shared" si="15"/>
        <v>0.18</v>
      </c>
      <c r="J17" s="50"/>
      <c r="K17" s="127"/>
      <c r="L17" s="50">
        <f>IF(ISNUMBER(J17),J17,I17)+K17</f>
        <v>0.18</v>
      </c>
      <c r="M17" s="29">
        <f>M16+1</f>
        <v>15</v>
      </c>
      <c r="N17" s="30">
        <f>IF(E17,M17,"")</f>
        <v>15</v>
      </c>
      <c r="O17" s="29">
        <f>IF(O16&lt;$S$2,O16+1,"")</f>
        <v>15</v>
      </c>
      <c r="P17" s="30">
        <f t="shared" si="2"/>
        <v>15</v>
      </c>
      <c r="Q17" s="29">
        <f t="shared" si="3"/>
        <v>9</v>
      </c>
      <c r="R17" s="27" t="str">
        <f t="shared" si="4"/>
        <v>m</v>
      </c>
      <c r="S17" s="41">
        <f t="shared" si="5"/>
        <v>0.18</v>
      </c>
      <c r="U17" s="133">
        <v>44089</v>
      </c>
      <c r="V17" s="134">
        <v>0.98443972345777775</v>
      </c>
      <c r="Y17" s="29">
        <v>5</v>
      </c>
      <c r="Z17" s="29">
        <f>_xll.RtGet($AD$13,$AD$14&amp;$Y17&amp;$AD$15,Z$12)</f>
        <v>0.11</v>
      </c>
      <c r="AA17" s="30">
        <f>_xll.RtGet($AD$13,$AD$14&amp;$Y17&amp;$AD$15,AA$12)</f>
        <v>0.11</v>
      </c>
      <c r="AB17"/>
      <c r="AC17"/>
      <c r="AD17"/>
      <c r="AN17" s="6" t="str">
        <f>_xll.xlShmInterpDisc(CurveName,DATE(YEAR(AU17)+IF(YEAR(AU17)&lt;2000,100,0),MONTH(AU17),DAY(AU17)))</f>
        <v>Date before first TermStructure's date.</v>
      </c>
      <c r="AO17" s="215" t="e">
        <f>_xll.xlShmInterpRate(CurveName,$AO$2,$C$50,DATE(YEAR(AU17)+IF(YEAR(AU17)&lt;2000,100,0),MONTH(AU17),DAY(AU17)))*100</f>
        <v>#VALUE!</v>
      </c>
      <c r="AP17" s="6" t="e">
        <f t="shared" si="6"/>
        <v>#VALUE!</v>
      </c>
      <c r="AQ17" s="215" t="e">
        <f t="shared" si="10"/>
        <v>#VALUE!</v>
      </c>
      <c r="AR17" s="8" t="s">
        <v>15</v>
      </c>
      <c r="AS17" s="52">
        <v>41555</v>
      </c>
      <c r="AT17" s="8" t="s">
        <v>146</v>
      </c>
      <c r="AU17" s="52">
        <v>41800</v>
      </c>
      <c r="AV17" s="52" t="s">
        <v>41</v>
      </c>
      <c r="AW17" s="6">
        <v>0</v>
      </c>
      <c r="AX17" s="6">
        <v>0</v>
      </c>
      <c r="BA17" s="6">
        <v>0.14000000000000001</v>
      </c>
      <c r="BB17" s="6">
        <v>0</v>
      </c>
      <c r="BC17" s="21" t="s">
        <v>17</v>
      </c>
      <c r="BD17" s="52" t="str">
        <f>AV19</f>
        <v>9M</v>
      </c>
      <c r="BE17" s="6">
        <f>BA19</f>
        <v>0.16</v>
      </c>
      <c r="BF17" s="6">
        <f>BB19</f>
        <v>0</v>
      </c>
    </row>
    <row r="18" spans="1:60" ht="11.25" customHeight="1">
      <c r="A18" s="7"/>
      <c r="D18" s="6"/>
      <c r="E18" s="129" t="b">
        <v>0</v>
      </c>
      <c r="F18" s="117">
        <f t="shared" si="14"/>
        <v>10</v>
      </c>
      <c r="G18" s="29">
        <v>10</v>
      </c>
      <c r="H18" s="30" t="s">
        <v>31</v>
      </c>
      <c r="I18" s="79">
        <f t="shared" si="15"/>
        <v>0.22</v>
      </c>
      <c r="J18" s="50"/>
      <c r="K18" s="127"/>
      <c r="L18" s="50">
        <f>IF(ISNUMBER(J18),J18,I18)+K18</f>
        <v>0.22</v>
      </c>
      <c r="M18" s="29">
        <f>M17+1</f>
        <v>16</v>
      </c>
      <c r="N18" s="30" t="str">
        <f>IF(E18,M18,"")</f>
        <v/>
      </c>
      <c r="O18" s="29" t="str">
        <f>IF(O17&lt;$S$2,O17+1,"")</f>
        <v/>
      </c>
      <c r="P18" s="30" t="str">
        <f t="shared" si="2"/>
        <v/>
      </c>
      <c r="Q18" s="29" t="str">
        <f t="shared" si="3"/>
        <v/>
      </c>
      <c r="R18" s="27" t="str">
        <f t="shared" si="4"/>
        <v/>
      </c>
      <c r="S18" s="41" t="str">
        <f t="shared" si="5"/>
        <v/>
      </c>
      <c r="U18" s="133">
        <v>44454</v>
      </c>
      <c r="V18" s="134">
        <v>0.97252369895046453</v>
      </c>
      <c r="Y18" s="29">
        <v>6</v>
      </c>
      <c r="Z18" s="29">
        <f>_xll.RtGet($AD$13,$AD$14&amp;$Y18&amp;$AD$15,Z$12)</f>
        <v>0.12</v>
      </c>
      <c r="AA18" s="30">
        <f>_xll.RtGet($AD$13,$AD$14&amp;$Y18&amp;$AD$15,AA$12)</f>
        <v>0.12</v>
      </c>
      <c r="AB18"/>
      <c r="AC18"/>
      <c r="AD18"/>
      <c r="AN18" s="6" t="str">
        <f>_xll.xlShmInterpDisc(CurveName,DATE(YEAR(AU18)+IF(YEAR(AU18)&lt;2000,100,0),MONTH(AU18),DAY(AU18)))</f>
        <v>Date before first TermStructure's date.</v>
      </c>
      <c r="AO18" s="215" t="e">
        <f>_xll.xlShmInterpRate(CurveName,$AO$2,$C$50,DATE(YEAR(AU18)+IF(YEAR(AU18)&lt;2000,100,0),MONTH(AU18),DAY(AU18)))*100</f>
        <v>#VALUE!</v>
      </c>
      <c r="AP18" s="6" t="e">
        <f t="shared" si="6"/>
        <v>#VALUE!</v>
      </c>
      <c r="AQ18" s="215" t="e">
        <f t="shared" si="10"/>
        <v>#VALUE!</v>
      </c>
      <c r="AR18" s="8" t="s">
        <v>70</v>
      </c>
      <c r="AS18" s="52">
        <v>41717</v>
      </c>
      <c r="AT18" s="8" t="s">
        <v>147</v>
      </c>
      <c r="AU18" s="52">
        <v>41809</v>
      </c>
      <c r="AV18" s="52">
        <v>41699</v>
      </c>
      <c r="AW18" s="6">
        <v>0.99972839838590599</v>
      </c>
      <c r="AX18" s="6">
        <v>3.8429478348742503E-2</v>
      </c>
      <c r="BA18" s="6">
        <v>99.984999999999999</v>
      </c>
      <c r="BB18" s="6">
        <v>1.1999999999999999E-3</v>
      </c>
      <c r="BC18" s="21" t="s">
        <v>17</v>
      </c>
      <c r="BD18" s="52" t="str">
        <f t="shared" ref="BD18:BD19" si="18">AV20</f>
        <v>10M</v>
      </c>
      <c r="BE18" s="6">
        <f t="shared" ref="BE18:BF19" si="19">BA20</f>
        <v>0.19</v>
      </c>
      <c r="BF18" s="6">
        <f t="shared" si="19"/>
        <v>0</v>
      </c>
    </row>
    <row r="19" spans="1:60" ht="11.25" customHeight="1">
      <c r="A19" s="7"/>
      <c r="D19" s="6"/>
      <c r="E19" s="129" t="b">
        <v>0</v>
      </c>
      <c r="F19" s="117">
        <f t="shared" si="14"/>
        <v>11</v>
      </c>
      <c r="G19" s="29">
        <v>11</v>
      </c>
      <c r="H19" s="30" t="s">
        <v>31</v>
      </c>
      <c r="I19" s="79">
        <f t="shared" si="15"/>
        <v>0.24</v>
      </c>
      <c r="J19" s="50"/>
      <c r="K19" s="127"/>
      <c r="L19" s="50">
        <f>IF(ISNUMBER(J19),J19,I19)+K19</f>
        <v>0.24</v>
      </c>
      <c r="M19" s="29">
        <f>M18+1</f>
        <v>17</v>
      </c>
      <c r="N19" s="30" t="str">
        <f>IF(E19,M19,"")</f>
        <v/>
      </c>
      <c r="O19" s="29" t="str">
        <f>IF(O18&lt;$S$2,O18+1,"")</f>
        <v/>
      </c>
      <c r="P19" s="30" t="str">
        <f t="shared" si="2"/>
        <v/>
      </c>
      <c r="Q19" s="29" t="str">
        <f t="shared" si="3"/>
        <v/>
      </c>
      <c r="R19" s="27" t="str">
        <f t="shared" si="4"/>
        <v/>
      </c>
      <c r="S19" s="41" t="str">
        <f t="shared" si="5"/>
        <v/>
      </c>
      <c r="U19" s="133">
        <v>44819</v>
      </c>
      <c r="V19" s="134">
        <v>0.95825528135663729</v>
      </c>
      <c r="Y19" s="29">
        <v>7</v>
      </c>
      <c r="Z19" s="29">
        <f>_xll.RtGet($AD$13,$AD$14&amp;$Y19&amp;$AD$15,Z$12)</f>
        <v>0.14000000000000001</v>
      </c>
      <c r="AA19" s="30">
        <f>_xll.RtGet($AD$13,$AD$14&amp;$Y19&amp;$AD$15,AA$12)</f>
        <v>0.14000000000000001</v>
      </c>
      <c r="AB19"/>
      <c r="AC19"/>
      <c r="AD19"/>
      <c r="AN19" s="6" t="str">
        <f>_xll.xlShmInterpDisc(CurveName,DATE(YEAR(AU19)+IF(YEAR(AU19)&lt;2000,100,0),MONTH(AU19),DAY(AU19)))</f>
        <v>Date before first TermStructure's date.</v>
      </c>
      <c r="AO19" s="215" t="e">
        <f>_xll.xlShmInterpRate(CurveName,$AO$2,$C$50,DATE(YEAR(AU19)+IF(YEAR(AU19)&lt;2000,100,0),MONTH(AU19),DAY(AU19)))*100</f>
        <v>#VALUE!</v>
      </c>
      <c r="AP19" s="6" t="e">
        <f t="shared" si="6"/>
        <v>#VALUE!</v>
      </c>
      <c r="AQ19" s="215" t="e">
        <f t="shared" si="10"/>
        <v>#VALUE!</v>
      </c>
      <c r="AR19" s="8" t="s">
        <v>15</v>
      </c>
      <c r="AS19" s="52">
        <v>41555</v>
      </c>
      <c r="AT19" s="8" t="s">
        <v>146</v>
      </c>
      <c r="AU19" s="52">
        <v>41828</v>
      </c>
      <c r="AV19" s="52" t="s">
        <v>42</v>
      </c>
      <c r="AW19" s="6">
        <v>0</v>
      </c>
      <c r="AX19" s="6">
        <v>0</v>
      </c>
      <c r="BA19" s="6">
        <v>0.16</v>
      </c>
      <c r="BB19" s="6">
        <v>0</v>
      </c>
      <c r="BC19" s="21" t="s">
        <v>17</v>
      </c>
      <c r="BD19" s="52" t="str">
        <f t="shared" si="18"/>
        <v>11M</v>
      </c>
      <c r="BE19" s="6">
        <f t="shared" si="19"/>
        <v>0.2</v>
      </c>
      <c r="BF19" s="6">
        <f t="shared" si="19"/>
        <v>0</v>
      </c>
    </row>
    <row r="20" spans="1:60" ht="11.25" customHeight="1">
      <c r="A20" s="7"/>
      <c r="B20" s="231" t="s">
        <v>218</v>
      </c>
      <c r="C20" s="232"/>
      <c r="D20" s="6"/>
      <c r="E20" s="130" t="b">
        <v>0</v>
      </c>
      <c r="F20" s="118">
        <f t="shared" si="14"/>
        <v>12</v>
      </c>
      <c r="G20" s="22">
        <v>12</v>
      </c>
      <c r="H20" s="23" t="s">
        <v>31</v>
      </c>
      <c r="I20" s="80" t="e">
        <f t="shared" si="15"/>
        <v>#DIV/0!</v>
      </c>
      <c r="J20" s="51"/>
      <c r="K20" s="175"/>
      <c r="L20" s="51" t="e">
        <f>IF(ISNUMBER(J20),J20,I20)+K20</f>
        <v>#DIV/0!</v>
      </c>
      <c r="M20" s="22">
        <f>M19+1</f>
        <v>18</v>
      </c>
      <c r="N20" s="23" t="str">
        <f>IF(E20,M20,"")</f>
        <v/>
      </c>
      <c r="O20" s="22" t="str">
        <f>IF(O19&lt;$S$2,O19+1,"")</f>
        <v/>
      </c>
      <c r="P20" s="23" t="str">
        <f t="shared" si="2"/>
        <v/>
      </c>
      <c r="Q20" s="22" t="str">
        <f t="shared" si="3"/>
        <v/>
      </c>
      <c r="R20" s="42" t="str">
        <f t="shared" si="4"/>
        <v/>
      </c>
      <c r="S20" s="43" t="str">
        <f t="shared" si="5"/>
        <v/>
      </c>
      <c r="U20" s="133">
        <v>45184</v>
      </c>
      <c r="V20" s="134">
        <v>0.94221739846142305</v>
      </c>
      <c r="Y20" s="29">
        <v>8</v>
      </c>
      <c r="Z20" s="29">
        <f>_xll.RtGet($AD$13,$AD$14&amp;$Y20&amp;$AD$15,Z$12)</f>
        <v>0.16</v>
      </c>
      <c r="AA20" s="30">
        <f>_xll.RtGet($AD$13,$AD$14&amp;$Y20&amp;$AD$15,AA$12)</f>
        <v>0.16</v>
      </c>
      <c r="AB20"/>
      <c r="AC20"/>
      <c r="AD20"/>
      <c r="AN20" s="6" t="str">
        <f>_xll.xlShmInterpDisc(CurveName,DATE(YEAR(AU20)+IF(YEAR(AU20)&lt;2000,100,0),MONTH(AU20),DAY(AU20)))</f>
        <v>Date before first TermStructure's date.</v>
      </c>
      <c r="AO20" s="215" t="e">
        <f>_xll.xlShmInterpRate(CurveName,$AO$2,$C$50,DATE(YEAR(AU20)+IF(YEAR(AU20)&lt;2000,100,0),MONTH(AU20),DAY(AU20)))*100</f>
        <v>#VALUE!</v>
      </c>
      <c r="AP20" s="6" t="e">
        <f t="shared" si="6"/>
        <v>#VALUE!</v>
      </c>
      <c r="AQ20" s="215" t="e">
        <f t="shared" si="10"/>
        <v>#VALUE!</v>
      </c>
      <c r="AR20" s="8" t="s">
        <v>15</v>
      </c>
      <c r="AS20" s="52">
        <v>41555</v>
      </c>
      <c r="AT20" s="8" t="s">
        <v>146</v>
      </c>
      <c r="AU20" s="52">
        <v>41859</v>
      </c>
      <c r="AV20" s="52" t="s">
        <v>58</v>
      </c>
      <c r="AW20" s="6">
        <v>0</v>
      </c>
      <c r="AX20" s="6">
        <v>0</v>
      </c>
      <c r="BA20" s="6">
        <v>0.19</v>
      </c>
      <c r="BB20" s="6">
        <v>0</v>
      </c>
      <c r="BC20" s="21" t="s">
        <v>17</v>
      </c>
      <c r="BD20" s="52" t="str">
        <f>AV23</f>
        <v>12M</v>
      </c>
      <c r="BE20" s="6">
        <f>BA23</f>
        <v>0.25</v>
      </c>
      <c r="BF20" s="6">
        <f>BB23</f>
        <v>0</v>
      </c>
    </row>
    <row r="21" spans="1:60" ht="11.25" customHeight="1">
      <c r="A21" s="7"/>
      <c r="B21" s="159" t="s">
        <v>219</v>
      </c>
      <c r="C21" s="96" t="b">
        <v>0</v>
      </c>
      <c r="D21" s="6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U21" s="133">
        <v>45551</v>
      </c>
      <c r="V21" s="134">
        <v>0.9256447469338599</v>
      </c>
      <c r="Y21" s="29">
        <v>9</v>
      </c>
      <c r="Z21" s="29">
        <f>_xll.RtGet($AD$13,$AD$14&amp;$Y21&amp;$AD$15,Z$12)</f>
        <v>0.18</v>
      </c>
      <c r="AA21" s="30">
        <f>_xll.RtGet($AD$13,$AD$14&amp;$Y21&amp;$AD$15,AA$12)</f>
        <v>0.18</v>
      </c>
      <c r="AB21"/>
      <c r="AC21"/>
      <c r="AD21"/>
      <c r="AN21" s="6" t="str">
        <f>_xll.xlShmInterpDisc(CurveName,DATE(YEAR(AU21)+IF(YEAR(AU21)&lt;2000,100,0),MONTH(AU21),DAY(AU21)))</f>
        <v>Date before first TermStructure's date.</v>
      </c>
      <c r="AO21" s="215" t="e">
        <f>_xll.xlShmInterpRate(CurveName,$AO$2,$C$50,DATE(YEAR(AU21)+IF(YEAR(AU21)&lt;2000,100,0),MONTH(AU21),DAY(AU21)))*100</f>
        <v>#VALUE!</v>
      </c>
      <c r="AP21" s="6" t="e">
        <f t="shared" si="6"/>
        <v>#VALUE!</v>
      </c>
      <c r="AQ21" s="215" t="e">
        <f t="shared" si="10"/>
        <v>#VALUE!</v>
      </c>
      <c r="AR21" s="8" t="s">
        <v>15</v>
      </c>
      <c r="AS21" s="52">
        <v>41555</v>
      </c>
      <c r="AT21" s="8" t="s">
        <v>146</v>
      </c>
      <c r="AU21" s="52">
        <v>41890</v>
      </c>
      <c r="AV21" s="52" t="s">
        <v>59</v>
      </c>
      <c r="AW21" s="6">
        <v>0</v>
      </c>
      <c r="AX21" s="6">
        <v>0</v>
      </c>
      <c r="BA21" s="6">
        <v>0.2</v>
      </c>
      <c r="BB21" s="6">
        <v>0</v>
      </c>
      <c r="BC21" s="21" t="s">
        <v>17</v>
      </c>
      <c r="BD21" s="52"/>
    </row>
    <row r="22" spans="1:60" ht="11.25" customHeight="1">
      <c r="A22" s="7"/>
      <c r="B22" s="198" t="s">
        <v>167</v>
      </c>
      <c r="C22" s="94">
        <v>2</v>
      </c>
      <c r="D22" s="6"/>
      <c r="E22" s="86" t="s">
        <v>75</v>
      </c>
      <c r="F22" s="7"/>
      <c r="H22" s="7"/>
      <c r="I22" s="86" t="s">
        <v>1</v>
      </c>
      <c r="J22" s="86" t="s">
        <v>2</v>
      </c>
      <c r="K22" s="86" t="s">
        <v>3</v>
      </c>
      <c r="L22" s="86" t="s">
        <v>4</v>
      </c>
      <c r="M22"/>
      <c r="N22"/>
      <c r="O22"/>
      <c r="P22"/>
      <c r="Q22"/>
      <c r="R22"/>
      <c r="S22"/>
      <c r="U22" s="133">
        <v>45915</v>
      </c>
      <c r="V22" s="134">
        <v>0.9078097137614618</v>
      </c>
      <c r="Y22" s="29">
        <v>10</v>
      </c>
      <c r="Z22" s="29">
        <f>_xll.RtGet($AD$13,$AD$14&amp;$Y22&amp;$AD$15,Z$12)</f>
        <v>0.22</v>
      </c>
      <c r="AA22" s="30">
        <f>_xll.RtGet($AD$13,$AD$14&amp;$Y22&amp;$AD$15,AA$12)</f>
        <v>0.22</v>
      </c>
      <c r="AB22"/>
      <c r="AC22"/>
      <c r="AD22"/>
      <c r="AN22" s="6">
        <f>_xll.xlShmInterpDisc(CurveName,DATE(YEAR(AU22)+IF(YEAR(AU22)&lt;2000,100,0),MONTH(AU22),DAY(AU22)))</f>
        <v>0.99999045799668951</v>
      </c>
      <c r="AO22" s="215">
        <f>_xll.xlShmInterpRate(CurveName,$AO$2,$C$50,DATE(YEAR(AU22)+IF(YEAR(AU22)&lt;2000,100,0),MONTH(AU22),DAY(AU22)))*100</f>
        <v>4.9754968928982284E-2</v>
      </c>
      <c r="AP22" s="6">
        <f t="shared" si="6"/>
        <v>3.2003531530955254E-4</v>
      </c>
      <c r="AQ22" s="215">
        <f t="shared" si="10"/>
        <v>1.5280599581200087E-2</v>
      </c>
      <c r="AR22" s="8" t="s">
        <v>70</v>
      </c>
      <c r="AS22" s="52">
        <v>41808</v>
      </c>
      <c r="AT22" s="8" t="s">
        <v>147</v>
      </c>
      <c r="AU22" s="52">
        <v>41900</v>
      </c>
      <c r="AV22" s="52">
        <v>41791</v>
      </c>
      <c r="AW22" s="6">
        <v>0.99967042268137996</v>
      </c>
      <c r="AX22" s="6">
        <v>3.4474369347782197E-2</v>
      </c>
      <c r="BA22" s="6">
        <v>99.974999999999994</v>
      </c>
      <c r="BB22" s="6">
        <v>2.3E-3</v>
      </c>
      <c r="BC22" s="21" t="s">
        <v>17</v>
      </c>
      <c r="BD22" s="52">
        <f>AV14</f>
        <v>41609</v>
      </c>
      <c r="BE22" s="6">
        <f>BA14</f>
        <v>99.984999999999999</v>
      </c>
      <c r="BF22" s="6">
        <f>BB14</f>
        <v>4.0000000000000002E-4</v>
      </c>
    </row>
    <row r="23" spans="1:60" ht="11.25" customHeight="1">
      <c r="A23" s="7"/>
      <c r="B23" s="85" t="s">
        <v>166</v>
      </c>
      <c r="C23" s="95" t="s">
        <v>212</v>
      </c>
      <c r="D23" s="6"/>
      <c r="E23" s="128" t="b">
        <v>0</v>
      </c>
      <c r="F23" s="109" t="str">
        <f>Y27</f>
        <v>STUB</v>
      </c>
      <c r="G23"/>
      <c r="H23"/>
      <c r="I23" s="78" t="e">
        <f>AVERAGE(Z27:AA27)</f>
        <v>#DIV/0!</v>
      </c>
      <c r="J23" s="49"/>
      <c r="K23" s="125"/>
      <c r="L23" s="49" t="e">
        <f>IF(ISNUMBER(J23),J23,I23)+K23</f>
        <v>#DIV/0!</v>
      </c>
      <c r="M23"/>
      <c r="N23"/>
      <c r="O23"/>
      <c r="P23"/>
      <c r="Q23"/>
      <c r="R23"/>
      <c r="S23"/>
      <c r="U23" s="133">
        <v>46280</v>
      </c>
      <c r="V23" s="134">
        <v>0.88971627860038671</v>
      </c>
      <c r="Y23" s="29">
        <v>11</v>
      </c>
      <c r="Z23" s="29">
        <f>_xll.RtGet($AD$13,$AD$14&amp;$Y23&amp;$AD$15,Z$12)</f>
        <v>0.24</v>
      </c>
      <c r="AA23" s="30">
        <f>_xll.RtGet($AD$13,$AD$14&amp;$Y23&amp;$AD$15,AA$12)</f>
        <v>0.24</v>
      </c>
      <c r="AB23"/>
      <c r="AC23"/>
      <c r="AD23"/>
      <c r="AN23" s="6">
        <f>_xll.xlShmInterpDisc(CurveName,DATE(YEAR(AU23)+IF(YEAR(AU23)&lt;2000,100,0),MONTH(AU23),DAY(AU23)))</f>
        <v>0.99997014437217213</v>
      </c>
      <c r="AO23" s="215">
        <f>_xll.xlShmInterpRate(CurveName,$AO$2,$C$50,DATE(YEAR(AU23)+IF(YEAR(AU23)&lt;2000,100,0),MONTH(AU23),DAY(AU23)))*100</f>
        <v>4.0360988271623828E-2</v>
      </c>
      <c r="AP23" s="6">
        <f t="shared" si="6"/>
        <v>0.99997014437217213</v>
      </c>
      <c r="AQ23" s="215">
        <f t="shared" si="10"/>
        <v>4.0360988271623828E-2</v>
      </c>
      <c r="AR23" s="8" t="s">
        <v>15</v>
      </c>
      <c r="AS23" s="52">
        <v>41555</v>
      </c>
      <c r="AT23" s="8" t="s">
        <v>146</v>
      </c>
      <c r="AU23" s="52">
        <v>41920</v>
      </c>
      <c r="AV23" s="52" t="s">
        <v>148</v>
      </c>
      <c r="AW23" s="6">
        <v>0</v>
      </c>
      <c r="AX23" s="6">
        <v>0</v>
      </c>
      <c r="BA23" s="6">
        <v>0.25</v>
      </c>
      <c r="BB23" s="6">
        <v>0</v>
      </c>
      <c r="BC23" s="21" t="s">
        <v>17</v>
      </c>
      <c r="BD23" s="52">
        <f>AV18</f>
        <v>41699</v>
      </c>
      <c r="BE23" s="6">
        <f>BA18</f>
        <v>99.984999999999999</v>
      </c>
      <c r="BF23" s="6">
        <f>BB18</f>
        <v>1.1999999999999999E-3</v>
      </c>
    </row>
    <row r="24" spans="1:60" ht="11.25" customHeight="1">
      <c r="A24" s="7"/>
      <c r="B24" s="85" t="s">
        <v>136</v>
      </c>
      <c r="C24" s="96" t="b">
        <v>1</v>
      </c>
      <c r="D24" s="6"/>
      <c r="E24" s="130" t="b">
        <f>IF(C44,OR(C3=AA31,ISNUMBER(J24)),FALSE)</f>
        <v>1</v>
      </c>
      <c r="F24" s="110" t="s">
        <v>69</v>
      </c>
      <c r="G24"/>
      <c r="H24"/>
      <c r="I24" s="80">
        <f>Z31</f>
        <v>5.0000000000000001E-3</v>
      </c>
      <c r="J24" s="51"/>
      <c r="K24" s="126"/>
      <c r="L24" s="51">
        <f>IF(ISNUMBER(J24),J24,I24)+K24</f>
        <v>5.0000000000000001E-3</v>
      </c>
      <c r="M24"/>
      <c r="N24"/>
      <c r="O24"/>
      <c r="P24"/>
      <c r="Q24"/>
      <c r="R24"/>
      <c r="S24"/>
      <c r="U24" s="133">
        <v>47378</v>
      </c>
      <c r="V24" s="134">
        <v>0.83486629831877712</v>
      </c>
      <c r="Y24" s="22">
        <v>12</v>
      </c>
      <c r="Z24" s="22" t="str">
        <f>_xll.RtGet($AD$13,$AD$14&amp;$Y24&amp;$AD$15,Z$12)</f>
        <v>#N/A The record could not be found</v>
      </c>
      <c r="AA24" s="23" t="str">
        <f>_xll.RtGet($AD$13,$AD$14&amp;$Y24&amp;$AD$15,AA$12)</f>
        <v>#N/A The record could not be found</v>
      </c>
      <c r="AB24"/>
      <c r="AC24"/>
      <c r="AD24"/>
      <c r="AN24" s="6">
        <f>_xll.xlShmInterpDisc(CurveName,DATE(YEAR(AU24)+IF(YEAR(AU24)&lt;2000,100,0),MONTH(AU24),DAY(AU24)))</f>
        <v>0.99998011637770434</v>
      </c>
      <c r="AO24" s="215">
        <f>_xll.xlShmInterpRate(CurveName,$AO$2,$C$50,DATE(YEAR(AU24)+IF(YEAR(AU24)&lt;2000,100,0),MONTH(AU24),DAY(AU24)))*100</f>
        <v>7.4820559709134395E-3</v>
      </c>
      <c r="AP24" s="6">
        <f t="shared" si="6"/>
        <v>4.3852664582033629E-4</v>
      </c>
      <c r="AQ24" s="215">
        <f t="shared" si="10"/>
        <v>-3.0640520368914258E-2</v>
      </c>
      <c r="AR24" s="8" t="s">
        <v>70</v>
      </c>
      <c r="AS24" s="52">
        <v>41899</v>
      </c>
      <c r="AT24" s="8" t="s">
        <v>147</v>
      </c>
      <c r="AU24" s="52">
        <v>41990</v>
      </c>
      <c r="AV24" s="52">
        <v>41883</v>
      </c>
      <c r="AW24" s="6">
        <v>0.99954158973188401</v>
      </c>
      <c r="AX24" s="6">
        <v>3.8122576339827699E-2</v>
      </c>
      <c r="BA24" s="6">
        <v>99.944999999999993</v>
      </c>
      <c r="BB24" s="6">
        <v>3.8E-3</v>
      </c>
      <c r="BC24" s="21" t="s">
        <v>17</v>
      </c>
      <c r="BD24" s="52">
        <f>AV22</f>
        <v>41791</v>
      </c>
      <c r="BE24" s="6">
        <f>BA22</f>
        <v>99.974999999999994</v>
      </c>
      <c r="BF24" s="6">
        <f>BB22</f>
        <v>2.3E-3</v>
      </c>
    </row>
    <row r="25" spans="1:60" ht="11.25" customHeight="1">
      <c r="A25" s="7"/>
      <c r="B25" s="203" t="s">
        <v>172</v>
      </c>
      <c r="C25" s="161">
        <f>_xll.xlDateSettle(C23,C3,C22)</f>
        <v>41897</v>
      </c>
      <c r="D25" s="6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U25" s="133">
        <v>49202</v>
      </c>
      <c r="V25" s="134">
        <v>0.75374098183706928</v>
      </c>
      <c r="Y25" s="27"/>
      <c r="Z25" s="27"/>
      <c r="AA25" s="27"/>
      <c r="AB25"/>
      <c r="AC25"/>
      <c r="AD25"/>
      <c r="AN25" s="6">
        <f>_xll.xlShmInterpDisc(CurveName,DATE(YEAR(AU25)+IF(YEAR(AU25)&lt;2000,100,0),MONTH(AU25),DAY(AU25)))</f>
        <v>1.0001956585421201</v>
      </c>
      <c r="AO25" s="215">
        <f>_xll.xlShmInterpRate(CurveName,$AO$2,$C$50,DATE(YEAR(AU25)+IF(YEAR(AU25)&lt;2000,100,0),MONTH(AU25),DAY(AU25)))*100</f>
        <v>-3.8186300680021566E-2</v>
      </c>
      <c r="AP25" s="6">
        <f t="shared" si="6"/>
        <v>8.7741643731809038E-4</v>
      </c>
      <c r="AQ25" s="215">
        <f t="shared" si="10"/>
        <v>-8.5242348920802666E-2</v>
      </c>
      <c r="AR25" s="8" t="s">
        <v>70</v>
      </c>
      <c r="AS25" s="52">
        <v>41990</v>
      </c>
      <c r="AT25" s="8" t="s">
        <v>147</v>
      </c>
      <c r="AU25" s="52">
        <v>42080</v>
      </c>
      <c r="AV25" s="52">
        <v>41974</v>
      </c>
      <c r="AW25" s="6">
        <v>0.99931824210480202</v>
      </c>
      <c r="AX25" s="6">
        <v>4.70560482407811E-2</v>
      </c>
      <c r="BA25" s="6">
        <v>99.905000000000001</v>
      </c>
      <c r="BB25" s="6">
        <v>5.5999999999999999E-3</v>
      </c>
      <c r="BC25" s="21" t="s">
        <v>17</v>
      </c>
      <c r="BD25" s="52">
        <f>AV24</f>
        <v>41883</v>
      </c>
      <c r="BE25" s="6">
        <f>BA24</f>
        <v>99.944999999999993</v>
      </c>
      <c r="BF25" s="6">
        <f>BB24</f>
        <v>3.8E-3</v>
      </c>
    </row>
    <row r="26" spans="1:60" ht="11.25" customHeight="1">
      <c r="A26" s="7"/>
      <c r="D26" s="6"/>
      <c r="E26" s="86" t="s">
        <v>75</v>
      </c>
      <c r="F26" s="7"/>
      <c r="H26" s="7"/>
      <c r="I26" s="86" t="s">
        <v>1</v>
      </c>
      <c r="J26" s="86" t="s">
        <v>2</v>
      </c>
      <c r="K26" s="86" t="s">
        <v>3</v>
      </c>
      <c r="L26" s="86" t="s">
        <v>4</v>
      </c>
      <c r="M26" s="7"/>
      <c r="N26" s="8"/>
      <c r="P26" s="8"/>
      <c r="Q26" s="7"/>
      <c r="R26" s="7"/>
      <c r="S26" s="44">
        <f t="array" ref="S26">SUM(1*E27:E38)</f>
        <v>6</v>
      </c>
      <c r="U26" s="133">
        <v>51028</v>
      </c>
      <c r="V26" s="134">
        <v>0.68414070490300416</v>
      </c>
      <c r="Y26" s="10" t="s">
        <v>68</v>
      </c>
      <c r="Z26" s="70" t="s">
        <v>5</v>
      </c>
      <c r="AA26" s="28" t="s">
        <v>6</v>
      </c>
      <c r="AC26" s="13" t="s">
        <v>14</v>
      </c>
      <c r="AD26" s="71"/>
      <c r="AN26" s="6">
        <f>_xll.xlShmInterpDisc(CurveName,DATE(YEAR(AU26)+IF(YEAR(AU26)&lt;2000,100,0),MONTH(AU26),DAY(AU26)))</f>
        <v>1.000498101551164</v>
      </c>
      <c r="AO26" s="215">
        <f>_xll.xlShmInterpRate(CurveName,$AO$2,$C$50,DATE(YEAR(AU26)+IF(YEAR(AU26)&lt;2000,100,0),MONTH(AU26),DAY(AU26)))*100</f>
        <v>-6.4914929290777329E-2</v>
      </c>
      <c r="AP26" s="6">
        <f t="shared" si="6"/>
        <v>1.5332927870490565E-3</v>
      </c>
      <c r="AQ26" s="215">
        <f t="shared" si="10"/>
        <v>-0.12569314584786762</v>
      </c>
      <c r="AR26" s="8" t="s">
        <v>70</v>
      </c>
      <c r="AS26" s="52">
        <v>42081</v>
      </c>
      <c r="AT26" s="8" t="s">
        <v>147</v>
      </c>
      <c r="AU26" s="52">
        <v>42173</v>
      </c>
      <c r="AV26" s="52">
        <v>42064</v>
      </c>
      <c r="AW26" s="6">
        <v>0.99896480876411498</v>
      </c>
      <c r="AX26" s="6">
        <v>6.07782165570903E-2</v>
      </c>
      <c r="BA26" s="6">
        <v>99.855000000000004</v>
      </c>
      <c r="BB26" s="6">
        <v>7.9000000000000008E-3</v>
      </c>
      <c r="BC26" s="21" t="s">
        <v>17</v>
      </c>
      <c r="BD26" s="52">
        <f t="shared" ref="BD26:BD27" si="20">AV25</f>
        <v>41974</v>
      </c>
      <c r="BE26" s="6">
        <f t="shared" ref="BE26:BF27" si="21">BA25</f>
        <v>99.905000000000001</v>
      </c>
      <c r="BF26" s="6">
        <f t="shared" si="21"/>
        <v>5.5999999999999999E-3</v>
      </c>
    </row>
    <row r="27" spans="1:60" ht="11.25" customHeight="1">
      <c r="A27" s="7"/>
      <c r="D27" s="6"/>
      <c r="E27" s="128" t="b">
        <v>1</v>
      </c>
      <c r="F27" s="206" t="str">
        <f>IF($C$21,IF(LEN(AF35)&gt;0,AF35&amp;"x"&amp;(AF35+$AK$39),""),iText(H27,"mmm yy"))</f>
        <v>Sep 14</v>
      </c>
      <c r="G27" s="204">
        <f>IF(LEN(AF35)&gt;0,_xll.xlDateWorkFw($C$23,_xll.xlDateShiftMonth($C$25,AF35),$C$24),NA())</f>
        <v>41927</v>
      </c>
      <c r="H27" s="205">
        <f>_xll.xlDateNextFutLIFFE(C3)</f>
        <v>41899</v>
      </c>
      <c r="I27" s="78">
        <f>IF($C$21,100-AVERAGE(AG35:AH35),AVERAGE(Z35:AA35))</f>
        <v>99.995000000000005</v>
      </c>
      <c r="J27" s="49"/>
      <c r="K27" s="125">
        <v>4.0000000000000002E-4</v>
      </c>
      <c r="L27" s="49">
        <f t="shared" ref="L27:L38" si="22">IF(ISNUMBER(J27),J27,I27)+K27</f>
        <v>99.995400000000004</v>
      </c>
      <c r="M27" s="16">
        <v>1</v>
      </c>
      <c r="N27" s="17">
        <f t="shared" ref="N27:N38" si="23">IF(E27,M27,"")</f>
        <v>1</v>
      </c>
      <c r="O27" s="44">
        <f>IF($S$26&gt;0,1,"")</f>
        <v>1</v>
      </c>
      <c r="P27" s="17">
        <f t="shared" ref="P27:P38" si="24">IF(LEN(O27)&gt;0,SMALL($N$27:$N$38,O27),"")</f>
        <v>1</v>
      </c>
      <c r="Q27" s="7"/>
      <c r="R27" s="45">
        <f>IF(LEN(P27)&gt;0,IF($C$21,INDEX($G$27:$G$38,$P27),INDEX($H$27:$H$38,$P27)),"")</f>
        <v>41899</v>
      </c>
      <c r="S27" s="40">
        <f t="shared" ref="S27:S32" si="25">IF(LEN(P27)&gt;0,INDEX($L$27:$L$38,$P27),"")</f>
        <v>99.995400000000004</v>
      </c>
      <c r="U27" s="133">
        <v>52855</v>
      </c>
      <c r="V27" s="134">
        <v>0.62558167794582431</v>
      </c>
      <c r="Y27" s="67" t="s">
        <v>68</v>
      </c>
      <c r="Z27" s="67" t="str">
        <f>_xll.RtGet($AD$26,$AD$27&amp;$Y27&amp;$AD$28,Z$26)</f>
        <v>#N/A</v>
      </c>
      <c r="AA27" s="68" t="str">
        <f>_xll.RtGet($AD$26,$AD$27&amp;$Y27&amp;$AD$28,AA$26)</f>
        <v>#N/A</v>
      </c>
      <c r="AC27" s="18" t="s">
        <v>20</v>
      </c>
      <c r="AD27" s="19"/>
      <c r="AN27" s="6">
        <f>_xll.xlShmInterpDisc(CurveName,DATE(YEAR(AU27)+IF(YEAR(AU27)&lt;2000,100,0),MONTH(AU27),DAY(AU27)))</f>
        <v>1.0008953025159915</v>
      </c>
      <c r="AO27" s="215">
        <f>_xll.xlShmInterpRate(CurveName,$AO$2,$C$50,DATE(YEAR(AU27)+IF(YEAR(AU27)&lt;2000,100,0),MONTH(AU27),DAY(AU27)))*100</f>
        <v>-8.3326331553088578E-2</v>
      </c>
      <c r="AP27" s="6">
        <f t="shared" si="6"/>
        <v>2.7121034315064074E-3</v>
      </c>
      <c r="AQ27" s="215">
        <f t="shared" si="10"/>
        <v>-0.17375350518923266</v>
      </c>
      <c r="AR27" s="8" t="s">
        <v>72</v>
      </c>
      <c r="AS27" s="52">
        <v>41555</v>
      </c>
      <c r="AT27" s="8" t="s">
        <v>158</v>
      </c>
      <c r="AU27" s="52">
        <v>42285</v>
      </c>
      <c r="AV27" s="52" t="s">
        <v>43</v>
      </c>
      <c r="AW27" s="6">
        <v>0.99818319908448505</v>
      </c>
      <c r="AX27" s="6">
        <v>9.0427173636144095E-2</v>
      </c>
      <c r="BA27" s="6">
        <v>8.2500000000000004E-2</v>
      </c>
      <c r="BB27" s="6">
        <v>0</v>
      </c>
      <c r="BC27" s="21" t="s">
        <v>17</v>
      </c>
      <c r="BD27" s="52">
        <f t="shared" si="20"/>
        <v>42064</v>
      </c>
      <c r="BE27" s="6">
        <f t="shared" si="21"/>
        <v>99.855000000000004</v>
      </c>
      <c r="BF27" s="6">
        <f t="shared" si="21"/>
        <v>7.9000000000000008E-3</v>
      </c>
    </row>
    <row r="28" spans="1:60" ht="11.25" customHeight="1">
      <c r="A28" s="7"/>
      <c r="D28" s="6"/>
      <c r="E28" s="129" t="b">
        <v>1</v>
      </c>
      <c r="F28" s="207" t="str">
        <f>IF($C$21,IF(LEN(AF36)&gt;0,AF36&amp;"x"&amp;(AF36+$AK$39),""),iText(H28,"mmm yy"))</f>
        <v>Dec 14</v>
      </c>
      <c r="G28" s="204">
        <f>IF(LEN(AF36)&gt;0,_xll.xlDateWorkFw($C$23,_xll.xlDateShiftMonth($C$25,AF36),$C$24),NA())</f>
        <v>41960</v>
      </c>
      <c r="H28" s="204">
        <f>_xll.xlDateNextFutLIFFE(H27)</f>
        <v>41990</v>
      </c>
      <c r="I28" s="79">
        <f t="shared" ref="I28:I38" si="26">IF($C$21,100-AVERAGE(AG36:AH36),AVERAGE(Z36:AA36))</f>
        <v>100.08500000000001</v>
      </c>
      <c r="J28" s="50"/>
      <c r="K28" s="127">
        <v>1.1999999999999999E-3</v>
      </c>
      <c r="L28" s="50">
        <f t="shared" si="22"/>
        <v>100.08620000000001</v>
      </c>
      <c r="M28" s="29">
        <f t="shared" ref="M28:M38" si="27">M27+1</f>
        <v>2</v>
      </c>
      <c r="N28" s="30">
        <f t="shared" si="23"/>
        <v>2</v>
      </c>
      <c r="O28" s="29">
        <f t="shared" ref="O28:O38" si="28">IF(O27&lt;$S$26,O27+1,"")</f>
        <v>2</v>
      </c>
      <c r="P28" s="30">
        <f t="shared" si="24"/>
        <v>2</v>
      </c>
      <c r="Q28" s="7"/>
      <c r="R28" s="34">
        <f t="shared" ref="R28:R38" si="29">IF(LEN(P28)&gt;0,IF($C$21,INDEX($G$27:$G$38,$P28),INDEX($H$27:$H$38,$P28)),"")</f>
        <v>41990</v>
      </c>
      <c r="S28" s="41">
        <f t="shared" si="25"/>
        <v>100.08620000000001</v>
      </c>
      <c r="U28" s="133" t="e">
        <v>#N/A</v>
      </c>
      <c r="V28" s="134" t="e">
        <v>#N/A</v>
      </c>
      <c r="AC28" s="24" t="s">
        <v>24</v>
      </c>
      <c r="AD28" s="25"/>
      <c r="AN28" s="6">
        <f>_xll.xlShmInterpDisc(CurveName,DATE(YEAR(AU28)+IF(YEAR(AU28)&lt;2000,100,0),MONTH(AU28),DAY(AU28)))</f>
        <v>1.001853105226451</v>
      </c>
      <c r="AO28" s="215">
        <f>_xll.xlShmInterpRate(CurveName,$AO$2,$C$50,DATE(YEAR(AU28)+IF(YEAR(AU28)&lt;2000,100,0),MONTH(AU28),DAY(AU28)))*100</f>
        <v>-8.8915457368362968E-2</v>
      </c>
      <c r="AP28" s="6">
        <f t="shared" si="6"/>
        <v>8.4646769078989825E-3</v>
      </c>
      <c r="AQ28" s="215">
        <f t="shared" si="10"/>
        <v>-0.308628397715148</v>
      </c>
      <c r="AR28" s="8" t="s">
        <v>72</v>
      </c>
      <c r="AS28" s="52">
        <v>41555</v>
      </c>
      <c r="AT28" s="8" t="s">
        <v>158</v>
      </c>
      <c r="AU28" s="52">
        <v>42653</v>
      </c>
      <c r="AV28" s="52" t="s">
        <v>44</v>
      </c>
      <c r="AW28" s="6">
        <v>0.99338842831855201</v>
      </c>
      <c r="AX28" s="6">
        <v>0.21971294034678501</v>
      </c>
      <c r="BA28" s="6">
        <v>0.215</v>
      </c>
      <c r="BB28" s="6">
        <v>0</v>
      </c>
      <c r="BC28" s="21" t="s">
        <v>17</v>
      </c>
      <c r="BD28" s="52"/>
      <c r="BG28"/>
      <c r="BH28"/>
    </row>
    <row r="29" spans="1:60" ht="11.25" customHeight="1">
      <c r="A29" s="7"/>
      <c r="B29" s="231" t="s">
        <v>142</v>
      </c>
      <c r="C29" s="232"/>
      <c r="D29" s="6"/>
      <c r="E29" s="129" t="b">
        <v>1</v>
      </c>
      <c r="F29" s="207" t="str">
        <f>IF($C$21,IF(LEN(AF37)&gt;0,AF37&amp;"x"&amp;(AF37+$AK$39),""),iText(H29,"mmm yy"))</f>
        <v>Mar 15</v>
      </c>
      <c r="G29" s="204">
        <f>IF(LEN(AF37)&gt;0,_xll.xlDateWorkFw($C$23,_xll.xlDateShiftMonth($C$25,AF37),$C$24),NA())</f>
        <v>41988</v>
      </c>
      <c r="H29" s="204">
        <f>_xll.xlDateNextFutLIFFE(H28)</f>
        <v>42081</v>
      </c>
      <c r="I29" s="79">
        <f t="shared" si="26"/>
        <v>100.11500000000001</v>
      </c>
      <c r="J29" s="50"/>
      <c r="K29" s="127">
        <v>2.3E-3</v>
      </c>
      <c r="L29" s="50">
        <f t="shared" si="22"/>
        <v>100.11730000000001</v>
      </c>
      <c r="M29" s="29">
        <f t="shared" si="27"/>
        <v>3</v>
      </c>
      <c r="N29" s="30">
        <f t="shared" si="23"/>
        <v>3</v>
      </c>
      <c r="O29" s="29">
        <f t="shared" si="28"/>
        <v>3</v>
      </c>
      <c r="P29" s="30">
        <f t="shared" si="24"/>
        <v>3</v>
      </c>
      <c r="Q29" s="7"/>
      <c r="R29" s="34">
        <f t="shared" si="29"/>
        <v>42081</v>
      </c>
      <c r="S29" s="41">
        <f t="shared" si="25"/>
        <v>100.11730000000001</v>
      </c>
      <c r="U29" s="133" t="e">
        <v>#N/A</v>
      </c>
      <c r="V29" s="134" t="e">
        <v>#N/A</v>
      </c>
      <c r="Y29" s="27"/>
      <c r="Z29" s="27"/>
      <c r="AA29" s="27"/>
      <c r="AB29"/>
      <c r="AC29"/>
      <c r="AD29"/>
      <c r="AN29" s="6">
        <f>_xll.xlShmInterpDisc(CurveName,DATE(YEAR(AU29)+IF(YEAR(AU29)&lt;2000,100,0),MONTH(AU29),DAY(AU29)))</f>
        <v>1.0015182983633091</v>
      </c>
      <c r="AO29" s="215">
        <f>_xll.xlShmInterpRate(CurveName,$AO$2,$C$50,DATE(YEAR(AU29)+IF(YEAR(AU29)&lt;2000,100,0),MONTH(AU29),DAY(AU29)))*100</f>
        <v>-4.9266781450149698E-2</v>
      </c>
      <c r="AP29" s="6">
        <f t="shared" si="6"/>
        <v>1.749951866793209E-2</v>
      </c>
      <c r="AQ29" s="215">
        <f t="shared" si="10"/>
        <v>-0.45037581455650766</v>
      </c>
      <c r="AR29" s="8" t="s">
        <v>72</v>
      </c>
      <c r="AS29" s="52">
        <v>41555</v>
      </c>
      <c r="AT29" s="8" t="s">
        <v>158</v>
      </c>
      <c r="AU29" s="52">
        <v>43017</v>
      </c>
      <c r="AV29" s="52" t="s">
        <v>45</v>
      </c>
      <c r="AW29" s="6">
        <v>0.98401877969537699</v>
      </c>
      <c r="AX29" s="6">
        <v>0.40110903310635798</v>
      </c>
      <c r="BA29" s="6">
        <v>0.39750000000000002</v>
      </c>
      <c r="BB29" s="6">
        <v>0</v>
      </c>
      <c r="BC29" s="21" t="s">
        <v>17</v>
      </c>
      <c r="BD29" s="52"/>
      <c r="BG29"/>
      <c r="BH29"/>
    </row>
    <row r="30" spans="1:60" ht="11.25" customHeight="1">
      <c r="A30" s="7"/>
      <c r="B30" s="88" t="s">
        <v>85</v>
      </c>
      <c r="C30" s="94">
        <v>231</v>
      </c>
      <c r="D30" s="6"/>
      <c r="E30" s="129" t="b">
        <v>1</v>
      </c>
      <c r="F30" s="207" t="str">
        <f>IF($C$21,IF(LEN(AF38)&gt;0,AF38&amp;"x"&amp;(AF38+$AK$39),""),iText(H30,"mmm yy"))</f>
        <v>Jun 15</v>
      </c>
      <c r="G30" s="204">
        <f>IF(LEN(AF38)&gt;0,_xll.xlDateWorkFw($C$23,_xll.xlDateShiftMonth($C$25,AF38),$C$24),NA())</f>
        <v>42079</v>
      </c>
      <c r="H30" s="204">
        <f>_xll.xlDateNextFutLIFFE(H29)</f>
        <v>42172</v>
      </c>
      <c r="I30" s="79">
        <f t="shared" si="26"/>
        <v>100.125</v>
      </c>
      <c r="J30" s="50"/>
      <c r="K30" s="127">
        <v>3.8E-3</v>
      </c>
      <c r="L30" s="50">
        <f t="shared" si="22"/>
        <v>100.1288</v>
      </c>
      <c r="M30" s="29">
        <f t="shared" si="27"/>
        <v>4</v>
      </c>
      <c r="N30" s="30">
        <f t="shared" si="23"/>
        <v>4</v>
      </c>
      <c r="O30" s="29">
        <f t="shared" si="28"/>
        <v>4</v>
      </c>
      <c r="P30" s="30">
        <f t="shared" si="24"/>
        <v>4</v>
      </c>
      <c r="Q30" s="7"/>
      <c r="R30" s="34">
        <f t="shared" si="29"/>
        <v>42172</v>
      </c>
      <c r="S30" s="41">
        <f t="shared" si="25"/>
        <v>100.1288</v>
      </c>
      <c r="U30" s="133" t="e">
        <v>#N/A</v>
      </c>
      <c r="V30" s="134" t="e">
        <v>#N/A</v>
      </c>
      <c r="Y30" s="10" t="s">
        <v>69</v>
      </c>
      <c r="Z30" s="192" t="s">
        <v>220</v>
      </c>
      <c r="AA30" s="192" t="s">
        <v>221</v>
      </c>
      <c r="AC30" s="13" t="s">
        <v>14</v>
      </c>
      <c r="AD30" s="71" t="s">
        <v>62</v>
      </c>
      <c r="AN30" s="6">
        <f>_xll.xlShmInterpDisc(CurveName,DATE(YEAR(AU30)+IF(YEAR(AU30)&lt;2000,100,0),MONTH(AU30),DAY(AU30)))</f>
        <v>0.99872150076877297</v>
      </c>
      <c r="AO30" s="215">
        <f>_xll.xlShmInterpRate(CurveName,$AO$2,$C$50,DATE(YEAR(AU30)+IF(YEAR(AU30)&lt;2000,100,0),MONTH(AU30),DAY(AU30)))*100</f>
        <v>3.1381100883793776E-2</v>
      </c>
      <c r="AP30" s="6">
        <f t="shared" si="6"/>
        <v>2.8685890346317966E-2</v>
      </c>
      <c r="AQ30" s="215">
        <f t="shared" si="10"/>
        <v>-0.57540639527672421</v>
      </c>
      <c r="AR30" s="8" t="s">
        <v>72</v>
      </c>
      <c r="AS30" s="52">
        <v>41555</v>
      </c>
      <c r="AT30" s="8" t="s">
        <v>158</v>
      </c>
      <c r="AU30" s="52">
        <v>43381</v>
      </c>
      <c r="AV30" s="52" t="s">
        <v>46</v>
      </c>
      <c r="AW30" s="6">
        <v>0.97003561042245501</v>
      </c>
      <c r="AX30" s="6">
        <v>0.60678749616051797</v>
      </c>
      <c r="BA30" s="6">
        <v>0.60250000000000004</v>
      </c>
      <c r="BB30" s="6">
        <v>0</v>
      </c>
      <c r="BC30" s="21" t="s">
        <v>17</v>
      </c>
      <c r="BD30" s="52"/>
      <c r="BF30"/>
      <c r="BG30"/>
      <c r="BH30"/>
    </row>
    <row r="31" spans="1:60" ht="11.25" customHeight="1">
      <c r="A31" s="6"/>
      <c r="B31" s="89" t="s">
        <v>144</v>
      </c>
      <c r="C31" s="96" t="b">
        <v>1</v>
      </c>
      <c r="D31" s="6"/>
      <c r="E31" s="129" t="b">
        <v>1</v>
      </c>
      <c r="F31" s="207" t="str">
        <f>IF($C$21,IF(LEN(AF39)&gt;0,AF39&amp;"x"&amp;(AF39+$AK$39),""),iText(H31,"mmm yy"))</f>
        <v>Sep 15</v>
      </c>
      <c r="G31" s="204">
        <f>IF(LEN(AF39)&gt;0,_xll.xlDateWorkFw($C$23,_xll.xlDateShiftMonth($C$25,AF39),$C$24),NA())</f>
        <v>42170</v>
      </c>
      <c r="H31" s="204">
        <f>_xll.xlDateNextFutLIFFE(H30)</f>
        <v>42263</v>
      </c>
      <c r="I31" s="79">
        <f t="shared" si="26"/>
        <v>100.125</v>
      </c>
      <c r="J31" s="50"/>
      <c r="K31" s="127">
        <v>5.5999999999999999E-3</v>
      </c>
      <c r="L31" s="50">
        <f t="shared" si="22"/>
        <v>100.1306</v>
      </c>
      <c r="M31" s="29">
        <f t="shared" si="27"/>
        <v>5</v>
      </c>
      <c r="N31" s="30">
        <f t="shared" si="23"/>
        <v>5</v>
      </c>
      <c r="O31" s="29">
        <f t="shared" si="28"/>
        <v>5</v>
      </c>
      <c r="P31" s="30">
        <f t="shared" si="24"/>
        <v>5</v>
      </c>
      <c r="Q31" s="7"/>
      <c r="R31" s="34">
        <f t="shared" si="29"/>
        <v>42263</v>
      </c>
      <c r="S31" s="41">
        <f t="shared" si="25"/>
        <v>100.1306</v>
      </c>
      <c r="T31"/>
      <c r="U31" s="133" t="e">
        <v>#N/A</v>
      </c>
      <c r="V31" s="134" t="e">
        <v>#N/A</v>
      </c>
      <c r="Y31" s="139">
        <v>3</v>
      </c>
      <c r="Z31" s="194">
        <f>_xll.RtGet($AD$30,$AD$31&amp;$Y31&amp;$AD$32,Z30)</f>
        <v>5.0000000000000001E-3</v>
      </c>
      <c r="AA31" s="210">
        <f>_xll.RtGet($AD$30,$AD$31&amp;$Y31&amp;$AD$32,AA30)</f>
        <v>41893</v>
      </c>
      <c r="AC31" s="18" t="s">
        <v>20</v>
      </c>
      <c r="AD31" s="72" t="s">
        <v>150</v>
      </c>
      <c r="AN31" s="6">
        <f>_xll.xlShmInterpDisc(CurveName,DATE(YEAR(AU31)+IF(YEAR(AU31)&lt;2000,100,0),MONTH(AU31),DAY(AU31)))</f>
        <v>0.99289809281734998</v>
      </c>
      <c r="AO31" s="215">
        <f>_xll.xlShmInterpRate(CurveName,$AO$2,$C$50,DATE(YEAR(AU31)+IF(YEAR(AU31)&lt;2000,100,0),MONTH(AU31),DAY(AU31)))*100</f>
        <v>0.14039097162394579</v>
      </c>
      <c r="AP31" s="6">
        <f t="shared" si="6"/>
        <v>4.0982056732398964E-2</v>
      </c>
      <c r="AQ31" s="215">
        <f t="shared" si="10"/>
        <v>-0.67904559314160629</v>
      </c>
      <c r="AR31" s="8" t="s">
        <v>72</v>
      </c>
      <c r="AS31" s="52">
        <v>41555</v>
      </c>
      <c r="AT31" s="8" t="s">
        <v>158</v>
      </c>
      <c r="AU31" s="52">
        <v>43746</v>
      </c>
      <c r="AV31" s="52" t="s">
        <v>47</v>
      </c>
      <c r="AW31" s="6">
        <v>0.95191603608495101</v>
      </c>
      <c r="AX31" s="6">
        <v>0.81943656476555204</v>
      </c>
      <c r="BA31" s="6">
        <v>0.8125</v>
      </c>
      <c r="BB31" s="6">
        <v>0</v>
      </c>
      <c r="BC31" s="21" t="s">
        <v>17</v>
      </c>
      <c r="BD31" s="52"/>
      <c r="BF31"/>
      <c r="BG31"/>
      <c r="BH31"/>
    </row>
    <row r="32" spans="1:60" ht="11.25" customHeight="1">
      <c r="A32" s="6"/>
      <c r="B32" s="120" t="s">
        <v>90</v>
      </c>
      <c r="C32" s="94" t="s">
        <v>127</v>
      </c>
      <c r="D32" s="6"/>
      <c r="E32" s="129" t="b">
        <v>1</v>
      </c>
      <c r="F32" s="207" t="str">
        <f>IF($C$21,IF(LEN(AF40)&gt;0,AF40&amp;"x"&amp;(AF40+$AK$39),""),iText(H32,"mmm yy"))</f>
        <v>Dec 15</v>
      </c>
      <c r="G32" s="204" t="e">
        <f>IF(LEN(AF40)&gt;0,_xll.xlDateWorkFw($C$23,_xll.xlDateShiftMonth($C$25,AF40),$C$24),NA())</f>
        <v>#N/A</v>
      </c>
      <c r="H32" s="204">
        <f>_xll.xlDateNextFutLIFFE(H31)</f>
        <v>42354</v>
      </c>
      <c r="I32" s="79">
        <f t="shared" si="26"/>
        <v>100.11500000000001</v>
      </c>
      <c r="J32" s="50"/>
      <c r="K32" s="127">
        <v>7.9000000000000008E-3</v>
      </c>
      <c r="L32" s="50">
        <f t="shared" si="22"/>
        <v>100.12290000000002</v>
      </c>
      <c r="M32" s="29">
        <f t="shared" si="27"/>
        <v>6</v>
      </c>
      <c r="N32" s="30">
        <f t="shared" si="23"/>
        <v>6</v>
      </c>
      <c r="O32" s="29">
        <f t="shared" si="28"/>
        <v>6</v>
      </c>
      <c r="P32" s="30">
        <f t="shared" si="24"/>
        <v>6</v>
      </c>
      <c r="Q32" s="7"/>
      <c r="R32" s="34">
        <f t="shared" si="29"/>
        <v>42354</v>
      </c>
      <c r="S32" s="41">
        <f t="shared" si="25"/>
        <v>100.12290000000002</v>
      </c>
      <c r="T32"/>
      <c r="U32" s="133" t="e">
        <v>#N/A</v>
      </c>
      <c r="V32" s="134" t="e">
        <v>#N/A</v>
      </c>
      <c r="AC32" s="24" t="s">
        <v>24</v>
      </c>
      <c r="AD32" s="73" t="s">
        <v>224</v>
      </c>
      <c r="AN32" s="6">
        <f>_xll.xlShmInterpDisc(CurveName,DATE(YEAR(AU32)+IF(YEAR(AU32)&lt;2000,100,0),MONTH(AU32),DAY(AU32)))</f>
        <v>0.98376379264025648</v>
      </c>
      <c r="AO32" s="215">
        <f>_xll.xlShmInterpRate(CurveName,$AO$2,$C$50,DATE(YEAR(AU32)+IF(YEAR(AU32)&lt;2000,100,0),MONTH(AU32),DAY(AU32)))*100</f>
        <v>0.26925878727768771</v>
      </c>
      <c r="AP32" s="6">
        <f t="shared" si="6"/>
        <v>5.289663552531354E-2</v>
      </c>
      <c r="AQ32" s="215">
        <f t="shared" si="10"/>
        <v>-0.75175353597043237</v>
      </c>
      <c r="AR32" s="8" t="s">
        <v>72</v>
      </c>
      <c r="AS32" s="52">
        <v>41555</v>
      </c>
      <c r="AT32" s="8" t="s">
        <v>158</v>
      </c>
      <c r="AU32" s="52">
        <v>44112</v>
      </c>
      <c r="AV32" s="52" t="s">
        <v>48</v>
      </c>
      <c r="AW32" s="6">
        <v>0.93086715711494294</v>
      </c>
      <c r="AX32" s="6">
        <v>1.0210123232481201</v>
      </c>
      <c r="BA32" s="6">
        <v>1.01</v>
      </c>
      <c r="BB32" s="6">
        <v>0</v>
      </c>
      <c r="BC32" s="21" t="s">
        <v>17</v>
      </c>
      <c r="BD32" s="52"/>
      <c r="BF32"/>
      <c r="BG32"/>
      <c r="BH32"/>
    </row>
    <row r="33" spans="1:60" ht="11.25" customHeight="1">
      <c r="A33" s="6"/>
      <c r="B33" s="121" t="s">
        <v>84</v>
      </c>
      <c r="C33" s="95" t="s">
        <v>12</v>
      </c>
      <c r="D33" s="6"/>
      <c r="E33" s="129" t="b">
        <v>0</v>
      </c>
      <c r="F33" s="207" t="str">
        <f>IF($C$21,IF(LEN(AF41)&gt;0,AF41&amp;"x"&amp;(AF41+$AK$39),""),iText(H33,"mmm yy"))</f>
        <v>Mar 16</v>
      </c>
      <c r="G33" s="204" t="e">
        <f>IF(LEN(AF41)&gt;0,_xll.xlDateWorkFw($C$23,_xll.xlDateShiftMonth($C$25,AF41),$C$24),NA())</f>
        <v>#N/A</v>
      </c>
      <c r="H33" s="204">
        <f>_xll.xlDateNextFutLIFFE(H32)</f>
        <v>42445</v>
      </c>
      <c r="I33" s="79">
        <f t="shared" si="26"/>
        <v>100.09</v>
      </c>
      <c r="J33" s="50"/>
      <c r="K33" s="127"/>
      <c r="L33" s="50">
        <f t="shared" si="22"/>
        <v>100.09</v>
      </c>
      <c r="M33" s="29">
        <f t="shared" si="27"/>
        <v>7</v>
      </c>
      <c r="N33" s="30" t="str">
        <f t="shared" si="23"/>
        <v/>
      </c>
      <c r="O33" s="29" t="str">
        <f t="shared" si="28"/>
        <v/>
      </c>
      <c r="P33" s="30" t="str">
        <f t="shared" si="24"/>
        <v/>
      </c>
      <c r="Q33" s="7"/>
      <c r="R33" s="34" t="str">
        <f t="shared" si="29"/>
        <v/>
      </c>
      <c r="S33" s="41"/>
      <c r="T33"/>
      <c r="U33" s="133" t="e">
        <v>#N/A</v>
      </c>
      <c r="V33" s="134" t="e">
        <v>#N/A</v>
      </c>
      <c r="AN33" s="6">
        <f>_xll.xlShmInterpDisc(CurveName,DATE(YEAR(AU33)+IF(YEAR(AU33)&lt;2000,100,0),MONTH(AU33),DAY(AU33)))</f>
        <v>0.97169571153823542</v>
      </c>
      <c r="AO33" s="215">
        <f>_xll.xlShmInterpRate(CurveName,$AO$2,$C$50,DATE(YEAR(AU33)+IF(YEAR(AU33)&lt;2000,100,0),MONTH(AU33),DAY(AU33)))*100</f>
        <v>0.40557626895552595</v>
      </c>
      <c r="AP33" s="6">
        <f t="shared" si="6"/>
        <v>6.3348309902697464E-2</v>
      </c>
      <c r="AQ33" s="215">
        <f t="shared" si="10"/>
        <v>-0.79356440128735395</v>
      </c>
      <c r="AR33" s="8" t="s">
        <v>72</v>
      </c>
      <c r="AS33" s="52">
        <v>41555</v>
      </c>
      <c r="AT33" s="8" t="s">
        <v>158</v>
      </c>
      <c r="AU33" s="52">
        <v>44477</v>
      </c>
      <c r="AV33" s="52" t="s">
        <v>49</v>
      </c>
      <c r="AW33" s="6">
        <v>0.90834740163553795</v>
      </c>
      <c r="AX33" s="6">
        <v>1.19914067024288</v>
      </c>
      <c r="BA33" s="6">
        <v>1.1825000000000001</v>
      </c>
      <c r="BB33" s="6">
        <v>0</v>
      </c>
      <c r="BC33" s="21" t="s">
        <v>17</v>
      </c>
      <c r="BD33" s="52"/>
      <c r="BF33"/>
      <c r="BG33"/>
      <c r="BH33"/>
    </row>
    <row r="34" spans="1:60" ht="11.25" customHeight="1">
      <c r="A34" s="7"/>
      <c r="B34" s="122" t="s">
        <v>83</v>
      </c>
      <c r="C34" s="96" t="s">
        <v>29</v>
      </c>
      <c r="D34" s="6"/>
      <c r="E34" s="129" t="b">
        <v>0</v>
      </c>
      <c r="F34" s="207" t="str">
        <f>IF($C$21,IF(LEN(AF42)&gt;0,AF42&amp;"x"&amp;(AF42+$AK$39),""),iText(H34,"mmm yy"))</f>
        <v>Jun 16</v>
      </c>
      <c r="G34" s="204" t="e">
        <f>IF(LEN(AF42)&gt;0,_xll.xlDateWorkFw($C$23,_xll.xlDateShiftMonth($C$25,AF42),$C$24),NA())</f>
        <v>#N/A</v>
      </c>
      <c r="H34" s="204">
        <f>_xll.xlDateNextFutLIFFE(H33)</f>
        <v>42536</v>
      </c>
      <c r="I34" s="79">
        <f t="shared" si="26"/>
        <v>100.065</v>
      </c>
      <c r="J34" s="50"/>
      <c r="K34" s="127"/>
      <c r="L34" s="50">
        <f t="shared" si="22"/>
        <v>100.065</v>
      </c>
      <c r="M34" s="29">
        <f t="shared" si="27"/>
        <v>8</v>
      </c>
      <c r="N34" s="30" t="str">
        <f t="shared" si="23"/>
        <v/>
      </c>
      <c r="O34" s="29" t="str">
        <f t="shared" si="28"/>
        <v/>
      </c>
      <c r="P34" s="30" t="str">
        <f t="shared" si="24"/>
        <v/>
      </c>
      <c r="Q34" s="7"/>
      <c r="R34" s="34" t="str">
        <f t="shared" si="29"/>
        <v/>
      </c>
      <c r="S34" s="41"/>
      <c r="T34"/>
      <c r="U34" s="133" t="e">
        <v>#N/A</v>
      </c>
      <c r="V34" s="134" t="e">
        <v>#N/A</v>
      </c>
      <c r="Y34" s="10" t="s">
        <v>79</v>
      </c>
      <c r="Z34" s="11" t="s">
        <v>5</v>
      </c>
      <c r="AA34" s="12" t="s">
        <v>6</v>
      </c>
      <c r="AF34" s="10" t="s">
        <v>217</v>
      </c>
      <c r="AG34" s="11" t="s">
        <v>5</v>
      </c>
      <c r="AH34" s="12" t="s">
        <v>6</v>
      </c>
      <c r="AN34" s="6">
        <f>_xll.xlShmInterpDisc(CurveName,DATE(YEAR(AU34)+IF(YEAR(AU34)&lt;2000,100,0),MONTH(AU34),DAY(AU34)))</f>
        <v>0.95722643151075137</v>
      </c>
      <c r="AO34" s="215">
        <f>_xll.xlShmInterpRate(CurveName,$AO$2,$C$50,DATE(YEAR(AU34)+IF(YEAR(AU34)&lt;2000,100,0),MONTH(AU34),DAY(AU34)))*100</f>
        <v>0.54070105515986799</v>
      </c>
      <c r="AP34" s="6">
        <f t="shared" si="6"/>
        <v>7.17019136460324E-2</v>
      </c>
      <c r="AQ34" s="215">
        <f t="shared" si="10"/>
        <v>-0.806852054589002</v>
      </c>
      <c r="AR34" s="8" t="s">
        <v>72</v>
      </c>
      <c r="AS34" s="52">
        <v>41555</v>
      </c>
      <c r="AT34" s="8" t="s">
        <v>158</v>
      </c>
      <c r="AU34" s="52">
        <v>44844</v>
      </c>
      <c r="AV34" s="52" t="s">
        <v>50</v>
      </c>
      <c r="AW34" s="6">
        <v>0.88552451786471897</v>
      </c>
      <c r="AX34" s="6">
        <v>1.34755310974887</v>
      </c>
      <c r="BA34" s="6">
        <v>1.325</v>
      </c>
      <c r="BB34" s="6">
        <v>0</v>
      </c>
      <c r="BC34" s="21" t="s">
        <v>17</v>
      </c>
      <c r="BD34" s="52"/>
      <c r="BF34"/>
      <c r="BG34"/>
      <c r="BH34"/>
    </row>
    <row r="35" spans="1:60" ht="11.25" customHeight="1">
      <c r="A35" s="7"/>
      <c r="B35" s="104" t="s">
        <v>93</v>
      </c>
      <c r="C35" s="98">
        <f>IF(C21,AK39,AD39)</f>
        <v>3</v>
      </c>
      <c r="D35" s="6"/>
      <c r="E35" s="129" t="b">
        <v>0</v>
      </c>
      <c r="F35" s="207" t="str">
        <f>IF($C$21,IF(LEN(AF43)&gt;0,AF43&amp;"x"&amp;(AF43+$AK$39),""),iText(H35,"mmm yy"))</f>
        <v>Sep 16</v>
      </c>
      <c r="G35" s="204" t="e">
        <f>IF(LEN(AF43)&gt;0,_xll.xlDateWorkFw($C$23,_xll.xlDateShiftMonth($C$25,AF43),$C$24),NA())</f>
        <v>#N/A</v>
      </c>
      <c r="H35" s="204">
        <f>_xll.xlDateNextFutLIFFE(H34)</f>
        <v>42634</v>
      </c>
      <c r="I35" s="79">
        <f t="shared" si="26"/>
        <v>100.035</v>
      </c>
      <c r="J35" s="50"/>
      <c r="K35" s="127"/>
      <c r="L35" s="50">
        <f t="shared" si="22"/>
        <v>100.035</v>
      </c>
      <c r="M35" s="29">
        <f t="shared" si="27"/>
        <v>9</v>
      </c>
      <c r="N35" s="30" t="str">
        <f t="shared" si="23"/>
        <v/>
      </c>
      <c r="O35" s="29" t="str">
        <f t="shared" si="28"/>
        <v/>
      </c>
      <c r="P35" s="30" t="str">
        <f t="shared" si="24"/>
        <v/>
      </c>
      <c r="Q35" s="7"/>
      <c r="R35" s="34" t="str">
        <f t="shared" si="29"/>
        <v/>
      </c>
      <c r="S35" s="41"/>
      <c r="U35" s="133" t="e">
        <v>#N/A</v>
      </c>
      <c r="V35" s="134" t="e">
        <v>#N/A</v>
      </c>
      <c r="Y35" s="31" t="str">
        <f>_xll.xlFutCode(H27)</f>
        <v>U4</v>
      </c>
      <c r="Z35" s="16">
        <f>_xll.RtGet($AD$35,$AD$36&amp;$Y35&amp;$AD$37,Z$34)</f>
        <v>99.99</v>
      </c>
      <c r="AA35" s="17">
        <f>_xll.RtGet($AD$35,$AD$36&amp;$Y35&amp;$AD$37,AA$34)</f>
        <v>100</v>
      </c>
      <c r="AC35" s="13" t="s">
        <v>14</v>
      </c>
      <c r="AD35" s="71" t="s">
        <v>62</v>
      </c>
      <c r="AF35" s="31">
        <v>1</v>
      </c>
      <c r="AG35" s="16">
        <f>_xll.RtGet($AK$35,$AK$36&amp;$AF35&amp;"X"&amp;($AF35+$AK$39)&amp;$AK$37,AG$34)</f>
        <v>-0.05</v>
      </c>
      <c r="AH35" s="17">
        <f>_xll.RtGet($AK$35,$AK$36&amp;$AF35&amp;"X"&amp;($AF35+$AK$39)&amp;$AK$37,AH$34)</f>
        <v>0</v>
      </c>
      <c r="AI35" s="6"/>
      <c r="AJ35" s="13" t="s">
        <v>14</v>
      </c>
      <c r="AK35" s="71" t="s">
        <v>62</v>
      </c>
      <c r="AN35" s="6">
        <f>_xll.xlShmInterpDisc(CurveName,DATE(YEAR(AU35)+IF(YEAR(AU35)&lt;2000,100,0),MONTH(AU35),DAY(AU35)))</f>
        <v>0.94118872414166299</v>
      </c>
      <c r="AO35" s="215">
        <f>_xll.xlShmInterpRate(CurveName,$AO$2,$C$50,DATE(YEAR(AU35)+IF(YEAR(AU35)&lt;2000,100,0),MONTH(AU35),DAY(AU35)))*100</f>
        <v>0.66736756901189742</v>
      </c>
      <c r="AP35" s="6">
        <f t="shared" ref="AP35:AP66" si="30">AN35-AW35</f>
        <v>7.7980846588982966E-2</v>
      </c>
      <c r="AQ35" s="215">
        <f t="shared" si="10"/>
        <v>-0.80081413097702248</v>
      </c>
      <c r="AR35" s="8" t="s">
        <v>72</v>
      </c>
      <c r="AS35" s="52">
        <v>41555</v>
      </c>
      <c r="AT35" s="8" t="s">
        <v>158</v>
      </c>
      <c r="AU35" s="52">
        <v>45208</v>
      </c>
      <c r="AV35" s="52" t="s">
        <v>51</v>
      </c>
      <c r="AW35" s="6">
        <v>0.86320787755268003</v>
      </c>
      <c r="AX35" s="6">
        <v>1.4681816999889199</v>
      </c>
      <c r="BA35" s="6">
        <v>1.44</v>
      </c>
      <c r="BB35" s="6">
        <v>0</v>
      </c>
      <c r="BC35" s="21" t="s">
        <v>17</v>
      </c>
      <c r="BD35" s="52"/>
      <c r="BF35"/>
      <c r="BG35"/>
      <c r="BH35"/>
    </row>
    <row r="36" spans="1:60" ht="11.25" customHeight="1">
      <c r="A36" s="7"/>
      <c r="B36" s="105" t="s">
        <v>95</v>
      </c>
      <c r="C36" s="99" t="s">
        <v>94</v>
      </c>
      <c r="D36" s="6"/>
      <c r="E36" s="129" t="b">
        <v>0</v>
      </c>
      <c r="F36" s="207" t="str">
        <f>IF($C$21,IF(LEN(AF44)&gt;0,AF44&amp;"x"&amp;(AF44+$AK$39),""),iText(H36,"mmm yy"))</f>
        <v>Dec 16</v>
      </c>
      <c r="G36" s="204" t="e">
        <f>IF(LEN(AF44)&gt;0,_xll.xlDateWorkFw($C$23,_xll.xlDateShiftMonth($C$25,AF44),$C$24),NA())</f>
        <v>#N/A</v>
      </c>
      <c r="H36" s="204">
        <f>_xll.xlDateNextFutLIFFE(H35)</f>
        <v>42725</v>
      </c>
      <c r="I36" s="79">
        <f t="shared" si="26"/>
        <v>99.995000000000005</v>
      </c>
      <c r="J36" s="50"/>
      <c r="K36" s="127"/>
      <c r="L36" s="50">
        <f t="shared" si="22"/>
        <v>99.995000000000005</v>
      </c>
      <c r="M36" s="29">
        <f t="shared" si="27"/>
        <v>10</v>
      </c>
      <c r="N36" s="30" t="str">
        <f t="shared" si="23"/>
        <v/>
      </c>
      <c r="O36" s="29" t="str">
        <f t="shared" si="28"/>
        <v/>
      </c>
      <c r="P36" s="30" t="str">
        <f t="shared" si="24"/>
        <v/>
      </c>
      <c r="Q36" s="7"/>
      <c r="R36" s="34" t="str">
        <f t="shared" si="29"/>
        <v/>
      </c>
      <c r="S36" s="41"/>
      <c r="U36" s="133" t="e">
        <v>#N/A</v>
      </c>
      <c r="V36" s="134" t="e">
        <v>#N/A</v>
      </c>
      <c r="Y36" s="32" t="str">
        <f>_xll.xlFutCode(H28)</f>
        <v>Z4</v>
      </c>
      <c r="Z36" s="29">
        <f>_xll.RtGet($AD$35,$AD$36&amp;$Y36&amp;$AD$37,Z$34)</f>
        <v>100.08</v>
      </c>
      <c r="AA36" s="30">
        <f>_xll.RtGet($AD$35,$AD$36&amp;$Y36&amp;$AD$37,AA$34)</f>
        <v>100.09</v>
      </c>
      <c r="AC36" s="18" t="s">
        <v>20</v>
      </c>
      <c r="AD36" s="72" t="s">
        <v>191</v>
      </c>
      <c r="AF36" s="32">
        <v>2</v>
      </c>
      <c r="AG36" s="29">
        <f>_xll.RtGet($AK$35,$AK$36&amp;$AF36&amp;"X"&amp;($AF36+$AK$39)&amp;$AK$37,AG$34)</f>
        <v>-8.5000000000000006E-2</v>
      </c>
      <c r="AH36" s="30">
        <f>_xll.RtGet($AK$35,$AK$36&amp;$AF36&amp;"X"&amp;($AF36+$AK$39)&amp;$AK$37,AH$34)</f>
        <v>-3.5000000000000003E-2</v>
      </c>
      <c r="AI36" s="6"/>
      <c r="AJ36" s="18" t="s">
        <v>20</v>
      </c>
      <c r="AK36" s="72" t="s">
        <v>150</v>
      </c>
      <c r="AN36" s="6">
        <f>_xll.xlShmInterpDisc(CurveName,DATE(YEAR(AU36)+IF(YEAR(AU36)&lt;2000,100,0),MONTH(AU36),DAY(AU36)))</f>
        <v>0.92461283995172605</v>
      </c>
      <c r="AO36" s="215">
        <f>_xll.xlShmInterpRate(CurveName,$AO$2,$C$50,DATE(YEAR(AU36)+IF(YEAR(AU36)&lt;2000,100,0),MONTH(AU36),DAY(AU36)))*100</f>
        <v>0.77741211627646001</v>
      </c>
      <c r="AP36" s="6">
        <f t="shared" si="30"/>
        <v>8.4059422132399031E-2</v>
      </c>
      <c r="AQ36" s="215">
        <f t="shared" si="10"/>
        <v>-0.79888306695401989</v>
      </c>
      <c r="AR36" s="8" t="s">
        <v>72</v>
      </c>
      <c r="AS36" s="52">
        <v>41555</v>
      </c>
      <c r="AT36" s="8" t="s">
        <v>158</v>
      </c>
      <c r="AU36" s="52">
        <v>45573</v>
      </c>
      <c r="AV36" s="52" t="s">
        <v>52</v>
      </c>
      <c r="AW36" s="6">
        <v>0.84055341781932702</v>
      </c>
      <c r="AX36" s="6">
        <v>1.5762951832304799</v>
      </c>
      <c r="BA36" s="6">
        <v>1.5425</v>
      </c>
      <c r="BB36" s="6">
        <v>0</v>
      </c>
      <c r="BC36" s="21" t="s">
        <v>17</v>
      </c>
      <c r="BD36" s="52"/>
      <c r="BF36"/>
      <c r="BG36"/>
      <c r="BH36"/>
    </row>
    <row r="37" spans="1:60" ht="11.25" customHeight="1">
      <c r="A37" s="6"/>
      <c r="B37" s="46" t="s">
        <v>96</v>
      </c>
      <c r="C37" s="100" t="s">
        <v>97</v>
      </c>
      <c r="D37" s="6"/>
      <c r="E37" s="129" t="b">
        <v>0</v>
      </c>
      <c r="F37" s="207" t="str">
        <f>IF($C$21,IF(LEN(AF45)&gt;0,AF45&amp;"x"&amp;(AF45+$AK$39),""),iText(H37,"mmm yy"))</f>
        <v>Mar 17</v>
      </c>
      <c r="G37" s="204" t="e">
        <f>IF(LEN(AF45)&gt;0,_xll.xlDateWorkFw($C$23,_xll.xlDateShiftMonth($C$25,AF45),$C$24),NA())</f>
        <v>#N/A</v>
      </c>
      <c r="H37" s="204">
        <f>_xll.xlDateNextFutLIFFE(H36)</f>
        <v>42809</v>
      </c>
      <c r="I37" s="79">
        <f t="shared" si="26"/>
        <v>99.960000000000008</v>
      </c>
      <c r="J37" s="50"/>
      <c r="K37" s="127"/>
      <c r="L37" s="50">
        <f t="shared" si="22"/>
        <v>99.960000000000008</v>
      </c>
      <c r="M37" s="29">
        <f t="shared" si="27"/>
        <v>11</v>
      </c>
      <c r="N37" s="30" t="str">
        <f t="shared" si="23"/>
        <v/>
      </c>
      <c r="O37" s="29" t="str">
        <f t="shared" si="28"/>
        <v/>
      </c>
      <c r="P37" s="30" t="str">
        <f t="shared" si="24"/>
        <v/>
      </c>
      <c r="Q37" s="7"/>
      <c r="R37" s="34" t="str">
        <f t="shared" si="29"/>
        <v/>
      </c>
      <c r="S37" s="41"/>
      <c r="U37" s="133" t="e">
        <v>#N/A</v>
      </c>
      <c r="V37" s="134" t="e">
        <v>#N/A</v>
      </c>
      <c r="Y37" s="32" t="str">
        <f>_xll.xlFutCode(H29)</f>
        <v>H5</v>
      </c>
      <c r="Z37" s="29">
        <f>_xll.RtGet($AD$35,$AD$36&amp;$Y37&amp;$AD$37,Z$34)</f>
        <v>100.11</v>
      </c>
      <c r="AA37" s="30">
        <f>_xll.RtGet($AD$35,$AD$36&amp;$Y37&amp;$AD$37,AA$34)</f>
        <v>100.12</v>
      </c>
      <c r="AC37" s="24" t="s">
        <v>24</v>
      </c>
      <c r="AD37" s="25"/>
      <c r="AF37" s="32">
        <v>3</v>
      </c>
      <c r="AG37" s="29">
        <f>_xll.RtGet($AK$35,$AK$36&amp;$AF37&amp;"X"&amp;($AF37+$AK$39)&amp;$AK$37,AG$34)</f>
        <v>-0.11</v>
      </c>
      <c r="AH37" s="30">
        <f>_xll.RtGet($AK$35,$AK$36&amp;$AF37&amp;"X"&amp;($AF37+$AK$39)&amp;$AK$37,AH$34)</f>
        <v>-0.06</v>
      </c>
      <c r="AI37" s="6"/>
      <c r="AJ37" s="24" t="s">
        <v>24</v>
      </c>
      <c r="AK37" s="25" t="s">
        <v>223</v>
      </c>
      <c r="AN37" s="6">
        <f>_xll.xlShmInterpDisc(CurveName,DATE(YEAR(AU37)+IF(YEAR(AU37)&lt;2000,100,0),MONTH(AU37),DAY(AU37)))</f>
        <v>0.90670936821422854</v>
      </c>
      <c r="AO37" s="215">
        <f>_xll.xlShmInterpRate(CurveName,$AO$2,$C$50,DATE(YEAR(AU37)+IF(YEAR(AU37)&lt;2000,100,0),MONTH(AU37),DAY(AU37)))*100</f>
        <v>0.88369985027346498</v>
      </c>
      <c r="AP37" s="6">
        <f t="shared" si="30"/>
        <v>8.8527532415887511E-2</v>
      </c>
      <c r="AQ37" s="215">
        <f t="shared" si="10"/>
        <v>-0.78588747557013505</v>
      </c>
      <c r="AR37" s="8" t="s">
        <v>72</v>
      </c>
      <c r="AS37" s="52">
        <v>41555</v>
      </c>
      <c r="AT37" s="8" t="s">
        <v>158</v>
      </c>
      <c r="AU37" s="52">
        <v>45938</v>
      </c>
      <c r="AV37" s="52" t="s">
        <v>53</v>
      </c>
      <c r="AW37" s="6">
        <v>0.81818183579834103</v>
      </c>
      <c r="AX37" s="6">
        <v>1.6695873258436</v>
      </c>
      <c r="BA37" s="6">
        <v>1.63</v>
      </c>
      <c r="BB37" s="6">
        <v>0</v>
      </c>
      <c r="BC37" s="21" t="s">
        <v>17</v>
      </c>
      <c r="BD37" s="52"/>
      <c r="BF37"/>
      <c r="BG37"/>
      <c r="BH37"/>
    </row>
    <row r="38" spans="1:60" ht="11.25" customHeight="1">
      <c r="A38" s="6"/>
      <c r="B38" s="47" t="s">
        <v>102</v>
      </c>
      <c r="C38" s="101"/>
      <c r="D38" s="6"/>
      <c r="E38" s="130" t="b">
        <v>0</v>
      </c>
      <c r="F38" s="208" t="str">
        <f>IF($C$21,IF(LEN(AF46)&gt;0,AF46&amp;"x"&amp;(AF46+$AK$39),""),iText(H38,"mmm yy"))</f>
        <v>Jun 17</v>
      </c>
      <c r="G38" s="204" t="e">
        <f>IF(LEN(AF46)&gt;0,_xll.xlDateWorkFw($C$23,_xll.xlDateShiftMonth($C$25,AF46),$C$24),NA())</f>
        <v>#N/A</v>
      </c>
      <c r="H38" s="204">
        <f>_xll.xlDateNextFutLIFFE(H37)</f>
        <v>42907</v>
      </c>
      <c r="I38" s="80">
        <f t="shared" si="26"/>
        <v>99.93</v>
      </c>
      <c r="J38" s="51"/>
      <c r="K38" s="126"/>
      <c r="L38" s="51">
        <f t="shared" si="22"/>
        <v>99.93</v>
      </c>
      <c r="M38" s="22">
        <f t="shared" si="27"/>
        <v>12</v>
      </c>
      <c r="N38" s="23" t="str">
        <f t="shared" si="23"/>
        <v/>
      </c>
      <c r="O38" s="22" t="str">
        <f t="shared" si="28"/>
        <v/>
      </c>
      <c r="P38" s="23" t="str">
        <f t="shared" si="24"/>
        <v/>
      </c>
      <c r="Q38" s="7"/>
      <c r="R38" s="195" t="str">
        <f t="shared" si="29"/>
        <v/>
      </c>
      <c r="S38" s="1"/>
      <c r="U38" s="133" t="e">
        <v>#N/A</v>
      </c>
      <c r="V38" s="134" t="e">
        <v>#N/A</v>
      </c>
      <c r="Y38" s="32" t="str">
        <f>_xll.xlFutCode(H30)</f>
        <v>M5</v>
      </c>
      <c r="Z38" s="29">
        <f>_xll.RtGet($AD$35,$AD$36&amp;$Y38&amp;$AD$37,Z$34)</f>
        <v>100.12</v>
      </c>
      <c r="AA38" s="30">
        <f>_xll.RtGet($AD$35,$AD$36&amp;$Y38&amp;$AD$37,AA$34)</f>
        <v>100.13</v>
      </c>
      <c r="AF38" s="32">
        <v>6</v>
      </c>
      <c r="AG38" s="29">
        <f>_xll.RtGet($AK$35,$AK$36&amp;$AF38&amp;"X"&amp;($AF38+$AK$39)&amp;$AK$37,AG$34)</f>
        <v>-0.14499999999999999</v>
      </c>
      <c r="AH38" s="30">
        <f>_xll.RtGet($AK$35,$AK$36&amp;$AF38&amp;"X"&amp;($AF38+$AK$39)&amp;$AK$37,AH$34)</f>
        <v>-9.5000000000000001E-2</v>
      </c>
      <c r="AI38" s="6"/>
      <c r="AJ38" s="6"/>
      <c r="AK38" s="6"/>
      <c r="AN38" s="6">
        <f>_xll.xlShmInterpDisc(CurveName,DATE(YEAR(AU38)+IF(YEAR(AU38)&lt;2000,100,0),MONTH(AU38),DAY(AU38)))</f>
        <v>0.85288742153853325</v>
      </c>
      <c r="AO38" s="215">
        <f>_xll.xlShmInterpRate(CurveName,$AO$2,$C$50,DATE(YEAR(AU38)+IF(YEAR(AU38)&lt;2000,100,0),MONTH(AU38),DAY(AU38)))*100</f>
        <v>1.1295530468382189</v>
      </c>
      <c r="AP38" s="6">
        <f t="shared" si="30"/>
        <v>9.6017877165612275E-2</v>
      </c>
      <c r="AQ38" s="215">
        <f t="shared" si="10"/>
        <v>-0.72449502155231116</v>
      </c>
      <c r="AR38" s="8" t="s">
        <v>72</v>
      </c>
      <c r="AS38" s="52">
        <v>41555</v>
      </c>
      <c r="AT38" s="8" t="s">
        <v>158</v>
      </c>
      <c r="AU38" s="52">
        <v>47035</v>
      </c>
      <c r="AV38" s="52" t="s">
        <v>54</v>
      </c>
      <c r="AW38" s="6">
        <v>0.75686954437292098</v>
      </c>
      <c r="AX38" s="6">
        <v>1.85404806839053</v>
      </c>
      <c r="BA38" s="6">
        <v>1.8025</v>
      </c>
      <c r="BB38" s="6">
        <v>0</v>
      </c>
      <c r="BC38" s="21" t="s">
        <v>17</v>
      </c>
      <c r="BD38" s="52"/>
      <c r="BF38"/>
      <c r="BG38"/>
      <c r="BH38"/>
    </row>
    <row r="39" spans="1:60" ht="11.25" customHeight="1">
      <c r="A39" s="6"/>
      <c r="B39" s="47" t="s">
        <v>103</v>
      </c>
      <c r="C39" s="95"/>
      <c r="D39" s="6"/>
      <c r="M39"/>
      <c r="N39"/>
      <c r="O39"/>
      <c r="P39"/>
      <c r="Q39"/>
      <c r="R39"/>
      <c r="S39"/>
      <c r="U39" s="133" t="e">
        <v>#N/A</v>
      </c>
      <c r="V39" s="134" t="e">
        <v>#N/A</v>
      </c>
      <c r="Y39" s="32" t="str">
        <f>_xll.xlFutCode(H31)</f>
        <v>U5</v>
      </c>
      <c r="Z39" s="29">
        <f>_xll.RtGet($AD$35,$AD$36&amp;$Y39&amp;$AD$37,Z$34)</f>
        <v>100.12</v>
      </c>
      <c r="AA39" s="30">
        <f>_xll.RtGet($AD$35,$AD$36&amp;$Y39&amp;$AD$37,AA$34)</f>
        <v>100.13</v>
      </c>
      <c r="AC39" s="212" t="s">
        <v>225</v>
      </c>
      <c r="AD39" s="209">
        <v>3</v>
      </c>
      <c r="AF39" s="32">
        <v>9</v>
      </c>
      <c r="AG39" s="29">
        <f>_xll.RtGet($AK$35,$AK$36&amp;$AF39&amp;"X"&amp;($AF39+$AK$39)&amp;$AK$37,AG$34)</f>
        <v>-0.155</v>
      </c>
      <c r="AH39" s="30">
        <f>_xll.RtGet($AK$35,$AK$36&amp;$AF39&amp;"X"&amp;($AF39+$AK$39)&amp;$AK$37,AH$34)</f>
        <v>-0.105</v>
      </c>
      <c r="AI39" s="6"/>
      <c r="AJ39" s="212" t="s">
        <v>225</v>
      </c>
      <c r="AK39" s="209">
        <v>3</v>
      </c>
      <c r="AN39" s="6">
        <f>_xll.xlShmInterpDisc(CurveName,DATE(YEAR(AU39)+IF(YEAR(AU39)&lt;2000,100,0),MONTH(AU39),DAY(AU39)))</f>
        <v>0.76946907894921401</v>
      </c>
      <c r="AO39" s="215">
        <f>_xll.xlShmInterpRate(CurveName,$AO$2,$C$50,DATE(YEAR(AU39)+IF(YEAR(AU39)&lt;2000,100,0),MONTH(AU39),DAY(AU39)))*100</f>
        <v>1.3725053247458818</v>
      </c>
      <c r="AP39" s="6">
        <f t="shared" si="30"/>
        <v>9.5499503077639991E-2</v>
      </c>
      <c r="AQ39" s="215">
        <f t="shared" si="10"/>
        <v>-0.59737790178881811</v>
      </c>
      <c r="AR39" s="8" t="s">
        <v>72</v>
      </c>
      <c r="AS39" s="52">
        <v>41555</v>
      </c>
      <c r="AT39" s="8" t="s">
        <v>158</v>
      </c>
      <c r="AU39" s="52">
        <v>12337</v>
      </c>
      <c r="AV39" s="52" t="s">
        <v>55</v>
      </c>
      <c r="AW39" s="6">
        <v>0.67396957587157402</v>
      </c>
      <c r="AX39" s="6">
        <v>1.9698832265346999</v>
      </c>
      <c r="BA39" s="6">
        <v>1.915</v>
      </c>
      <c r="BB39" s="6">
        <v>0</v>
      </c>
      <c r="BC39" s="21" t="s">
        <v>17</v>
      </c>
      <c r="BD39" s="52"/>
      <c r="BF39"/>
      <c r="BG39"/>
      <c r="BH39"/>
    </row>
    <row r="40" spans="1:60" ht="11.25" customHeight="1">
      <c r="A40" s="6"/>
      <c r="B40" s="47" t="s">
        <v>98</v>
      </c>
      <c r="C40" s="102">
        <v>1</v>
      </c>
      <c r="D40" s="6"/>
      <c r="E40" s="86" t="s">
        <v>75</v>
      </c>
      <c r="F40" s="7"/>
      <c r="G40" s="7"/>
      <c r="H40" s="7"/>
      <c r="I40" s="86" t="s">
        <v>1</v>
      </c>
      <c r="J40" s="86" t="s">
        <v>2</v>
      </c>
      <c r="K40" s="86" t="s">
        <v>3</v>
      </c>
      <c r="L40" s="86" t="s">
        <v>4</v>
      </c>
      <c r="M40" s="2"/>
      <c r="N40" s="8"/>
      <c r="P40" s="8"/>
      <c r="Q40" s="2"/>
      <c r="R40"/>
      <c r="S40" s="44">
        <f t="array" ref="S40">SUM(1*E41:E82)</f>
        <v>15</v>
      </c>
      <c r="U40" s="133" t="e">
        <v>#N/A</v>
      </c>
      <c r="V40" s="134" t="e">
        <v>#N/A</v>
      </c>
      <c r="Y40" s="32" t="str">
        <f>_xll.xlFutCode(H32)</f>
        <v>Z5</v>
      </c>
      <c r="Z40" s="29">
        <f>_xll.RtGet($AD$35,$AD$36&amp;$Y40&amp;$AD$37,Z$34)</f>
        <v>100.11</v>
      </c>
      <c r="AA40" s="30">
        <f>_xll.RtGet($AD$35,$AD$36&amp;$Y40&amp;$AD$37,AA$34)</f>
        <v>100.12</v>
      </c>
      <c r="AF40" s="32"/>
      <c r="AG40" s="29" t="str">
        <f>_xll.RtGet($AK$35,$AK$36&amp;$AF40&amp;"X"&amp;($AF40+$AK$39)&amp;$AK$37,AG$34)</f>
        <v>#N/A The record could not be found</v>
      </c>
      <c r="AH40" s="30" t="str">
        <f>_xll.RtGet($AK$35,$AK$36&amp;$AF40&amp;"X"&amp;($AF40+$AK$39)&amp;$AK$37,AH$34)</f>
        <v>#N/A The record could not be found</v>
      </c>
      <c r="AI40" s="6"/>
      <c r="AN40" s="6">
        <f>_xll.xlShmInterpDisc(CurveName,DATE(YEAR(AU40)+IF(YEAR(AU40)&lt;2000,100,0),MONTH(AU40),DAY(AU40)))</f>
        <v>0.69722528713076282</v>
      </c>
      <c r="AO40" s="215">
        <f>_xll.xlShmInterpRate(CurveName,$AO$2,$C$50,DATE(YEAR(AU40)+IF(YEAR(AU40)&lt;2000,100,0),MONTH(AU40),DAY(AU40)))*100</f>
        <v>1.4970549778436837</v>
      </c>
      <c r="AP40" s="6">
        <f t="shared" si="30"/>
        <v>9.324444293242784E-2</v>
      </c>
      <c r="AQ40" s="215">
        <f t="shared" si="10"/>
        <v>-0.51758837963403614</v>
      </c>
      <c r="AR40" s="8" t="s">
        <v>72</v>
      </c>
      <c r="AS40" s="52">
        <v>41555</v>
      </c>
      <c r="AT40" s="8" t="s">
        <v>158</v>
      </c>
      <c r="AU40" s="52">
        <v>14161</v>
      </c>
      <c r="AV40" s="52" t="s">
        <v>56</v>
      </c>
      <c r="AW40" s="6">
        <v>0.60398084419833498</v>
      </c>
      <c r="AX40" s="6">
        <v>2.0146433574777198</v>
      </c>
      <c r="BA40" s="6">
        <v>1.9624999999999999</v>
      </c>
      <c r="BB40" s="6">
        <v>0</v>
      </c>
      <c r="BC40" s="21" t="s">
        <v>17</v>
      </c>
      <c r="BD40" s="52"/>
    </row>
    <row r="41" spans="1:60" ht="11.25" customHeight="1">
      <c r="A41" s="6"/>
      <c r="B41" s="47" t="s">
        <v>99</v>
      </c>
      <c r="C41" s="102" t="s">
        <v>104</v>
      </c>
      <c r="D41" s="6"/>
      <c r="E41" s="137" t="b">
        <v>0</v>
      </c>
      <c r="F41" s="106">
        <f>IF(LEN(Y49)&gt;0,Y49,"")</f>
        <v>1</v>
      </c>
      <c r="G41" s="7"/>
      <c r="H41" s="7"/>
      <c r="I41" s="78">
        <f t="shared" ref="I41:I82" si="31">AVERAGE(Z49:AA49)</f>
        <v>-8.4999999999999992E-2</v>
      </c>
      <c r="J41" s="49"/>
      <c r="K41" s="125"/>
      <c r="L41" s="49">
        <f t="shared" ref="L41:L82" si="32">IF(ISNUMBER(J41),J41,I41)+K41</f>
        <v>-8.4999999999999992E-2</v>
      </c>
      <c r="M41" s="16">
        <v>1</v>
      </c>
      <c r="N41" s="17" t="str">
        <f t="shared" ref="N41:N82" si="33">IF(E41,M41,"")</f>
        <v/>
      </c>
      <c r="O41" s="44">
        <f>IF($S$40&gt;0,1,"")</f>
        <v>1</v>
      </c>
      <c r="P41" s="17">
        <f t="shared" ref="P41:P82" si="34">IF(LEN(O41)&gt;0,SMALL($N$41:$N$82,O41),"")</f>
        <v>2</v>
      </c>
      <c r="Q41" s="2"/>
      <c r="R41" s="35">
        <f t="shared" ref="R41:R82" si="35">IF(LEN(P41)&gt;0,INDEX($F$41:$F$82,$P41),"")</f>
        <v>2</v>
      </c>
      <c r="S41" s="40">
        <f t="shared" ref="S41:S82" si="36">IF(LEN(P41)&gt;0,INDEX($L$41:$L$82,$P41),"")</f>
        <v>-9.2499999999999999E-2</v>
      </c>
      <c r="U41" s="133" t="e">
        <v>#N/A</v>
      </c>
      <c r="V41" s="134" t="e">
        <v>#N/A</v>
      </c>
      <c r="Y41" s="32" t="str">
        <f>_xll.xlFutCode(H33)</f>
        <v>H6</v>
      </c>
      <c r="Z41" s="29">
        <f>_xll.RtGet($AD$35,$AD$36&amp;$Y41&amp;$AD$37,Z$34)</f>
        <v>100.08</v>
      </c>
      <c r="AA41" s="30">
        <f>_xll.RtGet($AD$35,$AD$36&amp;$Y41&amp;$AD$37,AA$34)</f>
        <v>100.1</v>
      </c>
      <c r="AF41" s="32"/>
      <c r="AG41" s="29" t="str">
        <f>_xll.RtGet($AK$35,$AK$36&amp;$AF41&amp;"X"&amp;($AF41+$AK$39)&amp;$AK$37,AG$34)</f>
        <v>#N/A The record could not be found</v>
      </c>
      <c r="AH41" s="30" t="str">
        <f>_xll.RtGet($AK$35,$AK$36&amp;$AF41&amp;"X"&amp;($AF41+$AK$39)&amp;$AK$37,AH$34)</f>
        <v>#N/A The record could not be found</v>
      </c>
      <c r="AI41" s="6"/>
      <c r="AJ41" s="6"/>
      <c r="AK41" s="6"/>
      <c r="AN41" s="6">
        <f>_xll.xlShmInterpDisc(CurveName,DATE(YEAR(AU41)+IF(YEAR(AU41)&lt;2000,100,0),MONTH(AU41),DAY(AU41)))</f>
        <v>0.63639909176059517</v>
      </c>
      <c r="AO41" s="215">
        <f>_xll.xlShmInterpRate(CurveName,$AO$2,$C$50,DATE(YEAR(AU41)+IF(YEAR(AU41)&lt;2000,100,0),MONTH(AU41),DAY(AU41)))*100</f>
        <v>1.5533876497790069</v>
      </c>
      <c r="AP41" s="6">
        <f t="shared" si="30"/>
        <v>9.3779572936071198E-2</v>
      </c>
      <c r="AQ41" s="215">
        <f t="shared" si="10"/>
        <v>-0.48239029860019311</v>
      </c>
      <c r="AR41" s="8" t="s">
        <v>72</v>
      </c>
      <c r="AS41" s="52">
        <v>41555</v>
      </c>
      <c r="AT41" s="8" t="s">
        <v>158</v>
      </c>
      <c r="AU41" s="20">
        <v>15987</v>
      </c>
      <c r="AV41" s="52" t="s">
        <v>57</v>
      </c>
      <c r="AW41" s="6">
        <v>0.54261951882452397</v>
      </c>
      <c r="AX41" s="6">
        <v>2.0357779483792</v>
      </c>
      <c r="BA41" s="6">
        <v>1.9875</v>
      </c>
      <c r="BB41" s="6">
        <v>0</v>
      </c>
      <c r="BC41" s="21" t="s">
        <v>17</v>
      </c>
      <c r="BD41" s="52"/>
    </row>
    <row r="42" spans="1:60" ht="11.25" customHeight="1">
      <c r="A42" s="6"/>
      <c r="B42" s="47" t="s">
        <v>100</v>
      </c>
      <c r="C42" s="102">
        <v>4</v>
      </c>
      <c r="D42" s="6"/>
      <c r="E42" s="129" t="b">
        <f>LEN(F42)&gt;0</f>
        <v>1</v>
      </c>
      <c r="F42" s="107">
        <f t="shared" ref="F42:F82" si="37">IF(LEN(Y50)&gt;0,Y50,"")</f>
        <v>2</v>
      </c>
      <c r="G42" s="7"/>
      <c r="I42" s="79">
        <f t="shared" si="31"/>
        <v>-9.2499999999999999E-2</v>
      </c>
      <c r="J42" s="50"/>
      <c r="K42" s="127"/>
      <c r="L42" s="50">
        <f t="shared" si="32"/>
        <v>-9.2499999999999999E-2</v>
      </c>
      <c r="M42" s="29">
        <f t="shared" ref="M42:M82" si="38">M41+1</f>
        <v>2</v>
      </c>
      <c r="N42" s="30">
        <f t="shared" si="33"/>
        <v>2</v>
      </c>
      <c r="O42" s="29">
        <f t="shared" ref="O42:O82" si="39">IF(O41&lt;$S$40,O41+1,"")</f>
        <v>2</v>
      </c>
      <c r="P42" s="30">
        <f t="shared" si="34"/>
        <v>3</v>
      </c>
      <c r="Q42" s="2"/>
      <c r="R42" s="26">
        <f t="shared" si="35"/>
        <v>3</v>
      </c>
      <c r="S42" s="41">
        <f t="shared" si="36"/>
        <v>-5.5E-2</v>
      </c>
      <c r="U42" s="133" t="e">
        <v>#N/A</v>
      </c>
      <c r="V42" s="134" t="e">
        <v>#N/A</v>
      </c>
      <c r="Y42" s="32" t="str">
        <f>_xll.xlFutCode(H34)</f>
        <v>M6</v>
      </c>
      <c r="Z42" s="29">
        <f>_xll.RtGet($AD$35,$AD$36&amp;$Y42&amp;$AD$37,Z$34)</f>
        <v>100.06</v>
      </c>
      <c r="AA42" s="30">
        <f>_xll.RtGet($AD$35,$AD$36&amp;$Y42&amp;$AD$37,AA$34)</f>
        <v>100.07</v>
      </c>
      <c r="AF42" s="32"/>
      <c r="AG42" s="29" t="str">
        <f>_xll.RtGet($AK$35,$AK$36&amp;$AF42&amp;"X"&amp;($AF42+$AK$39)&amp;$AK$37,AG$34)</f>
        <v>#N/A The record could not be found</v>
      </c>
      <c r="AH42" s="30" t="str">
        <f>_xll.RtGet($AK$35,$AK$36&amp;$AF42&amp;"X"&amp;($AF42+$AK$39)&amp;$AK$37,AH$34)</f>
        <v>#N/A The record could not be found</v>
      </c>
      <c r="AI42" s="6"/>
      <c r="AJ42" s="6"/>
      <c r="AK42" s="6"/>
      <c r="AN42" s="6" t="str">
        <f>_xll.xlShmInterpDisc(CurveName,DATE(YEAR(AU42)+IF(YEAR(AU42)&lt;2000,100,0),MONTH(AU42),DAY(AU42)))</f>
        <v>Date before first TermStructure's date.</v>
      </c>
      <c r="AO42" s="215" t="e">
        <f>_xll.xlShmInterpRate(CurveName,$AO$2,$C$50,DATE(YEAR(AU42)+IF(YEAR(AU42)&lt;2000,100,0),MONTH(AU42),DAY(AU42)))*100</f>
        <v>#VALUE!</v>
      </c>
      <c r="AP42" s="6" t="e">
        <f t="shared" si="30"/>
        <v>#VALUE!</v>
      </c>
      <c r="AQ42" s="215" t="e">
        <f t="shared" si="10"/>
        <v>#VALUE!</v>
      </c>
      <c r="AR42" s="8"/>
      <c r="AS42" s="52"/>
      <c r="AT42" s="8"/>
      <c r="AU42" s="20"/>
      <c r="AV42" s="52"/>
      <c r="BC42" s="21"/>
      <c r="BD42" s="52"/>
    </row>
    <row r="43" spans="1:60" ht="11.25" customHeight="1">
      <c r="A43" s="6"/>
      <c r="B43" s="48" t="s">
        <v>101</v>
      </c>
      <c r="C43" s="103" t="s">
        <v>115</v>
      </c>
      <c r="D43" s="6"/>
      <c r="E43" s="129" t="b">
        <f t="shared" ref="E43:E82" si="40">LEN(F43)&gt;0</f>
        <v>1</v>
      </c>
      <c r="F43" s="107">
        <f t="shared" si="37"/>
        <v>3</v>
      </c>
      <c r="G43" s="7"/>
      <c r="I43" s="79">
        <f t="shared" si="31"/>
        <v>-5.5E-2</v>
      </c>
      <c r="J43" s="50"/>
      <c r="K43" s="127"/>
      <c r="L43" s="50">
        <f t="shared" si="32"/>
        <v>-5.5E-2</v>
      </c>
      <c r="M43" s="29">
        <f t="shared" si="38"/>
        <v>3</v>
      </c>
      <c r="N43" s="30">
        <f t="shared" si="33"/>
        <v>3</v>
      </c>
      <c r="O43" s="29">
        <f t="shared" si="39"/>
        <v>3</v>
      </c>
      <c r="P43" s="30">
        <f t="shared" si="34"/>
        <v>4</v>
      </c>
      <c r="Q43" s="7"/>
      <c r="R43" s="26">
        <f t="shared" si="35"/>
        <v>4</v>
      </c>
      <c r="S43" s="41">
        <f t="shared" si="36"/>
        <v>2.5000000000000001E-2</v>
      </c>
      <c r="U43" s="133" t="e">
        <v>#N/A</v>
      </c>
      <c r="V43" s="134" t="e">
        <v>#N/A</v>
      </c>
      <c r="Y43" s="32" t="str">
        <f>_xll.xlFutCode(H35)</f>
        <v>U6</v>
      </c>
      <c r="Z43" s="29">
        <f>_xll.RtGet($AD$35,$AD$36&amp;$Y43&amp;$AD$37,Z$34)</f>
        <v>100.03</v>
      </c>
      <c r="AA43" s="30">
        <f>_xll.RtGet($AD$35,$AD$36&amp;$Y43&amp;$AD$37,AA$34)</f>
        <v>100.04</v>
      </c>
      <c r="AF43" s="32"/>
      <c r="AG43" s="29" t="str">
        <f>_xll.RtGet($AK$35,$AK$36&amp;$AF43&amp;"X"&amp;($AF43+$AK$39)&amp;$AK$37,AG$34)</f>
        <v>#N/A The record could not be found</v>
      </c>
      <c r="AH43" s="30" t="str">
        <f>_xll.RtGet($AK$35,$AK$36&amp;$AF43&amp;"X"&amp;($AF43+$AK$39)&amp;$AK$37,AH$34)</f>
        <v>#N/A The record could not be found</v>
      </c>
      <c r="AI43" s="6"/>
      <c r="AJ43" s="6"/>
      <c r="AK43" s="6"/>
      <c r="AN43" s="6" t="str">
        <f>_xll.xlShmInterpDisc(CurveName,DATE(YEAR(AU43)+IF(YEAR(AU43)&lt;2000,100,0),MONTH(AU43),DAY(AU43)))</f>
        <v>Date before first TermStructure's date.</v>
      </c>
      <c r="AO43" s="215" t="e">
        <f>_xll.xlShmInterpRate(CurveName,$AO$2,$C$50,DATE(YEAR(AU43)+IF(YEAR(AU43)&lt;2000,100,0),MONTH(AU43),DAY(AU43)))*100</f>
        <v>#VALUE!</v>
      </c>
      <c r="AP43" s="6" t="e">
        <f t="shared" si="30"/>
        <v>#VALUE!</v>
      </c>
      <c r="AQ43" s="215" t="e">
        <f t="shared" si="10"/>
        <v>#VALUE!</v>
      </c>
      <c r="AR43" s="8"/>
      <c r="AS43" s="52"/>
      <c r="AT43" s="8"/>
      <c r="AU43" s="20"/>
      <c r="AV43" s="52"/>
      <c r="BC43" s="21"/>
      <c r="BD43" s="52"/>
    </row>
    <row r="44" spans="1:60" ht="11.25" customHeight="1">
      <c r="A44" s="6"/>
      <c r="B44" s="140" t="s">
        <v>143</v>
      </c>
      <c r="C44" s="93" t="b">
        <v>1</v>
      </c>
      <c r="D44" s="6"/>
      <c r="E44" s="129" t="b">
        <f t="shared" si="40"/>
        <v>1</v>
      </c>
      <c r="F44" s="107">
        <f t="shared" si="37"/>
        <v>4</v>
      </c>
      <c r="G44" s="7"/>
      <c r="I44" s="79">
        <f t="shared" si="31"/>
        <v>2.5000000000000001E-2</v>
      </c>
      <c r="J44" s="50"/>
      <c r="K44" s="127"/>
      <c r="L44" s="50">
        <f t="shared" si="32"/>
        <v>2.5000000000000001E-2</v>
      </c>
      <c r="M44" s="29">
        <f t="shared" si="38"/>
        <v>4</v>
      </c>
      <c r="N44" s="30">
        <f t="shared" si="33"/>
        <v>4</v>
      </c>
      <c r="O44" s="29">
        <f t="shared" si="39"/>
        <v>4</v>
      </c>
      <c r="P44" s="30">
        <f t="shared" si="34"/>
        <v>5</v>
      </c>
      <c r="Q44" s="7"/>
      <c r="R44" s="26">
        <f t="shared" si="35"/>
        <v>5</v>
      </c>
      <c r="S44" s="41">
        <f t="shared" si="36"/>
        <v>0.13250000000000001</v>
      </c>
      <c r="U44" s="133" t="e">
        <v>#N/A</v>
      </c>
      <c r="V44" s="134" t="e">
        <v>#N/A</v>
      </c>
      <c r="Y44" s="32" t="str">
        <f>_xll.xlFutCode(H36)</f>
        <v>Z6</v>
      </c>
      <c r="Z44" s="29">
        <f>_xll.RtGet($AD$35,$AD$36&amp;$Y44&amp;$AD$37,Z$34)</f>
        <v>99.99</v>
      </c>
      <c r="AA44" s="30">
        <f>_xll.RtGet($AD$35,$AD$36&amp;$Y44&amp;$AD$37,AA$34)</f>
        <v>100</v>
      </c>
      <c r="AF44" s="32"/>
      <c r="AG44" s="29" t="str">
        <f>_xll.RtGet($AK$35,$AK$36&amp;$AF44&amp;"X"&amp;($AF44+$AK$39)&amp;$AK$37,AG$34)</f>
        <v>#N/A The record could not be found</v>
      </c>
      <c r="AH44" s="30" t="str">
        <f>_xll.RtGet($AK$35,$AK$36&amp;$AF44&amp;"X"&amp;($AF44+$AK$39)&amp;$AK$37,AH$34)</f>
        <v>#N/A The record could not be found</v>
      </c>
      <c r="AI44" s="6"/>
      <c r="AJ44" s="6"/>
      <c r="AK44" s="6"/>
      <c r="AN44" s="6" t="str">
        <f>_xll.xlShmInterpDisc(CurveName,DATE(YEAR(AU44)+IF(YEAR(AU44)&lt;2000,100,0),MONTH(AU44),DAY(AU44)))</f>
        <v>Date before first TermStructure's date.</v>
      </c>
      <c r="AO44" s="215" t="e">
        <f>_xll.xlShmInterpRate(CurveName,$AO$2,$C$50,DATE(YEAR(AU44)+IF(YEAR(AU44)&lt;2000,100,0),MONTH(AU44),DAY(AU44)))*100</f>
        <v>#VALUE!</v>
      </c>
      <c r="AP44" s="6" t="e">
        <f t="shared" si="30"/>
        <v>#VALUE!</v>
      </c>
      <c r="AQ44" s="215" t="e">
        <f t="shared" si="10"/>
        <v>#VALUE!</v>
      </c>
      <c r="AR44" s="8"/>
      <c r="AS44" s="52"/>
      <c r="AT44" s="8"/>
      <c r="AU44" s="20"/>
      <c r="AV44" s="52"/>
      <c r="BC44" s="21"/>
      <c r="BD44" s="52"/>
    </row>
    <row r="45" spans="1:60" ht="11.25" customHeight="1">
      <c r="A45" s="6"/>
      <c r="D45" s="6"/>
      <c r="E45" s="129" t="b">
        <v>1</v>
      </c>
      <c r="F45" s="107">
        <f t="shared" si="37"/>
        <v>5</v>
      </c>
      <c r="G45" s="7"/>
      <c r="I45" s="79">
        <f t="shared" si="31"/>
        <v>0.13250000000000001</v>
      </c>
      <c r="J45" s="50"/>
      <c r="K45" s="127"/>
      <c r="L45" s="50">
        <f t="shared" si="32"/>
        <v>0.13250000000000001</v>
      </c>
      <c r="M45" s="29">
        <f t="shared" si="38"/>
        <v>5</v>
      </c>
      <c r="N45" s="30">
        <f t="shared" si="33"/>
        <v>5</v>
      </c>
      <c r="O45" s="29">
        <f t="shared" si="39"/>
        <v>5</v>
      </c>
      <c r="P45" s="30">
        <f t="shared" si="34"/>
        <v>6</v>
      </c>
      <c r="Q45" s="7"/>
      <c r="R45" s="26">
        <f t="shared" si="35"/>
        <v>6</v>
      </c>
      <c r="S45" s="41">
        <f t="shared" si="36"/>
        <v>0.26</v>
      </c>
      <c r="U45" s="133" t="e">
        <v>#N/A</v>
      </c>
      <c r="V45" s="134" t="e">
        <v>#N/A</v>
      </c>
      <c r="Y45" s="32" t="str">
        <f>_xll.xlFutCode(H37)</f>
        <v>H7</v>
      </c>
      <c r="Z45" s="29">
        <f>_xll.RtGet($AD$35,$AD$36&amp;$Y45&amp;$AD$37,Z$34)</f>
        <v>99.95</v>
      </c>
      <c r="AA45" s="30">
        <f>_xll.RtGet($AD$35,$AD$36&amp;$Y45&amp;$AD$37,AA$34)</f>
        <v>99.97</v>
      </c>
      <c r="AF45" s="32"/>
      <c r="AG45" s="29" t="str">
        <f>_xll.RtGet($AK$35,$AK$36&amp;$AF45&amp;"X"&amp;($AF45+$AK$39)&amp;$AK$37,AG$34)</f>
        <v>#N/A The record could not be found</v>
      </c>
      <c r="AH45" s="30" t="str">
        <f>_xll.RtGet($AK$35,$AK$36&amp;$AF45&amp;"X"&amp;($AF45+$AK$39)&amp;$AK$37,AH$34)</f>
        <v>#N/A The record could not be found</v>
      </c>
      <c r="AI45" s="6"/>
      <c r="AJ45" s="6"/>
      <c r="AK45" s="6"/>
      <c r="AN45" s="6" t="str">
        <f>_xll.xlShmInterpDisc(CurveName,DATE(YEAR(AU45)+IF(YEAR(AU45)&lt;2000,100,0),MONTH(AU45),DAY(AU45)))</f>
        <v>Date before first TermStructure's date.</v>
      </c>
      <c r="AO45" s="215" t="e">
        <f>_xll.xlShmInterpRate(CurveName,$AO$2,$C$50,DATE(YEAR(AU45)+IF(YEAR(AU45)&lt;2000,100,0),MONTH(AU45),DAY(AU45)))*100</f>
        <v>#VALUE!</v>
      </c>
      <c r="AP45" s="6" t="e">
        <f t="shared" si="30"/>
        <v>#VALUE!</v>
      </c>
      <c r="AQ45" s="215" t="e">
        <f t="shared" si="10"/>
        <v>#VALUE!</v>
      </c>
      <c r="AR45" s="8"/>
      <c r="AS45" s="52"/>
      <c r="AT45" s="8"/>
      <c r="AU45" s="20"/>
      <c r="AV45" s="52"/>
      <c r="BC45" s="21"/>
      <c r="BD45" s="52"/>
    </row>
    <row r="46" spans="1:60" ht="11.25" customHeight="1">
      <c r="A46" s="6"/>
      <c r="D46" s="6"/>
      <c r="E46" s="129" t="b">
        <f t="shared" si="40"/>
        <v>1</v>
      </c>
      <c r="F46" s="107">
        <f t="shared" si="37"/>
        <v>6</v>
      </c>
      <c r="G46" s="7"/>
      <c r="I46" s="79">
        <f t="shared" si="31"/>
        <v>0.26</v>
      </c>
      <c r="J46" s="50"/>
      <c r="K46" s="127"/>
      <c r="L46" s="50">
        <f t="shared" si="32"/>
        <v>0.26</v>
      </c>
      <c r="M46" s="29">
        <f t="shared" si="38"/>
        <v>6</v>
      </c>
      <c r="N46" s="30">
        <f t="shared" si="33"/>
        <v>6</v>
      </c>
      <c r="O46" s="29">
        <f t="shared" si="39"/>
        <v>6</v>
      </c>
      <c r="P46" s="30">
        <f t="shared" si="34"/>
        <v>7</v>
      </c>
      <c r="Q46" s="7"/>
      <c r="R46" s="26">
        <f t="shared" si="35"/>
        <v>7</v>
      </c>
      <c r="S46" s="41">
        <f t="shared" si="36"/>
        <v>0.39500000000000002</v>
      </c>
      <c r="U46" s="133" t="e">
        <v>#N/A</v>
      </c>
      <c r="V46" s="134" t="e">
        <v>#N/A</v>
      </c>
      <c r="Y46" s="33" t="str">
        <f>_xll.xlFutCode(H38)</f>
        <v>M7</v>
      </c>
      <c r="Z46" s="22">
        <f>_xll.RtGet($AD$35,$AD$36&amp;$Y46&amp;$AD$37,Z$34)</f>
        <v>99.92</v>
      </c>
      <c r="AA46" s="23">
        <f>_xll.RtGet($AD$35,$AD$36&amp;$Y46&amp;$AD$37,AA$34)</f>
        <v>99.94</v>
      </c>
      <c r="AF46" s="33"/>
      <c r="AG46" s="22" t="str">
        <f>_xll.RtGet($AK$35,$AK$36&amp;$AF46&amp;"X"&amp;($AF46+$AK$39)&amp;$AK$37,AG$34)</f>
        <v>#N/A The record could not be found</v>
      </c>
      <c r="AH46" s="23" t="str">
        <f>_xll.RtGet($AK$35,$AK$36&amp;$AF46&amp;"X"&amp;($AF46+$AK$39)&amp;$AK$37,AH$34)</f>
        <v>#N/A The record could not be found</v>
      </c>
      <c r="AI46" s="6"/>
      <c r="AJ46" s="6"/>
      <c r="AK46" s="6"/>
      <c r="AN46" s="6" t="str">
        <f>_xll.xlShmInterpDisc(CurveName,DATE(YEAR(AU46)+IF(YEAR(AU46)&lt;2000,100,0),MONTH(AU46),DAY(AU46)))</f>
        <v>Date before first TermStructure's date.</v>
      </c>
      <c r="AO46" s="215" t="e">
        <f>_xll.xlShmInterpRate(CurveName,$AO$2,$C$50,DATE(YEAR(AU46)+IF(YEAR(AU46)&lt;2000,100,0),MONTH(AU46),DAY(AU46)))*100</f>
        <v>#VALUE!</v>
      </c>
      <c r="AP46" s="6" t="e">
        <f t="shared" si="30"/>
        <v>#VALUE!</v>
      </c>
      <c r="AQ46" s="215" t="e">
        <f t="shared" si="10"/>
        <v>#VALUE!</v>
      </c>
      <c r="AR46" s="8"/>
      <c r="AS46" s="52"/>
      <c r="AT46" s="8"/>
      <c r="AU46" s="20"/>
      <c r="AV46" s="52"/>
      <c r="BC46" s="21"/>
      <c r="BD46" s="52"/>
    </row>
    <row r="47" spans="1:60" ht="11.25" customHeight="1">
      <c r="A47" s="6"/>
      <c r="D47" s="6"/>
      <c r="E47" s="129" t="b">
        <f t="shared" si="40"/>
        <v>1</v>
      </c>
      <c r="F47" s="107">
        <f t="shared" si="37"/>
        <v>7</v>
      </c>
      <c r="G47" s="7"/>
      <c r="I47" s="79">
        <f t="shared" si="31"/>
        <v>0.39500000000000002</v>
      </c>
      <c r="J47" s="50"/>
      <c r="K47" s="127"/>
      <c r="L47" s="50">
        <f t="shared" si="32"/>
        <v>0.39500000000000002</v>
      </c>
      <c r="M47" s="29">
        <f t="shared" si="38"/>
        <v>7</v>
      </c>
      <c r="N47" s="30">
        <f t="shared" si="33"/>
        <v>7</v>
      </c>
      <c r="O47" s="29">
        <f t="shared" si="39"/>
        <v>7</v>
      </c>
      <c r="P47" s="30">
        <f t="shared" si="34"/>
        <v>8</v>
      </c>
      <c r="Q47" s="7"/>
      <c r="R47" s="26">
        <f t="shared" si="35"/>
        <v>8</v>
      </c>
      <c r="S47" s="41">
        <f t="shared" si="36"/>
        <v>0.52749999999999997</v>
      </c>
      <c r="U47" s="133" t="e">
        <v>#N/A</v>
      </c>
      <c r="V47" s="134" t="e">
        <v>#N/A</v>
      </c>
      <c r="AI47" s="6"/>
      <c r="AJ47" s="6"/>
      <c r="AK47" s="6"/>
      <c r="AN47" s="6" t="str">
        <f>_xll.xlShmInterpDisc(CurveName,DATE(YEAR(AU47)+IF(YEAR(AU47)&lt;2000,100,0),MONTH(AU47),DAY(AU47)))</f>
        <v>Date before first TermStructure's date.</v>
      </c>
      <c r="AO47" s="215" t="e">
        <f>_xll.xlShmInterpRate(CurveName,$AO$2,$C$50,DATE(YEAR(AU47)+IF(YEAR(AU47)&lt;2000,100,0),MONTH(AU47),DAY(AU47)))*100</f>
        <v>#VALUE!</v>
      </c>
      <c r="AP47" s="6" t="e">
        <f t="shared" si="30"/>
        <v>#VALUE!</v>
      </c>
      <c r="AQ47" s="215" t="e">
        <f t="shared" si="10"/>
        <v>#VALUE!</v>
      </c>
      <c r="AR47" s="8"/>
      <c r="AS47" s="52"/>
      <c r="AT47" s="8"/>
      <c r="AU47" s="20"/>
      <c r="AV47" s="52"/>
      <c r="BC47" s="21"/>
      <c r="BD47" s="52"/>
    </row>
    <row r="48" spans="1:60" ht="11.25" customHeight="1">
      <c r="A48" s="6"/>
      <c r="D48" s="6"/>
      <c r="E48" s="129" t="b">
        <f t="shared" si="40"/>
        <v>1</v>
      </c>
      <c r="F48" s="107">
        <f t="shared" si="37"/>
        <v>8</v>
      </c>
      <c r="G48" s="7"/>
      <c r="I48" s="79">
        <f t="shared" si="31"/>
        <v>0.52749999999999997</v>
      </c>
      <c r="J48" s="50"/>
      <c r="K48" s="127"/>
      <c r="L48" s="50">
        <f t="shared" si="32"/>
        <v>0.52749999999999997</v>
      </c>
      <c r="M48" s="29">
        <f t="shared" si="38"/>
        <v>8</v>
      </c>
      <c r="N48" s="30">
        <f t="shared" si="33"/>
        <v>8</v>
      </c>
      <c r="O48" s="29">
        <f t="shared" si="39"/>
        <v>8</v>
      </c>
      <c r="P48" s="30">
        <f t="shared" si="34"/>
        <v>9</v>
      </c>
      <c r="Q48" s="7"/>
      <c r="R48" s="26">
        <f t="shared" si="35"/>
        <v>9</v>
      </c>
      <c r="S48" s="41">
        <f t="shared" si="36"/>
        <v>0.65250000000000008</v>
      </c>
      <c r="U48" s="133" t="e">
        <v>#N/A</v>
      </c>
      <c r="V48" s="134" t="e">
        <v>#N/A</v>
      </c>
      <c r="Y48" s="10" t="s">
        <v>80</v>
      </c>
      <c r="Z48" s="11" t="s">
        <v>5</v>
      </c>
      <c r="AA48" s="12" t="s">
        <v>6</v>
      </c>
      <c r="AN48" s="6" t="str">
        <f>_xll.xlShmInterpDisc(CurveName,DATE(YEAR(AU48)+IF(YEAR(AU48)&lt;2000,100,0),MONTH(AU48),DAY(AU48)))</f>
        <v>Date before first TermStructure's date.</v>
      </c>
      <c r="AO48" s="215" t="e">
        <f>_xll.xlShmInterpRate(CurveName,$AO$2,$C$50,DATE(YEAR(AU48)+IF(YEAR(AU48)&lt;2000,100,0),MONTH(AU48),DAY(AU48)))*100</f>
        <v>#VALUE!</v>
      </c>
      <c r="AP48" s="6" t="e">
        <f t="shared" si="30"/>
        <v>#VALUE!</v>
      </c>
      <c r="AQ48" s="215" t="e">
        <f t="shared" si="10"/>
        <v>#VALUE!</v>
      </c>
      <c r="AR48" s="8"/>
      <c r="AS48" s="52"/>
      <c r="AT48" s="8"/>
      <c r="AU48" s="20"/>
      <c r="AV48" s="52"/>
      <c r="BC48" s="21"/>
      <c r="BD48" s="52"/>
    </row>
    <row r="49" spans="1:56" ht="11.25" customHeight="1">
      <c r="A49" s="6"/>
      <c r="D49" s="6"/>
      <c r="E49" s="129" t="b">
        <f t="shared" si="40"/>
        <v>1</v>
      </c>
      <c r="F49" s="107">
        <f t="shared" si="37"/>
        <v>9</v>
      </c>
      <c r="G49" s="7"/>
      <c r="I49" s="79">
        <f t="shared" si="31"/>
        <v>0.65250000000000008</v>
      </c>
      <c r="J49" s="50"/>
      <c r="K49" s="127"/>
      <c r="L49" s="50">
        <f t="shared" si="32"/>
        <v>0.65250000000000008</v>
      </c>
      <c r="M49" s="29">
        <f t="shared" si="38"/>
        <v>9</v>
      </c>
      <c r="N49" s="30">
        <f t="shared" si="33"/>
        <v>9</v>
      </c>
      <c r="O49" s="29">
        <f t="shared" si="39"/>
        <v>9</v>
      </c>
      <c r="P49" s="30">
        <f t="shared" si="34"/>
        <v>10</v>
      </c>
      <c r="Q49" s="7"/>
      <c r="R49" s="26">
        <f t="shared" si="35"/>
        <v>10</v>
      </c>
      <c r="S49" s="41">
        <f t="shared" si="36"/>
        <v>0.76</v>
      </c>
      <c r="U49" s="133" t="e">
        <v>#N/A</v>
      </c>
      <c r="V49" s="134" t="e">
        <v>#N/A</v>
      </c>
      <c r="Y49" s="36">
        <v>1</v>
      </c>
      <c r="Z49" s="16">
        <f>_xll.RtGet($AD$50,$AD$51&amp;$Y49&amp;$AD$52,Z$48)</f>
        <v>-0.105</v>
      </c>
      <c r="AA49" s="17">
        <f>_xll.RtGet($AD$50,$AD$51&amp;$Y49&amp;$AD$52,AA$48)</f>
        <v>-6.5000000000000002E-2</v>
      </c>
      <c r="AN49" s="6" t="str">
        <f>_xll.xlShmInterpDisc(CurveName,DATE(YEAR(AU49)+IF(YEAR(AU49)&lt;2000,100,0),MONTH(AU49),DAY(AU49)))</f>
        <v>Date before first TermStructure's date.</v>
      </c>
      <c r="AO49" s="215" t="e">
        <f>_xll.xlShmInterpRate(CurveName,$AO$2,$C$50,DATE(YEAR(AU49)+IF(YEAR(AU49)&lt;2000,100,0),MONTH(AU49),DAY(AU49)))*100</f>
        <v>#VALUE!</v>
      </c>
      <c r="AP49" s="6" t="e">
        <f t="shared" si="30"/>
        <v>#VALUE!</v>
      </c>
      <c r="AQ49" s="215" t="e">
        <f t="shared" si="10"/>
        <v>#VALUE!</v>
      </c>
      <c r="AR49" s="8"/>
      <c r="AS49" s="52"/>
      <c r="AT49" s="8"/>
      <c r="AU49" s="20"/>
      <c r="AV49" s="52"/>
      <c r="BC49" s="21"/>
      <c r="BD49" s="52"/>
    </row>
    <row r="50" spans="1:56" ht="11.25" customHeight="1">
      <c r="A50" s="6"/>
      <c r="B50" s="56" t="s">
        <v>87</v>
      </c>
      <c r="C50" s="57">
        <f>VLOOKUP(C10,dvCurveBootstrapperDayCount,2,FALSE)</f>
        <v>5</v>
      </c>
      <c r="D50" s="6"/>
      <c r="E50" s="129" t="b">
        <f t="shared" si="40"/>
        <v>1</v>
      </c>
      <c r="F50" s="107">
        <f t="shared" si="37"/>
        <v>10</v>
      </c>
      <c r="G50" s="7"/>
      <c r="I50" s="79">
        <f t="shared" si="31"/>
        <v>0.76</v>
      </c>
      <c r="J50" s="50"/>
      <c r="K50" s="127"/>
      <c r="L50" s="50">
        <f t="shared" si="32"/>
        <v>0.76</v>
      </c>
      <c r="M50" s="29">
        <f t="shared" si="38"/>
        <v>10</v>
      </c>
      <c r="N50" s="30">
        <f t="shared" si="33"/>
        <v>10</v>
      </c>
      <c r="O50" s="29">
        <f t="shared" si="39"/>
        <v>10</v>
      </c>
      <c r="P50" s="30">
        <f t="shared" si="34"/>
        <v>11</v>
      </c>
      <c r="Q50" s="7"/>
      <c r="R50" s="26">
        <f t="shared" si="35"/>
        <v>11</v>
      </c>
      <c r="S50" s="41">
        <f t="shared" si="36"/>
        <v>0.86250000000000004</v>
      </c>
      <c r="U50" s="133" t="e">
        <v>#N/A</v>
      </c>
      <c r="V50" s="134" t="e">
        <v>#N/A</v>
      </c>
      <c r="Y50" s="37">
        <v>2</v>
      </c>
      <c r="Z50" s="29">
        <f>_xll.RtGet($AD$50,$AD$51&amp;$Y50&amp;$AD$52,Z$48)</f>
        <v>-0.13250000000000001</v>
      </c>
      <c r="AA50" s="30">
        <f>_xll.RtGet($AD$50,$AD$51&amp;$Y50&amp;$AD$52,AA$48)</f>
        <v>-5.2499999999999998E-2</v>
      </c>
      <c r="AC50" s="13" t="s">
        <v>14</v>
      </c>
      <c r="AD50" s="71" t="s">
        <v>62</v>
      </c>
      <c r="AN50" s="6" t="str">
        <f>_xll.xlShmInterpDisc(CurveName,DATE(YEAR(AU50)+IF(YEAR(AU50)&lt;2000,100,0),MONTH(AU50),DAY(AU50)))</f>
        <v>Date before first TermStructure's date.</v>
      </c>
      <c r="AO50" s="215" t="e">
        <f>_xll.xlShmInterpRate(CurveName,$AO$2,$C$50,DATE(YEAR(AU50)+IF(YEAR(AU50)&lt;2000,100,0),MONTH(AU50),DAY(AU50)))*100</f>
        <v>#VALUE!</v>
      </c>
      <c r="AP50" s="6" t="e">
        <f t="shared" si="30"/>
        <v>#VALUE!</v>
      </c>
      <c r="AQ50" s="215" t="e">
        <f t="shared" si="10"/>
        <v>#VALUE!</v>
      </c>
      <c r="AR50" s="8"/>
      <c r="AS50" s="52"/>
      <c r="AT50" s="8"/>
      <c r="AU50" s="20"/>
      <c r="AV50" s="52"/>
      <c r="BC50" s="21"/>
      <c r="BD50" s="52"/>
    </row>
    <row r="51" spans="1:56" ht="11.25" customHeight="1">
      <c r="A51" s="6"/>
      <c r="D51" s="6"/>
      <c r="E51" s="129" t="b">
        <f t="shared" si="40"/>
        <v>1</v>
      </c>
      <c r="F51" s="107">
        <f t="shared" si="37"/>
        <v>11</v>
      </c>
      <c r="G51" s="7"/>
      <c r="I51" s="79">
        <f t="shared" si="31"/>
        <v>0.86250000000000004</v>
      </c>
      <c r="J51" s="50"/>
      <c r="K51" s="127"/>
      <c r="L51" s="50">
        <f t="shared" si="32"/>
        <v>0.86250000000000004</v>
      </c>
      <c r="M51" s="29">
        <f t="shared" si="38"/>
        <v>11</v>
      </c>
      <c r="N51" s="30">
        <f t="shared" si="33"/>
        <v>11</v>
      </c>
      <c r="O51" s="29">
        <f t="shared" si="39"/>
        <v>11</v>
      </c>
      <c r="P51" s="30">
        <f t="shared" si="34"/>
        <v>12</v>
      </c>
      <c r="Q51" s="7"/>
      <c r="R51" s="26">
        <f t="shared" si="35"/>
        <v>12</v>
      </c>
      <c r="S51" s="41">
        <f t="shared" si="36"/>
        <v>0.9524999999999999</v>
      </c>
      <c r="U51" s="133" t="e">
        <v>#N/A</v>
      </c>
      <c r="V51" s="134" t="e">
        <v>#N/A</v>
      </c>
      <c r="Y51" s="37">
        <v>3</v>
      </c>
      <c r="Z51" s="29">
        <f>_xll.RtGet($AD$50,$AD$51&amp;$Y51&amp;$AD$52,Z$48)</f>
        <v>-9.5000000000000001E-2</v>
      </c>
      <c r="AA51" s="30">
        <f>_xll.RtGet($AD$50,$AD$51&amp;$Y51&amp;$AD$52,AA$48)</f>
        <v>-1.4999999999999999E-2</v>
      </c>
      <c r="AC51" s="18" t="s">
        <v>20</v>
      </c>
      <c r="AD51" s="72" t="s">
        <v>154</v>
      </c>
      <c r="AN51" s="6" t="str">
        <f>_xll.xlShmInterpDisc(CurveName,DATE(YEAR(AU51)+IF(YEAR(AU51)&lt;2000,100,0),MONTH(AU51),DAY(AU51)))</f>
        <v>Date before first TermStructure's date.</v>
      </c>
      <c r="AO51" s="215" t="e">
        <f>_xll.xlShmInterpRate(CurveName,$AO$2,$C$50,DATE(YEAR(AU51)+IF(YEAR(AU51)&lt;2000,100,0),MONTH(AU51),DAY(AU51)))*100</f>
        <v>#VALUE!</v>
      </c>
      <c r="AP51" s="6" t="e">
        <f t="shared" si="30"/>
        <v>#VALUE!</v>
      </c>
      <c r="AQ51" s="215" t="e">
        <f t="shared" si="10"/>
        <v>#VALUE!</v>
      </c>
      <c r="AR51" s="8"/>
      <c r="AS51" s="52"/>
      <c r="AT51" s="8"/>
      <c r="AU51" s="20"/>
      <c r="AV51" s="52"/>
      <c r="BC51" s="21"/>
      <c r="BD51" s="52"/>
    </row>
    <row r="52" spans="1:56" ht="11.25" customHeight="1">
      <c r="B52" s="64" t="s">
        <v>81</v>
      </c>
      <c r="C52" s="64" t="s">
        <v>82</v>
      </c>
      <c r="E52" s="129" t="b">
        <f t="shared" si="40"/>
        <v>1</v>
      </c>
      <c r="F52" s="107">
        <f t="shared" si="37"/>
        <v>12</v>
      </c>
      <c r="G52" s="7"/>
      <c r="I52" s="79">
        <f t="shared" si="31"/>
        <v>0.9524999999999999</v>
      </c>
      <c r="J52" s="50"/>
      <c r="K52" s="127"/>
      <c r="L52" s="50">
        <f t="shared" si="32"/>
        <v>0.9524999999999999</v>
      </c>
      <c r="M52" s="29">
        <f t="shared" si="38"/>
        <v>12</v>
      </c>
      <c r="N52" s="30">
        <f t="shared" si="33"/>
        <v>12</v>
      </c>
      <c r="O52" s="29">
        <f t="shared" si="39"/>
        <v>12</v>
      </c>
      <c r="P52" s="30">
        <f t="shared" si="34"/>
        <v>13</v>
      </c>
      <c r="Q52" s="7"/>
      <c r="R52" s="26">
        <f t="shared" si="35"/>
        <v>15</v>
      </c>
      <c r="S52" s="41">
        <f t="shared" si="36"/>
        <v>1.1675</v>
      </c>
      <c r="U52" s="133" t="e">
        <v>#N/A</v>
      </c>
      <c r="V52" s="134" t="e">
        <v>#N/A</v>
      </c>
      <c r="Y52" s="37">
        <v>4</v>
      </c>
      <c r="Z52" s="29">
        <f>_xll.RtGet($AD$50,$AD$51&amp;$Y52&amp;$AD$52,Z$48)</f>
        <v>-1.4999999999999999E-2</v>
      </c>
      <c r="AA52" s="30">
        <f>_xll.RtGet($AD$50,$AD$51&amp;$Y52&amp;$AD$52,AA$48)</f>
        <v>6.5000000000000002E-2</v>
      </c>
      <c r="AC52" s="24" t="s">
        <v>24</v>
      </c>
      <c r="AD52" s="73" t="s">
        <v>155</v>
      </c>
      <c r="AN52" s="6" t="str">
        <f>_xll.xlShmInterpDisc(CurveName,DATE(YEAR(AU52)+IF(YEAR(AU52)&lt;2000,100,0),MONTH(AU52),DAY(AU52)))</f>
        <v>Date before first TermStructure's date.</v>
      </c>
      <c r="AO52" s="215" t="e">
        <f>_xll.xlShmInterpRate(CurveName,$AO$2,$C$50,DATE(YEAR(AU52)+IF(YEAR(AU52)&lt;2000,100,0),MONTH(AU52),DAY(AU52)))*100</f>
        <v>#VALUE!</v>
      </c>
      <c r="AP52" s="6" t="e">
        <f t="shared" si="30"/>
        <v>#VALUE!</v>
      </c>
      <c r="AQ52" s="215" t="e">
        <f t="shared" si="10"/>
        <v>#VALUE!</v>
      </c>
      <c r="AR52" s="8"/>
      <c r="AS52" s="52"/>
      <c r="AT52" s="8"/>
      <c r="AU52" s="20"/>
      <c r="AV52" s="52"/>
      <c r="BC52" s="21"/>
      <c r="BD52" s="52"/>
    </row>
    <row r="53" spans="1:56" ht="11.25" customHeight="1">
      <c r="B53" s="58" t="str">
        <f>"DiscCurveName"&amp;IF(ISBLANK(C6),"","#"&amp;C6)</f>
        <v>DiscCurveName</v>
      </c>
      <c r="C53" s="59"/>
      <c r="E53" s="129" t="b">
        <f t="shared" si="40"/>
        <v>1</v>
      </c>
      <c r="F53" s="107">
        <f t="shared" si="37"/>
        <v>15</v>
      </c>
      <c r="G53" s="7"/>
      <c r="I53" s="79">
        <f t="shared" si="31"/>
        <v>1.1675</v>
      </c>
      <c r="J53" s="50"/>
      <c r="K53" s="127"/>
      <c r="L53" s="50">
        <f t="shared" si="32"/>
        <v>1.1675</v>
      </c>
      <c r="M53" s="29">
        <f t="shared" si="38"/>
        <v>13</v>
      </c>
      <c r="N53" s="30">
        <f t="shared" si="33"/>
        <v>13</v>
      </c>
      <c r="O53" s="29">
        <f t="shared" si="39"/>
        <v>13</v>
      </c>
      <c r="P53" s="30">
        <f t="shared" si="34"/>
        <v>14</v>
      </c>
      <c r="Q53" s="7"/>
      <c r="R53" s="26">
        <f t="shared" si="35"/>
        <v>20</v>
      </c>
      <c r="S53" s="41">
        <f t="shared" si="36"/>
        <v>1.3625</v>
      </c>
      <c r="U53" s="133" t="e">
        <v>#N/A</v>
      </c>
      <c r="V53" s="134" t="e">
        <v>#N/A</v>
      </c>
      <c r="Y53" s="37">
        <v>5</v>
      </c>
      <c r="Z53" s="29">
        <f>_xll.RtGet($AD$50,$AD$51&amp;$Y53&amp;$AD$52,Z$48)</f>
        <v>9.2499999999999999E-2</v>
      </c>
      <c r="AA53" s="30">
        <f>_xll.RtGet($AD$50,$AD$51&amp;$Y53&amp;$AD$52,AA$48)</f>
        <v>0.17249999999999999</v>
      </c>
      <c r="AN53" s="6" t="str">
        <f>_xll.xlShmInterpDisc(CurveName,DATE(YEAR(AU53)+IF(YEAR(AU53)&lt;2000,100,0),MONTH(AU53),DAY(AU53)))</f>
        <v>Date before first TermStructure's date.</v>
      </c>
      <c r="AO53" s="215" t="e">
        <f>_xll.xlShmInterpRate(CurveName,$AO$2,$C$50,DATE(YEAR(AU53)+IF(YEAR(AU53)&lt;2000,100,0),MONTH(AU53),DAY(AU53)))*100</f>
        <v>#VALUE!</v>
      </c>
      <c r="AP53" s="6" t="e">
        <f t="shared" si="30"/>
        <v>#VALUE!</v>
      </c>
      <c r="AQ53" s="215" t="e">
        <f t="shared" si="10"/>
        <v>#VALUE!</v>
      </c>
      <c r="AR53" s="8"/>
      <c r="AS53" s="52"/>
      <c r="AT53" s="8"/>
      <c r="AU53" s="20"/>
      <c r="AV53" s="52"/>
      <c r="BC53" s="21"/>
      <c r="BD53" s="52"/>
    </row>
    <row r="54" spans="1:56" ht="11.25" customHeight="1">
      <c r="B54" s="58" t="str">
        <f>"BlockOrder"&amp;IF(ISBLANK(C30),"","#"&amp;C30)</f>
        <v>BlockOrder#231</v>
      </c>
      <c r="C54" s="59"/>
      <c r="E54" s="129" t="b">
        <f t="shared" si="40"/>
        <v>1</v>
      </c>
      <c r="F54" s="107">
        <f t="shared" si="37"/>
        <v>20</v>
      </c>
      <c r="G54" s="7"/>
      <c r="H54" s="7"/>
      <c r="I54" s="79">
        <f t="shared" si="31"/>
        <v>1.3625</v>
      </c>
      <c r="J54" s="50"/>
      <c r="K54" s="127"/>
      <c r="L54" s="50">
        <f t="shared" si="32"/>
        <v>1.3625</v>
      </c>
      <c r="M54" s="29">
        <f t="shared" si="38"/>
        <v>14</v>
      </c>
      <c r="N54" s="30">
        <f t="shared" si="33"/>
        <v>14</v>
      </c>
      <c r="O54" s="29">
        <f t="shared" si="39"/>
        <v>14</v>
      </c>
      <c r="P54" s="30">
        <f t="shared" si="34"/>
        <v>15</v>
      </c>
      <c r="Q54" s="7"/>
      <c r="R54" s="26">
        <f t="shared" si="35"/>
        <v>25</v>
      </c>
      <c r="S54" s="41">
        <f t="shared" si="36"/>
        <v>1.46</v>
      </c>
      <c r="U54" s="133" t="e">
        <v>#N/A</v>
      </c>
      <c r="V54" s="134" t="e">
        <v>#N/A</v>
      </c>
      <c r="Y54" s="37">
        <v>6</v>
      </c>
      <c r="Z54" s="29">
        <f>_xll.RtGet($AD$50,$AD$51&amp;$Y54&amp;$AD$52,Z$48)</f>
        <v>0.22</v>
      </c>
      <c r="AA54" s="30">
        <f>_xll.RtGet($AD$50,$AD$51&amp;$Y54&amp;$AD$52,AA$48)</f>
        <v>0.3</v>
      </c>
      <c r="AN54" s="6" t="str">
        <f>_xll.xlShmInterpDisc(CurveName,DATE(YEAR(AU54)+IF(YEAR(AU54)&lt;2000,100,0),MONTH(AU54),DAY(AU54)))</f>
        <v>Date before first TermStructure's date.</v>
      </c>
      <c r="AO54" s="215" t="e">
        <f>_xll.xlShmInterpRate(CurveName,$AO$2,$C$50,DATE(YEAR(AU54)+IF(YEAR(AU54)&lt;2000,100,0),MONTH(AU54),DAY(AU54)))*100</f>
        <v>#VALUE!</v>
      </c>
      <c r="AP54" s="6" t="e">
        <f t="shared" si="30"/>
        <v>#VALUE!</v>
      </c>
      <c r="AQ54" s="215" t="e">
        <f t="shared" si="10"/>
        <v>#VALUE!</v>
      </c>
      <c r="AR54" s="8"/>
      <c r="AS54" s="52"/>
      <c r="AT54" s="8"/>
      <c r="AU54" s="20"/>
      <c r="AV54" s="52"/>
      <c r="BC54" s="21"/>
      <c r="BD54" s="52"/>
    </row>
    <row r="55" spans="1:56" ht="11.25" customHeight="1">
      <c r="B55" s="58" t="str">
        <f>"MatBlockCons"&amp;IF(ISBLANK(C33),"","#"&amp;C33)</f>
        <v>MatBlockCons#on</v>
      </c>
      <c r="C55" s="59"/>
      <c r="E55" s="129" t="b">
        <f t="shared" si="40"/>
        <v>1</v>
      </c>
      <c r="F55" s="107">
        <f t="shared" si="37"/>
        <v>25</v>
      </c>
      <c r="G55" s="7"/>
      <c r="H55" s="7"/>
      <c r="I55" s="79">
        <f t="shared" si="31"/>
        <v>1.46</v>
      </c>
      <c r="J55" s="50"/>
      <c r="K55" s="127"/>
      <c r="L55" s="50">
        <f t="shared" si="32"/>
        <v>1.46</v>
      </c>
      <c r="M55" s="29">
        <f t="shared" si="38"/>
        <v>15</v>
      </c>
      <c r="N55" s="30">
        <f t="shared" si="33"/>
        <v>15</v>
      </c>
      <c r="O55" s="29">
        <f t="shared" si="39"/>
        <v>15</v>
      </c>
      <c r="P55" s="30">
        <f t="shared" si="34"/>
        <v>16</v>
      </c>
      <c r="Q55" s="7"/>
      <c r="R55" s="26">
        <f t="shared" si="35"/>
        <v>30</v>
      </c>
      <c r="S55" s="41">
        <f t="shared" si="36"/>
        <v>1.5049999999999999</v>
      </c>
      <c r="U55" s="133" t="e">
        <v>#N/A</v>
      </c>
      <c r="V55" s="134" t="e">
        <v>#N/A</v>
      </c>
      <c r="Y55" s="37">
        <v>7</v>
      </c>
      <c r="Z55" s="29">
        <f>_xll.RtGet($AD$50,$AD$51&amp;$Y55&amp;$AD$52,Z$48)</f>
        <v>0.35499999999999998</v>
      </c>
      <c r="AA55" s="30">
        <f>_xll.RtGet($AD$50,$AD$51&amp;$Y55&amp;$AD$52,AA$48)</f>
        <v>0.435</v>
      </c>
      <c r="AN55" s="6" t="str">
        <f>_xll.xlShmInterpDisc(CurveName,DATE(YEAR(AU55)+IF(YEAR(AU55)&lt;2000,100,0),MONTH(AU55),DAY(AU55)))</f>
        <v>Date before first TermStructure's date.</v>
      </c>
      <c r="AO55" s="215" t="e">
        <f>_xll.xlShmInterpRate(CurveName,$AO$2,$C$50,DATE(YEAR(AU55)+IF(YEAR(AU55)&lt;2000,100,0),MONTH(AU55),DAY(AU55)))*100</f>
        <v>#VALUE!</v>
      </c>
      <c r="AP55" s="6" t="e">
        <f t="shared" si="30"/>
        <v>#VALUE!</v>
      </c>
      <c r="AQ55" s="215" t="e">
        <f t="shared" si="10"/>
        <v>#VALUE!</v>
      </c>
      <c r="AR55" s="8"/>
      <c r="AS55" s="52"/>
      <c r="AT55" s="8"/>
      <c r="AU55" s="20"/>
      <c r="AV55" s="52"/>
      <c r="BC55" s="21"/>
      <c r="BD55" s="52"/>
    </row>
    <row r="56" spans="1:56" ht="11.25" customHeight="1">
      <c r="B56" s="58" t="str">
        <f>"FutEndDate"&amp;IF(ISBLANK(C34),"","#"&amp;C34)</f>
        <v>FutEndDate#standard</v>
      </c>
      <c r="C56" s="59"/>
      <c r="E56" s="129" t="b">
        <f t="shared" si="40"/>
        <v>1</v>
      </c>
      <c r="F56" s="107">
        <f t="shared" si="37"/>
        <v>30</v>
      </c>
      <c r="G56" s="7"/>
      <c r="H56" s="7"/>
      <c r="I56" s="79">
        <f t="shared" si="31"/>
        <v>1.5049999999999999</v>
      </c>
      <c r="J56" s="50"/>
      <c r="K56" s="127"/>
      <c r="L56" s="50">
        <f t="shared" si="32"/>
        <v>1.5049999999999999</v>
      </c>
      <c r="M56" s="29">
        <f t="shared" si="38"/>
        <v>16</v>
      </c>
      <c r="N56" s="30">
        <f t="shared" si="33"/>
        <v>16</v>
      </c>
      <c r="O56" s="29" t="str">
        <f t="shared" si="39"/>
        <v/>
      </c>
      <c r="P56" s="30" t="str">
        <f t="shared" si="34"/>
        <v/>
      </c>
      <c r="Q56" s="7"/>
      <c r="R56" s="26" t="str">
        <f t="shared" si="35"/>
        <v/>
      </c>
      <c r="S56" s="41" t="str">
        <f t="shared" si="36"/>
        <v/>
      </c>
      <c r="U56" s="133" t="e">
        <v>#N/A</v>
      </c>
      <c r="V56" s="134" t="e">
        <v>#N/A</v>
      </c>
      <c r="Y56" s="37">
        <v>8</v>
      </c>
      <c r="Z56" s="29">
        <f>_xll.RtGet($AD$50,$AD$51&amp;$Y56&amp;$AD$52,Z$48)</f>
        <v>0.48749999999999999</v>
      </c>
      <c r="AA56" s="30">
        <f>_xll.RtGet($AD$50,$AD$51&amp;$Y56&amp;$AD$52,AA$48)</f>
        <v>0.5675</v>
      </c>
      <c r="AN56" s="6" t="str">
        <f>_xll.xlShmInterpDisc(CurveName,DATE(YEAR(AU56)+IF(YEAR(AU56)&lt;2000,100,0),MONTH(AU56),DAY(AU56)))</f>
        <v>Date before first TermStructure's date.</v>
      </c>
      <c r="AO56" s="215" t="e">
        <f>_xll.xlShmInterpRate(CurveName,$AO$2,$C$50,DATE(YEAR(AU56)+IF(YEAR(AU56)&lt;2000,100,0),MONTH(AU56),DAY(AU56)))*100</f>
        <v>#VALUE!</v>
      </c>
      <c r="AP56" s="6" t="e">
        <f t="shared" si="30"/>
        <v>#VALUE!</v>
      </c>
      <c r="AQ56" s="215" t="e">
        <f t="shared" si="10"/>
        <v>#VALUE!</v>
      </c>
      <c r="AR56" s="8"/>
      <c r="AS56" s="52"/>
      <c r="AT56" s="8"/>
      <c r="AU56" s="20"/>
      <c r="AV56" s="52"/>
      <c r="BC56" s="21"/>
      <c r="BD56" s="52"/>
    </row>
    <row r="57" spans="1:56" ht="11.25" customHeight="1">
      <c r="B57" s="58" t="str">
        <f>"FutBlockCons"&amp;IF(ISBLANK(C32),"","#"&amp;C32)</f>
        <v>FutBlockCons#start</v>
      </c>
      <c r="C57" s="59"/>
      <c r="E57" s="129" t="b">
        <f t="shared" si="40"/>
        <v>0</v>
      </c>
      <c r="F57" s="107" t="str">
        <f t="shared" si="37"/>
        <v/>
      </c>
      <c r="G57" s="7"/>
      <c r="H57" s="7"/>
      <c r="I57" s="79" t="e">
        <f t="shared" si="31"/>
        <v>#DIV/0!</v>
      </c>
      <c r="J57" s="50"/>
      <c r="K57" s="127"/>
      <c r="L57" s="50" t="e">
        <f t="shared" si="32"/>
        <v>#DIV/0!</v>
      </c>
      <c r="M57" s="29">
        <f t="shared" si="38"/>
        <v>17</v>
      </c>
      <c r="N57" s="30" t="str">
        <f t="shared" si="33"/>
        <v/>
      </c>
      <c r="O57" s="29" t="str">
        <f t="shared" si="39"/>
        <v/>
      </c>
      <c r="P57" s="30" t="str">
        <f t="shared" si="34"/>
        <v/>
      </c>
      <c r="Q57" s="7"/>
      <c r="R57" s="26" t="str">
        <f t="shared" si="35"/>
        <v/>
      </c>
      <c r="S57" s="41" t="str">
        <f t="shared" si="36"/>
        <v/>
      </c>
      <c r="U57" s="133" t="e">
        <v>#N/A</v>
      </c>
      <c r="V57" s="134" t="e">
        <v>#N/A</v>
      </c>
      <c r="Y57" s="37">
        <v>9</v>
      </c>
      <c r="Z57" s="29">
        <f>_xll.RtGet($AD$50,$AD$51&amp;$Y57&amp;$AD$52,Z$48)</f>
        <v>0.61250000000000004</v>
      </c>
      <c r="AA57" s="30">
        <f>_xll.RtGet($AD$50,$AD$51&amp;$Y57&amp;$AD$52,AA$48)</f>
        <v>0.6925</v>
      </c>
      <c r="AN57" s="6" t="str">
        <f>_xll.xlShmInterpDisc(CurveName,DATE(YEAR(AU57)+IF(YEAR(AU57)&lt;2000,100,0),MONTH(AU57),DAY(AU57)))</f>
        <v>Date before first TermStructure's date.</v>
      </c>
      <c r="AO57" s="215" t="e">
        <f>_xll.xlShmInterpRate(CurveName,$AO$2,$C$50,DATE(YEAR(AU57)+IF(YEAR(AU57)&lt;2000,100,0),MONTH(AU57),DAY(AU57)))*100</f>
        <v>#VALUE!</v>
      </c>
      <c r="AP57" s="6" t="e">
        <f t="shared" si="30"/>
        <v>#VALUE!</v>
      </c>
      <c r="AQ57" s="215" t="e">
        <f t="shared" si="10"/>
        <v>#VALUE!</v>
      </c>
      <c r="AR57" s="8"/>
      <c r="AS57" s="52"/>
      <c r="AT57" s="8"/>
      <c r="AU57" s="20"/>
      <c r="AV57" s="52"/>
      <c r="BC57" s="21"/>
      <c r="BD57" s="52"/>
    </row>
    <row r="58" spans="1:56" ht="11.25" customHeight="1">
      <c r="B58" s="65" t="str">
        <f>IF(E23,"FutBlockStubRate","")</f>
        <v/>
      </c>
      <c r="C58" s="66">
        <f>IF(E23,L23,0)</f>
        <v>0</v>
      </c>
      <c r="E58" s="129" t="b">
        <f t="shared" si="40"/>
        <v>0</v>
      </c>
      <c r="F58" s="107" t="str">
        <f t="shared" si="37"/>
        <v/>
      </c>
      <c r="G58" s="7"/>
      <c r="H58" s="7"/>
      <c r="I58" s="79" t="e">
        <f t="shared" si="31"/>
        <v>#DIV/0!</v>
      </c>
      <c r="J58" s="50"/>
      <c r="K58" s="127"/>
      <c r="L58" s="50" t="e">
        <f t="shared" si="32"/>
        <v>#DIV/0!</v>
      </c>
      <c r="M58" s="29">
        <f t="shared" si="38"/>
        <v>18</v>
      </c>
      <c r="N58" s="30" t="str">
        <f t="shared" si="33"/>
        <v/>
      </c>
      <c r="O58" s="29" t="str">
        <f t="shared" si="39"/>
        <v/>
      </c>
      <c r="P58" s="30" t="str">
        <f t="shared" si="34"/>
        <v/>
      </c>
      <c r="Q58" s="7"/>
      <c r="R58" s="26" t="str">
        <f t="shared" si="35"/>
        <v/>
      </c>
      <c r="S58" s="41" t="str">
        <f t="shared" si="36"/>
        <v/>
      </c>
      <c r="U58" s="133" t="e">
        <v>#N/A</v>
      </c>
      <c r="V58" s="134" t="e">
        <v>#N/A</v>
      </c>
      <c r="Y58" s="37">
        <v>10</v>
      </c>
      <c r="Z58" s="29">
        <f>_xll.RtGet($AD$50,$AD$51&amp;$Y58&amp;$AD$52,Z$48)</f>
        <v>0.72</v>
      </c>
      <c r="AA58" s="30">
        <f>_xll.RtGet($AD$50,$AD$51&amp;$Y58&amp;$AD$52,AA$48)</f>
        <v>0.8</v>
      </c>
      <c r="AN58" s="6" t="str">
        <f>_xll.xlShmInterpDisc(CurveName,DATE(YEAR(AU58)+IF(YEAR(AU58)&lt;2000,100,0),MONTH(AU58),DAY(AU58)))</f>
        <v>Date before first TermStructure's date.</v>
      </c>
      <c r="AO58" s="215" t="e">
        <f>_xll.xlShmInterpRate(CurveName,$AO$2,$C$50,DATE(YEAR(AU58)+IF(YEAR(AU58)&lt;2000,100,0),MONTH(AU58),DAY(AU58)))*100</f>
        <v>#VALUE!</v>
      </c>
      <c r="AP58" s="6" t="e">
        <f t="shared" si="30"/>
        <v>#VALUE!</v>
      </c>
      <c r="AQ58" s="215" t="e">
        <f t="shared" si="10"/>
        <v>#VALUE!</v>
      </c>
      <c r="AR58" s="8"/>
      <c r="AS58" s="52"/>
      <c r="AT58" s="8"/>
      <c r="AU58" s="20"/>
      <c r="AV58" s="52"/>
      <c r="BC58" s="21"/>
      <c r="BD58" s="52"/>
    </row>
    <row r="59" spans="1:56" ht="11.25" customHeight="1">
      <c r="B59" s="58" t="str">
        <f>IF(ISBLANK(C35),"","FraFutTenor")</f>
        <v>FraFutTenor</v>
      </c>
      <c r="C59" s="59">
        <f>C35</f>
        <v>3</v>
      </c>
      <c r="E59" s="129" t="b">
        <f t="shared" si="40"/>
        <v>0</v>
      </c>
      <c r="F59" s="107" t="str">
        <f t="shared" si="37"/>
        <v/>
      </c>
      <c r="G59" s="7"/>
      <c r="H59" s="7"/>
      <c r="I59" s="79" t="e">
        <f t="shared" si="31"/>
        <v>#DIV/0!</v>
      </c>
      <c r="J59" s="50"/>
      <c r="K59" s="127"/>
      <c r="L59" s="50" t="e">
        <f t="shared" si="32"/>
        <v>#DIV/0!</v>
      </c>
      <c r="M59" s="29">
        <f t="shared" si="38"/>
        <v>19</v>
      </c>
      <c r="N59" s="30" t="str">
        <f t="shared" si="33"/>
        <v/>
      </c>
      <c r="O59" s="29" t="str">
        <f t="shared" si="39"/>
        <v/>
      </c>
      <c r="P59" s="30" t="str">
        <f t="shared" si="34"/>
        <v/>
      </c>
      <c r="Q59" s="7"/>
      <c r="R59" s="26" t="str">
        <f t="shared" si="35"/>
        <v/>
      </c>
      <c r="S59" s="41" t="str">
        <f t="shared" si="36"/>
        <v/>
      </c>
      <c r="U59" s="133" t="e">
        <v>#N/A</v>
      </c>
      <c r="V59" s="134" t="e">
        <v>#N/A</v>
      </c>
      <c r="Y59" s="37">
        <v>11</v>
      </c>
      <c r="Z59" s="29">
        <f>_xll.RtGet($AD$50,$AD$51&amp;$Y59&amp;$AD$52,Z$48)</f>
        <v>0.8125</v>
      </c>
      <c r="AA59" s="30">
        <f>_xll.RtGet($AD$50,$AD$51&amp;$Y59&amp;$AD$52,AA$48)</f>
        <v>0.91249999999999998</v>
      </c>
      <c r="AN59" s="6" t="str">
        <f>_xll.xlShmInterpDisc(CurveName,DATE(YEAR(AU59)+IF(YEAR(AU59)&lt;2000,100,0),MONTH(AU59),DAY(AU59)))</f>
        <v>Date before first TermStructure's date.</v>
      </c>
      <c r="AO59" s="215" t="e">
        <f>_xll.xlShmInterpRate(CurveName,$AO$2,$C$50,DATE(YEAR(AU59)+IF(YEAR(AU59)&lt;2000,100,0),MONTH(AU59),DAY(AU59)))*100</f>
        <v>#VALUE!</v>
      </c>
      <c r="AP59" s="6" t="e">
        <f t="shared" si="30"/>
        <v>#VALUE!</v>
      </c>
      <c r="AQ59" s="215" t="e">
        <f t="shared" si="10"/>
        <v>#VALUE!</v>
      </c>
      <c r="AR59" s="8"/>
      <c r="AS59" s="52"/>
      <c r="AT59" s="8"/>
      <c r="AU59" s="20"/>
      <c r="AV59" s="52"/>
      <c r="BC59" s="21"/>
      <c r="BD59" s="52"/>
    </row>
    <row r="60" spans="1:56" ht="11.25" customHeight="1">
      <c r="B60" s="61" t="str">
        <f>IF(ISBLANK(C36),"","FraFutAdjType")</f>
        <v>FraFutAdjType</v>
      </c>
      <c r="C60" s="59">
        <f>IF(ISBLANK(C36),0,VLOOKUP(C36,dvCurveBootstrapperFraFutAdjust,2,FALSE))</f>
        <v>2</v>
      </c>
      <c r="E60" s="129" t="b">
        <f t="shared" si="40"/>
        <v>0</v>
      </c>
      <c r="F60" s="107" t="str">
        <f t="shared" si="37"/>
        <v/>
      </c>
      <c r="G60" s="7"/>
      <c r="H60" s="7"/>
      <c r="I60" s="79" t="e">
        <f t="shared" si="31"/>
        <v>#DIV/0!</v>
      </c>
      <c r="J60" s="50"/>
      <c r="K60" s="127"/>
      <c r="L60" s="50" t="e">
        <f t="shared" si="32"/>
        <v>#DIV/0!</v>
      </c>
      <c r="M60" s="29">
        <f t="shared" si="38"/>
        <v>20</v>
      </c>
      <c r="N60" s="30" t="str">
        <f t="shared" si="33"/>
        <v/>
      </c>
      <c r="O60" s="29" t="str">
        <f t="shared" si="39"/>
        <v/>
      </c>
      <c r="P60" s="30" t="str">
        <f t="shared" si="34"/>
        <v/>
      </c>
      <c r="Q60" s="7"/>
      <c r="R60" s="26" t="str">
        <f t="shared" si="35"/>
        <v/>
      </c>
      <c r="S60" s="41" t="str">
        <f t="shared" si="36"/>
        <v/>
      </c>
      <c r="U60" s="133" t="e">
        <v>#N/A</v>
      </c>
      <c r="V60" s="134" t="e">
        <v>#N/A</v>
      </c>
      <c r="Y60" s="37">
        <v>12</v>
      </c>
      <c r="Z60" s="29">
        <f>_xll.RtGet($AD$50,$AD$51&amp;$Y60&amp;$AD$52,Z$48)</f>
        <v>0.90249999999999997</v>
      </c>
      <c r="AA60" s="30">
        <f>_xll.RtGet($AD$50,$AD$51&amp;$Y60&amp;$AD$52,AA$48)</f>
        <v>1.0024999999999999</v>
      </c>
      <c r="AN60" s="6" t="str">
        <f>_xll.xlShmInterpDisc(CurveName,DATE(YEAR(AU60)+IF(YEAR(AU60)&lt;2000,100,0),MONTH(AU60),DAY(AU60)))</f>
        <v>Date before first TermStructure's date.</v>
      </c>
      <c r="AO60" s="215" t="e">
        <f>_xll.xlShmInterpRate(CurveName,$AO$2,$C$50,DATE(YEAR(AU60)+IF(YEAR(AU60)&lt;2000,100,0),MONTH(AU60),DAY(AU60)))*100</f>
        <v>#VALUE!</v>
      </c>
      <c r="AP60" s="6" t="e">
        <f t="shared" si="30"/>
        <v>#VALUE!</v>
      </c>
      <c r="AQ60" s="215" t="e">
        <f t="shared" si="10"/>
        <v>#VALUE!</v>
      </c>
      <c r="AR60" s="8"/>
      <c r="AS60" s="52"/>
      <c r="AT60" s="8"/>
      <c r="AU60" s="20"/>
      <c r="AV60" s="52"/>
      <c r="BC60" s="21"/>
      <c r="BD60" s="52"/>
    </row>
    <row r="61" spans="1:56" ht="11.25" customHeight="1">
      <c r="A61" s="2"/>
      <c r="B61" s="58" t="str">
        <f>IF(ISBLANK(C37),"","SwapMatType")</f>
        <v>SwapMatType</v>
      </c>
      <c r="C61" s="59">
        <f>IF(ISBLANK(C37),0,VLOOKUP(C37,dvCurveBootstrapperSwapMatType,2,FALSE))</f>
        <v>0</v>
      </c>
      <c r="D61" s="2"/>
      <c r="E61" s="129" t="b">
        <f t="shared" si="40"/>
        <v>0</v>
      </c>
      <c r="F61" s="107" t="str">
        <f t="shared" si="37"/>
        <v/>
      </c>
      <c r="G61" s="7"/>
      <c r="H61" s="7"/>
      <c r="I61" s="79" t="e">
        <f t="shared" si="31"/>
        <v>#DIV/0!</v>
      </c>
      <c r="J61" s="50"/>
      <c r="K61" s="127"/>
      <c r="L61" s="50" t="e">
        <f t="shared" si="32"/>
        <v>#DIV/0!</v>
      </c>
      <c r="M61" s="29">
        <f t="shared" si="38"/>
        <v>21</v>
      </c>
      <c r="N61" s="30" t="str">
        <f t="shared" si="33"/>
        <v/>
      </c>
      <c r="O61" s="29" t="str">
        <f t="shared" si="39"/>
        <v/>
      </c>
      <c r="P61" s="30" t="str">
        <f t="shared" si="34"/>
        <v/>
      </c>
      <c r="Q61" s="7"/>
      <c r="R61" s="26" t="str">
        <f t="shared" si="35"/>
        <v/>
      </c>
      <c r="S61" s="41" t="str">
        <f t="shared" si="36"/>
        <v/>
      </c>
      <c r="U61" s="133" t="e">
        <v>#N/A</v>
      </c>
      <c r="V61" s="134" t="e">
        <v>#N/A</v>
      </c>
      <c r="Y61" s="37">
        <v>15</v>
      </c>
      <c r="Z61" s="29">
        <f>_xll.RtGet($AD$50,$AD$51&amp;$Y61&amp;$AD$52,Z$48)</f>
        <v>1.1174999999999999</v>
      </c>
      <c r="AA61" s="30">
        <f>_xll.RtGet($AD$50,$AD$51&amp;$Y61&amp;$AD$52,AA$48)</f>
        <v>1.2175</v>
      </c>
      <c r="AN61" s="6" t="str">
        <f>_xll.xlShmInterpDisc(CurveName,DATE(YEAR(AU61)+IF(YEAR(AU61)&lt;2000,100,0),MONTH(AU61),DAY(AU61)))</f>
        <v>Date before first TermStructure's date.</v>
      </c>
      <c r="AO61" s="215" t="e">
        <f>_xll.xlShmInterpRate(CurveName,$AO$2,$C$50,DATE(YEAR(AU61)+IF(YEAR(AU61)&lt;2000,100,0),MONTH(AU61),DAY(AU61)))*100</f>
        <v>#VALUE!</v>
      </c>
      <c r="AP61" s="6" t="e">
        <f t="shared" si="30"/>
        <v>#VALUE!</v>
      </c>
      <c r="AQ61" s="215" t="e">
        <f t="shared" si="10"/>
        <v>#VALUE!</v>
      </c>
      <c r="AR61" s="8"/>
      <c r="AS61" s="52"/>
      <c r="AT61" s="8"/>
      <c r="AU61" s="20"/>
      <c r="AV61" s="52"/>
      <c r="BC61" s="21"/>
      <c r="BD61" s="52"/>
    </row>
    <row r="62" spans="1:56" ht="11.25" customHeight="1">
      <c r="A62" s="2"/>
      <c r="B62" s="58" t="str">
        <f>IF(ISBLANK(C38),"","MSwapFixFreq")</f>
        <v/>
      </c>
      <c r="C62" s="59">
        <f>C38</f>
        <v>0</v>
      </c>
      <c r="D62" s="2"/>
      <c r="E62" s="129" t="b">
        <f t="shared" si="40"/>
        <v>0</v>
      </c>
      <c r="F62" s="107" t="str">
        <f t="shared" si="37"/>
        <v/>
      </c>
      <c r="G62" s="7"/>
      <c r="H62" s="7"/>
      <c r="I62" s="79" t="e">
        <f t="shared" si="31"/>
        <v>#DIV/0!</v>
      </c>
      <c r="J62" s="50"/>
      <c r="K62" s="127"/>
      <c r="L62" s="50" t="e">
        <f t="shared" si="32"/>
        <v>#DIV/0!</v>
      </c>
      <c r="M62" s="29">
        <f t="shared" si="38"/>
        <v>22</v>
      </c>
      <c r="N62" s="30" t="str">
        <f t="shared" si="33"/>
        <v/>
      </c>
      <c r="O62" s="29" t="str">
        <f t="shared" si="39"/>
        <v/>
      </c>
      <c r="P62" s="30" t="str">
        <f t="shared" si="34"/>
        <v/>
      </c>
      <c r="Q62" s="7"/>
      <c r="R62" s="26" t="str">
        <f t="shared" si="35"/>
        <v/>
      </c>
      <c r="S62" s="41" t="str">
        <f t="shared" si="36"/>
        <v/>
      </c>
      <c r="U62" s="133" t="e">
        <v>#N/A</v>
      </c>
      <c r="V62" s="134" t="e">
        <v>#N/A</v>
      </c>
      <c r="Y62" s="37">
        <v>20</v>
      </c>
      <c r="Z62" s="29">
        <f>_xll.RtGet($AD$50,$AD$51&amp;$Y62&amp;$AD$52,Z$48)</f>
        <v>1.3125</v>
      </c>
      <c r="AA62" s="30">
        <f>_xll.RtGet($AD$50,$AD$51&amp;$Y62&amp;$AD$52,AA$48)</f>
        <v>1.4125000000000001</v>
      </c>
      <c r="AN62" s="6" t="str">
        <f>_xll.xlShmInterpDisc(CurveName,DATE(YEAR(AU62)+IF(YEAR(AU62)&lt;2000,100,0),MONTH(AU62),DAY(AU62)))</f>
        <v>Date before first TermStructure's date.</v>
      </c>
      <c r="AO62" s="215" t="e">
        <f>_xll.xlShmInterpRate(CurveName,$AO$2,$C$50,DATE(YEAR(AU62)+IF(YEAR(AU62)&lt;2000,100,0),MONTH(AU62),DAY(AU62)))*100</f>
        <v>#VALUE!</v>
      </c>
      <c r="AP62" s="6" t="e">
        <f t="shared" si="30"/>
        <v>#VALUE!</v>
      </c>
      <c r="AQ62" s="215" t="e">
        <f t="shared" si="10"/>
        <v>#VALUE!</v>
      </c>
      <c r="AR62" s="8"/>
      <c r="AS62" s="52"/>
      <c r="AT62" s="8"/>
      <c r="AU62" s="20"/>
      <c r="AV62" s="52"/>
      <c r="BC62" s="21"/>
      <c r="BD62" s="52"/>
    </row>
    <row r="63" spans="1:56" ht="11.25" customHeight="1">
      <c r="A63" s="2"/>
      <c r="B63" s="58" t="str">
        <f>IF(ISBLANK(C39),"","MSwapFixYrf")</f>
        <v/>
      </c>
      <c r="C63" s="59">
        <f>IF(ISBLANK(C39),0,VLOOKUP(C39,dvCurveBootstrapperDayCount,2,FALSE))</f>
        <v>0</v>
      </c>
      <c r="D63" s="2"/>
      <c r="E63" s="129" t="b">
        <f t="shared" si="40"/>
        <v>0</v>
      </c>
      <c r="F63" s="107" t="str">
        <f t="shared" si="37"/>
        <v/>
      </c>
      <c r="G63" s="7"/>
      <c r="H63" s="7"/>
      <c r="I63" s="79" t="e">
        <f t="shared" si="31"/>
        <v>#DIV/0!</v>
      </c>
      <c r="J63" s="50"/>
      <c r="K63" s="127"/>
      <c r="L63" s="50" t="e">
        <f t="shared" si="32"/>
        <v>#DIV/0!</v>
      </c>
      <c r="M63" s="29">
        <f t="shared" si="38"/>
        <v>23</v>
      </c>
      <c r="N63" s="30" t="str">
        <f t="shared" si="33"/>
        <v/>
      </c>
      <c r="O63" s="29" t="str">
        <f t="shared" si="39"/>
        <v/>
      </c>
      <c r="P63" s="30" t="str">
        <f t="shared" si="34"/>
        <v/>
      </c>
      <c r="Q63" s="7"/>
      <c r="R63" s="26" t="str">
        <f t="shared" si="35"/>
        <v/>
      </c>
      <c r="S63" s="41" t="str">
        <f t="shared" si="36"/>
        <v/>
      </c>
      <c r="U63" s="133" t="e">
        <v>#N/A</v>
      </c>
      <c r="V63" s="134" t="e">
        <v>#N/A</v>
      </c>
      <c r="Y63" s="37">
        <v>25</v>
      </c>
      <c r="Z63" s="29">
        <f>_xll.RtGet($AD$50,$AD$51&amp;$Y63&amp;$AD$52,Z$48)</f>
        <v>1.41</v>
      </c>
      <c r="AA63" s="30">
        <f>_xll.RtGet($AD$50,$AD$51&amp;$Y63&amp;$AD$52,AA$48)</f>
        <v>1.51</v>
      </c>
      <c r="AN63" s="6" t="str">
        <f>_xll.xlShmInterpDisc(CurveName,DATE(YEAR(AU63)+IF(YEAR(AU63)&lt;2000,100,0),MONTH(AU63),DAY(AU63)))</f>
        <v>Date before first TermStructure's date.</v>
      </c>
      <c r="AO63" s="215" t="e">
        <f>_xll.xlShmInterpRate(CurveName,$AO$2,$C$50,DATE(YEAR(AU63)+IF(YEAR(AU63)&lt;2000,100,0),MONTH(AU63),DAY(AU63)))*100</f>
        <v>#VALUE!</v>
      </c>
      <c r="AP63" s="6" t="e">
        <f t="shared" si="30"/>
        <v>#VALUE!</v>
      </c>
      <c r="AQ63" s="215" t="e">
        <f t="shared" si="10"/>
        <v>#VALUE!</v>
      </c>
      <c r="AR63" s="8"/>
      <c r="AS63" s="52"/>
      <c r="AT63" s="8"/>
      <c r="AU63" s="20"/>
      <c r="AV63" s="52"/>
      <c r="BC63" s="21"/>
      <c r="BD63" s="52"/>
    </row>
    <row r="64" spans="1:56" ht="11.25" customHeight="1">
      <c r="B64" s="58" t="str">
        <f>IF(ISBLANK(C40),"","SwapFixFreq")</f>
        <v>SwapFixFreq</v>
      </c>
      <c r="C64" s="59">
        <f>C40</f>
        <v>1</v>
      </c>
      <c r="E64" s="129" t="b">
        <f t="shared" si="40"/>
        <v>0</v>
      </c>
      <c r="F64" s="107" t="str">
        <f t="shared" si="37"/>
        <v/>
      </c>
      <c r="G64" s="7"/>
      <c r="H64" s="7"/>
      <c r="I64" s="79" t="e">
        <f t="shared" si="31"/>
        <v>#DIV/0!</v>
      </c>
      <c r="J64" s="50"/>
      <c r="K64" s="127"/>
      <c r="L64" s="50" t="e">
        <f t="shared" si="32"/>
        <v>#DIV/0!</v>
      </c>
      <c r="M64" s="29">
        <f t="shared" si="38"/>
        <v>24</v>
      </c>
      <c r="N64" s="30" t="str">
        <f t="shared" si="33"/>
        <v/>
      </c>
      <c r="O64" s="29" t="str">
        <f t="shared" si="39"/>
        <v/>
      </c>
      <c r="P64" s="30" t="str">
        <f t="shared" si="34"/>
        <v/>
      </c>
      <c r="Q64" s="7"/>
      <c r="R64" s="26" t="str">
        <f t="shared" si="35"/>
        <v/>
      </c>
      <c r="S64" s="41" t="str">
        <f t="shared" si="36"/>
        <v/>
      </c>
      <c r="U64" s="133" t="e">
        <v>#N/A</v>
      </c>
      <c r="V64" s="134" t="e">
        <v>#N/A</v>
      </c>
      <c r="Y64" s="37">
        <v>30</v>
      </c>
      <c r="Z64" s="29">
        <f>_xll.RtGet($AD$50,$AD$51&amp;$Y64&amp;$AD$52,Z$48)</f>
        <v>1.4550000000000001</v>
      </c>
      <c r="AA64" s="30">
        <f>_xll.RtGet($AD$50,$AD$51&amp;$Y64&amp;$AD$52,AA$48)</f>
        <v>1.5549999999999999</v>
      </c>
      <c r="AN64" s="6" t="str">
        <f>_xll.xlShmInterpDisc(CurveName,DATE(YEAR(AU64)+IF(YEAR(AU64)&lt;2000,100,0),MONTH(AU64),DAY(AU64)))</f>
        <v>Date before first TermStructure's date.</v>
      </c>
      <c r="AO64" s="215" t="e">
        <f>_xll.xlShmInterpRate(CurveName,$AO$2,$C$50,DATE(YEAR(AU64)+IF(YEAR(AU64)&lt;2000,100,0),MONTH(AU64),DAY(AU64)))*100</f>
        <v>#VALUE!</v>
      </c>
      <c r="AP64" s="6" t="e">
        <f t="shared" si="30"/>
        <v>#VALUE!</v>
      </c>
      <c r="AQ64" s="215" t="e">
        <f t="shared" si="10"/>
        <v>#VALUE!</v>
      </c>
      <c r="AR64" s="8"/>
      <c r="AS64" s="52"/>
      <c r="AT64" s="8"/>
      <c r="AU64" s="20"/>
      <c r="AV64" s="52"/>
      <c r="BC64" s="21"/>
      <c r="BD64" s="52"/>
    </row>
    <row r="65" spans="2:56" ht="11.25" customHeight="1">
      <c r="B65" s="58" t="str">
        <f>IF(ISBLANK(C41),"","SwapFixYrf")</f>
        <v>SwapFixYrf</v>
      </c>
      <c r="C65" s="59">
        <f>IF(ISBLANK(C41),0,VLOOKUP(C41,dvCurveBootstrapperDayCount,2,FALSE))</f>
        <v>8</v>
      </c>
      <c r="E65" s="129" t="b">
        <f t="shared" si="40"/>
        <v>0</v>
      </c>
      <c r="F65" s="107" t="str">
        <f t="shared" si="37"/>
        <v/>
      </c>
      <c r="G65" s="7"/>
      <c r="H65" s="7"/>
      <c r="I65" s="79" t="e">
        <f t="shared" si="31"/>
        <v>#DIV/0!</v>
      </c>
      <c r="J65" s="50"/>
      <c r="K65" s="127"/>
      <c r="L65" s="50" t="e">
        <f t="shared" si="32"/>
        <v>#DIV/0!</v>
      </c>
      <c r="M65" s="29">
        <f t="shared" si="38"/>
        <v>25</v>
      </c>
      <c r="N65" s="30" t="str">
        <f t="shared" si="33"/>
        <v/>
      </c>
      <c r="O65" s="29" t="str">
        <f t="shared" si="39"/>
        <v/>
      </c>
      <c r="P65" s="30" t="str">
        <f t="shared" si="34"/>
        <v/>
      </c>
      <c r="Q65" s="7"/>
      <c r="R65" s="26" t="str">
        <f t="shared" si="35"/>
        <v/>
      </c>
      <c r="S65" s="41" t="str">
        <f t="shared" si="36"/>
        <v/>
      </c>
      <c r="U65" s="133" t="e">
        <v>#N/A</v>
      </c>
      <c r="V65" s="134" t="e">
        <v>#N/A</v>
      </c>
      <c r="Y65" s="37"/>
      <c r="Z65" s="29" t="str">
        <f>_xll.RtGet($AD$50,$AD$51&amp;$Y65&amp;$AD$52,Z$48)</f>
        <v>#N/A The record could not be found</v>
      </c>
      <c r="AA65" s="30" t="str">
        <f>_xll.RtGet($AD$50,$AD$51&amp;$Y65&amp;$AD$52,AA$48)</f>
        <v>#N/A The record could not be found</v>
      </c>
      <c r="AN65" s="6" t="str">
        <f>_xll.xlShmInterpDisc(CurveName,DATE(YEAR(AU65)+IF(YEAR(AU65)&lt;2000,100,0),MONTH(AU65),DAY(AU65)))</f>
        <v>Date before first TermStructure's date.</v>
      </c>
      <c r="AO65" s="215" t="e">
        <f>_xll.xlShmInterpRate(CurveName,$AO$2,$C$50,DATE(YEAR(AU65)+IF(YEAR(AU65)&lt;2000,100,0),MONTH(AU65),DAY(AU65)))*100</f>
        <v>#VALUE!</v>
      </c>
      <c r="AP65" s="6" t="e">
        <f t="shared" si="30"/>
        <v>#VALUE!</v>
      </c>
      <c r="AQ65" s="215" t="e">
        <f t="shared" si="10"/>
        <v>#VALUE!</v>
      </c>
      <c r="AR65" s="8"/>
      <c r="AS65" s="52"/>
      <c r="AT65" s="8"/>
      <c r="AU65" s="20"/>
      <c r="AV65" s="52"/>
      <c r="BC65" s="21"/>
      <c r="BD65" s="52"/>
    </row>
    <row r="66" spans="2:56" ht="11.25" customHeight="1">
      <c r="B66" s="58" t="str">
        <f>IF(ISBLANK(C42),"","SwapFltFreq")</f>
        <v>SwapFltFreq</v>
      </c>
      <c r="C66" s="59">
        <f>C42</f>
        <v>4</v>
      </c>
      <c r="E66" s="129" t="b">
        <f t="shared" si="40"/>
        <v>0</v>
      </c>
      <c r="F66" s="107" t="str">
        <f t="shared" si="37"/>
        <v/>
      </c>
      <c r="G66" s="7"/>
      <c r="H66" s="7"/>
      <c r="I66" s="79" t="e">
        <f t="shared" si="31"/>
        <v>#DIV/0!</v>
      </c>
      <c r="J66" s="50"/>
      <c r="K66" s="127"/>
      <c r="L66" s="50" t="e">
        <f t="shared" si="32"/>
        <v>#DIV/0!</v>
      </c>
      <c r="M66" s="29">
        <f t="shared" si="38"/>
        <v>26</v>
      </c>
      <c r="N66" s="30" t="str">
        <f t="shared" si="33"/>
        <v/>
      </c>
      <c r="O66" s="29" t="str">
        <f t="shared" si="39"/>
        <v/>
      </c>
      <c r="P66" s="30" t="str">
        <f t="shared" si="34"/>
        <v/>
      </c>
      <c r="Q66" s="7"/>
      <c r="R66" s="26" t="str">
        <f t="shared" si="35"/>
        <v/>
      </c>
      <c r="S66" s="41" t="str">
        <f t="shared" si="36"/>
        <v/>
      </c>
      <c r="U66" s="133" t="e">
        <v>#N/A</v>
      </c>
      <c r="V66" s="134" t="e">
        <v>#N/A</v>
      </c>
      <c r="Y66" s="37"/>
      <c r="Z66" s="29" t="str">
        <f>_xll.RtGet($AD$50,$AD$51&amp;$Y66&amp;$AD$52,Z$48)</f>
        <v>#N/A The record could not be found</v>
      </c>
      <c r="AA66" s="30" t="str">
        <f>_xll.RtGet($AD$50,$AD$51&amp;$Y66&amp;$AD$52,AA$48)</f>
        <v>#N/A The record could not be found</v>
      </c>
      <c r="AN66" s="6" t="str">
        <f>_xll.xlShmInterpDisc(CurveName,DATE(YEAR(AU66)+IF(YEAR(AU66)&lt;2000,100,0),MONTH(AU66),DAY(AU66)))</f>
        <v>Date before first TermStructure's date.</v>
      </c>
      <c r="AO66" s="215" t="e">
        <f>_xll.xlShmInterpRate(CurveName,$AO$2,$C$50,DATE(YEAR(AU66)+IF(YEAR(AU66)&lt;2000,100,0),MONTH(AU66),DAY(AU66)))*100</f>
        <v>#VALUE!</v>
      </c>
      <c r="AP66" s="6" t="e">
        <f t="shared" si="30"/>
        <v>#VALUE!</v>
      </c>
      <c r="AQ66" s="215" t="e">
        <f t="shared" si="10"/>
        <v>#VALUE!</v>
      </c>
      <c r="AR66" s="8"/>
      <c r="AS66" s="52"/>
      <c r="AT66" s="8"/>
      <c r="AU66" s="20"/>
      <c r="AV66" s="52"/>
      <c r="BC66" s="21"/>
      <c r="BD66" s="52"/>
    </row>
    <row r="67" spans="2:56" ht="11.25" customHeight="1">
      <c r="B67" s="58" t="str">
        <f>IF(ISBLANK(C43),"","SwapFltYrf")</f>
        <v>SwapFltYrf</v>
      </c>
      <c r="C67" s="59">
        <f>IF(ISBLANK(C43),0,VLOOKUP(C43,dvCurveBootstrapperDayCount,2,FALSE))</f>
        <v>4</v>
      </c>
      <c r="E67" s="129" t="b">
        <f t="shared" si="40"/>
        <v>0</v>
      </c>
      <c r="F67" s="107" t="str">
        <f t="shared" si="37"/>
        <v/>
      </c>
      <c r="G67" s="7"/>
      <c r="H67" s="7"/>
      <c r="I67" s="79" t="e">
        <f t="shared" si="31"/>
        <v>#DIV/0!</v>
      </c>
      <c r="J67" s="50"/>
      <c r="K67" s="127"/>
      <c r="L67" s="50" t="e">
        <f t="shared" si="32"/>
        <v>#DIV/0!</v>
      </c>
      <c r="M67" s="29">
        <f t="shared" si="38"/>
        <v>27</v>
      </c>
      <c r="N67" s="30" t="str">
        <f t="shared" si="33"/>
        <v/>
      </c>
      <c r="O67" s="29" t="str">
        <f t="shared" si="39"/>
        <v/>
      </c>
      <c r="P67" s="30" t="str">
        <f t="shared" si="34"/>
        <v/>
      </c>
      <c r="Q67" s="7"/>
      <c r="R67" s="26" t="str">
        <f t="shared" si="35"/>
        <v/>
      </c>
      <c r="S67" s="41" t="str">
        <f t="shared" si="36"/>
        <v/>
      </c>
      <c r="U67" s="133" t="e">
        <v>#N/A</v>
      </c>
      <c r="V67" s="134" t="e">
        <v>#N/A</v>
      </c>
      <c r="Y67" s="37"/>
      <c r="Z67" s="29" t="str">
        <f>_xll.RtGet($AD$50,$AD$51&amp;$Y67&amp;$AD$52,Z$48)</f>
        <v>#N/A The record could not be found</v>
      </c>
      <c r="AA67" s="30" t="str">
        <f>_xll.RtGet($AD$50,$AD$51&amp;$Y67&amp;$AD$52,AA$48)</f>
        <v>#N/A The record could not be found</v>
      </c>
    </row>
    <row r="68" spans="2:56" ht="11.25" customHeight="1">
      <c r="B68" s="58" t="str">
        <f>IF(E24,"SwapFirstCpn","")</f>
        <v>SwapFirstCpn</v>
      </c>
      <c r="C68" s="60">
        <f>IF(E24,L24,0)</f>
        <v>5.0000000000000001E-3</v>
      </c>
      <c r="E68" s="129" t="b">
        <f t="shared" si="40"/>
        <v>0</v>
      </c>
      <c r="F68" s="107" t="str">
        <f t="shared" si="37"/>
        <v/>
      </c>
      <c r="G68" s="7"/>
      <c r="H68" s="7"/>
      <c r="I68" s="79" t="e">
        <f t="shared" si="31"/>
        <v>#DIV/0!</v>
      </c>
      <c r="J68" s="50"/>
      <c r="K68" s="127"/>
      <c r="L68" s="50" t="e">
        <f t="shared" si="32"/>
        <v>#DIV/0!</v>
      </c>
      <c r="M68" s="29">
        <f t="shared" si="38"/>
        <v>28</v>
      </c>
      <c r="N68" s="30" t="str">
        <f t="shared" si="33"/>
        <v/>
      </c>
      <c r="O68" s="29" t="str">
        <f t="shared" si="39"/>
        <v/>
      </c>
      <c r="P68" s="30" t="str">
        <f t="shared" si="34"/>
        <v/>
      </c>
      <c r="Q68" s="7"/>
      <c r="R68" s="26" t="str">
        <f t="shared" si="35"/>
        <v/>
      </c>
      <c r="S68" s="41" t="str">
        <f t="shared" si="36"/>
        <v/>
      </c>
      <c r="U68" s="133" t="e">
        <v>#N/A</v>
      </c>
      <c r="V68" s="134" t="e">
        <v>#N/A</v>
      </c>
      <c r="Y68" s="37"/>
      <c r="Z68" s="29" t="str">
        <f>_xll.RtGet($AD$50,$AD$51&amp;$Y68&amp;$AD$52,Z$48)</f>
        <v>#N/A The record could not be found</v>
      </c>
      <c r="AA68" s="30" t="str">
        <f>_xll.RtGet($AD$50,$AD$51&amp;$Y68&amp;$AD$52,AA$48)</f>
        <v>#N/A The record could not be found</v>
      </c>
    </row>
    <row r="69" spans="2:56" ht="11.25" customHeight="1">
      <c r="B69" s="58" t="str">
        <f>IF(ISBLANK(C31),"","StubPriority")</f>
        <v>StubPriority</v>
      </c>
      <c r="C69" s="59">
        <f>IF(C31,1,0)</f>
        <v>1</v>
      </c>
      <c r="E69" s="129" t="b">
        <f t="shared" si="40"/>
        <v>0</v>
      </c>
      <c r="F69" s="107" t="str">
        <f t="shared" si="37"/>
        <v/>
      </c>
      <c r="G69" s="7"/>
      <c r="H69" s="7"/>
      <c r="I69" s="79" t="e">
        <f t="shared" si="31"/>
        <v>#DIV/0!</v>
      </c>
      <c r="J69" s="50"/>
      <c r="K69" s="127"/>
      <c r="L69" s="50" t="e">
        <f t="shared" si="32"/>
        <v>#DIV/0!</v>
      </c>
      <c r="M69" s="29">
        <f t="shared" si="38"/>
        <v>29</v>
      </c>
      <c r="N69" s="30" t="str">
        <f t="shared" si="33"/>
        <v/>
      </c>
      <c r="O69" s="29" t="str">
        <f t="shared" si="39"/>
        <v/>
      </c>
      <c r="P69" s="30" t="str">
        <f t="shared" si="34"/>
        <v/>
      </c>
      <c r="Q69" s="7"/>
      <c r="R69" s="26" t="str">
        <f t="shared" si="35"/>
        <v/>
      </c>
      <c r="S69" s="41" t="str">
        <f t="shared" si="36"/>
        <v/>
      </c>
      <c r="U69" s="133" t="e">
        <v>#N/A</v>
      </c>
      <c r="V69" s="134" t="e">
        <v>#N/A</v>
      </c>
      <c r="Y69" s="37"/>
      <c r="Z69" s="29" t="str">
        <f>_xll.RtGet($AD$50,$AD$51&amp;$Y69&amp;$AD$52,Z$48)</f>
        <v>#N/A The record could not be found</v>
      </c>
      <c r="AA69" s="30" t="str">
        <f>_xll.RtGet($AD$50,$AD$51&amp;$Y69&amp;$AD$52,AA$48)</f>
        <v>#N/A The record could not be found</v>
      </c>
    </row>
    <row r="70" spans="2:56" ht="11.25" customHeight="1">
      <c r="B70" s="62" t="str">
        <f>IF(ISBLANK(C11),"","OutputType")</f>
        <v>OutputType</v>
      </c>
      <c r="C70" s="63">
        <f>IF(ISBLANK(C11),0,VLOOKUP(C11,dvCurveBootstrapperOutputType,2,FALSE))</f>
        <v>0</v>
      </c>
      <c r="E70" s="129" t="b">
        <f t="shared" si="40"/>
        <v>0</v>
      </c>
      <c r="F70" s="107" t="str">
        <f t="shared" si="37"/>
        <v/>
      </c>
      <c r="G70" s="7"/>
      <c r="H70" s="7"/>
      <c r="I70" s="79" t="e">
        <f t="shared" si="31"/>
        <v>#DIV/0!</v>
      </c>
      <c r="J70" s="50"/>
      <c r="K70" s="127"/>
      <c r="L70" s="50" t="e">
        <f t="shared" si="32"/>
        <v>#DIV/0!</v>
      </c>
      <c r="M70" s="29">
        <f t="shared" si="38"/>
        <v>30</v>
      </c>
      <c r="N70" s="30" t="str">
        <f t="shared" si="33"/>
        <v/>
      </c>
      <c r="O70" s="29" t="str">
        <f t="shared" si="39"/>
        <v/>
      </c>
      <c r="P70" s="30" t="str">
        <f t="shared" si="34"/>
        <v/>
      </c>
      <c r="Q70" s="7"/>
      <c r="R70" s="26" t="str">
        <f t="shared" si="35"/>
        <v/>
      </c>
      <c r="S70" s="41" t="str">
        <f t="shared" si="36"/>
        <v/>
      </c>
      <c r="U70" s="133" t="e">
        <v>#N/A</v>
      </c>
      <c r="V70" s="134" t="e">
        <v>#N/A</v>
      </c>
      <c r="Y70" s="37"/>
      <c r="Z70" s="29" t="str">
        <f>_xll.RtGet($AD$50,$AD$51&amp;$Y70&amp;$AD$52,Z$48)</f>
        <v>#N/A The record could not be found</v>
      </c>
      <c r="AA70" s="30" t="str">
        <f>_xll.RtGet($AD$50,$AD$51&amp;$Y70&amp;$AD$52,AA$48)</f>
        <v>#N/A The record could not be found</v>
      </c>
    </row>
    <row r="71" spans="2:56" ht="11.25" customHeight="1">
      <c r="E71" s="129" t="b">
        <f t="shared" si="40"/>
        <v>0</v>
      </c>
      <c r="F71" s="107" t="str">
        <f t="shared" si="37"/>
        <v/>
      </c>
      <c r="G71" s="7"/>
      <c r="H71" s="7"/>
      <c r="I71" s="79" t="e">
        <f t="shared" si="31"/>
        <v>#DIV/0!</v>
      </c>
      <c r="J71" s="50"/>
      <c r="K71" s="127"/>
      <c r="L71" s="50" t="e">
        <f t="shared" si="32"/>
        <v>#DIV/0!</v>
      </c>
      <c r="M71" s="29">
        <f t="shared" si="38"/>
        <v>31</v>
      </c>
      <c r="N71" s="30" t="str">
        <f t="shared" si="33"/>
        <v/>
      </c>
      <c r="O71" s="29" t="str">
        <f t="shared" si="39"/>
        <v/>
      </c>
      <c r="P71" s="30" t="str">
        <f t="shared" si="34"/>
        <v/>
      </c>
      <c r="Q71" s="7"/>
      <c r="R71" s="26" t="str">
        <f t="shared" si="35"/>
        <v/>
      </c>
      <c r="S71" s="41" t="str">
        <f t="shared" si="36"/>
        <v/>
      </c>
      <c r="U71" s="133" t="e">
        <v>#N/A</v>
      </c>
      <c r="V71" s="134" t="e">
        <v>#N/A</v>
      </c>
      <c r="Y71" s="37"/>
      <c r="Z71" s="29" t="str">
        <f>_xll.RtGet($AD$50,$AD$51&amp;$Y71&amp;$AD$52,Z$48)</f>
        <v>#N/A The record could not be found</v>
      </c>
      <c r="AA71" s="30" t="str">
        <f>_xll.RtGet($AD$50,$AD$51&amp;$Y71&amp;$AD$52,AA$48)</f>
        <v>#N/A The record could not be found</v>
      </c>
    </row>
    <row r="72" spans="2:56" ht="11.25" customHeight="1">
      <c r="E72" s="129" t="b">
        <f t="shared" si="40"/>
        <v>0</v>
      </c>
      <c r="F72" s="107" t="str">
        <f t="shared" si="37"/>
        <v/>
      </c>
      <c r="G72" s="7"/>
      <c r="H72" s="7"/>
      <c r="I72" s="79" t="e">
        <f t="shared" si="31"/>
        <v>#DIV/0!</v>
      </c>
      <c r="J72" s="50"/>
      <c r="K72" s="127"/>
      <c r="L72" s="50" t="e">
        <f t="shared" si="32"/>
        <v>#DIV/0!</v>
      </c>
      <c r="M72" s="29">
        <f t="shared" si="38"/>
        <v>32</v>
      </c>
      <c r="N72" s="30" t="str">
        <f t="shared" si="33"/>
        <v/>
      </c>
      <c r="O72" s="29" t="str">
        <f t="shared" si="39"/>
        <v/>
      </c>
      <c r="P72" s="30" t="str">
        <f t="shared" si="34"/>
        <v/>
      </c>
      <c r="Q72" s="7"/>
      <c r="R72" s="26" t="str">
        <f t="shared" si="35"/>
        <v/>
      </c>
      <c r="S72" s="41" t="str">
        <f t="shared" si="36"/>
        <v/>
      </c>
      <c r="U72" s="133" t="e">
        <v>#N/A</v>
      </c>
      <c r="V72" s="134" t="e">
        <v>#N/A</v>
      </c>
      <c r="Y72" s="37"/>
      <c r="Z72" s="29" t="str">
        <f>_xll.RtGet($AD$50,$AD$51&amp;$Y72&amp;$AD$52,Z$48)</f>
        <v>#N/A The record could not be found</v>
      </c>
      <c r="AA72" s="30" t="str">
        <f>_xll.RtGet($AD$50,$AD$51&amp;$Y72&amp;$AD$52,AA$48)</f>
        <v>#N/A The record could not be found</v>
      </c>
    </row>
    <row r="73" spans="2:56" ht="11.25" customHeight="1">
      <c r="E73" s="129" t="b">
        <f t="shared" si="40"/>
        <v>0</v>
      </c>
      <c r="F73" s="107" t="str">
        <f t="shared" si="37"/>
        <v/>
      </c>
      <c r="G73" s="7"/>
      <c r="H73" s="7"/>
      <c r="I73" s="79" t="e">
        <f t="shared" si="31"/>
        <v>#DIV/0!</v>
      </c>
      <c r="J73" s="50"/>
      <c r="K73" s="127"/>
      <c r="L73" s="50" t="e">
        <f t="shared" si="32"/>
        <v>#DIV/0!</v>
      </c>
      <c r="M73" s="29">
        <f t="shared" si="38"/>
        <v>33</v>
      </c>
      <c r="N73" s="30" t="str">
        <f t="shared" si="33"/>
        <v/>
      </c>
      <c r="O73" s="29" t="str">
        <f t="shared" si="39"/>
        <v/>
      </c>
      <c r="P73" s="30" t="str">
        <f t="shared" si="34"/>
        <v/>
      </c>
      <c r="Q73" s="7"/>
      <c r="R73" s="26" t="str">
        <f t="shared" si="35"/>
        <v/>
      </c>
      <c r="S73" s="41" t="str">
        <f t="shared" si="36"/>
        <v/>
      </c>
      <c r="U73" s="133" t="e">
        <v>#N/A</v>
      </c>
      <c r="V73" s="134" t="e">
        <v>#N/A</v>
      </c>
      <c r="Y73" s="37"/>
      <c r="Z73" s="29" t="str">
        <f>_xll.RtGet($AD$50,$AD$51&amp;$Y73&amp;$AD$52,Z$48)</f>
        <v>#N/A The record could not be found</v>
      </c>
      <c r="AA73" s="30" t="str">
        <f>_xll.RtGet($AD$50,$AD$51&amp;$Y73&amp;$AD$52,AA$48)</f>
        <v>#N/A The record could not be found</v>
      </c>
    </row>
    <row r="74" spans="2:56" ht="11.25" customHeight="1">
      <c r="E74" s="129" t="b">
        <f t="shared" si="40"/>
        <v>0</v>
      </c>
      <c r="F74" s="107" t="str">
        <f t="shared" si="37"/>
        <v/>
      </c>
      <c r="G74" s="7"/>
      <c r="H74" s="7"/>
      <c r="I74" s="79" t="e">
        <f t="shared" si="31"/>
        <v>#DIV/0!</v>
      </c>
      <c r="J74" s="50"/>
      <c r="K74" s="127"/>
      <c r="L74" s="50" t="e">
        <f t="shared" si="32"/>
        <v>#DIV/0!</v>
      </c>
      <c r="M74" s="29">
        <f t="shared" si="38"/>
        <v>34</v>
      </c>
      <c r="N74" s="30" t="str">
        <f t="shared" si="33"/>
        <v/>
      </c>
      <c r="O74" s="29" t="str">
        <f t="shared" si="39"/>
        <v/>
      </c>
      <c r="P74" s="30" t="str">
        <f t="shared" si="34"/>
        <v/>
      </c>
      <c r="Q74" s="7"/>
      <c r="R74" s="26" t="str">
        <f t="shared" si="35"/>
        <v/>
      </c>
      <c r="S74" s="41" t="str">
        <f t="shared" si="36"/>
        <v/>
      </c>
      <c r="U74" s="133" t="e">
        <v>#N/A</v>
      </c>
      <c r="V74" s="134" t="e">
        <v>#N/A</v>
      </c>
      <c r="Y74" s="37"/>
      <c r="Z74" s="29" t="str">
        <f>_xll.RtGet($AD$50,$AD$51&amp;$Y74&amp;$AD$52,Z$48)</f>
        <v>#N/A The record could not be found</v>
      </c>
      <c r="AA74" s="30" t="str">
        <f>_xll.RtGet($AD$50,$AD$51&amp;$Y74&amp;$AD$52,AA$48)</f>
        <v>#N/A The record could not be found</v>
      </c>
    </row>
    <row r="75" spans="2:56" ht="11.25" customHeight="1">
      <c r="E75" s="129" t="b">
        <f t="shared" si="40"/>
        <v>0</v>
      </c>
      <c r="F75" s="107" t="str">
        <f t="shared" si="37"/>
        <v/>
      </c>
      <c r="G75" s="7"/>
      <c r="H75" s="7"/>
      <c r="I75" s="79" t="e">
        <f t="shared" si="31"/>
        <v>#DIV/0!</v>
      </c>
      <c r="J75" s="50"/>
      <c r="K75" s="127"/>
      <c r="L75" s="50" t="e">
        <f t="shared" si="32"/>
        <v>#DIV/0!</v>
      </c>
      <c r="M75" s="29">
        <f t="shared" si="38"/>
        <v>35</v>
      </c>
      <c r="N75" s="30" t="str">
        <f t="shared" si="33"/>
        <v/>
      </c>
      <c r="O75" s="29" t="str">
        <f t="shared" si="39"/>
        <v/>
      </c>
      <c r="P75" s="30" t="str">
        <f t="shared" si="34"/>
        <v/>
      </c>
      <c r="Q75" s="7"/>
      <c r="R75" s="26" t="str">
        <f t="shared" si="35"/>
        <v/>
      </c>
      <c r="S75" s="41" t="str">
        <f t="shared" si="36"/>
        <v/>
      </c>
      <c r="U75" s="133" t="e">
        <v>#N/A</v>
      </c>
      <c r="V75" s="134" t="e">
        <v>#N/A</v>
      </c>
      <c r="Y75" s="37"/>
      <c r="Z75" s="29" t="str">
        <f>_xll.RtGet($AD$50,$AD$51&amp;$Y75&amp;$AD$52,Z$48)</f>
        <v>#N/A The record could not be found</v>
      </c>
      <c r="AA75" s="30" t="str">
        <f>_xll.RtGet($AD$50,$AD$51&amp;$Y75&amp;$AD$52,AA$48)</f>
        <v>#N/A The record could not be found</v>
      </c>
    </row>
    <row r="76" spans="2:56" ht="11.25" customHeight="1">
      <c r="E76" s="129" t="b">
        <f t="shared" si="40"/>
        <v>0</v>
      </c>
      <c r="F76" s="107" t="str">
        <f t="shared" si="37"/>
        <v/>
      </c>
      <c r="G76" s="7"/>
      <c r="H76" s="7"/>
      <c r="I76" s="79" t="e">
        <f t="shared" si="31"/>
        <v>#DIV/0!</v>
      </c>
      <c r="J76" s="50"/>
      <c r="K76" s="127"/>
      <c r="L76" s="50" t="e">
        <f t="shared" si="32"/>
        <v>#DIV/0!</v>
      </c>
      <c r="M76" s="29">
        <f t="shared" si="38"/>
        <v>36</v>
      </c>
      <c r="N76" s="30" t="str">
        <f t="shared" si="33"/>
        <v/>
      </c>
      <c r="O76" s="29" t="str">
        <f t="shared" si="39"/>
        <v/>
      </c>
      <c r="P76" s="30" t="str">
        <f t="shared" si="34"/>
        <v/>
      </c>
      <c r="Q76" s="7"/>
      <c r="R76" s="26" t="str">
        <f t="shared" si="35"/>
        <v/>
      </c>
      <c r="S76" s="41" t="str">
        <f t="shared" si="36"/>
        <v/>
      </c>
      <c r="U76" s="133" t="e">
        <v>#N/A</v>
      </c>
      <c r="V76" s="134" t="e">
        <v>#N/A</v>
      </c>
      <c r="Y76" s="37"/>
      <c r="Z76" s="29" t="str">
        <f>_xll.RtGet($AD$50,$AD$51&amp;$Y76&amp;$AD$52,Z$48)</f>
        <v>#N/A The record could not be found</v>
      </c>
      <c r="AA76" s="30" t="str">
        <f>_xll.RtGet($AD$50,$AD$51&amp;$Y76&amp;$AD$52,AA$48)</f>
        <v>#N/A The record could not be found</v>
      </c>
    </row>
    <row r="77" spans="2:56" ht="11.25" customHeight="1">
      <c r="E77" s="129" t="b">
        <f t="shared" si="40"/>
        <v>0</v>
      </c>
      <c r="F77" s="107" t="str">
        <f t="shared" si="37"/>
        <v/>
      </c>
      <c r="G77" s="7"/>
      <c r="H77" s="7"/>
      <c r="I77" s="79" t="e">
        <f t="shared" si="31"/>
        <v>#DIV/0!</v>
      </c>
      <c r="J77" s="50"/>
      <c r="K77" s="127"/>
      <c r="L77" s="50" t="e">
        <f t="shared" si="32"/>
        <v>#DIV/0!</v>
      </c>
      <c r="M77" s="29">
        <f t="shared" si="38"/>
        <v>37</v>
      </c>
      <c r="N77" s="30" t="str">
        <f t="shared" si="33"/>
        <v/>
      </c>
      <c r="O77" s="29" t="str">
        <f t="shared" si="39"/>
        <v/>
      </c>
      <c r="P77" s="30" t="str">
        <f t="shared" si="34"/>
        <v/>
      </c>
      <c r="Q77" s="7"/>
      <c r="R77" s="26" t="str">
        <f t="shared" si="35"/>
        <v/>
      </c>
      <c r="S77" s="41" t="str">
        <f t="shared" si="36"/>
        <v/>
      </c>
      <c r="U77" s="133" t="e">
        <v>#N/A</v>
      </c>
      <c r="V77" s="134" t="e">
        <v>#N/A</v>
      </c>
      <c r="Y77" s="37"/>
      <c r="Z77" s="29" t="str">
        <f>_xll.RtGet($AD$50,$AD$51&amp;$Y77&amp;$AD$52,Z$48)</f>
        <v>#N/A The record could not be found</v>
      </c>
      <c r="AA77" s="30" t="str">
        <f>_xll.RtGet($AD$50,$AD$51&amp;$Y77&amp;$AD$52,AA$48)</f>
        <v>#N/A The record could not be found</v>
      </c>
    </row>
    <row r="78" spans="2:56" ht="11.25" customHeight="1">
      <c r="E78" s="129" t="b">
        <f t="shared" si="40"/>
        <v>0</v>
      </c>
      <c r="F78" s="107" t="str">
        <f t="shared" si="37"/>
        <v/>
      </c>
      <c r="G78" s="7"/>
      <c r="H78" s="7"/>
      <c r="I78" s="79" t="e">
        <f t="shared" si="31"/>
        <v>#DIV/0!</v>
      </c>
      <c r="J78" s="50"/>
      <c r="K78" s="127"/>
      <c r="L78" s="50" t="e">
        <f t="shared" si="32"/>
        <v>#DIV/0!</v>
      </c>
      <c r="M78" s="29">
        <f t="shared" si="38"/>
        <v>38</v>
      </c>
      <c r="N78" s="30" t="str">
        <f t="shared" si="33"/>
        <v/>
      </c>
      <c r="O78" s="29" t="str">
        <f t="shared" si="39"/>
        <v/>
      </c>
      <c r="P78" s="30" t="str">
        <f t="shared" si="34"/>
        <v/>
      </c>
      <c r="Q78" s="7"/>
      <c r="R78" s="26" t="str">
        <f t="shared" si="35"/>
        <v/>
      </c>
      <c r="S78" s="41" t="str">
        <f t="shared" si="36"/>
        <v/>
      </c>
      <c r="U78" s="133" t="e">
        <v>#N/A</v>
      </c>
      <c r="V78" s="134" t="e">
        <v>#N/A</v>
      </c>
      <c r="Y78" s="37"/>
      <c r="Z78" s="29" t="str">
        <f>_xll.RtGet($AD$50,$AD$51&amp;$Y78&amp;$AD$52,Z$48)</f>
        <v>#N/A The record could not be found</v>
      </c>
      <c r="AA78" s="30" t="str">
        <f>_xll.RtGet($AD$50,$AD$51&amp;$Y78&amp;$AD$52,AA$48)</f>
        <v>#N/A The record could not be found</v>
      </c>
    </row>
    <row r="79" spans="2:56" ht="11.25" customHeight="1">
      <c r="E79" s="129" t="b">
        <f t="shared" si="40"/>
        <v>0</v>
      </c>
      <c r="F79" s="107" t="str">
        <f t="shared" si="37"/>
        <v/>
      </c>
      <c r="G79" s="7"/>
      <c r="H79" s="7"/>
      <c r="I79" s="79" t="e">
        <f t="shared" si="31"/>
        <v>#DIV/0!</v>
      </c>
      <c r="J79" s="50"/>
      <c r="K79" s="127"/>
      <c r="L79" s="50" t="e">
        <f t="shared" si="32"/>
        <v>#DIV/0!</v>
      </c>
      <c r="M79" s="29">
        <f t="shared" si="38"/>
        <v>39</v>
      </c>
      <c r="N79" s="30" t="str">
        <f t="shared" si="33"/>
        <v/>
      </c>
      <c r="O79" s="29" t="str">
        <f t="shared" si="39"/>
        <v/>
      </c>
      <c r="P79" s="30" t="str">
        <f t="shared" si="34"/>
        <v/>
      </c>
      <c r="Q79" s="7"/>
      <c r="R79" s="26" t="str">
        <f t="shared" si="35"/>
        <v/>
      </c>
      <c r="S79" s="41" t="str">
        <f t="shared" si="36"/>
        <v/>
      </c>
      <c r="U79" s="135" t="e">
        <v>#N/A</v>
      </c>
      <c r="V79" s="136" t="e">
        <v>#N/A</v>
      </c>
      <c r="Y79" s="37"/>
      <c r="Z79" s="29" t="str">
        <f>_xll.RtGet($AD$50,$AD$51&amp;$Y79&amp;$AD$52,Z$48)</f>
        <v>#N/A The record could not be found</v>
      </c>
      <c r="AA79" s="30" t="str">
        <f>_xll.RtGet($AD$50,$AD$51&amp;$Y79&amp;$AD$52,AA$48)</f>
        <v>#N/A The record could not be found</v>
      </c>
    </row>
    <row r="80" spans="2:56" ht="11.25" customHeight="1">
      <c r="E80" s="129" t="b">
        <f t="shared" si="40"/>
        <v>0</v>
      </c>
      <c r="F80" s="107" t="str">
        <f t="shared" si="37"/>
        <v/>
      </c>
      <c r="G80" s="7"/>
      <c r="H80" s="7"/>
      <c r="I80" s="79" t="e">
        <f t="shared" si="31"/>
        <v>#DIV/0!</v>
      </c>
      <c r="J80" s="50"/>
      <c r="K80" s="127"/>
      <c r="L80" s="50" t="e">
        <f t="shared" si="32"/>
        <v>#DIV/0!</v>
      </c>
      <c r="M80" s="29">
        <f t="shared" si="38"/>
        <v>40</v>
      </c>
      <c r="N80" s="30" t="str">
        <f t="shared" si="33"/>
        <v/>
      </c>
      <c r="O80" s="29" t="str">
        <f t="shared" si="39"/>
        <v/>
      </c>
      <c r="P80" s="30" t="str">
        <f t="shared" si="34"/>
        <v/>
      </c>
      <c r="Q80" s="7"/>
      <c r="R80" s="26" t="str">
        <f t="shared" si="35"/>
        <v/>
      </c>
      <c r="S80" s="41" t="str">
        <f t="shared" si="36"/>
        <v/>
      </c>
      <c r="Y80" s="37"/>
      <c r="Z80" s="29" t="str">
        <f>_xll.RtGet($AD$50,$AD$51&amp;$Y80&amp;$AD$52,Z$48)</f>
        <v>#N/A The record could not be found</v>
      </c>
      <c r="AA80" s="30" t="str">
        <f>_xll.RtGet($AD$50,$AD$51&amp;$Y80&amp;$AD$52,AA$48)</f>
        <v>#N/A The record could not be found</v>
      </c>
    </row>
    <row r="81" spans="5:27" ht="11.25" customHeight="1">
      <c r="E81" s="129" t="b">
        <f t="shared" si="40"/>
        <v>0</v>
      </c>
      <c r="F81" s="107" t="str">
        <f t="shared" si="37"/>
        <v/>
      </c>
      <c r="G81" s="7"/>
      <c r="H81" s="7"/>
      <c r="I81" s="79" t="e">
        <f t="shared" si="31"/>
        <v>#DIV/0!</v>
      </c>
      <c r="J81" s="50"/>
      <c r="K81" s="127"/>
      <c r="L81" s="50" t="e">
        <f t="shared" si="32"/>
        <v>#DIV/0!</v>
      </c>
      <c r="M81" s="29">
        <f t="shared" si="38"/>
        <v>41</v>
      </c>
      <c r="N81" s="30" t="str">
        <f t="shared" si="33"/>
        <v/>
      </c>
      <c r="O81" s="29" t="str">
        <f t="shared" si="39"/>
        <v/>
      </c>
      <c r="P81" s="30" t="str">
        <f t="shared" si="34"/>
        <v/>
      </c>
      <c r="Q81" s="7"/>
      <c r="R81" s="26" t="str">
        <f t="shared" si="35"/>
        <v/>
      </c>
      <c r="S81" s="41" t="str">
        <f t="shared" si="36"/>
        <v/>
      </c>
      <c r="Y81" s="37"/>
      <c r="Z81" s="29" t="str">
        <f>_xll.RtGet($AD$50,$AD$51&amp;$Y81&amp;$AD$52,Z$48)</f>
        <v>#N/A The record could not be found</v>
      </c>
      <c r="AA81" s="30" t="str">
        <f>_xll.RtGet($AD$50,$AD$51&amp;$Y81&amp;$AD$52,AA$48)</f>
        <v>#N/A The record could not be found</v>
      </c>
    </row>
    <row r="82" spans="5:27" ht="11.25" customHeight="1">
      <c r="E82" s="130" t="b">
        <f t="shared" si="40"/>
        <v>0</v>
      </c>
      <c r="F82" s="108" t="str">
        <f t="shared" si="37"/>
        <v/>
      </c>
      <c r="I82" s="80" t="e">
        <f t="shared" si="31"/>
        <v>#DIV/0!</v>
      </c>
      <c r="J82" s="51"/>
      <c r="K82" s="126"/>
      <c r="L82" s="51" t="e">
        <f t="shared" si="32"/>
        <v>#DIV/0!</v>
      </c>
      <c r="M82" s="22">
        <f t="shared" si="38"/>
        <v>42</v>
      </c>
      <c r="N82" s="23" t="str">
        <f t="shared" si="33"/>
        <v/>
      </c>
      <c r="O82" s="22" t="str">
        <f t="shared" si="39"/>
        <v/>
      </c>
      <c r="P82" s="23" t="str">
        <f t="shared" si="34"/>
        <v/>
      </c>
      <c r="R82" s="9" t="str">
        <f t="shared" si="35"/>
        <v/>
      </c>
      <c r="S82" s="43" t="str">
        <f t="shared" si="36"/>
        <v/>
      </c>
      <c r="Y82" s="37"/>
      <c r="Z82" s="29" t="str">
        <f>_xll.RtGet($AD$50,$AD$51&amp;$Y82&amp;$AD$52,Z$48)</f>
        <v>#N/A The record could not be found</v>
      </c>
      <c r="AA82" s="30" t="str">
        <f>_xll.RtGet($AD$50,$AD$51&amp;$Y82&amp;$AD$52,AA$48)</f>
        <v>#N/A The record could not be found</v>
      </c>
    </row>
    <row r="83" spans="5:27" ht="11.25" customHeight="1">
      <c r="I83" s="7"/>
      <c r="J83" s="7"/>
      <c r="K83" s="7"/>
      <c r="L83" s="7"/>
      <c r="N83"/>
      <c r="O83"/>
      <c r="Y83" s="37"/>
      <c r="Z83" s="29" t="str">
        <f>_xll.RtGet($AD$50,$AD$51&amp;$Y83&amp;$AD$52,Z$48)</f>
        <v>#N/A The record could not be found</v>
      </c>
      <c r="AA83" s="30" t="str">
        <f>_xll.RtGet($AD$50,$AD$51&amp;$Y83&amp;$AD$52,AA$48)</f>
        <v>#N/A The record could not be found</v>
      </c>
    </row>
    <row r="84" spans="5:27" ht="11.25" customHeight="1">
      <c r="N84"/>
      <c r="O84"/>
      <c r="Y84" s="37"/>
      <c r="Z84" s="29" t="str">
        <f>_xll.RtGet($AD$50,$AD$51&amp;$Y84&amp;$AD$52,Z$48)</f>
        <v>#N/A The record could not be found</v>
      </c>
      <c r="AA84" s="30" t="str">
        <f>_xll.RtGet($AD$50,$AD$51&amp;$Y84&amp;$AD$52,AA$48)</f>
        <v>#N/A The record could not be found</v>
      </c>
    </row>
    <row r="85" spans="5:27" ht="11.25" customHeight="1">
      <c r="N85"/>
      <c r="O85"/>
      <c r="Y85" s="37"/>
      <c r="Z85" s="29" t="str">
        <f>_xll.RtGet($AD$50,$AD$51&amp;$Y85&amp;$AD$52,Z$48)</f>
        <v>#N/A The record could not be found</v>
      </c>
      <c r="AA85" s="30" t="str">
        <f>_xll.RtGet($AD$50,$AD$51&amp;$Y85&amp;$AD$52,AA$48)</f>
        <v>#N/A The record could not be found</v>
      </c>
    </row>
    <row r="86" spans="5:27" ht="11.25" customHeight="1">
      <c r="N86"/>
      <c r="O86"/>
      <c r="Y86" s="37"/>
      <c r="Z86" s="29" t="str">
        <f>_xll.RtGet($AD$50,$AD$51&amp;$Y86&amp;$AD$52,Z$48)</f>
        <v>#N/A The record could not be found</v>
      </c>
      <c r="AA86" s="30" t="str">
        <f>_xll.RtGet($AD$50,$AD$51&amp;$Y86&amp;$AD$52,AA$48)</f>
        <v>#N/A The record could not be found</v>
      </c>
    </row>
    <row r="87" spans="5:27" ht="11.25" customHeight="1">
      <c r="N87"/>
      <c r="O87"/>
      <c r="Y87" s="37"/>
      <c r="Z87" s="29" t="str">
        <f>_xll.RtGet($AD$50,$AD$51&amp;$Y87&amp;$AD$52,Z$48)</f>
        <v>#N/A The record could not be found</v>
      </c>
      <c r="AA87" s="30" t="str">
        <f>_xll.RtGet($AD$50,$AD$51&amp;$Y87&amp;$AD$52,AA$48)</f>
        <v>#N/A The record could not be found</v>
      </c>
    </row>
    <row r="88" spans="5:27" ht="11.25" customHeight="1">
      <c r="N88"/>
      <c r="O88"/>
      <c r="Y88" s="37"/>
      <c r="Z88" s="29" t="str">
        <f>_xll.RtGet($AD$50,$AD$51&amp;$Y88&amp;$AD$52,Z$48)</f>
        <v>#N/A The record could not be found</v>
      </c>
      <c r="AA88" s="30" t="str">
        <f>_xll.RtGet($AD$50,$AD$51&amp;$Y88&amp;$AD$52,AA$48)</f>
        <v>#N/A The record could not be found</v>
      </c>
    </row>
    <row r="89" spans="5:27" ht="11.25" customHeight="1">
      <c r="N89"/>
      <c r="O89"/>
      <c r="Y89" s="37"/>
      <c r="Z89" s="29" t="str">
        <f>_xll.RtGet($AD$50,$AD$51&amp;$Y89&amp;$AD$52,Z$48)</f>
        <v>#N/A The record could not be found</v>
      </c>
      <c r="AA89" s="30" t="str">
        <f>_xll.RtGet($AD$50,$AD$51&amp;$Y89&amp;$AD$52,AA$48)</f>
        <v>#N/A The record could not be found</v>
      </c>
    </row>
    <row r="90" spans="5:27" ht="11.25" customHeight="1">
      <c r="N90"/>
      <c r="O90"/>
      <c r="Y90" s="38"/>
      <c r="Z90" s="22" t="str">
        <f>_xll.RtGet($AD$50,$AD$51&amp;$Y90&amp;$AD$52,Z$48)</f>
        <v>#N/A The record could not be found</v>
      </c>
      <c r="AA90" s="23" t="str">
        <f>_xll.RtGet($AD$50,$AD$51&amp;$Y90&amp;$AD$52,AA$48)</f>
        <v>#N/A The record could not be found</v>
      </c>
    </row>
    <row r="91" spans="5:27" ht="11.25" customHeight="1">
      <c r="N91"/>
      <c r="O91"/>
    </row>
    <row r="92" spans="5:27" ht="11.25" customHeight="1">
      <c r="N92"/>
      <c r="O92"/>
    </row>
    <row r="93" spans="5:27" ht="11.25" customHeight="1">
      <c r="N93"/>
      <c r="O93"/>
    </row>
    <row r="94" spans="5:27" ht="11.25" customHeight="1">
      <c r="N94"/>
      <c r="O94"/>
    </row>
    <row r="95" spans="5:27" ht="11.25" customHeight="1">
      <c r="N95"/>
      <c r="O95"/>
    </row>
    <row r="96" spans="5:27" ht="11.25" customHeight="1">
      <c r="N96"/>
      <c r="O96"/>
    </row>
    <row r="97" spans="14:15" ht="11.25" customHeight="1">
      <c r="N97"/>
      <c r="O97"/>
    </row>
    <row r="98" spans="14:15" ht="11.25" customHeight="1">
      <c r="N98"/>
      <c r="O98"/>
    </row>
    <row r="99" spans="14:15" ht="11.25" customHeight="1">
      <c r="N99"/>
      <c r="O99"/>
    </row>
    <row r="100" spans="14:15" ht="11.25" customHeight="1">
      <c r="N100"/>
      <c r="O100"/>
    </row>
    <row r="101" spans="14:15" ht="11.25" customHeight="1">
      <c r="N101"/>
      <c r="O101"/>
    </row>
    <row r="102" spans="14:15" ht="11.25" customHeight="1">
      <c r="N102"/>
      <c r="O102"/>
    </row>
    <row r="103" spans="14:15" ht="11.25" customHeight="1">
      <c r="N103"/>
      <c r="O103"/>
    </row>
    <row r="104" spans="14:15" ht="11.25" customHeight="1">
      <c r="N104"/>
      <c r="O104"/>
    </row>
    <row r="105" spans="14:15" ht="11.25" customHeight="1">
      <c r="N105"/>
      <c r="O105"/>
    </row>
    <row r="106" spans="14:15" ht="11.25" customHeight="1">
      <c r="N106"/>
      <c r="O106"/>
    </row>
    <row r="107" spans="14:15" ht="11.25" customHeight="1">
      <c r="N107"/>
      <c r="O107"/>
    </row>
    <row r="108" spans="14:15" ht="11.25" customHeight="1">
      <c r="N108"/>
      <c r="O108"/>
    </row>
    <row r="109" spans="14:15" ht="11.25" customHeight="1">
      <c r="N109"/>
      <c r="O109"/>
    </row>
    <row r="110" spans="14:15" ht="11.25" customHeight="1">
      <c r="N110"/>
      <c r="O110"/>
    </row>
    <row r="111" spans="14:15" ht="11.25" customHeight="1">
      <c r="N111"/>
      <c r="O111"/>
    </row>
    <row r="112" spans="14:15" ht="11.25" customHeight="1">
      <c r="N112"/>
      <c r="O112"/>
    </row>
  </sheetData>
  <sheetProtection formatCells="0" formatColumns="0" formatRows="0"/>
  <mergeCells count="4">
    <mergeCell ref="B2:C2"/>
    <mergeCell ref="AU2:AV2"/>
    <mergeCell ref="B29:C29"/>
    <mergeCell ref="B20:C20"/>
  </mergeCells>
  <conditionalFormatting sqref="AP3:AQ66">
    <cfRule type="expression" dxfId="56" priority="22" stopIfTrue="1">
      <formula>AW3=0</formula>
    </cfRule>
  </conditionalFormatting>
  <conditionalFormatting sqref="E3:E20 E27:E38 E41:E82 E23:E24">
    <cfRule type="cellIs" dxfId="55" priority="21" stopIfTrue="1" operator="equal">
      <formula>FALSE</formula>
    </cfRule>
  </conditionalFormatting>
  <conditionalFormatting sqref="I3:L20">
    <cfRule type="expression" dxfId="54" priority="15" stopIfTrue="1">
      <formula>NOT($E3)</formula>
    </cfRule>
  </conditionalFormatting>
  <conditionalFormatting sqref="I23:L24">
    <cfRule type="expression" dxfId="53" priority="13" stopIfTrue="1">
      <formula>NOT($E23)</formula>
    </cfRule>
  </conditionalFormatting>
  <conditionalFormatting sqref="I27:L38">
    <cfRule type="expression" dxfId="52" priority="11" stopIfTrue="1">
      <formula>NOT($E27)</formula>
    </cfRule>
  </conditionalFormatting>
  <conditionalFormatting sqref="I41:L82">
    <cfRule type="expression" dxfId="51" priority="9" stopIfTrue="1">
      <formula>NOT($E41)</formula>
    </cfRule>
  </conditionalFormatting>
  <conditionalFormatting sqref="L3:L20">
    <cfRule type="expression" dxfId="50" priority="16" stopIfTrue="1">
      <formula>ISNUMBER(J3)</formula>
    </cfRule>
    <cfRule type="expression" dxfId="49" priority="20" stopIfTrue="1">
      <formula>ISNUMBER(K3)</formula>
    </cfRule>
  </conditionalFormatting>
  <conditionalFormatting sqref="L23:L24">
    <cfRule type="expression" dxfId="48" priority="14" stopIfTrue="1">
      <formula>ISNUMBER(J23)</formula>
    </cfRule>
    <cfRule type="expression" dxfId="47" priority="19" stopIfTrue="1">
      <formula>ISNUMBER(K23)</formula>
    </cfRule>
  </conditionalFormatting>
  <conditionalFormatting sqref="L27:L38">
    <cfRule type="expression" dxfId="46" priority="12" stopIfTrue="1">
      <formula>ISNUMBER(J27)</formula>
    </cfRule>
    <cfRule type="expression" dxfId="45" priority="18" stopIfTrue="1">
      <formula>ISNUMBER(K27)</formula>
    </cfRule>
  </conditionalFormatting>
  <conditionalFormatting sqref="L41:L82">
    <cfRule type="expression" dxfId="44" priority="10" stopIfTrue="1">
      <formula>ISNUMBER(J41)</formula>
    </cfRule>
    <cfRule type="expression" dxfId="43" priority="17" stopIfTrue="1">
      <formula>ISNUMBER(K41)</formula>
    </cfRule>
  </conditionalFormatting>
  <dataValidations count="11">
    <dataValidation type="list" allowBlank="1" showInputMessage="1" showErrorMessage="1" sqref="C43 C10 C41 C39">
      <formula1>INDEX(dvCurveBootstrapperDayCount,0,1)</formula1>
    </dataValidation>
    <dataValidation type="list" allowBlank="1" showInputMessage="1" showErrorMessage="1" sqref="C11">
      <formula1>INDEX(dvCurveBootstrapperOutputType,0,1)</formula1>
    </dataValidation>
    <dataValidation type="list" allowBlank="1" showInputMessage="1" showErrorMessage="1" sqref="C9">
      <formula1>dvCurveBootstrapperCompounding</formula1>
    </dataValidation>
    <dataValidation type="list" allowBlank="1" showInputMessage="1" showErrorMessage="1" sqref="C8">
      <formula1>dvCurveBootstrapperInterpOn</formula1>
    </dataValidation>
    <dataValidation type="list" allowBlank="1" showInputMessage="1" showErrorMessage="1" sqref="C7">
      <formula1>dvCurveBootstrapperInterpType</formula1>
    </dataValidation>
    <dataValidation type="list" allowBlank="1" showInputMessage="1" showErrorMessage="1" sqref="E41:E82 E3:E20 C31 E27:E38 C21 E23:E24 C24 C44">
      <formula1>dvBool</formula1>
    </dataValidation>
    <dataValidation type="list" allowBlank="1" showInputMessage="1" showErrorMessage="1" sqref="C37">
      <formula1>INDEX(dvCurveBootstrapperSwapMatType,0,1)</formula1>
    </dataValidation>
    <dataValidation type="list" allowBlank="1" showInputMessage="1" showErrorMessage="1" sqref="C36">
      <formula1>INDEX(dvCurveBootstrapperFraFutAdjust,0,1)</formula1>
    </dataValidation>
    <dataValidation type="list" allowBlank="1" showInputMessage="1" showErrorMessage="1" sqref="C32">
      <formula1>dvCurveBootstrapperFutCons</formula1>
    </dataValidation>
    <dataValidation type="list" allowBlank="1" showInputMessage="1" showErrorMessage="1" sqref="C33">
      <formula1>dvCurveBootstrapperMatCons</formula1>
    </dataValidation>
    <dataValidation type="list" allowBlank="1" showInputMessage="1" showErrorMessage="1" sqref="C34">
      <formula1>dvCurveBootstrapperFutEndDate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4" r:id="rId4" name="btnFreeze">
          <controlPr defaultSize="0" autoLine="0" r:id="rId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1</xdr:col>
                <xdr:colOff>914400</xdr:colOff>
                <xdr:row>17</xdr:row>
                <xdr:rowOff>9525</xdr:rowOff>
              </to>
            </anchor>
          </controlPr>
        </control>
      </mc:Choice>
      <mc:Fallback>
        <control shapeId="18434" r:id="rId4" name="btnFreeze"/>
      </mc:Fallback>
    </mc:AlternateContent>
    <mc:AlternateContent xmlns:mc="http://schemas.openxmlformats.org/markup-compatibility/2006">
      <mc:Choice Requires="x14">
        <control shapeId="18433" r:id="rId6" name="btnRun">
          <controlPr defaultSize="0" autoLine="0" r:id="rId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1</xdr:col>
                <xdr:colOff>914400</xdr:colOff>
                <xdr:row>15</xdr:row>
                <xdr:rowOff>9525</xdr:rowOff>
              </to>
            </anchor>
          </controlPr>
        </control>
      </mc:Choice>
      <mc:Fallback>
        <control shapeId="18433" r:id="rId6" name="btnRu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  <outlinePr summaryRight="0"/>
  </sheetPr>
  <dimension ref="A1:AB19"/>
  <sheetViews>
    <sheetView showGridLines="0" workbookViewId="0">
      <selection activeCell="B19" sqref="B19:C19"/>
    </sheetView>
  </sheetViews>
  <sheetFormatPr defaultRowHeight="11.25" outlineLevelCol="1"/>
  <cols>
    <col min="1" max="1" width="3.83203125" customWidth="1"/>
    <col min="2" max="3" width="21.83203125" customWidth="1"/>
    <col min="4" max="4" width="2.83203125" customWidth="1"/>
    <col min="11" max="12" width="9.33203125" customWidth="1" outlineLevel="1"/>
    <col min="13" max="13" width="12.83203125" customWidth="1" outlineLevel="1"/>
    <col min="14" max="14" width="14.83203125" customWidth="1" outlineLevel="1"/>
    <col min="15" max="15" width="9.33203125" customWidth="1" outlineLevel="1"/>
    <col min="17" max="17" width="55.83203125" customWidth="1"/>
    <col min="18" max="18" width="2.83203125" customWidth="1"/>
    <col min="20" max="20" width="13.83203125" customWidth="1"/>
    <col min="23" max="23" width="11.83203125" customWidth="1"/>
    <col min="24" max="25" width="9.5" bestFit="1" customWidth="1"/>
    <col min="26" max="26" width="2.83203125" customWidth="1"/>
    <col min="27" max="27" width="10.33203125" customWidth="1"/>
  </cols>
  <sheetData>
    <row r="1" spans="1:28">
      <c r="A1" s="234"/>
      <c r="B1" s="6"/>
      <c r="C1" s="6" t="b">
        <f>_xll.pdgSettingsSetEvaluationDate(C3)</f>
        <v>1</v>
      </c>
      <c r="D1" s="6"/>
      <c r="E1" s="53"/>
      <c r="F1" s="7"/>
      <c r="P1" s="190" t="b">
        <f>NOT(ISERROR(SUM(P3:P17)))</f>
        <v>1</v>
      </c>
      <c r="Q1" t="b">
        <f>Summary!D9</f>
        <v>0</v>
      </c>
    </row>
    <row r="2" spans="1:28" ht="12.75">
      <c r="A2" s="6"/>
      <c r="B2" s="231" t="s">
        <v>0</v>
      </c>
      <c r="C2" s="232"/>
      <c r="D2" s="6"/>
      <c r="E2" s="86" t="s">
        <v>75</v>
      </c>
      <c r="F2" s="6"/>
      <c r="G2" s="86" t="s">
        <v>1</v>
      </c>
      <c r="H2" s="86" t="s">
        <v>2</v>
      </c>
      <c r="I2" s="86" t="s">
        <v>3</v>
      </c>
      <c r="J2" s="86" t="s">
        <v>4</v>
      </c>
      <c r="K2" s="86" t="s">
        <v>173</v>
      </c>
      <c r="L2" s="86" t="s">
        <v>174</v>
      </c>
      <c r="M2" s="86" t="s">
        <v>176</v>
      </c>
      <c r="N2" s="86" t="s">
        <v>181</v>
      </c>
      <c r="O2" s="86" t="s">
        <v>179</v>
      </c>
      <c r="P2" s="171" t="s">
        <v>179</v>
      </c>
      <c r="Q2" s="86" t="s">
        <v>184</v>
      </c>
      <c r="W2" s="10" t="s">
        <v>161</v>
      </c>
      <c r="X2" s="11" t="s">
        <v>5</v>
      </c>
      <c r="Y2" s="12" t="s">
        <v>6</v>
      </c>
      <c r="Z2" s="6"/>
      <c r="AA2" s="6"/>
      <c r="AB2" s="6"/>
    </row>
    <row r="3" spans="1:28">
      <c r="A3" s="6"/>
      <c r="B3" s="235" t="s">
        <v>73</v>
      </c>
      <c r="C3" s="236">
        <f>Today</f>
        <v>41893</v>
      </c>
      <c r="D3" s="6"/>
      <c r="E3" s="216" t="b">
        <v>1</v>
      </c>
      <c r="F3" s="217">
        <f>W3</f>
        <v>6</v>
      </c>
      <c r="G3" s="218">
        <f>AVERAGE(X3:Y3)</f>
        <v>6</v>
      </c>
      <c r="H3" s="219"/>
      <c r="I3" s="220"/>
      <c r="J3" s="219">
        <f t="shared" ref="J3:J16" si="0">IF(ISNUMBER(H3),H3,G3)+I3</f>
        <v>6</v>
      </c>
      <c r="K3" s="221">
        <f>-_xll.xlShmSwapNPV($C$8,$C$7,$C$6,,F3,-J3/100,$C$14,$C$19,$C$14,$C$19,$C$16,$C$17,,$C$11)</f>
        <v>1.0577775261408903E-2</v>
      </c>
      <c r="L3" s="221">
        <f t="shared" ref="L3:L17" si="1">Notional-K3</f>
        <v>99.98942222473859</v>
      </c>
      <c r="M3" s="222">
        <f>_xll.xlDateWorkFw($C$4,_xll.xlDateShiftMonth($C$6,F3),TRUE)</f>
        <v>42079</v>
      </c>
      <c r="N3" s="223" t="str">
        <f>_xll.pdgDefaultableLoan(,EvaluationDate,Currency,pdgDiscCurve,EntityName,M3,Notional,Notional*Recovery,,FloatingFlag)</f>
        <v>obj_001ee#0003</v>
      </c>
      <c r="O3" s="224">
        <f t="array" ref="O3:O17">_xll.pdgLoanCalibration3(C3,C8,M3:M17,N3:N17,L3:L17,E3:E17,C9,C12)</f>
        <v>5.8029130771291789E-4</v>
      </c>
      <c r="P3" s="225">
        <f>IF(E3,ROUND(O3*(10^4),2),NA())</f>
        <v>5.8</v>
      </c>
      <c r="Q3" s="223" t="str">
        <f>IF(AND($P$1,$Q$1),_xll.RtContribute($T$3,$T$4&amp;F3&amp;$T$5,CHOOSE({1,2},"BID","ASK"),CHOOSE({1,2},P3,P3),"SCOPE:SERVER FTC:ALL"),"--")</f>
        <v>--</v>
      </c>
      <c r="S3" s="13" t="s">
        <v>14</v>
      </c>
      <c r="T3" s="71" t="s">
        <v>162</v>
      </c>
      <c r="W3" s="44">
        <v>6</v>
      </c>
      <c r="X3" s="143">
        <f>_xll.RtGet($AB$3,$AB$4&amp;$W3&amp;$AB$5,X$2)</f>
        <v>6</v>
      </c>
      <c r="Y3" s="144">
        <f>_xll.RtGet($AB$3,$AB$4&amp;$W3&amp;$AB$5,Y$2)</f>
        <v>6</v>
      </c>
      <c r="Z3" s="6"/>
      <c r="AA3" s="13" t="s">
        <v>14</v>
      </c>
      <c r="AB3" s="71" t="s">
        <v>162</v>
      </c>
    </row>
    <row r="4" spans="1:28">
      <c r="A4" s="6"/>
      <c r="B4" s="156" t="s">
        <v>166</v>
      </c>
      <c r="C4" s="237" t="s">
        <v>150</v>
      </c>
      <c r="D4" s="6"/>
      <c r="E4" s="129" t="b">
        <v>1</v>
      </c>
      <c r="F4" s="149">
        <f>W4</f>
        <v>1</v>
      </c>
      <c r="G4" s="151">
        <f t="shared" ref="G4:G17" si="2">AVERAGE(X4:Y4)</f>
        <v>34</v>
      </c>
      <c r="H4" s="152"/>
      <c r="I4" s="153"/>
      <c r="J4" s="152">
        <f t="shared" si="0"/>
        <v>34</v>
      </c>
      <c r="K4" s="162">
        <f>-_xll.xlShmSwapNPV($C$8,$C$7,$C$6,,12*F4,-J4/100,$C$14,$C$19,$C$14,$C$19,$C$16,$C$17,,$C$11)</f>
        <v>0.26267005469486859</v>
      </c>
      <c r="L4" s="162">
        <f t="shared" si="1"/>
        <v>99.737329945305135</v>
      </c>
      <c r="M4" s="164">
        <f>_xll.xlDateWorkFw($C$4,_xll.xlDateShiftMonth($C$6,12*F4),TRUE)</f>
        <v>42262</v>
      </c>
      <c r="N4" s="169" t="str">
        <f>_xll.pdgDefaultableLoan(,EvaluationDate,Currency,pdgDiscCurve,EntityName,M4,Notional,Notional*Recovery,,FloatingFlag)</f>
        <v>obj_00207#0002</v>
      </c>
      <c r="O4" s="167">
        <v>3.385104366054644E-3</v>
      </c>
      <c r="P4" s="172">
        <f>IF(E4,ROUND(O4*(10^4),2),P3)</f>
        <v>33.85</v>
      </c>
      <c r="Q4" s="169" t="str">
        <f>IF(AND($P$1,$Q$1),_xll.RtContribute($T$3,$T$4&amp;F4&amp;$T$6,CHOOSE({1,2},"BID","ASK"),CHOOSE({1,2},P4,P4),"SCOPE:SERVER FTC:ALL"),"--")</f>
        <v>--</v>
      </c>
      <c r="S4" s="18" t="s">
        <v>20</v>
      </c>
      <c r="T4" s="72" t="s">
        <v>182</v>
      </c>
      <c r="W4" s="32">
        <v>1</v>
      </c>
      <c r="X4" s="145">
        <f>_xll.RtGet($AB$3,$AB$4&amp;$W4&amp;$AB$6,X$2)</f>
        <v>34</v>
      </c>
      <c r="Y4" s="146">
        <f>_xll.RtGet($AB$3,$AB$4&amp;$W4&amp;$AB$6,Y$2)</f>
        <v>34</v>
      </c>
      <c r="Z4" s="6"/>
      <c r="AA4" s="18" t="s">
        <v>20</v>
      </c>
      <c r="AB4" s="72" t="s">
        <v>163</v>
      </c>
    </row>
    <row r="5" spans="1:28">
      <c r="A5" s="6"/>
      <c r="B5" s="200" t="s">
        <v>167</v>
      </c>
      <c r="C5" s="238">
        <v>2</v>
      </c>
      <c r="D5" s="6"/>
      <c r="E5" s="129" t="b">
        <v>1</v>
      </c>
      <c r="F5" s="149">
        <f t="shared" ref="F5:F16" si="3">W5</f>
        <v>2</v>
      </c>
      <c r="G5" s="151">
        <f t="shared" si="2"/>
        <v>48</v>
      </c>
      <c r="H5" s="152"/>
      <c r="I5" s="153"/>
      <c r="J5" s="152">
        <f t="shared" si="0"/>
        <v>48</v>
      </c>
      <c r="K5" s="162">
        <f>-_xll.xlShmSwapNPV($C$8,$C$7,$C$6,,12*F5,-J5/100,$C$14,$C$19,$C$14,$C$19,$C$16,$C$17,,$C$11)</f>
        <v>0.79033542179728322</v>
      </c>
      <c r="L5" s="162">
        <f t="shared" si="1"/>
        <v>99.20966457820272</v>
      </c>
      <c r="M5" s="164">
        <f>_xll.xlDateWorkFw($C$4,_xll.xlDateShiftMonth($C$6,12*F5),TRUE)</f>
        <v>42628</v>
      </c>
      <c r="N5" s="169" t="str">
        <f>_xll.pdgDefaultableLoan(,EvaluationDate,Currency,pdgDiscCurve,EntityName,M5,Notional,Notional*Recovery,,FloatingFlag)</f>
        <v>obj_0020e#0002</v>
      </c>
      <c r="O5" s="167">
        <v>3.7899247316780581E-3</v>
      </c>
      <c r="P5" s="172">
        <f t="shared" ref="P5:P16" si="4">IF(E5,ROUND(O5*(10^4),2),P4)</f>
        <v>37.9</v>
      </c>
      <c r="Q5" s="169" t="str">
        <f>IF(AND($P$1,$Q$1),_xll.RtContribute($T$3,$T$4&amp;F5&amp;$T$6,CHOOSE({1,2},"BID","ASK"),CHOOSE({1,2},P5,P5),"SCOPE:SERVER FTC:ALL"),"--")</f>
        <v>--</v>
      </c>
      <c r="S5" s="18" t="s">
        <v>24</v>
      </c>
      <c r="T5" s="141" t="s">
        <v>183</v>
      </c>
      <c r="W5" s="32">
        <v>2</v>
      </c>
      <c r="X5" s="145">
        <f>_xll.RtGet($AB$3,$AB$4&amp;$W5&amp;$AB$6,X$2)</f>
        <v>48</v>
      </c>
      <c r="Y5" s="146">
        <f>_xll.RtGet($AB$3,$AB$4&amp;$W5&amp;$AB$6,Y$2)</f>
        <v>48</v>
      </c>
      <c r="Z5" s="6"/>
      <c r="AA5" s="18" t="s">
        <v>24</v>
      </c>
      <c r="AB5" s="141" t="s">
        <v>164</v>
      </c>
    </row>
    <row r="6" spans="1:28">
      <c r="A6" s="7"/>
      <c r="B6" s="157" t="s">
        <v>172</v>
      </c>
      <c r="C6" s="239">
        <f>_xll.xlDateSettle(Calendar,EvaluationDate,SettlementDays)</f>
        <v>41897</v>
      </c>
      <c r="D6" s="6"/>
      <c r="E6" s="129" t="b">
        <v>1</v>
      </c>
      <c r="F6" s="149">
        <f t="shared" si="3"/>
        <v>3</v>
      </c>
      <c r="G6" s="151">
        <f t="shared" si="2"/>
        <v>52.75</v>
      </c>
      <c r="H6" s="152"/>
      <c r="I6" s="153"/>
      <c r="J6" s="152">
        <f t="shared" si="0"/>
        <v>52.75</v>
      </c>
      <c r="K6" s="162">
        <f>-_xll.xlShmSwapNPV($C$8,$C$7,$C$6,,12*F6,-J6/100,$C$14,$C$19,$C$14,$C$19,$C$16,$C$17,,$C$11)</f>
        <v>1.4410443806978759</v>
      </c>
      <c r="L6" s="162">
        <f t="shared" si="1"/>
        <v>98.558955619302125</v>
      </c>
      <c r="M6" s="164">
        <f>_xll.xlDateWorkFw($C$4,_xll.xlDateShiftMonth($C$6,12*F6),TRUE)</f>
        <v>42993</v>
      </c>
      <c r="N6" s="169" t="str">
        <f>_xll.pdgDefaultableLoan(,EvaluationDate,Currency,pdgDiscCurve,EntityName,M6,Notional,Notional*Recovery,,FloatingFlag)</f>
        <v>obj_00205#0002</v>
      </c>
      <c r="O6" s="167">
        <v>4.2407570144480282E-3</v>
      </c>
      <c r="P6" s="172">
        <f t="shared" si="4"/>
        <v>42.41</v>
      </c>
      <c r="Q6" s="169" t="str">
        <f>IF(AND($P$1,$Q$1),_xll.RtContribute($T$3,$T$4&amp;F6&amp;$T$6,CHOOSE({1,2},"BID","ASK"),CHOOSE({1,2},P6,P6),"SCOPE:SERVER FTC:ALL"),"--")</f>
        <v>--</v>
      </c>
      <c r="S6" s="24" t="s">
        <v>24</v>
      </c>
      <c r="T6" s="142" t="s">
        <v>17</v>
      </c>
      <c r="W6" s="32">
        <v>3</v>
      </c>
      <c r="X6" s="145">
        <f>_xll.RtGet($AB$3,$AB$4&amp;$W6&amp;$AB$6,X$2)</f>
        <v>52.75</v>
      </c>
      <c r="Y6" s="146">
        <f>_xll.RtGet($AB$3,$AB$4&amp;$W6&amp;$AB$6,Y$2)</f>
        <v>52.75</v>
      </c>
      <c r="Z6" s="6"/>
      <c r="AA6" s="24" t="s">
        <v>24</v>
      </c>
      <c r="AB6" s="142" t="s">
        <v>165</v>
      </c>
    </row>
    <row r="7" spans="1:28">
      <c r="A7" s="7"/>
      <c r="B7" s="242" t="s">
        <v>168</v>
      </c>
      <c r="C7" s="243" t="str">
        <f>'3M'!CurveName</f>
        <v>CHF3M</v>
      </c>
      <c r="D7" s="6"/>
      <c r="E7" s="129" t="b">
        <v>1</v>
      </c>
      <c r="F7" s="149">
        <f t="shared" si="3"/>
        <v>4</v>
      </c>
      <c r="G7" s="151">
        <f t="shared" si="2"/>
        <v>63.25</v>
      </c>
      <c r="H7" s="152"/>
      <c r="I7" s="153"/>
      <c r="J7" s="152">
        <f t="shared" si="0"/>
        <v>63.25</v>
      </c>
      <c r="K7" s="162">
        <f>-_xll.xlShmSwapNPV($C$8,$C$7,$C$6,,12*F7,-J7/100,$C$14,$C$19,$C$14,$C$19,$C$16,$C$17,,$C$11)</f>
        <v>2.667350953052344</v>
      </c>
      <c r="L7" s="162">
        <f t="shared" si="1"/>
        <v>97.332649046947651</v>
      </c>
      <c r="M7" s="164">
        <f>_xll.xlDateWorkFw($C$4,_xll.xlDateShiftMonth($C$6,12*F7),TRUE)</f>
        <v>43360</v>
      </c>
      <c r="N7" s="169" t="str">
        <f>_xll.pdgDefaultableLoan(,EvaluationDate,Currency,pdgDiscCurve,EntityName,M7,Notional,Notional*Recovery,,FloatingFlag)</f>
        <v>obj_001fd#0002</v>
      </c>
      <c r="O7" s="167">
        <v>5.3250150489138164E-3</v>
      </c>
      <c r="P7" s="172">
        <f t="shared" si="4"/>
        <v>53.25</v>
      </c>
      <c r="Q7" s="169" t="str">
        <f>IF(AND($P$1,$Q$1),_xll.RtContribute($T$3,$T$4&amp;F7&amp;$T$6,CHOOSE({1,2},"BID","ASK"),CHOOSE({1,2},P7,P7),"SCOPE:SERVER FTC:ALL"),"--")</f>
        <v>--</v>
      </c>
      <c r="W7" s="32">
        <v>4</v>
      </c>
      <c r="X7" s="145">
        <f>_xll.RtGet($AB$3,$AB$4&amp;$W7&amp;$AB$6,X$2)</f>
        <v>63.25</v>
      </c>
      <c r="Y7" s="146">
        <f>_xll.RtGet($AB$3,$AB$4&amp;$W7&amp;$AB$6,Y$2)</f>
        <v>63.25</v>
      </c>
      <c r="Z7" s="6"/>
      <c r="AA7" s="6"/>
      <c r="AB7" s="6"/>
    </row>
    <row r="8" spans="1:28">
      <c r="A8" s="7"/>
      <c r="B8" s="240" t="s">
        <v>169</v>
      </c>
      <c r="C8" s="241" t="str">
        <f>STD!CurveName</f>
        <v>CHFSTD</v>
      </c>
      <c r="D8" s="6"/>
      <c r="E8" s="129" t="b">
        <v>1</v>
      </c>
      <c r="F8" s="149">
        <f t="shared" si="3"/>
        <v>5</v>
      </c>
      <c r="G8" s="151">
        <f t="shared" si="2"/>
        <v>64</v>
      </c>
      <c r="H8" s="152"/>
      <c r="I8" s="153"/>
      <c r="J8" s="152">
        <f t="shared" si="0"/>
        <v>64</v>
      </c>
      <c r="K8" s="162">
        <f>-_xll.xlShmSwapNPV($C$8,$C$7,$C$6,,12*F8,-J8/100,$C$14,$C$19,$C$14,$C$19,$C$16,$C$17,,$C$11)</f>
        <v>3.8983815628583596</v>
      </c>
      <c r="L8" s="162">
        <f t="shared" si="1"/>
        <v>96.101618437141639</v>
      </c>
      <c r="M8" s="164">
        <f>_xll.xlDateWorkFw($C$4,_xll.xlDateShiftMonth($C$6,12*F8),TRUE)</f>
        <v>43724</v>
      </c>
      <c r="N8" s="169" t="str">
        <f>_xll.pdgDefaultableLoan(,EvaluationDate,Currency,pdgDiscCurve,EntityName,M8,Notional,Notional*Recovery,,FloatingFlag)</f>
        <v>obj_001f8#0002</v>
      </c>
      <c r="O8" s="167">
        <v>5.4295754570545633E-3</v>
      </c>
      <c r="P8" s="172">
        <f t="shared" si="4"/>
        <v>54.3</v>
      </c>
      <c r="Q8" s="169" t="str">
        <f>IF(AND($P$1,$Q$1),_xll.RtContribute($T$3,$T$4&amp;F8&amp;$T$6,CHOOSE({1,2},"BID","ASK"),CHOOSE({1,2},P8,P8),"SCOPE:SERVER FTC:ALL"),"--")</f>
        <v>--</v>
      </c>
      <c r="W8" s="32">
        <v>5</v>
      </c>
      <c r="X8" s="145">
        <f>_xll.RtGet($AB$3,$AB$4&amp;$W8&amp;$AB$6,X$2)</f>
        <v>64</v>
      </c>
      <c r="Y8" s="146">
        <f>_xll.RtGet($AB$3,$AB$4&amp;$W8&amp;$AB$6,Y$2)</f>
        <v>64</v>
      </c>
      <c r="Z8" s="6"/>
      <c r="AA8" s="6"/>
      <c r="AB8" s="6"/>
    </row>
    <row r="9" spans="1:28">
      <c r="A9" s="7"/>
      <c r="B9" s="245" t="s">
        <v>76</v>
      </c>
      <c r="C9" s="246" t="s">
        <v>150</v>
      </c>
      <c r="D9" s="6"/>
      <c r="E9" s="129" t="b">
        <v>1</v>
      </c>
      <c r="F9" s="149">
        <f t="shared" si="3"/>
        <v>6</v>
      </c>
      <c r="G9" s="151">
        <f t="shared" si="2"/>
        <v>73</v>
      </c>
      <c r="H9" s="152"/>
      <c r="I9" s="153"/>
      <c r="J9" s="152">
        <f t="shared" si="0"/>
        <v>73</v>
      </c>
      <c r="K9" s="162">
        <f>-_xll.xlShmSwapNPV($C$8,$C$7,$C$6,,12*F9,-J9/100,$C$14,$C$19,$C$14,$C$19,$C$16,$C$17,,$C$11)</f>
        <v>5.9671491371376399</v>
      </c>
      <c r="L9" s="162">
        <f t="shared" si="1"/>
        <v>94.032850862862361</v>
      </c>
      <c r="M9" s="164">
        <f>_xll.xlDateWorkFw($C$4,_xll.xlDateShiftMonth($C$6,12*F9),TRUE)</f>
        <v>44089</v>
      </c>
      <c r="N9" s="169" t="str">
        <f>_xll.pdgDefaultableLoan(,EvaluationDate,Currency,pdgDiscCurve,EntityName,M9,Notional,Notional*Recovery,,FloatingFlag)</f>
        <v>obj_001f4#0002</v>
      </c>
      <c r="O9" s="167">
        <v>6.462405804009831E-3</v>
      </c>
      <c r="P9" s="172">
        <f t="shared" si="4"/>
        <v>64.62</v>
      </c>
      <c r="Q9" s="169" t="str">
        <f>IF(AND($P$1,$Q$1),_xll.RtContribute($T$3,$T$4&amp;F9&amp;$T$6,CHOOSE({1,2},"BID","ASK"),CHOOSE({1,2},P9,P9),"SCOPE:SERVER FTC:ALL"),"--")</f>
        <v>--</v>
      </c>
      <c r="W9" s="32">
        <v>6</v>
      </c>
      <c r="X9" s="145">
        <f>_xll.RtGet($AB$3,$AB$4&amp;$W9&amp;$AB$6,X$2)</f>
        <v>73</v>
      </c>
      <c r="Y9" s="146">
        <f>_xll.RtGet($AB$3,$AB$4&amp;$W9&amp;$AB$6,Y$2)</f>
        <v>73</v>
      </c>
      <c r="Z9" s="6"/>
      <c r="AA9" s="6"/>
      <c r="AB9" s="6"/>
    </row>
    <row r="10" spans="1:28">
      <c r="A10" s="7"/>
      <c r="B10" s="244" t="s">
        <v>250</v>
      </c>
      <c r="C10" s="241" t="str">
        <f>UPPER("UNICA_"&amp;Currency)</f>
        <v>UNICA_CHF</v>
      </c>
      <c r="D10" s="6"/>
      <c r="E10" s="129" t="b">
        <v>1</v>
      </c>
      <c r="F10" s="149">
        <f t="shared" si="3"/>
        <v>7</v>
      </c>
      <c r="G10" s="151">
        <f t="shared" si="2"/>
        <v>74.5</v>
      </c>
      <c r="H10" s="152"/>
      <c r="I10" s="153"/>
      <c r="J10" s="152">
        <f t="shared" si="0"/>
        <v>74.5</v>
      </c>
      <c r="K10" s="162">
        <f>-_xll.xlShmSwapNPV($C$8,$C$7,$C$6,,12*F10,-J10/100,$C$14,$C$19,$C$14,$C$19,$C$16,$C$17,,$C$11)</f>
        <v>7.9726581143018178</v>
      </c>
      <c r="L10" s="162">
        <f t="shared" si="1"/>
        <v>92.027341885698178</v>
      </c>
      <c r="M10" s="164">
        <f>_xll.xlDateWorkFw($C$4,_xll.xlDateShiftMonth($C$6,12*F10),TRUE)</f>
        <v>44454</v>
      </c>
      <c r="N10" s="169" t="str">
        <f>_xll.pdgDefaultableLoan(,EvaluationDate,Currency,pdgDiscCurve,EntityName,M10,Notional,Notional*Recovery,,FloatingFlag)</f>
        <v>obj_0021a#0002</v>
      </c>
      <c r="O10" s="167">
        <v>6.7695971982514296E-3</v>
      </c>
      <c r="P10" s="172">
        <f t="shared" si="4"/>
        <v>67.7</v>
      </c>
      <c r="Q10" s="169" t="str">
        <f>IF(AND($P$1,$Q$1),_xll.RtContribute($T$3,$T$4&amp;F10&amp;$T$6,CHOOSE({1,2},"BID","ASK"),CHOOSE({1,2},P10,P10),"SCOPE:SERVER FTC:ALL"),"--")</f>
        <v>--</v>
      </c>
      <c r="W10" s="32">
        <v>7</v>
      </c>
      <c r="X10" s="145">
        <f>_xll.RtGet($AB$3,$AB$4&amp;$W10&amp;$AB$6,X$2)</f>
        <v>74.5</v>
      </c>
      <c r="Y10" s="146">
        <f>_xll.RtGet($AB$3,$AB$4&amp;$W10&amp;$AB$6,Y$2)</f>
        <v>74.5</v>
      </c>
      <c r="Z10" s="6"/>
      <c r="AA10" s="6"/>
      <c r="AB10" s="6"/>
    </row>
    <row r="11" spans="1:28">
      <c r="B11" s="244" t="s">
        <v>175</v>
      </c>
      <c r="C11" s="249">
        <v>100</v>
      </c>
      <c r="E11" s="129" t="b">
        <v>1</v>
      </c>
      <c r="F11" s="149">
        <f t="shared" si="3"/>
        <v>8</v>
      </c>
      <c r="G11" s="151">
        <f t="shared" si="2"/>
        <v>73.8125</v>
      </c>
      <c r="H11" s="152"/>
      <c r="I11" s="153"/>
      <c r="J11" s="152">
        <f t="shared" si="0"/>
        <v>73.8125</v>
      </c>
      <c r="K11" s="162">
        <f>-_xll.xlShmSwapNPV($C$8,$C$7,$C$6,,12*F11,-J11/100,$C$14,$C$19,$C$14,$C$19,$C$16,$C$17,,$C$11)</f>
        <v>10.053336848933839</v>
      </c>
      <c r="L11" s="162">
        <f t="shared" si="1"/>
        <v>89.946663151066161</v>
      </c>
      <c r="M11" s="164">
        <f>_xll.xlDateWorkFw($C$4,_xll.xlDateShiftMonth($C$6,12*F11),TRUE)</f>
        <v>44819</v>
      </c>
      <c r="N11" s="169" t="str">
        <f>_xll.pdgDefaultableLoan(,EvaluationDate,Currency,pdgDiscCurve,EntityName,M11,Notional,Notional*Recovery,,FloatingFlag)</f>
        <v>obj_00218#0002</v>
      </c>
      <c r="O11" s="167">
        <v>6.8960284009883226E-3</v>
      </c>
      <c r="P11" s="172">
        <f t="shared" si="4"/>
        <v>68.959999999999994</v>
      </c>
      <c r="Q11" s="169" t="str">
        <f>IF(AND($P$1,$Q$1),_xll.RtContribute($T$3,$T$4&amp;F11&amp;$T$6,CHOOSE({1,2},"BID","ASK"),CHOOSE({1,2},P11,P11),"SCOPE:SERVER FTC:ALL"),"--")</f>
        <v>--</v>
      </c>
      <c r="W11" s="32">
        <v>8</v>
      </c>
      <c r="X11" s="145">
        <f>_xll.RtGet($AB$3,$AB$4&amp;$W11&amp;$AB$6,X$2)</f>
        <v>73.8125</v>
      </c>
      <c r="Y11" s="146">
        <f>_xll.RtGet($AB$3,$AB$4&amp;$W11&amp;$AB$6,Y$2)</f>
        <v>73.8125</v>
      </c>
      <c r="Z11" s="6"/>
      <c r="AA11" s="6"/>
      <c r="AB11" s="6"/>
    </row>
    <row r="12" spans="1:28">
      <c r="B12" s="244" t="s">
        <v>180</v>
      </c>
      <c r="C12" s="248">
        <v>0.4</v>
      </c>
      <c r="E12" s="129" t="b">
        <v>1</v>
      </c>
      <c r="F12" s="149">
        <f t="shared" si="3"/>
        <v>9</v>
      </c>
      <c r="G12" s="151">
        <f t="shared" si="2"/>
        <v>76.8125</v>
      </c>
      <c r="H12" s="152"/>
      <c r="I12" s="153"/>
      <c r="J12" s="152">
        <f t="shared" si="0"/>
        <v>76.8125</v>
      </c>
      <c r="K12" s="162">
        <f>-_xll.xlShmSwapNPV($C$8,$C$7,$C$6,,12*F12,-J12/100,$C$14,$C$19,$C$14,$C$19,$C$16,$C$17,,$C$11)</f>
        <v>12.612955068769352</v>
      </c>
      <c r="L12" s="162">
        <f t="shared" si="1"/>
        <v>87.387044931230648</v>
      </c>
      <c r="M12" s="164">
        <f>_xll.xlDateWorkFw($C$4,_xll.xlDateShiftMonth($C$6,12*F12),TRUE)</f>
        <v>45184</v>
      </c>
      <c r="N12" s="169" t="str">
        <f>_xll.pdgDefaultableLoan(,EvaluationDate,Currency,pdgDiscCurve,EntityName,M12,Notional,Notional*Recovery,,FloatingFlag)</f>
        <v>obj_00215#0002</v>
      </c>
      <c r="O12" s="167">
        <v>7.4305112964386313E-3</v>
      </c>
      <c r="P12" s="172">
        <f t="shared" si="4"/>
        <v>74.31</v>
      </c>
      <c r="Q12" s="169" t="str">
        <f>IF(AND($P$1,$Q$1),_xll.RtContribute($T$3,$T$4&amp;F12&amp;$T$6,CHOOSE({1,2},"BID","ASK"),CHOOSE({1,2},P12,P12),"SCOPE:SERVER FTC:ALL"),"--")</f>
        <v>--</v>
      </c>
      <c r="W12" s="32">
        <v>9</v>
      </c>
      <c r="X12" s="145">
        <f>_xll.RtGet($AB$3,$AB$4&amp;$W12&amp;$AB$6,X$2)</f>
        <v>76.8125</v>
      </c>
      <c r="Y12" s="146">
        <f>_xll.RtGet($AB$3,$AB$4&amp;$W12&amp;$AB$6,Y$2)</f>
        <v>76.8125</v>
      </c>
      <c r="Z12" s="6"/>
      <c r="AA12" s="6"/>
      <c r="AB12" s="6"/>
    </row>
    <row r="13" spans="1:28">
      <c r="B13" s="247" t="s">
        <v>251</v>
      </c>
      <c r="C13" s="248" t="s">
        <v>252</v>
      </c>
      <c r="E13" s="129" t="b">
        <v>1</v>
      </c>
      <c r="F13" s="149">
        <f t="shared" si="3"/>
        <v>10</v>
      </c>
      <c r="G13" s="151">
        <f t="shared" si="2"/>
        <v>75.625</v>
      </c>
      <c r="H13" s="152"/>
      <c r="I13" s="153"/>
      <c r="J13" s="152">
        <f t="shared" si="0"/>
        <v>75.625</v>
      </c>
      <c r="K13" s="162">
        <f>-_xll.xlShmSwapNPV($C$8,$C$7,$C$6,,12*F13,-J13/100,$C$14,$C$19,$C$14,$C$19,$C$16,$C$17,,$C$11)</f>
        <v>14.856461261532424</v>
      </c>
      <c r="L13" s="162">
        <f t="shared" si="1"/>
        <v>85.143538738467583</v>
      </c>
      <c r="M13" s="164">
        <f>_xll.xlDateWorkFw($C$4,_xll.xlDateShiftMonth($C$6,12*F13),TRUE)</f>
        <v>45551</v>
      </c>
      <c r="N13" s="169" t="str">
        <f>_xll.pdgDefaultableLoan(,EvaluationDate,Currency,pdgDiscCurve,EntityName,M13,Notional,Notional*Recovery,,FloatingFlag)</f>
        <v>obj_0020a#0002</v>
      </c>
      <c r="O13" s="167">
        <v>7.5150844199864076E-3</v>
      </c>
      <c r="P13" s="172">
        <f>IF(E13,ROUND(O13*(10^4),2),P12)</f>
        <v>75.150000000000006</v>
      </c>
      <c r="Q13" s="169" t="str">
        <f>IF(AND($P$1,$Q$1),_xll.RtContribute($T$3,$T$4&amp;F13&amp;$T$6,CHOOSE({1,2},"BID","ASK"),CHOOSE({1,2},P13,P13),"SCOPE:SERVER FTC:ALL"),"--")</f>
        <v>--</v>
      </c>
      <c r="W13" s="32">
        <v>10</v>
      </c>
      <c r="X13" s="145">
        <f>_xll.RtGet($AB$3,$AB$4&amp;$W13&amp;$AB$6,X$2)</f>
        <v>75.75</v>
      </c>
      <c r="Y13" s="146">
        <f>_xll.RtGet($AB$3,$AB$4&amp;$W13&amp;$AB$6,Y$2)</f>
        <v>75.5</v>
      </c>
      <c r="Z13" s="6"/>
      <c r="AA13" s="6"/>
      <c r="AB13" s="6"/>
    </row>
    <row r="14" spans="1:28">
      <c r="B14" s="160" t="s">
        <v>170</v>
      </c>
      <c r="C14" s="94">
        <v>4</v>
      </c>
      <c r="E14" s="129" t="b">
        <v>1</v>
      </c>
      <c r="F14" s="149">
        <f t="shared" si="3"/>
        <v>15</v>
      </c>
      <c r="G14" s="151">
        <f t="shared" si="2"/>
        <v>95</v>
      </c>
      <c r="H14" s="152"/>
      <c r="I14" s="153"/>
      <c r="J14" s="152">
        <f t="shared" si="0"/>
        <v>95</v>
      </c>
      <c r="K14" s="162">
        <f>-_xll.xlShmSwapNPV($C$8,$C$7,$C$6,,12*F14,-J14/100,$C$14,$C$19,$C$14,$C$19,$C$16,$C$17,,$C$11)</f>
        <v>29.916645064265808</v>
      </c>
      <c r="L14" s="162">
        <f t="shared" si="1"/>
        <v>70.083354935734192</v>
      </c>
      <c r="M14" s="164">
        <f>_xll.xlDateWorkFw($C$4,_xll.xlDateShiftMonth($C$6,12*F14),TRUE)</f>
        <v>47378</v>
      </c>
      <c r="N14" s="169" t="str">
        <f>_xll.pdgDefaultableLoan(,EvaluationDate,Currency,pdgDiscCurve,EntityName,M14,Notional,Notional*Recovery,,FloatingFlag)</f>
        <v>obj_00209#0002</v>
      </c>
      <c r="O14" s="167">
        <v>1.1375669363395647E-2</v>
      </c>
      <c r="P14" s="172">
        <f t="shared" si="4"/>
        <v>113.76</v>
      </c>
      <c r="Q14" s="169" t="str">
        <f>IF(AND($P$1,$Q$1),_xll.RtContribute($T$3,$T$4&amp;F14&amp;$T$6,CHOOSE({1,2},"BID","ASK"),CHOOSE({1,2},P14,P14),"SCOPE:SERVER FTC:ALL"),"--")</f>
        <v>--</v>
      </c>
      <c r="W14" s="32">
        <v>15</v>
      </c>
      <c r="X14" s="145">
        <f>_xll.RtGet($AB$3,$AB$4&amp;$W14&amp;$AB$6,X$2)</f>
        <v>95.25</v>
      </c>
      <c r="Y14" s="146">
        <f>_xll.RtGet($AB$3,$AB$4&amp;$W14&amp;$AB$6,Y$2)</f>
        <v>94.75</v>
      </c>
      <c r="Z14" s="6"/>
      <c r="AA14" s="6"/>
      <c r="AB14" s="6"/>
    </row>
    <row r="15" spans="1:28">
      <c r="B15" s="158" t="s">
        <v>171</v>
      </c>
      <c r="C15" s="102" t="s">
        <v>115</v>
      </c>
      <c r="E15" s="129" t="b">
        <v>1</v>
      </c>
      <c r="F15" s="149">
        <f t="shared" si="3"/>
        <v>20</v>
      </c>
      <c r="G15" s="151">
        <f t="shared" si="2"/>
        <v>108.1</v>
      </c>
      <c r="H15" s="152"/>
      <c r="I15" s="153"/>
      <c r="J15" s="152">
        <f t="shared" si="0"/>
        <v>108.1</v>
      </c>
      <c r="K15" s="162">
        <f>-_xll.xlShmSwapNPV($C$8,$C$7,$C$6,,12*F15,-J15/100,$C$14,$C$19,$C$14,$C$19,$C$16,$C$17,,$C$11)</f>
        <v>44.052834005866558</v>
      </c>
      <c r="L15" s="162">
        <f t="shared" si="1"/>
        <v>55.947165994133442</v>
      </c>
      <c r="M15" s="164">
        <f>_xll.xlDateWorkFw($C$4,_xll.xlDateShiftMonth($C$6,12*F15),TRUE)</f>
        <v>49202</v>
      </c>
      <c r="N15" s="169" t="str">
        <f>_xll.pdgDefaultableLoan(,EvaluationDate,Currency,pdgDiscCurve,EntityName,M15,Notional,Notional*Recovery,,FloatingFlag)</f>
        <v>obj_00208#0002</v>
      </c>
      <c r="O15" s="167">
        <v>1.5353395296339714E-2</v>
      </c>
      <c r="P15" s="172">
        <f t="shared" si="4"/>
        <v>153.53</v>
      </c>
      <c r="Q15" s="169" t="str">
        <f>IF(AND($P$1,$Q$1),_xll.RtContribute($T$3,$T$4&amp;F15&amp;$T$6,CHOOSE({1,2},"BID","ASK"),CHOOSE({1,2},P15,P15),"SCOPE:SERVER FTC:ALL"),"--")</f>
        <v>--</v>
      </c>
      <c r="W15" s="32">
        <v>20</v>
      </c>
      <c r="X15" s="145">
        <f>_xll.RtGet($AB$3,$AB$4&amp;$W15&amp;$AB$6,X$2)</f>
        <v>108.5</v>
      </c>
      <c r="Y15" s="146">
        <f>_xll.RtGet($AB$3,$AB$4&amp;$W15&amp;$AB$6,Y$2)</f>
        <v>107.7</v>
      </c>
      <c r="AA15" s="6"/>
      <c r="AB15" s="6"/>
    </row>
    <row r="16" spans="1:28">
      <c r="B16" s="158" t="s">
        <v>177</v>
      </c>
      <c r="C16" s="95" t="b">
        <v>1</v>
      </c>
      <c r="E16" s="129" t="b">
        <v>0</v>
      </c>
      <c r="F16" s="149">
        <f t="shared" si="3"/>
        <v>25</v>
      </c>
      <c r="G16" s="151">
        <f t="shared" si="2"/>
        <v>120</v>
      </c>
      <c r="H16" s="152"/>
      <c r="I16" s="153"/>
      <c r="J16" s="152">
        <f t="shared" si="0"/>
        <v>120</v>
      </c>
      <c r="K16" s="162">
        <f>-_xll.xlShmSwapNPV($C$8,$C$7,$C$6,,12*F16,-J16/100,$C$14,$C$19,$C$14,$C$19,$C$16,$C$17,,$C$11)</f>
        <v>57.349477234322563</v>
      </c>
      <c r="L16" s="162">
        <f t="shared" si="1"/>
        <v>42.650522765677437</v>
      </c>
      <c r="M16" s="164">
        <f>_xll.xlDateWorkFw($C$4,_xll.xlDateShiftMonth($C$6,12*F16),TRUE)</f>
        <v>51028</v>
      </c>
      <c r="N16" s="169" t="str">
        <f>_xll.pdgDefaultableLoan(,EvaluationDate,Currency,pdgDiscCurve,EntityName,M16,Notional,Notional*Recovery,,FloatingFlag)</f>
        <v>obj_0020f#0002</v>
      </c>
      <c r="O16" s="167">
        <v>0</v>
      </c>
      <c r="P16" s="172">
        <f t="shared" si="4"/>
        <v>153.53</v>
      </c>
      <c r="Q16" s="169" t="str">
        <f>IF(AND($P$1,$Q$1),_xll.RtContribute($T$3,$T$4&amp;F16&amp;$T$6,CHOOSE({1,2},"BID","ASK"),CHOOSE({1,2},P16,P16),"SCOPE:SERVER FTC:ALL"),"--")</f>
        <v>--</v>
      </c>
      <c r="W16" s="32">
        <v>25</v>
      </c>
      <c r="X16" s="145">
        <f>_xll.RtGet($AB$3,$AB$4&amp;$W16&amp;$AB$6,X$2)</f>
        <v>120.5</v>
      </c>
      <c r="Y16" s="146">
        <f>_xll.RtGet($AB$3,$AB$4&amp;$W16&amp;$AB$6,Y$2)</f>
        <v>119.5</v>
      </c>
    </row>
    <row r="17" spans="2:25">
      <c r="B17" s="166" t="s">
        <v>178</v>
      </c>
      <c r="C17" s="96" t="b">
        <v>1</v>
      </c>
      <c r="E17" s="130" t="b">
        <v>0</v>
      </c>
      <c r="F17" s="150">
        <f>W17</f>
        <v>30</v>
      </c>
      <c r="G17" s="154">
        <f t="shared" si="2"/>
        <v>130</v>
      </c>
      <c r="H17" s="155"/>
      <c r="I17" s="174"/>
      <c r="J17" s="155">
        <f>IF(ISNUMBER(H17),H17,G17)+I17</f>
        <v>130</v>
      </c>
      <c r="K17" s="163">
        <f>-_xll.xlShmSwapNPV($C$8,$C$7,$C$6,,12*F17,-J17/100,$C$14,$C$19,$C$14,$C$19,$C$16,$C$17,,$C$11)</f>
        <v>69.493216865170467</v>
      </c>
      <c r="L17" s="163">
        <f t="shared" si="1"/>
        <v>30.506783134829533</v>
      </c>
      <c r="M17" s="165">
        <f>_xll.xlDateWorkFw($C$4,_xll.xlDateShiftMonth($C$6,12*F17),TRUE)</f>
        <v>52855</v>
      </c>
      <c r="N17" s="170" t="str">
        <f>_xll.pdgDefaultableLoan(,EvaluationDate,Currency,pdgDiscCurve,EntityName,M17,Notional,Notional*Recovery,,FloatingFlag)</f>
        <v>obj_0020d#0002</v>
      </c>
      <c r="O17" s="168">
        <v>0</v>
      </c>
      <c r="P17" s="173">
        <f>IF(E17,ROUND(O17*(10^4),2),P16)</f>
        <v>153.53</v>
      </c>
      <c r="Q17" s="170" t="str">
        <f>IF(AND($P$1,$Q$1),_xll.RtContribute($T$3,$T$4&amp;F17&amp;$T$6,CHOOSE({1,2},"BID","ASK"),CHOOSE({1,2},P17,P17),"SCOPE:SERVER FTC:ALL"),"--")</f>
        <v>--</v>
      </c>
      <c r="W17" s="33">
        <v>30</v>
      </c>
      <c r="X17" s="147">
        <f>_xll.RtGet($AB$3,$AB$4&amp;$W17&amp;$AB$6,X$2)</f>
        <v>130.5</v>
      </c>
      <c r="Y17" s="148">
        <f>_xll.RtGet($AB$3,$AB$4&amp;$W17&amp;$AB$6,Y$2)</f>
        <v>129.5</v>
      </c>
    </row>
    <row r="19" spans="2:25">
      <c r="B19" s="56" t="s">
        <v>87</v>
      </c>
      <c r="C19" s="57">
        <f>VLOOKUP(C15,dvCurveBootstrapperDayCount,2,FALSE)</f>
        <v>4</v>
      </c>
    </row>
  </sheetData>
  <dataConsolidate/>
  <mergeCells count="1">
    <mergeCell ref="B2:C2"/>
  </mergeCells>
  <conditionalFormatting sqref="E3:E17">
    <cfRule type="cellIs" dxfId="42" priority="8" stopIfTrue="1" operator="equal">
      <formula>FALSE</formula>
    </cfRule>
  </conditionalFormatting>
  <conditionalFormatting sqref="G3:J17">
    <cfRule type="expression" dxfId="41" priority="5" stopIfTrue="1">
      <formula>NOT($E3)</formula>
    </cfRule>
  </conditionalFormatting>
  <conditionalFormatting sqref="J3:J17">
    <cfRule type="expression" dxfId="40" priority="6" stopIfTrue="1">
      <formula>ISNUMBER(H3)</formula>
    </cfRule>
    <cfRule type="expression" dxfId="39" priority="7" stopIfTrue="1">
      <formula>ISNUMBER(I3)</formula>
    </cfRule>
  </conditionalFormatting>
  <conditionalFormatting sqref="P1">
    <cfRule type="cellIs" dxfId="38" priority="9" operator="equal">
      <formula>FALSE</formula>
    </cfRule>
  </conditionalFormatting>
  <dataValidations count="2">
    <dataValidation type="list" allowBlank="1" showInputMessage="1" showErrorMessage="1" sqref="E3:E17 C16:C17 Q1">
      <formula1>dvBool</formula1>
    </dataValidation>
    <dataValidation type="list" allowBlank="1" showInputMessage="1" showErrorMessage="1" sqref="C15">
      <formula1>INDEX(dvCurveBootstrapperDayCount,0,1)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0.59999389629810485"/>
    <outlinePr summaryRight="0"/>
  </sheetPr>
  <dimension ref="A1:BH112"/>
  <sheetViews>
    <sheetView showGridLines="0" workbookViewId="0"/>
  </sheetViews>
  <sheetFormatPr defaultRowHeight="11.25" customHeight="1" outlineLevelCol="1"/>
  <cols>
    <col min="1" max="1" width="3.83203125" customWidth="1"/>
    <col min="2" max="2" width="25.83203125" customWidth="1"/>
    <col min="3" max="3" width="12.83203125" customWidth="1"/>
    <col min="4" max="4" width="2.83203125" customWidth="1"/>
    <col min="5" max="5" width="9.33203125" style="6"/>
    <col min="6" max="6" width="9.33203125" style="6" collapsed="1"/>
    <col min="7" max="8" width="9.33203125" style="6" hidden="1" customWidth="1" outlineLevel="1"/>
    <col min="9" max="11" width="9.33203125" style="6"/>
    <col min="12" max="12" width="9.33203125" style="6" collapsed="1"/>
    <col min="13" max="17" width="9.33203125" style="6" hidden="1" customWidth="1" outlineLevel="1"/>
    <col min="18" max="18" width="10.83203125" style="6" hidden="1" customWidth="1" outlineLevel="1"/>
    <col min="19" max="19" width="9.33203125" style="6" hidden="1" customWidth="1" outlineLevel="1"/>
    <col min="20" max="20" width="2.83203125" style="6" customWidth="1"/>
    <col min="21" max="21" width="10.83203125" style="7" customWidth="1"/>
    <col min="22" max="22" width="12.83203125" style="7" customWidth="1"/>
    <col min="25" max="25" width="11.83203125" style="6" customWidth="1"/>
    <col min="26" max="27" width="9.5" style="6" bestFit="1" customWidth="1"/>
    <col min="28" max="28" width="2.83203125" style="6" customWidth="1"/>
    <col min="29" max="29" width="10.33203125" style="6" customWidth="1"/>
    <col min="30" max="30" width="9.33203125" style="6"/>
    <col min="31" max="31" width="2.83203125" customWidth="1"/>
    <col min="32" max="32" width="11.83203125" customWidth="1"/>
    <col min="33" max="34" width="9.5" bestFit="1" customWidth="1"/>
    <col min="35" max="35" width="2.83203125" customWidth="1"/>
    <col min="36" max="36" width="10.33203125" customWidth="1"/>
    <col min="40" max="40" width="9.83203125" style="6" customWidth="1"/>
    <col min="41" max="41" width="9.33203125" style="6" customWidth="1"/>
    <col min="42" max="42" width="12.83203125" style="6" bestFit="1" customWidth="1"/>
    <col min="43" max="43" width="12.83203125" style="6" customWidth="1"/>
    <col min="44" max="44" width="9.33203125" style="6"/>
    <col min="45" max="45" width="10.83203125" style="6" customWidth="1"/>
    <col min="46" max="46" width="16.83203125" style="6" customWidth="1"/>
    <col min="47" max="48" width="10.83203125" style="6" customWidth="1"/>
    <col min="49" max="50" width="9.5" style="6" bestFit="1" customWidth="1"/>
    <col min="51" max="52" width="3.83203125" style="6" customWidth="1"/>
    <col min="53" max="54" width="9.5" style="6" bestFit="1" customWidth="1"/>
    <col min="55" max="16384" width="9.33203125" style="6"/>
  </cols>
  <sheetData>
    <row r="1" spans="1:58" ht="11.25" customHeight="1">
      <c r="A1" s="119"/>
      <c r="B1" s="6"/>
      <c r="C1" s="6"/>
      <c r="D1" s="6"/>
      <c r="E1" s="53"/>
      <c r="F1" s="7"/>
      <c r="G1" s="7"/>
      <c r="H1" s="7"/>
      <c r="I1" s="7"/>
      <c r="J1" s="7"/>
      <c r="K1" s="7"/>
      <c r="L1" s="7"/>
    </row>
    <row r="2" spans="1:58" ht="11.25" customHeight="1">
      <c r="A2" s="6"/>
      <c r="B2" s="231" t="s">
        <v>0</v>
      </c>
      <c r="C2" s="232"/>
      <c r="D2" s="6"/>
      <c r="E2" s="86" t="s">
        <v>75</v>
      </c>
      <c r="G2" s="8"/>
      <c r="H2" s="8"/>
      <c r="I2" s="86" t="s">
        <v>1</v>
      </c>
      <c r="J2" s="86" t="s">
        <v>2</v>
      </c>
      <c r="K2" s="86" t="s">
        <v>3</v>
      </c>
      <c r="L2" s="86" t="s">
        <v>4</v>
      </c>
      <c r="M2" s="8"/>
      <c r="N2" s="8"/>
      <c r="P2" s="8"/>
      <c r="Q2" s="8"/>
      <c r="R2" s="8"/>
      <c r="S2" s="44">
        <f t="array" ref="S2">SUM(1*E3:E20)</f>
        <v>14</v>
      </c>
      <c r="U2" s="87" t="s">
        <v>88</v>
      </c>
      <c r="V2" s="87" t="s">
        <v>89</v>
      </c>
      <c r="Y2" s="10" t="s">
        <v>78</v>
      </c>
      <c r="Z2" s="196" t="s">
        <v>71</v>
      </c>
      <c r="AA2" s="197" t="str">
        <f>Z2</f>
        <v>PRIM ACT 1</v>
      </c>
      <c r="AO2" s="214">
        <f>MATCH(C9,{"simple","annual","cont"},0)-1</f>
        <v>2</v>
      </c>
      <c r="AR2" s="185" t="s">
        <v>7</v>
      </c>
      <c r="AS2" s="185" t="s">
        <v>8</v>
      </c>
      <c r="AT2" s="185" t="s">
        <v>9</v>
      </c>
      <c r="AU2" s="233" t="s">
        <v>10</v>
      </c>
      <c r="AV2" s="233"/>
      <c r="AW2" s="14" t="s">
        <v>65</v>
      </c>
      <c r="AX2" s="14" t="s">
        <v>66</v>
      </c>
      <c r="AY2" s="14"/>
      <c r="AZ2" s="14"/>
      <c r="BA2" s="14" t="s">
        <v>11</v>
      </c>
      <c r="BB2" s="14" t="s">
        <v>67</v>
      </c>
      <c r="BC2" s="15"/>
      <c r="BD2" s="15"/>
    </row>
    <row r="3" spans="1:58" ht="11.25" customHeight="1">
      <c r="A3" s="6"/>
      <c r="B3" s="83" t="s">
        <v>73</v>
      </c>
      <c r="C3" s="90">
        <f>Today</f>
        <v>41893</v>
      </c>
      <c r="D3" s="6"/>
      <c r="E3" s="128" t="b">
        <v>1</v>
      </c>
      <c r="F3" s="111" t="str">
        <f>Y3</f>
        <v>ON</v>
      </c>
      <c r="G3" s="16">
        <v>0</v>
      </c>
      <c r="H3" s="17" t="s">
        <v>12</v>
      </c>
      <c r="I3" s="78">
        <f>AVERAGE(Z3:AA3)</f>
        <v>1.27</v>
      </c>
      <c r="J3" s="49"/>
      <c r="K3" s="125"/>
      <c r="L3" s="49">
        <f t="shared" ref="L3:L16" si="0">IF(ISNUMBER(J3),J3,I3)+K3</f>
        <v>1.27</v>
      </c>
      <c r="M3" s="16">
        <v>1</v>
      </c>
      <c r="N3" s="17">
        <f t="shared" ref="N3:N16" si="1">IF(E3,M3,"")</f>
        <v>1</v>
      </c>
      <c r="O3" s="44">
        <f>IF($S$2&gt;0,1,"")</f>
        <v>1</v>
      </c>
      <c r="P3" s="17">
        <f t="shared" ref="P3:P20" si="2">IF(LEN(O3)&gt;0,SMALL($N$3:$N$20,O3),"")</f>
        <v>1</v>
      </c>
      <c r="Q3" s="16">
        <f t="shared" ref="Q3:Q20" si="3">IF(LEN(O3)&gt;0,INDEX($G$3:$G$20,$P3),"")</f>
        <v>0</v>
      </c>
      <c r="R3" s="39" t="str">
        <f t="shared" ref="R3:R20" si="4">IF(LEN(P3)&gt;0,INDEX($H$3:$H$20,$P3),"")</f>
        <v>on</v>
      </c>
      <c r="S3" s="40">
        <f t="shared" ref="S3:S20" si="5">IF(LEN(P3)&gt;0,INDEX($L$3:$L$20,$P3),"")</f>
        <v>1.27</v>
      </c>
      <c r="U3" s="131">
        <f t="array" ref="U3:V79">_xll.xlCurveBootstrapper(C3+0*TYPE(A1),C4,C5,S2,Q3:S20,S26,R27:S38,S40,R41:S82,C7,C8,C9,C50,B53:B70,C53:C70)</f>
        <v>41893</v>
      </c>
      <c r="V3" s="132">
        <v>1</v>
      </c>
      <c r="Y3" s="16" t="s">
        <v>13</v>
      </c>
      <c r="Z3" s="16">
        <f>_xll.RtGet($AD$3,$AD$4&amp;$Y3&amp;$AD$5,Z$2)</f>
        <v>1.27</v>
      </c>
      <c r="AA3" s="17">
        <f>_xll.RtGet($AD$3,$AD$4&amp;$Y3&amp;$AD$5,AA$2)</f>
        <v>1.27</v>
      </c>
      <c r="AC3" s="13" t="s">
        <v>14</v>
      </c>
      <c r="AD3" s="71" t="s">
        <v>62</v>
      </c>
      <c r="AN3" s="6" t="str">
        <f>_xll.xlShmInterpDisc(CurveName,DATE(YEAR(AU3)+IF(YEAR(AU3)&lt;2000,100,0),MONTH(AU3),DAY(AU3)))</f>
        <v>Date before first TermStructure's date.</v>
      </c>
      <c r="AO3" s="215" t="e">
        <f>_xll.xlShmInterpRate(CurveName,$AO$2,$C$50,DATE(YEAR(AU3)+IF(YEAR(AU3)&lt;2000,100,0),MONTH(AU3),DAY(AU3)))*100</f>
        <v>#VALUE!</v>
      </c>
      <c r="AP3" s="6" t="e">
        <f t="shared" ref="AP3:AP34" si="6">AN3-AW3</f>
        <v>#VALUE!</v>
      </c>
      <c r="AQ3" s="215" t="e">
        <f>AO3-AX3</f>
        <v>#VALUE!</v>
      </c>
      <c r="AR3" s="8" t="s">
        <v>15</v>
      </c>
      <c r="AS3" s="52">
        <v>41555</v>
      </c>
      <c r="AT3" s="8" t="s">
        <v>232</v>
      </c>
      <c r="AU3" s="52">
        <v>41556</v>
      </c>
      <c r="AV3" s="52" t="s">
        <v>16</v>
      </c>
      <c r="AW3" s="6">
        <v>0.99992417241692499</v>
      </c>
      <c r="AX3" s="6">
        <v>2.76781172179644</v>
      </c>
      <c r="BA3" s="6">
        <v>2.73</v>
      </c>
      <c r="BB3" s="6">
        <v>0</v>
      </c>
      <c r="BC3" s="21" t="s">
        <v>17</v>
      </c>
      <c r="BD3" s="52" t="str">
        <f>AV3</f>
        <v>O/N</v>
      </c>
      <c r="BE3" s="6">
        <f>BA3</f>
        <v>2.73</v>
      </c>
      <c r="BF3" s="6">
        <f>BB3</f>
        <v>0</v>
      </c>
    </row>
    <row r="4" spans="1:58" ht="11.25" customHeight="1">
      <c r="A4" s="6"/>
      <c r="B4" s="84" t="s">
        <v>76</v>
      </c>
      <c r="C4" s="91" t="s">
        <v>212</v>
      </c>
      <c r="D4" s="6"/>
      <c r="E4" s="129" t="b">
        <v>0</v>
      </c>
      <c r="F4" s="112" t="str">
        <f>Y4</f>
        <v>TN</v>
      </c>
      <c r="G4" s="29">
        <v>0</v>
      </c>
      <c r="H4" s="30" t="s">
        <v>18</v>
      </c>
      <c r="I4" s="79" t="e">
        <f t="shared" ref="I4:I5" si="7">AVERAGE(Z4:AA4)</f>
        <v>#DIV/0!</v>
      </c>
      <c r="J4" s="50"/>
      <c r="K4" s="127"/>
      <c r="L4" s="50" t="e">
        <f t="shared" si="0"/>
        <v>#DIV/0!</v>
      </c>
      <c r="M4" s="29">
        <f t="shared" ref="M4:M16" si="8">M3+1</f>
        <v>2</v>
      </c>
      <c r="N4" s="30" t="str">
        <f t="shared" si="1"/>
        <v/>
      </c>
      <c r="O4" s="29">
        <f t="shared" ref="O4:O16" si="9">IF(O3&lt;$S$2,O3+1,"")</f>
        <v>2</v>
      </c>
      <c r="P4" s="30">
        <f t="shared" si="2"/>
        <v>4</v>
      </c>
      <c r="Q4" s="29">
        <f t="shared" si="3"/>
        <v>1</v>
      </c>
      <c r="R4" s="27" t="str">
        <f t="shared" si="4"/>
        <v>w</v>
      </c>
      <c r="S4" s="41">
        <f t="shared" si="5"/>
        <v>2.04</v>
      </c>
      <c r="U4" s="133">
        <v>41894</v>
      </c>
      <c r="V4" s="134">
        <v>0.99996472346669996</v>
      </c>
      <c r="Y4" s="29" t="s">
        <v>19</v>
      </c>
      <c r="Z4" s="29" t="str">
        <f>_xll.RtGet($AD$3,$AD$4&amp;$Y4&amp;$AD$5,Z$2)</f>
        <v>#N/A The record could not be found</v>
      </c>
      <c r="AA4" s="30" t="str">
        <f>_xll.RtGet($AD$3,$AD$4&amp;$Y4&amp;$AD$5,AA$2)</f>
        <v>#N/A The record could not be found</v>
      </c>
      <c r="AC4" s="18" t="s">
        <v>20</v>
      </c>
      <c r="AD4" s="72" t="s">
        <v>214</v>
      </c>
      <c r="AN4" s="6" t="str">
        <f>_xll.xlShmInterpDisc(CurveName,DATE(YEAR(AU4)+IF(YEAR(AU4)&lt;2000,100,0),MONTH(AU4),DAY(AU4)))</f>
        <v>Date before first TermStructure's date.</v>
      </c>
      <c r="AO4" s="215" t="e">
        <f>_xll.xlShmInterpRate(CurveName,$AO$2,$C$50,DATE(YEAR(AU4)+IF(YEAR(AU4)&lt;2000,100,0),MONTH(AU4),DAY(AU4)))*100</f>
        <v>#VALUE!</v>
      </c>
      <c r="AP4" s="6" t="e">
        <f t="shared" si="6"/>
        <v>#VALUE!</v>
      </c>
      <c r="AQ4" s="215" t="e">
        <f t="shared" ref="AQ4:AQ66" si="10">AO4-AX4</f>
        <v>#VALUE!</v>
      </c>
      <c r="AR4" s="8" t="s">
        <v>15</v>
      </c>
      <c r="AS4" s="52">
        <v>41556</v>
      </c>
      <c r="AT4" s="8" t="s">
        <v>232</v>
      </c>
      <c r="AU4" s="52">
        <v>41557</v>
      </c>
      <c r="AV4" s="52" t="s">
        <v>21</v>
      </c>
      <c r="AW4" s="6">
        <v>0.99984533044659696</v>
      </c>
      <c r="AX4" s="6">
        <v>2.8229376664849299</v>
      </c>
      <c r="AY4" s="6" t="s">
        <v>193</v>
      </c>
      <c r="BA4" s="6">
        <v>2.8387500000000001</v>
      </c>
      <c r="BB4" s="6">
        <v>0</v>
      </c>
      <c r="BC4" s="21" t="s">
        <v>17</v>
      </c>
      <c r="BD4" s="52" t="str">
        <f t="shared" ref="BD4:BD7" si="11">AV4</f>
        <v>T/N</v>
      </c>
      <c r="BE4" s="6">
        <f t="shared" ref="BE4:BE7" si="12">BA4</f>
        <v>2.8387500000000001</v>
      </c>
      <c r="BF4" s="6">
        <f t="shared" ref="BF4:BF7" si="13">BB4</f>
        <v>0</v>
      </c>
    </row>
    <row r="5" spans="1:58" ht="11.25" customHeight="1">
      <c r="A5" s="6"/>
      <c r="B5" s="85" t="s">
        <v>77</v>
      </c>
      <c r="C5" s="92" t="s">
        <v>213</v>
      </c>
      <c r="D5" s="6"/>
      <c r="E5" s="130" t="b">
        <v>0</v>
      </c>
      <c r="F5" s="113" t="str">
        <f>Y5</f>
        <v>SN</v>
      </c>
      <c r="G5" s="22">
        <v>0</v>
      </c>
      <c r="H5" s="23" t="s">
        <v>22</v>
      </c>
      <c r="I5" s="80" t="e">
        <f t="shared" si="7"/>
        <v>#DIV/0!</v>
      </c>
      <c r="J5" s="51"/>
      <c r="K5" s="126"/>
      <c r="L5" s="51" t="e">
        <f t="shared" si="0"/>
        <v>#DIV/0!</v>
      </c>
      <c r="M5" s="29">
        <f t="shared" si="8"/>
        <v>3</v>
      </c>
      <c r="N5" s="30" t="str">
        <f t="shared" si="1"/>
        <v/>
      </c>
      <c r="O5" s="29">
        <f t="shared" si="9"/>
        <v>3</v>
      </c>
      <c r="P5" s="30">
        <f t="shared" si="2"/>
        <v>5</v>
      </c>
      <c r="Q5" s="29">
        <f t="shared" si="3"/>
        <v>2</v>
      </c>
      <c r="R5" s="27" t="str">
        <f t="shared" si="4"/>
        <v>w</v>
      </c>
      <c r="S5" s="41">
        <f t="shared" si="5"/>
        <v>2.1</v>
      </c>
      <c r="U5" s="133">
        <v>41904</v>
      </c>
      <c r="V5" s="134">
        <v>0.99944413367769025</v>
      </c>
      <c r="Y5" s="22" t="s">
        <v>23</v>
      </c>
      <c r="Z5" s="22" t="str">
        <f>_xll.RtGet($AD$3,$AD$4&amp;$Y5&amp;$AD$5,Z$2)</f>
        <v>#N/A The record could not be found</v>
      </c>
      <c r="AA5" s="23" t="str">
        <f>_xll.RtGet($AD$3,$AD$4&amp;$Y5&amp;$AD$5,AA$2)</f>
        <v>#N/A The record could not be found</v>
      </c>
      <c r="AC5" s="24" t="s">
        <v>24</v>
      </c>
      <c r="AD5" s="73" t="s">
        <v>215</v>
      </c>
      <c r="AN5" s="6" t="str">
        <f>_xll.xlShmInterpDisc(CurveName,DATE(YEAR(AU5)+IF(YEAR(AU5)&lt;2000,100,0),MONTH(AU5),DAY(AU5)))</f>
        <v>Date before first TermStructure's date.</v>
      </c>
      <c r="AO5" s="215" t="e">
        <f>_xll.xlShmInterpRate(CurveName,$AO$2,$C$50,DATE(YEAR(AU5)+IF(YEAR(AU5)&lt;2000,100,0),MONTH(AU5),DAY(AU5)))*100</f>
        <v>#VALUE!</v>
      </c>
      <c r="AP5" s="6" t="e">
        <f t="shared" si="6"/>
        <v>#VALUE!</v>
      </c>
      <c r="AQ5" s="215" t="e">
        <f t="shared" si="10"/>
        <v>#VALUE!</v>
      </c>
      <c r="AR5" s="8" t="s">
        <v>15</v>
      </c>
      <c r="AS5" s="52">
        <v>41557</v>
      </c>
      <c r="AT5" s="8" t="s">
        <v>232</v>
      </c>
      <c r="AU5" s="52">
        <v>41558</v>
      </c>
      <c r="AV5" s="52" t="s">
        <v>25</v>
      </c>
      <c r="AW5" s="6">
        <v>0.99976347481209704</v>
      </c>
      <c r="AX5" s="6">
        <v>2.87806350016408</v>
      </c>
      <c r="AY5" s="6" t="s">
        <v>193</v>
      </c>
      <c r="BA5" s="6">
        <v>2.94750000000001</v>
      </c>
      <c r="BB5" s="6">
        <v>0</v>
      </c>
      <c r="BC5" s="21" t="s">
        <v>17</v>
      </c>
      <c r="BD5" s="52" t="str">
        <f t="shared" si="11"/>
        <v>S/N</v>
      </c>
      <c r="BE5" s="6">
        <f t="shared" si="12"/>
        <v>2.94750000000001</v>
      </c>
      <c r="BF5" s="6">
        <f t="shared" si="13"/>
        <v>0</v>
      </c>
    </row>
    <row r="6" spans="1:58" ht="11.25" customHeight="1">
      <c r="A6" s="7"/>
      <c r="B6" s="159" t="s">
        <v>169</v>
      </c>
      <c r="C6" s="93"/>
      <c r="D6" s="6"/>
      <c r="E6" s="128" t="b">
        <v>1</v>
      </c>
      <c r="F6" s="114">
        <v>1</v>
      </c>
      <c r="G6" s="16">
        <v>1</v>
      </c>
      <c r="H6" s="17" t="s">
        <v>26</v>
      </c>
      <c r="I6" s="78">
        <f>AVERAGE(Z8:AA8)</f>
        <v>2.04</v>
      </c>
      <c r="J6" s="49"/>
      <c r="K6" s="125"/>
      <c r="L6" s="49">
        <f t="shared" si="0"/>
        <v>2.04</v>
      </c>
      <c r="M6" s="29">
        <f t="shared" si="8"/>
        <v>4</v>
      </c>
      <c r="N6" s="30">
        <f t="shared" si="1"/>
        <v>4</v>
      </c>
      <c r="O6" s="29">
        <f t="shared" si="9"/>
        <v>4</v>
      </c>
      <c r="P6" s="30">
        <f t="shared" si="2"/>
        <v>7</v>
      </c>
      <c r="Q6" s="29">
        <f t="shared" si="3"/>
        <v>1</v>
      </c>
      <c r="R6" s="27" t="str">
        <f t="shared" si="4"/>
        <v>m</v>
      </c>
      <c r="S6" s="41">
        <f t="shared" si="5"/>
        <v>2.1</v>
      </c>
      <c r="U6" s="133">
        <v>41911</v>
      </c>
      <c r="V6" s="134">
        <v>0.99902470967115087</v>
      </c>
      <c r="Y6" s="27"/>
      <c r="Z6" s="27"/>
      <c r="AA6" s="27"/>
      <c r="AC6" s="7"/>
      <c r="AD6" s="7"/>
      <c r="AN6" s="6" t="str">
        <f>_xll.xlShmInterpDisc(CurveName,DATE(YEAR(AU6)+IF(YEAR(AU6)&lt;2000,100,0),MONTH(AU6),DAY(AU6)))</f>
        <v>Date before first TermStructure's date.</v>
      </c>
      <c r="AO6" s="215" t="e">
        <f>_xll.xlShmInterpRate(CurveName,$AO$2,$C$50,DATE(YEAR(AU6)+IF(YEAR(AU6)&lt;2000,100,0),MONTH(AU6),DAY(AU6)))*100</f>
        <v>#VALUE!</v>
      </c>
      <c r="AP6" s="6" t="e">
        <f t="shared" si="6"/>
        <v>#VALUE!</v>
      </c>
      <c r="AQ6" s="215" t="e">
        <f t="shared" si="10"/>
        <v>#VALUE!</v>
      </c>
      <c r="AR6" s="8" t="s">
        <v>15</v>
      </c>
      <c r="AS6" s="52">
        <v>41557</v>
      </c>
      <c r="AT6" s="8" t="s">
        <v>232</v>
      </c>
      <c r="AU6" s="52">
        <v>41564</v>
      </c>
      <c r="AV6" s="52" t="s">
        <v>233</v>
      </c>
      <c r="AW6" s="6">
        <v>0.99914592829678905</v>
      </c>
      <c r="AX6" s="6">
        <v>3.4652152226604902</v>
      </c>
      <c r="BA6" s="6">
        <v>3.6</v>
      </c>
      <c r="BB6" s="6">
        <v>0</v>
      </c>
      <c r="BC6" s="21" t="s">
        <v>17</v>
      </c>
      <c r="BD6" s="52" t="str">
        <f t="shared" si="11"/>
        <v>1w</v>
      </c>
      <c r="BE6" s="6">
        <f t="shared" si="12"/>
        <v>3.6</v>
      </c>
      <c r="BF6" s="6">
        <f t="shared" si="13"/>
        <v>0</v>
      </c>
    </row>
    <row r="7" spans="1:58" ht="11.25" customHeight="1">
      <c r="A7" s="7"/>
      <c r="B7" s="88" t="s">
        <v>122</v>
      </c>
      <c r="C7" s="94" t="s">
        <v>63</v>
      </c>
      <c r="D7" s="6"/>
      <c r="E7" s="129" t="b">
        <v>1</v>
      </c>
      <c r="F7" s="115">
        <f>Y9</f>
        <v>2</v>
      </c>
      <c r="G7" s="29">
        <v>2</v>
      </c>
      <c r="H7" s="30" t="s">
        <v>26</v>
      </c>
      <c r="I7" s="79">
        <f t="shared" ref="I7:I8" si="14">AVERAGE(Z9:AA9)</f>
        <v>2.1</v>
      </c>
      <c r="J7" s="50"/>
      <c r="K7" s="127"/>
      <c r="L7" s="50">
        <f t="shared" si="0"/>
        <v>2.1</v>
      </c>
      <c r="M7" s="29">
        <f t="shared" si="8"/>
        <v>5</v>
      </c>
      <c r="N7" s="30">
        <f t="shared" si="1"/>
        <v>5</v>
      </c>
      <c r="O7" s="29">
        <f t="shared" si="9"/>
        <v>5</v>
      </c>
      <c r="P7" s="30">
        <f t="shared" si="2"/>
        <v>8</v>
      </c>
      <c r="Q7" s="29">
        <f t="shared" si="3"/>
        <v>2</v>
      </c>
      <c r="R7" s="27" t="str">
        <f t="shared" si="4"/>
        <v>m</v>
      </c>
      <c r="S7" s="41">
        <f t="shared" si="5"/>
        <v>2.1</v>
      </c>
      <c r="U7" s="133">
        <v>41927</v>
      </c>
      <c r="V7" s="134">
        <v>0.99809391549859316</v>
      </c>
      <c r="Y7" s="10" t="s">
        <v>78</v>
      </c>
      <c r="Z7" s="196" t="s">
        <v>71</v>
      </c>
      <c r="AA7" s="197" t="str">
        <f>Z7</f>
        <v>PRIM ACT 1</v>
      </c>
      <c r="AN7" s="6" t="str">
        <f>_xll.xlShmInterpDisc(CurveName,DATE(YEAR(AU7)+IF(YEAR(AU7)&lt;2000,100,0),MONTH(AU7),DAY(AU7)))</f>
        <v>Date before first TermStructure's date.</v>
      </c>
      <c r="AO7" s="215" t="e">
        <f>_xll.xlShmInterpRate(CurveName,$AO$2,$C$50,DATE(YEAR(AU7)+IF(YEAR(AU7)&lt;2000,100,0),MONTH(AU7),DAY(AU7)))*100</f>
        <v>#VALUE!</v>
      </c>
      <c r="AP7" s="6" t="e">
        <f t="shared" si="6"/>
        <v>#VALUE!</v>
      </c>
      <c r="AQ7" s="215" t="e">
        <f t="shared" si="10"/>
        <v>#VALUE!</v>
      </c>
      <c r="AR7" s="8" t="s">
        <v>15</v>
      </c>
      <c r="AS7" s="52">
        <v>41557</v>
      </c>
      <c r="AT7" s="8" t="s">
        <v>232</v>
      </c>
      <c r="AU7" s="52">
        <v>41571</v>
      </c>
      <c r="AV7" s="52" t="s">
        <v>234</v>
      </c>
      <c r="AW7" s="6">
        <v>0.99844750394107895</v>
      </c>
      <c r="AX7" s="6">
        <v>3.5443836677057501</v>
      </c>
      <c r="BA7" s="6">
        <v>3.6</v>
      </c>
      <c r="BB7" s="6">
        <v>0</v>
      </c>
      <c r="BC7" s="21" t="s">
        <v>17</v>
      </c>
      <c r="BD7" s="52" t="str">
        <f t="shared" si="11"/>
        <v>2w</v>
      </c>
      <c r="BE7" s="6">
        <f t="shared" si="12"/>
        <v>3.6</v>
      </c>
      <c r="BF7" s="6">
        <f t="shared" si="13"/>
        <v>0</v>
      </c>
    </row>
    <row r="8" spans="1:58" ht="11.25" customHeight="1">
      <c r="A8" s="7"/>
      <c r="B8" s="123" t="s">
        <v>123</v>
      </c>
      <c r="C8" s="95" t="s">
        <v>64</v>
      </c>
      <c r="D8" s="6"/>
      <c r="E8" s="130" t="b">
        <v>0</v>
      </c>
      <c r="F8" s="116">
        <f>Y10</f>
        <v>3</v>
      </c>
      <c r="G8" s="22">
        <v>3</v>
      </c>
      <c r="H8" s="23" t="s">
        <v>26</v>
      </c>
      <c r="I8" s="80" t="e">
        <f t="shared" si="14"/>
        <v>#DIV/0!</v>
      </c>
      <c r="J8" s="51"/>
      <c r="K8" s="126"/>
      <c r="L8" s="51" t="e">
        <f t="shared" si="0"/>
        <v>#DIV/0!</v>
      </c>
      <c r="M8" s="29">
        <f t="shared" si="8"/>
        <v>6</v>
      </c>
      <c r="N8" s="30" t="str">
        <f t="shared" si="1"/>
        <v/>
      </c>
      <c r="O8" s="29">
        <f t="shared" si="9"/>
        <v>6</v>
      </c>
      <c r="P8" s="30">
        <f t="shared" si="2"/>
        <v>9</v>
      </c>
      <c r="Q8" s="29">
        <f t="shared" si="3"/>
        <v>3</v>
      </c>
      <c r="R8" s="27" t="str">
        <f t="shared" si="4"/>
        <v>m</v>
      </c>
      <c r="S8" s="41">
        <f t="shared" si="5"/>
        <v>2.11</v>
      </c>
      <c r="U8" s="133">
        <v>41960</v>
      </c>
      <c r="V8" s="134">
        <v>0.99617961974814118</v>
      </c>
      <c r="Y8" s="16">
        <v>1</v>
      </c>
      <c r="Z8" s="16">
        <f>_xll.RtGet($AD$8,$AD$9&amp;$Y8&amp;$AD$10,Z$7)</f>
        <v>2.04</v>
      </c>
      <c r="AA8" s="17">
        <f>_xll.RtGet($AD$8,$AD$9&amp;$Y8&amp;$AD$10,AA$7)</f>
        <v>2.04</v>
      </c>
      <c r="AC8" s="13" t="s">
        <v>14</v>
      </c>
      <c r="AD8" s="71" t="s">
        <v>62</v>
      </c>
      <c r="AN8" s="6" t="str">
        <f>_xll.xlShmInterpDisc(CurveName,DATE(YEAR(AU8)+IF(YEAR(AU8)&lt;2000,100,0),MONTH(AU8),DAY(AU8)))</f>
        <v>Date before first TermStructure's date.</v>
      </c>
      <c r="AO8" s="215" t="e">
        <f>_xll.xlShmInterpRate(CurveName,$AO$2,$C$50,DATE(YEAR(AU8)+IF(YEAR(AU8)&lt;2000,100,0),MONTH(AU8),DAY(AU8)))*100</f>
        <v>#VALUE!</v>
      </c>
      <c r="AP8" s="6" t="e">
        <f t="shared" si="6"/>
        <v>#VALUE!</v>
      </c>
      <c r="AQ8" s="215" t="e">
        <f t="shared" si="10"/>
        <v>#VALUE!</v>
      </c>
      <c r="AR8" s="8" t="s">
        <v>15</v>
      </c>
      <c r="AS8" s="52">
        <v>41557</v>
      </c>
      <c r="AT8" s="8" t="s">
        <v>232</v>
      </c>
      <c r="AU8" s="52">
        <v>41589</v>
      </c>
      <c r="AV8" s="52" t="s">
        <v>235</v>
      </c>
      <c r="AW8" s="6">
        <v>0.99665603114692702</v>
      </c>
      <c r="AX8" s="6">
        <v>3.5958645016447699</v>
      </c>
      <c r="BA8" s="6">
        <v>3.6</v>
      </c>
      <c r="BB8" s="6">
        <v>0</v>
      </c>
      <c r="BC8" s="21" t="s">
        <v>17</v>
      </c>
    </row>
    <row r="9" spans="1:58" ht="11.25" customHeight="1">
      <c r="A9" s="7"/>
      <c r="B9" s="123" t="s">
        <v>86</v>
      </c>
      <c r="C9" s="95" t="s">
        <v>39</v>
      </c>
      <c r="D9" s="6"/>
      <c r="E9" s="129" t="b">
        <v>1</v>
      </c>
      <c r="F9" s="117">
        <f>Y13</f>
        <v>1</v>
      </c>
      <c r="G9" s="29">
        <v>1</v>
      </c>
      <c r="H9" s="30" t="s">
        <v>31</v>
      </c>
      <c r="I9" s="79">
        <f>AVERAGE(Z13:AA13)</f>
        <v>2.1</v>
      </c>
      <c r="J9" s="50"/>
      <c r="K9" s="127"/>
      <c r="L9" s="50">
        <f t="shared" si="0"/>
        <v>2.1</v>
      </c>
      <c r="M9" s="29">
        <f t="shared" si="8"/>
        <v>7</v>
      </c>
      <c r="N9" s="30">
        <f t="shared" si="1"/>
        <v>7</v>
      </c>
      <c r="O9" s="29">
        <f t="shared" si="9"/>
        <v>7</v>
      </c>
      <c r="P9" s="30">
        <f t="shared" si="2"/>
        <v>10</v>
      </c>
      <c r="Q9" s="29">
        <f t="shared" si="3"/>
        <v>4</v>
      </c>
      <c r="R9" s="27" t="str">
        <f t="shared" si="4"/>
        <v>m</v>
      </c>
      <c r="S9" s="41">
        <f t="shared" si="5"/>
        <v>0</v>
      </c>
      <c r="U9" s="133">
        <v>41988</v>
      </c>
      <c r="V9" s="134">
        <v>0.99453611099869177</v>
      </c>
      <c r="Y9" s="29">
        <v>2</v>
      </c>
      <c r="Z9" s="29">
        <f>_xll.RtGet($AD$8,$AD$9&amp;$Y9&amp;$AD$10,Z$7)</f>
        <v>2.1</v>
      </c>
      <c r="AA9" s="30">
        <f>_xll.RtGet($AD$8,$AD$9&amp;$Y9&amp;$AD$10,AA$7)</f>
        <v>2.1</v>
      </c>
      <c r="AC9" s="18" t="s">
        <v>20</v>
      </c>
      <c r="AD9" s="72" t="s">
        <v>214</v>
      </c>
      <c r="AN9" s="6" t="str">
        <f>_xll.xlShmInterpDisc(CurveName,DATE(YEAR(AU9)+IF(YEAR(AU9)&lt;2000,100,0),MONTH(AU9),DAY(AU9)))</f>
        <v>Date before first TermStructure's date.</v>
      </c>
      <c r="AO9" s="215" t="e">
        <f>_xll.xlShmInterpRate(CurveName,$AO$2,$C$50,DATE(YEAR(AU9)+IF(YEAR(AU9)&lt;2000,100,0),MONTH(AU9),DAY(AU9)))*100</f>
        <v>#VALUE!</v>
      </c>
      <c r="AP9" s="6" t="e">
        <f t="shared" si="6"/>
        <v>#VALUE!</v>
      </c>
      <c r="AQ9" s="215" t="e">
        <f t="shared" si="10"/>
        <v>#VALUE!</v>
      </c>
      <c r="AR9" s="8" t="s">
        <v>15</v>
      </c>
      <c r="AS9" s="52">
        <v>41557</v>
      </c>
      <c r="AT9" s="8" t="s">
        <v>232</v>
      </c>
      <c r="AU9" s="52">
        <v>41618</v>
      </c>
      <c r="AV9" s="52" t="s">
        <v>236</v>
      </c>
      <c r="AW9" s="6">
        <v>0.99385020515350997</v>
      </c>
      <c r="AX9" s="6">
        <v>3.5739772916297099</v>
      </c>
      <c r="BA9" s="6">
        <v>3.56</v>
      </c>
      <c r="BB9" s="6">
        <v>0</v>
      </c>
      <c r="BC9" s="21" t="s">
        <v>17</v>
      </c>
      <c r="BD9" s="52" t="str">
        <f>AV8</f>
        <v>1m</v>
      </c>
      <c r="BE9" s="6">
        <f t="shared" ref="BE9:BF13" si="15">BA8</f>
        <v>3.6</v>
      </c>
      <c r="BF9" s="6">
        <f t="shared" si="15"/>
        <v>0</v>
      </c>
    </row>
    <row r="10" spans="1:58" ht="11.25" customHeight="1">
      <c r="A10" s="7"/>
      <c r="B10" s="89" t="s">
        <v>87</v>
      </c>
      <c r="C10" s="96" t="s">
        <v>116</v>
      </c>
      <c r="D10" s="6"/>
      <c r="E10" s="129" t="b">
        <v>1</v>
      </c>
      <c r="F10" s="117">
        <f t="shared" ref="F10:F20" si="16">Y14</f>
        <v>2</v>
      </c>
      <c r="G10" s="29">
        <v>2</v>
      </c>
      <c r="H10" s="30" t="s">
        <v>31</v>
      </c>
      <c r="I10" s="79">
        <f t="shared" ref="I10:I20" si="17">AVERAGE(Z14:AA14)</f>
        <v>2.1</v>
      </c>
      <c r="J10" s="50"/>
      <c r="K10" s="127"/>
      <c r="L10" s="50">
        <f t="shared" si="0"/>
        <v>2.1</v>
      </c>
      <c r="M10" s="29">
        <f t="shared" si="8"/>
        <v>8</v>
      </c>
      <c r="N10" s="30">
        <f t="shared" si="1"/>
        <v>8</v>
      </c>
      <c r="O10" s="29">
        <f t="shared" si="9"/>
        <v>8</v>
      </c>
      <c r="P10" s="30">
        <f t="shared" si="2"/>
        <v>11</v>
      </c>
      <c r="Q10" s="29">
        <f t="shared" si="3"/>
        <v>5</v>
      </c>
      <c r="R10" s="27" t="str">
        <f t="shared" si="4"/>
        <v>m</v>
      </c>
      <c r="S10" s="41">
        <f t="shared" si="5"/>
        <v>0</v>
      </c>
      <c r="U10" s="133">
        <v>42019</v>
      </c>
      <c r="V10" s="134">
        <v>0.99984057985071573</v>
      </c>
      <c r="Y10" s="22">
        <v>3</v>
      </c>
      <c r="Z10" s="22" t="str">
        <f>_xll.RtGet($AD$8,$AD$9&amp;$Y10&amp;$AD$10,Z$7)</f>
        <v>#N/A The record could not be found</v>
      </c>
      <c r="AA10" s="23" t="str">
        <f>_xll.RtGet($AD$8,$AD$9&amp;$Y10&amp;$AD$10,AA$7)</f>
        <v>#N/A The record could not be found</v>
      </c>
      <c r="AC10" s="24" t="s">
        <v>24</v>
      </c>
      <c r="AD10" s="73" t="s">
        <v>216</v>
      </c>
      <c r="AN10" s="6" t="str">
        <f>_xll.xlShmInterpDisc(CurveName,DATE(YEAR(AU10)+IF(YEAR(AU10)&lt;2000,100,0),MONTH(AU10),DAY(AU10)))</f>
        <v>Date before first TermStructure's date.</v>
      </c>
      <c r="AO10" s="215" t="e">
        <f>_xll.xlShmInterpRate(CurveName,$AO$2,$C$50,DATE(YEAR(AU10)+IF(YEAR(AU10)&lt;2000,100,0),MONTH(AU10),DAY(AU10)))*100</f>
        <v>#VALUE!</v>
      </c>
      <c r="AP10" s="6" t="e">
        <f t="shared" si="6"/>
        <v>#VALUE!</v>
      </c>
      <c r="AQ10" s="215" t="e">
        <f t="shared" si="10"/>
        <v>#VALUE!</v>
      </c>
      <c r="AR10" s="8" t="s">
        <v>15</v>
      </c>
      <c r="AS10" s="52">
        <v>41557</v>
      </c>
      <c r="AT10" s="8" t="s">
        <v>232</v>
      </c>
      <c r="AU10" s="52">
        <v>41649</v>
      </c>
      <c r="AV10" s="52" t="s">
        <v>237</v>
      </c>
      <c r="AW10" s="6">
        <v>0.99085606404335902</v>
      </c>
      <c r="AX10" s="6">
        <v>3.5669036130361298</v>
      </c>
      <c r="BA10" s="6">
        <v>3.55</v>
      </c>
      <c r="BB10" s="6">
        <v>0</v>
      </c>
      <c r="BC10" s="21" t="s">
        <v>17</v>
      </c>
      <c r="BD10" s="52" t="str">
        <f>AV9</f>
        <v>2m</v>
      </c>
      <c r="BE10" s="6">
        <f t="shared" si="15"/>
        <v>3.56</v>
      </c>
      <c r="BF10" s="6">
        <f t="shared" si="15"/>
        <v>0</v>
      </c>
    </row>
    <row r="11" spans="1:58" ht="11.25" customHeight="1">
      <c r="A11" s="7"/>
      <c r="B11" s="124" t="s">
        <v>91</v>
      </c>
      <c r="C11" s="97" t="s">
        <v>92</v>
      </c>
      <c r="D11" s="6"/>
      <c r="E11" s="129" t="b">
        <v>1</v>
      </c>
      <c r="F11" s="117">
        <f t="shared" si="16"/>
        <v>3</v>
      </c>
      <c r="G11" s="29">
        <v>3</v>
      </c>
      <c r="H11" s="30" t="s">
        <v>31</v>
      </c>
      <c r="I11" s="79">
        <f t="shared" si="17"/>
        <v>2.11</v>
      </c>
      <c r="J11" s="50"/>
      <c r="K11" s="127"/>
      <c r="L11" s="50">
        <f t="shared" si="0"/>
        <v>2.11</v>
      </c>
      <c r="M11" s="29">
        <f t="shared" si="8"/>
        <v>9</v>
      </c>
      <c r="N11" s="30">
        <f t="shared" si="1"/>
        <v>9</v>
      </c>
      <c r="O11" s="29">
        <f t="shared" si="9"/>
        <v>9</v>
      </c>
      <c r="P11" s="30">
        <f t="shared" si="2"/>
        <v>12</v>
      </c>
      <c r="Q11" s="29">
        <f t="shared" si="3"/>
        <v>6</v>
      </c>
      <c r="R11" s="27" t="str">
        <f t="shared" si="4"/>
        <v>m</v>
      </c>
      <c r="S11" s="41">
        <f t="shared" si="5"/>
        <v>2.16</v>
      </c>
      <c r="U11" s="133">
        <v>42051</v>
      </c>
      <c r="V11" s="134">
        <v>0.99984057985071551</v>
      </c>
      <c r="Y11" s="27"/>
      <c r="Z11" s="27"/>
      <c r="AA11" s="27"/>
      <c r="AN11" s="6" t="str">
        <f>_xll.xlShmInterpDisc(CurveName,DATE(YEAR(AU11)+IF(YEAR(AU11)&lt;2000,100,0),MONTH(AU11),DAY(AU11)))</f>
        <v>Date before first TermStructure's date.</v>
      </c>
      <c r="AO11" s="215" t="e">
        <f>_xll.xlShmInterpRate(CurveName,$AO$2,$C$50,DATE(YEAR(AU11)+IF(YEAR(AU11)&lt;2000,100,0),MONTH(AU11),DAY(AU11)))*100</f>
        <v>#VALUE!</v>
      </c>
      <c r="AP11" s="6" t="e">
        <f t="shared" si="6"/>
        <v>#VALUE!</v>
      </c>
      <c r="AQ11" s="215" t="e">
        <f t="shared" si="10"/>
        <v>#VALUE!</v>
      </c>
      <c r="AR11" s="8" t="s">
        <v>15</v>
      </c>
      <c r="AS11" s="52">
        <v>41557</v>
      </c>
      <c r="AT11" s="8" t="s">
        <v>232</v>
      </c>
      <c r="AU11" s="52">
        <v>41680</v>
      </c>
      <c r="AV11" s="52" t="s">
        <v>238</v>
      </c>
      <c r="AW11" s="6">
        <v>0.98786337097613197</v>
      </c>
      <c r="AX11" s="6">
        <v>3.5655767505482898</v>
      </c>
      <c r="BA11" s="6">
        <v>3.55</v>
      </c>
      <c r="BB11" s="6">
        <v>0</v>
      </c>
      <c r="BC11" s="21" t="s">
        <v>17</v>
      </c>
      <c r="BD11" s="52" t="str">
        <f>AV10</f>
        <v>3m</v>
      </c>
      <c r="BE11" s="6">
        <f t="shared" si="15"/>
        <v>3.55</v>
      </c>
      <c r="BF11" s="6">
        <f t="shared" si="15"/>
        <v>0</v>
      </c>
    </row>
    <row r="12" spans="1:58" ht="11.25" customHeight="1">
      <c r="A12" s="7"/>
      <c r="D12" s="6"/>
      <c r="E12" s="129" t="b">
        <v>1</v>
      </c>
      <c r="F12" s="117">
        <f t="shared" si="16"/>
        <v>4</v>
      </c>
      <c r="G12" s="29">
        <v>4</v>
      </c>
      <c r="H12" s="30" t="s">
        <v>31</v>
      </c>
      <c r="I12" s="79">
        <f t="shared" si="17"/>
        <v>0</v>
      </c>
      <c r="J12" s="50"/>
      <c r="K12" s="127"/>
      <c r="L12" s="50">
        <f t="shared" si="0"/>
        <v>0</v>
      </c>
      <c r="M12" s="29">
        <f t="shared" si="8"/>
        <v>10</v>
      </c>
      <c r="N12" s="30">
        <f t="shared" si="1"/>
        <v>10</v>
      </c>
      <c r="O12" s="29">
        <f t="shared" si="9"/>
        <v>10</v>
      </c>
      <c r="P12" s="30">
        <f t="shared" si="2"/>
        <v>13</v>
      </c>
      <c r="Q12" s="29">
        <f t="shared" si="3"/>
        <v>7</v>
      </c>
      <c r="R12" s="27" t="str">
        <f t="shared" si="4"/>
        <v>m</v>
      </c>
      <c r="S12" s="41">
        <f t="shared" si="5"/>
        <v>0</v>
      </c>
      <c r="U12" s="133">
        <v>42079</v>
      </c>
      <c r="V12" s="134">
        <v>0.98913543154247008</v>
      </c>
      <c r="Y12" s="10" t="s">
        <v>78</v>
      </c>
      <c r="Z12" s="196" t="s">
        <v>71</v>
      </c>
      <c r="AA12" s="197" t="str">
        <f>Z12</f>
        <v>PRIM ACT 1</v>
      </c>
      <c r="AN12" s="6" t="str">
        <f>_xll.xlShmInterpDisc(CurveName,DATE(YEAR(AU12)+IF(YEAR(AU12)&lt;2000,100,0),MONTH(AU12),DAY(AU12)))</f>
        <v>Date before first TermStructure's date.</v>
      </c>
      <c r="AO12" s="215" t="e">
        <f>_xll.xlShmInterpRate(CurveName,$AO$2,$C$50,DATE(YEAR(AU12)+IF(YEAR(AU12)&lt;2000,100,0),MONTH(AU12),DAY(AU12)))*100</f>
        <v>#VALUE!</v>
      </c>
      <c r="AP12" s="6" t="e">
        <f t="shared" si="6"/>
        <v>#VALUE!</v>
      </c>
      <c r="AQ12" s="215" t="e">
        <f t="shared" si="10"/>
        <v>#VALUE!</v>
      </c>
      <c r="AR12" s="8" t="s">
        <v>15</v>
      </c>
      <c r="AS12" s="52">
        <v>41557</v>
      </c>
      <c r="AT12" s="8" t="s">
        <v>232</v>
      </c>
      <c r="AU12" s="52">
        <v>41708</v>
      </c>
      <c r="AV12" s="52" t="s">
        <v>239</v>
      </c>
      <c r="AW12" s="6">
        <v>0.98517578928421401</v>
      </c>
      <c r="AX12" s="6">
        <v>3.5629695562272601</v>
      </c>
      <c r="BA12" s="6">
        <v>3.55</v>
      </c>
      <c r="BB12" s="6">
        <v>0</v>
      </c>
      <c r="BC12" s="21" t="s">
        <v>17</v>
      </c>
      <c r="BD12" s="52" t="str">
        <f>AV11</f>
        <v>4m</v>
      </c>
      <c r="BE12" s="6">
        <f t="shared" si="15"/>
        <v>3.55</v>
      </c>
      <c r="BF12" s="6">
        <f t="shared" si="15"/>
        <v>0</v>
      </c>
    </row>
    <row r="13" spans="1:58" ht="11.25" customHeight="1">
      <c r="A13" s="7"/>
      <c r="D13" s="6"/>
      <c r="E13" s="129" t="b">
        <v>1</v>
      </c>
      <c r="F13" s="117">
        <f t="shared" si="16"/>
        <v>5</v>
      </c>
      <c r="G13" s="29">
        <v>5</v>
      </c>
      <c r="H13" s="30" t="s">
        <v>31</v>
      </c>
      <c r="I13" s="79">
        <f t="shared" si="17"/>
        <v>0</v>
      </c>
      <c r="J13" s="50"/>
      <c r="K13" s="127"/>
      <c r="L13" s="50">
        <f t="shared" si="0"/>
        <v>0</v>
      </c>
      <c r="M13" s="29">
        <f t="shared" si="8"/>
        <v>11</v>
      </c>
      <c r="N13" s="30">
        <f t="shared" si="1"/>
        <v>11</v>
      </c>
      <c r="O13" s="29">
        <f t="shared" si="9"/>
        <v>11</v>
      </c>
      <c r="P13" s="30">
        <f t="shared" si="2"/>
        <v>14</v>
      </c>
      <c r="Q13" s="29">
        <f t="shared" si="3"/>
        <v>8</v>
      </c>
      <c r="R13" s="27" t="str">
        <f t="shared" si="4"/>
        <v>m</v>
      </c>
      <c r="S13" s="41">
        <f t="shared" si="5"/>
        <v>0</v>
      </c>
      <c r="U13" s="133">
        <v>42171</v>
      </c>
      <c r="V13" s="134">
        <v>0.98350540946517606</v>
      </c>
      <c r="Y13" s="29">
        <v>1</v>
      </c>
      <c r="Z13" s="29">
        <f>_xll.RtGet($AD$13,$AD$14&amp;$Y13&amp;$AD$15,Z$12)</f>
        <v>2.1</v>
      </c>
      <c r="AA13" s="30">
        <f>_xll.RtGet($AD$13,$AD$14&amp;$Y13&amp;$AD$15,AA$12)</f>
        <v>2.1</v>
      </c>
      <c r="AC13" s="13" t="s">
        <v>14</v>
      </c>
      <c r="AD13" s="71" t="s">
        <v>62</v>
      </c>
      <c r="AN13" s="6" t="str">
        <f>_xll.xlShmInterpDisc(CurveName,DATE(YEAR(AU13)+IF(YEAR(AU13)&lt;2000,100,0),MONTH(AU13),DAY(AU13)))</f>
        <v>Date before first TermStructure's date.</v>
      </c>
      <c r="AO13" s="215" t="e">
        <f>_xll.xlShmInterpRate(CurveName,$AO$2,$C$50,DATE(YEAR(AU13)+IF(YEAR(AU13)&lt;2000,100,0),MONTH(AU13),DAY(AU13)))*100</f>
        <v>#VALUE!</v>
      </c>
      <c r="AP13" s="6" t="e">
        <f t="shared" si="6"/>
        <v>#VALUE!</v>
      </c>
      <c r="AQ13" s="215" t="e">
        <f t="shared" si="10"/>
        <v>#VALUE!</v>
      </c>
      <c r="AR13" s="8" t="s">
        <v>15</v>
      </c>
      <c r="AS13" s="52">
        <v>41557</v>
      </c>
      <c r="AT13" s="8" t="s">
        <v>232</v>
      </c>
      <c r="AU13" s="52">
        <v>41739</v>
      </c>
      <c r="AV13" s="52" t="s">
        <v>240</v>
      </c>
      <c r="AW13" s="6">
        <v>0</v>
      </c>
      <c r="AX13" s="6">
        <v>0</v>
      </c>
      <c r="BA13" s="6">
        <v>3.55</v>
      </c>
      <c r="BB13" s="6">
        <v>0</v>
      </c>
      <c r="BC13" s="21" t="s">
        <v>17</v>
      </c>
      <c r="BD13" s="52" t="str">
        <f>AV12</f>
        <v>5m</v>
      </c>
      <c r="BE13" s="6">
        <f t="shared" si="15"/>
        <v>3.55</v>
      </c>
      <c r="BF13" s="6">
        <f t="shared" si="15"/>
        <v>0</v>
      </c>
    </row>
    <row r="14" spans="1:58" ht="11.25" customHeight="1">
      <c r="A14" s="7"/>
      <c r="D14" s="6"/>
      <c r="E14" s="129" t="b">
        <v>1</v>
      </c>
      <c r="F14" s="117">
        <f t="shared" si="16"/>
        <v>6</v>
      </c>
      <c r="G14" s="29">
        <v>6</v>
      </c>
      <c r="H14" s="30" t="s">
        <v>31</v>
      </c>
      <c r="I14" s="79">
        <f t="shared" si="17"/>
        <v>2.16</v>
      </c>
      <c r="J14" s="50"/>
      <c r="K14" s="127"/>
      <c r="L14" s="50">
        <f t="shared" si="0"/>
        <v>2.16</v>
      </c>
      <c r="M14" s="29">
        <f t="shared" si="8"/>
        <v>12</v>
      </c>
      <c r="N14" s="30">
        <f t="shared" si="1"/>
        <v>12</v>
      </c>
      <c r="O14" s="29">
        <f t="shared" si="9"/>
        <v>12</v>
      </c>
      <c r="P14" s="30">
        <f t="shared" si="2"/>
        <v>15</v>
      </c>
      <c r="Q14" s="29">
        <f t="shared" si="3"/>
        <v>9</v>
      </c>
      <c r="R14" s="27" t="str">
        <f t="shared" si="4"/>
        <v>m</v>
      </c>
      <c r="S14" s="41">
        <f t="shared" si="5"/>
        <v>2.2000000000000002</v>
      </c>
      <c r="U14" s="133">
        <v>42262</v>
      </c>
      <c r="V14" s="134">
        <v>0.97777040747275967</v>
      </c>
      <c r="Y14" s="29">
        <v>2</v>
      </c>
      <c r="Z14" s="29">
        <f>_xll.RtGet($AD$13,$AD$14&amp;$Y14&amp;$AD$15,Z$12)</f>
        <v>2.1</v>
      </c>
      <c r="AA14" s="30">
        <f>_xll.RtGet($AD$13,$AD$14&amp;$Y14&amp;$AD$15,AA$12)</f>
        <v>2.1</v>
      </c>
      <c r="AC14" s="18" t="s">
        <v>20</v>
      </c>
      <c r="AD14" s="72" t="s">
        <v>214</v>
      </c>
      <c r="AN14" s="6" t="str">
        <f>_xll.xlShmInterpDisc(CurveName,DATE(YEAR(AU14)+IF(YEAR(AU14)&lt;2000,100,0),MONTH(AU14),DAY(AU14)))</f>
        <v>Date before first TermStructure's date.</v>
      </c>
      <c r="AO14" s="215" t="e">
        <f>_xll.xlShmInterpRate(CurveName,$AO$2,$C$50,DATE(YEAR(AU14)+IF(YEAR(AU14)&lt;2000,100,0),MONTH(AU14),DAY(AU14)))*100</f>
        <v>#VALUE!</v>
      </c>
      <c r="AP14" s="6" t="e">
        <f t="shared" si="6"/>
        <v>#VALUE!</v>
      </c>
      <c r="AQ14" s="215" t="e">
        <f t="shared" si="10"/>
        <v>#VALUE!</v>
      </c>
      <c r="AR14" s="8" t="s">
        <v>194</v>
      </c>
      <c r="AS14" s="52">
        <v>41649</v>
      </c>
      <c r="AT14" s="8" t="s">
        <v>241</v>
      </c>
      <c r="AU14" s="52">
        <v>41739</v>
      </c>
      <c r="AV14" s="52" t="s">
        <v>195</v>
      </c>
      <c r="AW14" s="6">
        <v>0.98294336991553999</v>
      </c>
      <c r="AX14" s="6">
        <v>3.4127043629955298</v>
      </c>
      <c r="BA14" s="6">
        <v>3.22</v>
      </c>
      <c r="BB14" s="6">
        <v>0</v>
      </c>
      <c r="BC14" s="21" t="s">
        <v>17</v>
      </c>
      <c r="BD14" s="52" t="str">
        <f>AV14</f>
        <v>3M-6M</v>
      </c>
      <c r="BE14" s="6">
        <f t="shared" ref="BE14:BF16" si="18">BA14</f>
        <v>3.22</v>
      </c>
      <c r="BF14" s="6">
        <f t="shared" si="18"/>
        <v>0</v>
      </c>
    </row>
    <row r="15" spans="1:58" ht="11.25" customHeight="1">
      <c r="A15" s="7"/>
      <c r="D15" s="6"/>
      <c r="E15" s="129" t="b">
        <v>1</v>
      </c>
      <c r="F15" s="117">
        <f t="shared" si="16"/>
        <v>7</v>
      </c>
      <c r="G15" s="29">
        <v>7</v>
      </c>
      <c r="H15" s="30" t="s">
        <v>31</v>
      </c>
      <c r="I15" s="79">
        <f t="shared" si="17"/>
        <v>0</v>
      </c>
      <c r="J15" s="50"/>
      <c r="K15" s="127"/>
      <c r="L15" s="50">
        <f t="shared" si="0"/>
        <v>0</v>
      </c>
      <c r="M15" s="29">
        <f t="shared" si="8"/>
        <v>13</v>
      </c>
      <c r="N15" s="30">
        <f t="shared" si="1"/>
        <v>13</v>
      </c>
      <c r="O15" s="29">
        <f t="shared" si="9"/>
        <v>13</v>
      </c>
      <c r="P15" s="30">
        <f t="shared" si="2"/>
        <v>16</v>
      </c>
      <c r="Q15" s="29">
        <f t="shared" si="3"/>
        <v>10</v>
      </c>
      <c r="R15" s="27" t="str">
        <f t="shared" si="4"/>
        <v>m</v>
      </c>
      <c r="S15" s="41">
        <f t="shared" si="5"/>
        <v>0</v>
      </c>
      <c r="U15" s="133">
        <v>42628</v>
      </c>
      <c r="V15" s="134">
        <v>0.95286275679466081</v>
      </c>
      <c r="Y15" s="29">
        <v>3</v>
      </c>
      <c r="Z15" s="29">
        <f>_xll.RtGet($AD$13,$AD$14&amp;$Y15&amp;$AD$15,Z$12)</f>
        <v>2.11</v>
      </c>
      <c r="AA15" s="30">
        <f>_xll.RtGet($AD$13,$AD$14&amp;$Y15&amp;$AD$15,AA$12)</f>
        <v>2.11</v>
      </c>
      <c r="AB15"/>
      <c r="AC15" s="24" t="s">
        <v>24</v>
      </c>
      <c r="AD15" s="73" t="s">
        <v>222</v>
      </c>
      <c r="AN15" s="6" t="str">
        <f>_xll.xlShmInterpDisc(CurveName,DATE(YEAR(AU15)+IF(YEAR(AU15)&lt;2000,100,0),MONTH(AU15),DAY(AU15)))</f>
        <v>Date before first TermStructure's date.</v>
      </c>
      <c r="AO15" s="215" t="e">
        <f>_xll.xlShmInterpRate(CurveName,$AO$2,$C$50,DATE(YEAR(AU15)+IF(YEAR(AU15)&lt;2000,100,0),MONTH(AU15),DAY(AU15)))*100</f>
        <v>#VALUE!</v>
      </c>
      <c r="AP15" s="6" t="e">
        <f t="shared" si="6"/>
        <v>#VALUE!</v>
      </c>
      <c r="AQ15" s="215" t="e">
        <f t="shared" si="10"/>
        <v>#VALUE!</v>
      </c>
      <c r="AR15" s="8" t="s">
        <v>15</v>
      </c>
      <c r="AS15" s="52">
        <v>41557</v>
      </c>
      <c r="AT15" s="8" t="s">
        <v>232</v>
      </c>
      <c r="AU15" s="52">
        <v>41771</v>
      </c>
      <c r="AV15" s="52" t="s">
        <v>242</v>
      </c>
      <c r="AW15" s="6">
        <v>0</v>
      </c>
      <c r="AX15" s="6">
        <v>0</v>
      </c>
      <c r="AY15" s="6" t="s">
        <v>193</v>
      </c>
      <c r="BA15" s="6">
        <v>3.5324175824175899</v>
      </c>
      <c r="BB15" s="6">
        <v>0</v>
      </c>
      <c r="BC15" s="21" t="s">
        <v>17</v>
      </c>
      <c r="BD15" s="52" t="str">
        <f>AV15</f>
        <v>7m</v>
      </c>
      <c r="BE15" s="6">
        <f t="shared" si="18"/>
        <v>3.5324175824175899</v>
      </c>
      <c r="BF15" s="6">
        <f t="shared" si="18"/>
        <v>0</v>
      </c>
    </row>
    <row r="16" spans="1:58" ht="11.25" customHeight="1">
      <c r="A16" s="7"/>
      <c r="D16" s="6"/>
      <c r="E16" s="129" t="b">
        <v>1</v>
      </c>
      <c r="F16" s="117">
        <f t="shared" si="16"/>
        <v>8</v>
      </c>
      <c r="G16" s="29">
        <v>8</v>
      </c>
      <c r="H16" s="30" t="s">
        <v>31</v>
      </c>
      <c r="I16" s="79">
        <f t="shared" si="17"/>
        <v>0</v>
      </c>
      <c r="J16" s="50"/>
      <c r="K16" s="127"/>
      <c r="L16" s="50">
        <f t="shared" si="0"/>
        <v>0</v>
      </c>
      <c r="M16" s="29">
        <f t="shared" si="8"/>
        <v>14</v>
      </c>
      <c r="N16" s="30">
        <f t="shared" si="1"/>
        <v>14</v>
      </c>
      <c r="O16" s="29">
        <f t="shared" si="9"/>
        <v>14</v>
      </c>
      <c r="P16" s="30">
        <f t="shared" si="2"/>
        <v>17</v>
      </c>
      <c r="Q16" s="29">
        <f t="shared" si="3"/>
        <v>11</v>
      </c>
      <c r="R16" s="27" t="str">
        <f t="shared" si="4"/>
        <v>m</v>
      </c>
      <c r="S16" s="41">
        <f t="shared" si="5"/>
        <v>0</v>
      </c>
      <c r="U16" s="133">
        <v>42993</v>
      </c>
      <c r="V16" s="134">
        <v>0.92565222926248092</v>
      </c>
      <c r="Y16" s="29">
        <v>4</v>
      </c>
      <c r="Z16" s="29">
        <f>_xll.RtGet($AD$13,$AD$14&amp;$Y16&amp;$AD$15,Z$12)</f>
        <v>0</v>
      </c>
      <c r="AA16" s="30">
        <f>_xll.RtGet($AD$13,$AD$14&amp;$Y16&amp;$AD$15,AA$12)</f>
        <v>0</v>
      </c>
      <c r="AB16"/>
      <c r="AC16"/>
      <c r="AD16"/>
      <c r="AN16" s="6" t="str">
        <f>_xll.xlShmInterpDisc(CurveName,DATE(YEAR(AU16)+IF(YEAR(AU16)&lt;2000,100,0),MONTH(AU16),DAY(AU16)))</f>
        <v>Date before first TermStructure's date.</v>
      </c>
      <c r="AO16" s="215" t="e">
        <f>_xll.xlShmInterpRate(CurveName,$AO$2,$C$50,DATE(YEAR(AU16)+IF(YEAR(AU16)&lt;2000,100,0),MONTH(AU16),DAY(AU16)))*100</f>
        <v>#VALUE!</v>
      </c>
      <c r="AP16" s="6" t="e">
        <f t="shared" si="6"/>
        <v>#VALUE!</v>
      </c>
      <c r="AQ16" s="215" t="e">
        <f t="shared" si="10"/>
        <v>#VALUE!</v>
      </c>
      <c r="AR16" s="8" t="s">
        <v>15</v>
      </c>
      <c r="AS16" s="52">
        <v>41557</v>
      </c>
      <c r="AT16" s="8" t="s">
        <v>232</v>
      </c>
      <c r="AU16" s="52">
        <v>41800</v>
      </c>
      <c r="AV16" s="52" t="s">
        <v>243</v>
      </c>
      <c r="AW16" s="6">
        <v>0</v>
      </c>
      <c r="AX16" s="6">
        <v>0</v>
      </c>
      <c r="AY16" s="6" t="s">
        <v>193</v>
      </c>
      <c r="BA16" s="6">
        <v>3.5164835164835302</v>
      </c>
      <c r="BB16" s="6">
        <v>0</v>
      </c>
      <c r="BC16" s="21" t="s">
        <v>17</v>
      </c>
      <c r="BD16" s="52" t="str">
        <f>AV16</f>
        <v>8m</v>
      </c>
      <c r="BE16" s="6">
        <f t="shared" si="18"/>
        <v>3.5164835164835302</v>
      </c>
      <c r="BF16" s="6">
        <f t="shared" si="18"/>
        <v>0</v>
      </c>
    </row>
    <row r="17" spans="1:60" ht="11.25" customHeight="1">
      <c r="A17" s="7"/>
      <c r="D17" s="6"/>
      <c r="E17" s="129" t="b">
        <v>1</v>
      </c>
      <c r="F17" s="117">
        <f t="shared" si="16"/>
        <v>9</v>
      </c>
      <c r="G17" s="29">
        <v>9</v>
      </c>
      <c r="H17" s="30" t="s">
        <v>31</v>
      </c>
      <c r="I17" s="79">
        <f t="shared" si="17"/>
        <v>2.2000000000000002</v>
      </c>
      <c r="J17" s="50"/>
      <c r="K17" s="127"/>
      <c r="L17" s="50">
        <f>IF(ISNUMBER(J17),J17,I17)+K17</f>
        <v>2.2000000000000002</v>
      </c>
      <c r="M17" s="29">
        <f>M16+1</f>
        <v>15</v>
      </c>
      <c r="N17" s="30">
        <f>IF(E17,M17,"")</f>
        <v>15</v>
      </c>
      <c r="O17" s="29" t="str">
        <f>IF(O16&lt;$S$2,O16+1,"")</f>
        <v/>
      </c>
      <c r="P17" s="30" t="str">
        <f t="shared" si="2"/>
        <v/>
      </c>
      <c r="Q17" s="29" t="str">
        <f t="shared" si="3"/>
        <v/>
      </c>
      <c r="R17" s="27" t="str">
        <f t="shared" si="4"/>
        <v/>
      </c>
      <c r="S17" s="41" t="str">
        <f t="shared" si="5"/>
        <v/>
      </c>
      <c r="U17" s="133">
        <v>43360</v>
      </c>
      <c r="V17" s="134">
        <v>0.8960680575625769</v>
      </c>
      <c r="Y17" s="29">
        <v>5</v>
      </c>
      <c r="Z17" s="29">
        <f>_xll.RtGet($AD$13,$AD$14&amp;$Y17&amp;$AD$15,Z$12)</f>
        <v>0</v>
      </c>
      <c r="AA17" s="30">
        <f>_xll.RtGet($AD$13,$AD$14&amp;$Y17&amp;$AD$15,AA$12)</f>
        <v>0</v>
      </c>
      <c r="AB17"/>
      <c r="AC17"/>
      <c r="AD17"/>
      <c r="AN17" s="6" t="str">
        <f>_xll.xlShmInterpDisc(CurveName,DATE(YEAR(AU17)+IF(YEAR(AU17)&lt;2000,100,0),MONTH(AU17),DAY(AU17)))</f>
        <v>Date before first TermStructure's date.</v>
      </c>
      <c r="AO17" s="215" t="e">
        <f>_xll.xlShmInterpRate(CurveName,$AO$2,$C$50,DATE(YEAR(AU17)+IF(YEAR(AU17)&lt;2000,100,0),MONTH(AU17),DAY(AU17)))*100</f>
        <v>#VALUE!</v>
      </c>
      <c r="AP17" s="6" t="e">
        <f t="shared" si="6"/>
        <v>#VALUE!</v>
      </c>
      <c r="AQ17" s="215" t="e">
        <f t="shared" si="10"/>
        <v>#VALUE!</v>
      </c>
      <c r="AR17" s="8" t="s">
        <v>15</v>
      </c>
      <c r="AS17" s="52">
        <v>41557</v>
      </c>
      <c r="AT17" s="8" t="s">
        <v>232</v>
      </c>
      <c r="AU17" s="52">
        <v>41830</v>
      </c>
      <c r="AV17" s="52" t="s">
        <v>244</v>
      </c>
      <c r="AW17" s="6">
        <v>0</v>
      </c>
      <c r="AX17" s="6">
        <v>0</v>
      </c>
      <c r="BA17" s="6">
        <v>3.5</v>
      </c>
      <c r="BB17" s="6">
        <v>0</v>
      </c>
      <c r="BC17" s="21" t="s">
        <v>17</v>
      </c>
      <c r="BD17" s="52" t="str">
        <f>AV18</f>
        <v>6M-9M</v>
      </c>
      <c r="BE17" s="6">
        <f t="shared" ref="BE17:BF20" si="19">BA18</f>
        <v>3.22</v>
      </c>
      <c r="BF17" s="6">
        <f t="shared" si="19"/>
        <v>0</v>
      </c>
    </row>
    <row r="18" spans="1:60" ht="11.25" customHeight="1">
      <c r="A18" s="7"/>
      <c r="D18" s="6"/>
      <c r="E18" s="129" t="b">
        <v>1</v>
      </c>
      <c r="F18" s="117">
        <f t="shared" si="16"/>
        <v>10</v>
      </c>
      <c r="G18" s="29">
        <v>10</v>
      </c>
      <c r="H18" s="30" t="s">
        <v>31</v>
      </c>
      <c r="I18" s="79">
        <f t="shared" si="17"/>
        <v>0</v>
      </c>
      <c r="J18" s="50"/>
      <c r="K18" s="127"/>
      <c r="L18" s="50">
        <f>IF(ISNUMBER(J18),J18,I18)+K18</f>
        <v>0</v>
      </c>
      <c r="M18" s="29">
        <f>M17+1</f>
        <v>16</v>
      </c>
      <c r="N18" s="30">
        <f>IF(E18,M18,"")</f>
        <v>16</v>
      </c>
      <c r="O18" s="29" t="str">
        <f>IF(O17&lt;$S$2,O17+1,"")</f>
        <v/>
      </c>
      <c r="P18" s="30" t="str">
        <f t="shared" si="2"/>
        <v/>
      </c>
      <c r="Q18" s="29" t="str">
        <f t="shared" si="3"/>
        <v/>
      </c>
      <c r="R18" s="27" t="str">
        <f t="shared" si="4"/>
        <v/>
      </c>
      <c r="S18" s="41" t="str">
        <f t="shared" si="5"/>
        <v/>
      </c>
      <c r="U18" s="133">
        <v>43724</v>
      </c>
      <c r="V18" s="134">
        <v>0.86396918137959322</v>
      </c>
      <c r="Y18" s="29">
        <v>6</v>
      </c>
      <c r="Z18" s="29">
        <f>_xll.RtGet($AD$13,$AD$14&amp;$Y18&amp;$AD$15,Z$12)</f>
        <v>2.16</v>
      </c>
      <c r="AA18" s="30">
        <f>_xll.RtGet($AD$13,$AD$14&amp;$Y18&amp;$AD$15,AA$12)</f>
        <v>2.16</v>
      </c>
      <c r="AB18"/>
      <c r="AC18"/>
      <c r="AD18"/>
      <c r="AN18" s="6" t="str">
        <f>_xll.xlShmInterpDisc(CurveName,DATE(YEAR(AU18)+IF(YEAR(AU18)&lt;2000,100,0),MONTH(AU18),DAY(AU18)))</f>
        <v>Date before first TermStructure's date.</v>
      </c>
      <c r="AO18" s="215" t="e">
        <f>_xll.xlShmInterpRate(CurveName,$AO$2,$C$50,DATE(YEAR(AU18)+IF(YEAR(AU18)&lt;2000,100,0),MONTH(AU18),DAY(AU18)))*100</f>
        <v>#VALUE!</v>
      </c>
      <c r="AP18" s="6" t="e">
        <f t="shared" si="6"/>
        <v>#VALUE!</v>
      </c>
      <c r="AQ18" s="215" t="e">
        <f t="shared" si="10"/>
        <v>#VALUE!</v>
      </c>
      <c r="AR18" s="8" t="s">
        <v>194</v>
      </c>
      <c r="AS18" s="52">
        <v>41739</v>
      </c>
      <c r="AT18" s="8" t="s">
        <v>241</v>
      </c>
      <c r="AU18" s="52">
        <v>41830</v>
      </c>
      <c r="AV18" s="52" t="s">
        <v>196</v>
      </c>
      <c r="AW18" s="6">
        <v>0.97500735174310105</v>
      </c>
      <c r="AX18" s="6">
        <v>3.3593628122307901</v>
      </c>
      <c r="BA18" s="6">
        <v>3.22</v>
      </c>
      <c r="BB18" s="6">
        <v>0</v>
      </c>
      <c r="BC18" s="21" t="s">
        <v>17</v>
      </c>
      <c r="BD18" s="52" t="str">
        <f>AV19</f>
        <v>10m</v>
      </c>
      <c r="BE18" s="6">
        <f t="shared" si="19"/>
        <v>3.5</v>
      </c>
      <c r="BF18" s="6">
        <f t="shared" si="19"/>
        <v>0</v>
      </c>
    </row>
    <row r="19" spans="1:60" ht="11.25" customHeight="1">
      <c r="A19" s="7"/>
      <c r="D19" s="6"/>
      <c r="E19" s="129" t="b">
        <v>1</v>
      </c>
      <c r="F19" s="117">
        <f t="shared" si="16"/>
        <v>11</v>
      </c>
      <c r="G19" s="29">
        <v>11</v>
      </c>
      <c r="H19" s="30" t="s">
        <v>31</v>
      </c>
      <c r="I19" s="79">
        <f t="shared" si="17"/>
        <v>0</v>
      </c>
      <c r="J19" s="50"/>
      <c r="K19" s="127"/>
      <c r="L19" s="50">
        <f>IF(ISNUMBER(J19),J19,I19)+K19</f>
        <v>0</v>
      </c>
      <c r="M19" s="29">
        <f>M18+1</f>
        <v>17</v>
      </c>
      <c r="N19" s="30">
        <f>IF(E19,M19,"")</f>
        <v>17</v>
      </c>
      <c r="O19" s="29" t="str">
        <f>IF(O18&lt;$S$2,O18+1,"")</f>
        <v/>
      </c>
      <c r="P19" s="30" t="str">
        <f t="shared" si="2"/>
        <v/>
      </c>
      <c r="Q19" s="29" t="str">
        <f t="shared" si="3"/>
        <v/>
      </c>
      <c r="R19" s="27" t="str">
        <f t="shared" si="4"/>
        <v/>
      </c>
      <c r="S19" s="41" t="str">
        <f t="shared" si="5"/>
        <v/>
      </c>
      <c r="U19" s="133">
        <v>44089</v>
      </c>
      <c r="V19" s="134">
        <v>0.82923337216764614</v>
      </c>
      <c r="Y19" s="29">
        <v>7</v>
      </c>
      <c r="Z19" s="29">
        <f>_xll.RtGet($AD$13,$AD$14&amp;$Y19&amp;$AD$15,Z$12)</f>
        <v>0</v>
      </c>
      <c r="AA19" s="30">
        <f>_xll.RtGet($AD$13,$AD$14&amp;$Y19&amp;$AD$15,AA$12)</f>
        <v>0</v>
      </c>
      <c r="AB19"/>
      <c r="AC19"/>
      <c r="AD19"/>
      <c r="AN19" s="6" t="str">
        <f>_xll.xlShmInterpDisc(CurveName,DATE(YEAR(AU19)+IF(YEAR(AU19)&lt;2000,100,0),MONTH(AU19),DAY(AU19)))</f>
        <v>Date before first TermStructure's date.</v>
      </c>
      <c r="AO19" s="215" t="e">
        <f>_xll.xlShmInterpRate(CurveName,$AO$2,$C$50,DATE(YEAR(AU19)+IF(YEAR(AU19)&lt;2000,100,0),MONTH(AU19),DAY(AU19)))*100</f>
        <v>#VALUE!</v>
      </c>
      <c r="AP19" s="6" t="e">
        <f t="shared" si="6"/>
        <v>#VALUE!</v>
      </c>
      <c r="AQ19" s="215" t="e">
        <f t="shared" si="10"/>
        <v>#VALUE!</v>
      </c>
      <c r="AR19" s="8" t="s">
        <v>15</v>
      </c>
      <c r="AS19" s="52">
        <v>41557</v>
      </c>
      <c r="AT19" s="8" t="s">
        <v>232</v>
      </c>
      <c r="AU19" s="52">
        <v>41862</v>
      </c>
      <c r="AV19" s="52" t="s">
        <v>245</v>
      </c>
      <c r="AW19" s="6">
        <v>0</v>
      </c>
      <c r="AX19" s="6">
        <v>0</v>
      </c>
      <c r="BA19" s="6">
        <v>3.5</v>
      </c>
      <c r="BB19" s="6">
        <v>0</v>
      </c>
      <c r="BC19" s="21" t="s">
        <v>17</v>
      </c>
      <c r="BD19" s="52" t="str">
        <f>AV20</f>
        <v>11m</v>
      </c>
      <c r="BE19" s="6">
        <f t="shared" si="19"/>
        <v>3.49</v>
      </c>
      <c r="BF19" s="6">
        <f t="shared" si="19"/>
        <v>0</v>
      </c>
    </row>
    <row r="20" spans="1:60" ht="11.25" customHeight="1">
      <c r="A20" s="7"/>
      <c r="B20" s="231" t="s">
        <v>218</v>
      </c>
      <c r="C20" s="232"/>
      <c r="D20" s="6"/>
      <c r="E20" s="130" t="b">
        <v>0</v>
      </c>
      <c r="F20" s="118">
        <f t="shared" si="16"/>
        <v>12</v>
      </c>
      <c r="G20" s="22">
        <v>12</v>
      </c>
      <c r="H20" s="23" t="s">
        <v>31</v>
      </c>
      <c r="I20" s="80" t="e">
        <f t="shared" si="17"/>
        <v>#DIV/0!</v>
      </c>
      <c r="J20" s="51"/>
      <c r="K20" s="175"/>
      <c r="L20" s="51" t="e">
        <f>IF(ISNUMBER(J20),J20,I20)+K20</f>
        <v>#DIV/0!</v>
      </c>
      <c r="M20" s="22">
        <f>M19+1</f>
        <v>18</v>
      </c>
      <c r="N20" s="23" t="str">
        <f>IF(E20,M20,"")</f>
        <v/>
      </c>
      <c r="O20" s="22" t="str">
        <f>IF(O19&lt;$S$2,O19+1,"")</f>
        <v/>
      </c>
      <c r="P20" s="23" t="str">
        <f t="shared" si="2"/>
        <v/>
      </c>
      <c r="Q20" s="22" t="str">
        <f t="shared" si="3"/>
        <v/>
      </c>
      <c r="R20" s="42" t="str">
        <f t="shared" si="4"/>
        <v/>
      </c>
      <c r="S20" s="43" t="str">
        <f t="shared" si="5"/>
        <v/>
      </c>
      <c r="U20" s="133">
        <v>44454</v>
      </c>
      <c r="V20" s="134">
        <v>0.79256390253332154</v>
      </c>
      <c r="Y20" s="29">
        <v>8</v>
      </c>
      <c r="Z20" s="29">
        <f>_xll.RtGet($AD$13,$AD$14&amp;$Y20&amp;$AD$15,Z$12)</f>
        <v>0</v>
      </c>
      <c r="AA20" s="30">
        <f>_xll.RtGet($AD$13,$AD$14&amp;$Y20&amp;$AD$15,AA$12)</f>
        <v>0</v>
      </c>
      <c r="AB20"/>
      <c r="AC20"/>
      <c r="AD20"/>
      <c r="AN20" s="6" t="str">
        <f>_xll.xlShmInterpDisc(CurveName,DATE(YEAR(AU20)+IF(YEAR(AU20)&lt;2000,100,0),MONTH(AU20),DAY(AU20)))</f>
        <v>Date before first TermStructure's date.</v>
      </c>
      <c r="AO20" s="215" t="e">
        <f>_xll.xlShmInterpRate(CurveName,$AO$2,$C$50,DATE(YEAR(AU20)+IF(YEAR(AU20)&lt;2000,100,0),MONTH(AU20),DAY(AU20)))*100</f>
        <v>#VALUE!</v>
      </c>
      <c r="AP20" s="6" t="e">
        <f t="shared" si="6"/>
        <v>#VALUE!</v>
      </c>
      <c r="AQ20" s="215" t="e">
        <f t="shared" si="10"/>
        <v>#VALUE!</v>
      </c>
      <c r="AR20" s="8" t="s">
        <v>15</v>
      </c>
      <c r="AS20" s="52">
        <v>41557</v>
      </c>
      <c r="AT20" s="8" t="s">
        <v>232</v>
      </c>
      <c r="AU20" s="52">
        <v>41892</v>
      </c>
      <c r="AV20" s="52" t="s">
        <v>246</v>
      </c>
      <c r="AW20" s="6">
        <v>0</v>
      </c>
      <c r="AX20" s="6">
        <v>0</v>
      </c>
      <c r="BA20" s="6">
        <v>3.49</v>
      </c>
      <c r="BB20" s="6">
        <v>0</v>
      </c>
      <c r="BC20" s="21" t="s">
        <v>17</v>
      </c>
      <c r="BD20" s="52" t="str">
        <f>AV21</f>
        <v>12m</v>
      </c>
      <c r="BE20" s="6">
        <f t="shared" si="19"/>
        <v>3.48</v>
      </c>
      <c r="BF20" s="6">
        <f t="shared" si="19"/>
        <v>0</v>
      </c>
    </row>
    <row r="21" spans="1:60" ht="11.25" customHeight="1">
      <c r="A21" s="7"/>
      <c r="B21" s="159" t="s">
        <v>219</v>
      </c>
      <c r="C21" s="96" t="b">
        <v>1</v>
      </c>
      <c r="D21" s="6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U21" s="133">
        <v>44819</v>
      </c>
      <c r="V21" s="134">
        <v>0.75524245041815175</v>
      </c>
      <c r="Y21" s="29">
        <v>9</v>
      </c>
      <c r="Z21" s="29">
        <f>_xll.RtGet($AD$13,$AD$14&amp;$Y21&amp;$AD$15,Z$12)</f>
        <v>2.2000000000000002</v>
      </c>
      <c r="AA21" s="30">
        <f>_xll.RtGet($AD$13,$AD$14&amp;$Y21&amp;$AD$15,AA$12)</f>
        <v>2.2000000000000002</v>
      </c>
      <c r="AB21"/>
      <c r="AC21"/>
      <c r="AD21"/>
      <c r="AN21" s="6">
        <f>_xll.xlShmInterpDisc(CurveName,DATE(YEAR(AU21)+IF(YEAR(AU21)&lt;2000,100,0),MONTH(AU21),DAY(AU21)))</f>
        <v>0.99839123531963669</v>
      </c>
      <c r="AO21" s="215">
        <f>_xll.xlShmInterpRate(CurveName,$AO$2,$C$50,DATE(YEAR(AU21)+IF(YEAR(AU21)&lt;2000,100,0),MONTH(AU21),DAY(AU21)))*100</f>
        <v>2.0264549935133229</v>
      </c>
      <c r="AP21" s="6">
        <f t="shared" si="6"/>
        <v>0.99839123531963669</v>
      </c>
      <c r="AQ21" s="215">
        <f t="shared" si="10"/>
        <v>2.0264549935133229</v>
      </c>
      <c r="AR21" s="8" t="s">
        <v>15</v>
      </c>
      <c r="AS21" s="52">
        <v>41557</v>
      </c>
      <c r="AT21" s="8" t="s">
        <v>232</v>
      </c>
      <c r="AU21" s="52">
        <v>41922</v>
      </c>
      <c r="AV21" s="52" t="s">
        <v>247</v>
      </c>
      <c r="AW21" s="6">
        <v>0</v>
      </c>
      <c r="AX21" s="6">
        <v>0</v>
      </c>
      <c r="BA21" s="6">
        <v>3.48</v>
      </c>
      <c r="BB21" s="6">
        <v>0</v>
      </c>
      <c r="BC21" s="21" t="s">
        <v>17</v>
      </c>
      <c r="BD21" s="52"/>
    </row>
    <row r="22" spans="1:60" ht="11.25" customHeight="1">
      <c r="A22" s="7"/>
      <c r="B22" s="199" t="s">
        <v>167</v>
      </c>
      <c r="C22" s="94">
        <v>2</v>
      </c>
      <c r="D22" s="6"/>
      <c r="E22" s="86" t="s">
        <v>75</v>
      </c>
      <c r="F22" s="7"/>
      <c r="H22" s="7"/>
      <c r="I22" s="86" t="s">
        <v>1</v>
      </c>
      <c r="J22" s="86" t="s">
        <v>2</v>
      </c>
      <c r="K22" s="86" t="s">
        <v>3</v>
      </c>
      <c r="L22" s="86" t="s">
        <v>4</v>
      </c>
      <c r="M22"/>
      <c r="N22"/>
      <c r="O22"/>
      <c r="P22"/>
      <c r="Q22"/>
      <c r="R22"/>
      <c r="S22"/>
      <c r="U22" s="133">
        <v>45184</v>
      </c>
      <c r="V22" s="134">
        <v>0.71818113924706528</v>
      </c>
      <c r="Y22" s="29">
        <v>10</v>
      </c>
      <c r="Z22" s="29">
        <f>_xll.RtGet($AD$13,$AD$14&amp;$Y22&amp;$AD$15,Z$12)</f>
        <v>0</v>
      </c>
      <c r="AA22" s="30">
        <f>_xll.RtGet($AD$13,$AD$14&amp;$Y22&amp;$AD$15,AA$12)</f>
        <v>0</v>
      </c>
      <c r="AB22"/>
      <c r="AC22"/>
      <c r="AD22"/>
      <c r="AN22" s="6">
        <f>_xll.xlShmInterpDisc(CurveName,DATE(YEAR(AU22)+IF(YEAR(AU22)&lt;2000,100,0),MONTH(AU22),DAY(AU22)))</f>
        <v>0.99839123531963669</v>
      </c>
      <c r="AO22" s="215">
        <f>_xll.xlShmInterpRate(CurveName,$AO$2,$C$50,DATE(YEAR(AU22)+IF(YEAR(AU22)&lt;2000,100,0),MONTH(AU22),DAY(AU22)))*100</f>
        <v>2.0264549935133229</v>
      </c>
      <c r="AP22" s="6">
        <f t="shared" si="6"/>
        <v>3.1586683088575707E-2</v>
      </c>
      <c r="AQ22" s="215">
        <f t="shared" si="10"/>
        <v>-1.3310399348827571</v>
      </c>
      <c r="AR22" s="8" t="s">
        <v>194</v>
      </c>
      <c r="AS22" s="52">
        <v>41830</v>
      </c>
      <c r="AT22" s="8" t="s">
        <v>241</v>
      </c>
      <c r="AU22" s="52">
        <v>41922</v>
      </c>
      <c r="AV22" s="52" t="s">
        <v>197</v>
      </c>
      <c r="AW22" s="6">
        <v>0.96680455223106099</v>
      </c>
      <c r="AX22" s="6">
        <v>3.35749492839608</v>
      </c>
      <c r="BA22" s="6">
        <v>3.32</v>
      </c>
      <c r="BB22" s="6">
        <v>0</v>
      </c>
      <c r="BC22" s="21" t="s">
        <v>17</v>
      </c>
      <c r="BD22" s="52" t="str">
        <f>AV13</f>
        <v>6m</v>
      </c>
      <c r="BE22" s="6">
        <f>100-BA13</f>
        <v>96.45</v>
      </c>
      <c r="BF22" s="6">
        <f>BB13</f>
        <v>0</v>
      </c>
    </row>
    <row r="23" spans="1:60" ht="11.25" customHeight="1">
      <c r="A23" s="7"/>
      <c r="B23" s="200" t="s">
        <v>166</v>
      </c>
      <c r="C23" s="201" t="s">
        <v>212</v>
      </c>
      <c r="D23" s="6"/>
      <c r="E23" s="128" t="b">
        <v>0</v>
      </c>
      <c r="F23" s="109" t="str">
        <f>Y27</f>
        <v>STUB</v>
      </c>
      <c r="G23"/>
      <c r="H23"/>
      <c r="I23" s="78" t="e">
        <f>AVERAGE(Z27:AA27)</f>
        <v>#DIV/0!</v>
      </c>
      <c r="J23" s="49"/>
      <c r="K23" s="125"/>
      <c r="L23" s="49" t="e">
        <f>IF(ISNUMBER(J23),J23,I23)+K23</f>
        <v>#DIV/0!</v>
      </c>
      <c r="M23"/>
      <c r="N23"/>
      <c r="O23"/>
      <c r="P23"/>
      <c r="Q23"/>
      <c r="R23"/>
      <c r="S23"/>
      <c r="U23" s="133">
        <v>45551</v>
      </c>
      <c r="V23" s="134">
        <v>0.68302978291638938</v>
      </c>
      <c r="Y23" s="29">
        <v>11</v>
      </c>
      <c r="Z23" s="29">
        <f>_xll.RtGet($AD$13,$AD$14&amp;$Y23&amp;$AD$15,Z$12)</f>
        <v>0</v>
      </c>
      <c r="AA23" s="30">
        <f>_xll.RtGet($AD$13,$AD$14&amp;$Y23&amp;$AD$15,AA$12)</f>
        <v>0</v>
      </c>
      <c r="AB23"/>
      <c r="AC23"/>
      <c r="AD23"/>
      <c r="AN23" s="6">
        <f>_xll.xlShmInterpDisc(CurveName,DATE(YEAR(AU23)+IF(YEAR(AU23)&lt;2000,100,0),MONTH(AU23),DAY(AU23)))</f>
        <v>0.97602735617243563</v>
      </c>
      <c r="AO23" s="215">
        <f>_xll.xlShmInterpRate(CurveName,$AO$2,$C$50,DATE(YEAR(AU23)+IF(YEAR(AU23)&lt;2000,100,0),MONTH(AU23),DAY(AU23)))*100</f>
        <v>2.236515756382722</v>
      </c>
      <c r="AP23" s="6">
        <f t="shared" si="6"/>
        <v>4.515761755287262E-2</v>
      </c>
      <c r="AQ23" s="215">
        <f t="shared" si="10"/>
        <v>-1.3257612698362982</v>
      </c>
      <c r="AR23" s="8" t="s">
        <v>72</v>
      </c>
      <c r="AS23" s="52">
        <v>41557</v>
      </c>
      <c r="AT23" s="8" t="s">
        <v>248</v>
      </c>
      <c r="AU23" s="52">
        <v>42289</v>
      </c>
      <c r="AV23" s="52" t="s">
        <v>43</v>
      </c>
      <c r="AW23" s="6">
        <v>0.93086973861956301</v>
      </c>
      <c r="AX23" s="6">
        <v>3.5622770262190202</v>
      </c>
      <c r="BA23" s="6">
        <v>3.625</v>
      </c>
      <c r="BB23" s="6">
        <v>0</v>
      </c>
      <c r="BC23" s="21" t="s">
        <v>17</v>
      </c>
      <c r="BD23" s="52" t="str">
        <f>AV17</f>
        <v>9m</v>
      </c>
      <c r="BE23" s="6">
        <f>100-BA17</f>
        <v>96.5</v>
      </c>
      <c r="BF23" s="6">
        <f>BB17</f>
        <v>0</v>
      </c>
    </row>
    <row r="24" spans="1:60" ht="11.25" customHeight="1">
      <c r="A24" s="7"/>
      <c r="B24" s="200" t="s">
        <v>136</v>
      </c>
      <c r="C24" s="96" t="b">
        <v>1</v>
      </c>
      <c r="D24" s="6"/>
      <c r="E24" s="130" t="b">
        <f>IF(C44,OR(C3=AA31,ISNUMBER(J24)),FALSE)</f>
        <v>0</v>
      </c>
      <c r="F24" s="110" t="s">
        <v>69</v>
      </c>
      <c r="G24"/>
      <c r="H24"/>
      <c r="I24" s="80">
        <f>Z31</f>
        <v>2.16</v>
      </c>
      <c r="J24" s="51"/>
      <c r="K24" s="126"/>
      <c r="L24" s="51">
        <f>IF(ISNUMBER(J24),J24,I24)+K24</f>
        <v>2.16</v>
      </c>
      <c r="M24"/>
      <c r="N24"/>
      <c r="O24"/>
      <c r="P24"/>
      <c r="Q24"/>
      <c r="R24"/>
      <c r="S24"/>
      <c r="U24" s="133">
        <v>46280</v>
      </c>
      <c r="V24" s="134">
        <v>0.62016406828982906</v>
      </c>
      <c r="Y24" s="22">
        <v>12</v>
      </c>
      <c r="Z24" s="22" t="str">
        <f>_xll.RtGet($AD$13,$AD$14&amp;$Y24&amp;$AD$15,Z$12)</f>
        <v>#N/A The record could not be found</v>
      </c>
      <c r="AA24" s="23" t="str">
        <f>_xll.RtGet($AD$13,$AD$14&amp;$Y24&amp;$AD$15,AA$12)</f>
        <v>#N/A The record could not be found</v>
      </c>
      <c r="AB24"/>
      <c r="AC24"/>
      <c r="AD24"/>
      <c r="AN24" s="6">
        <f>_xll.xlShmInterpDisc(CurveName,DATE(YEAR(AU24)+IF(YEAR(AU24)&lt;2000,100,0),MONTH(AU24),DAY(AU24)))</f>
        <v>0.95107432253118995</v>
      </c>
      <c r="AO24" s="215">
        <f>_xll.xlShmInterpRate(CurveName,$AO$2,$C$50,DATE(YEAR(AU24)+IF(YEAR(AU24)&lt;2000,100,0),MONTH(AU24),DAY(AU24)))*100</f>
        <v>2.4091473213161256</v>
      </c>
      <c r="AP24" s="6">
        <f t="shared" si="6"/>
        <v>5.8477367047489959E-2</v>
      </c>
      <c r="AQ24" s="215">
        <f t="shared" si="10"/>
        <v>-1.3678426819786944</v>
      </c>
      <c r="AR24" s="8" t="s">
        <v>72</v>
      </c>
      <c r="AS24" s="52">
        <v>41557</v>
      </c>
      <c r="AT24" s="8" t="s">
        <v>248</v>
      </c>
      <c r="AU24" s="52">
        <v>42653</v>
      </c>
      <c r="AV24" s="52" t="s">
        <v>44</v>
      </c>
      <c r="AW24" s="6">
        <v>0.89259695548369999</v>
      </c>
      <c r="AX24" s="6">
        <v>3.77699000329482</v>
      </c>
      <c r="BA24" s="6">
        <v>3.84</v>
      </c>
      <c r="BB24" s="6">
        <v>0</v>
      </c>
      <c r="BC24" s="21" t="s">
        <v>17</v>
      </c>
      <c r="BD24" s="52" t="str">
        <f>AV22</f>
        <v>9M-12M</v>
      </c>
      <c r="BE24" s="6">
        <f>100-BA22</f>
        <v>96.68</v>
      </c>
      <c r="BF24" s="6">
        <f>BB22</f>
        <v>0</v>
      </c>
    </row>
    <row r="25" spans="1:60" ht="11.25" customHeight="1">
      <c r="A25" s="7"/>
      <c r="B25" s="202" t="s">
        <v>172</v>
      </c>
      <c r="C25" s="161">
        <f>_xll.xlDateSettle(C23,C3,C22)</f>
        <v>41897</v>
      </c>
      <c r="D25" s="6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U25" s="133">
        <v>47378</v>
      </c>
      <c r="V25" s="134">
        <v>0.55341240716240281</v>
      </c>
      <c r="Y25" s="27"/>
      <c r="Z25" s="27"/>
      <c r="AA25" s="27"/>
      <c r="AB25"/>
      <c r="AC25"/>
      <c r="AD25"/>
      <c r="AN25" s="6">
        <f>_xll.xlShmInterpDisc(CurveName,DATE(YEAR(AU25)+IF(YEAR(AU25)&lt;2000,100,0),MONTH(AU25),DAY(AU25)))</f>
        <v>0.92370469002044664</v>
      </c>
      <c r="AO25" s="215">
        <f>_xll.xlShmInterpRate(CurveName,$AO$2,$C$50,DATE(YEAR(AU25)+IF(YEAR(AU25)&lt;2000,100,0),MONTH(AU25),DAY(AU25)))*100</f>
        <v>2.5748838363029938</v>
      </c>
      <c r="AP25" s="6">
        <f t="shared" si="6"/>
        <v>7.1837961849406606E-2</v>
      </c>
      <c r="AQ25" s="215">
        <f t="shared" si="10"/>
        <v>-1.4250268372256163</v>
      </c>
      <c r="AR25" s="8" t="s">
        <v>72</v>
      </c>
      <c r="AS25" s="52">
        <v>41557</v>
      </c>
      <c r="AT25" s="8" t="s">
        <v>248</v>
      </c>
      <c r="AU25" s="52">
        <v>43018</v>
      </c>
      <c r="AV25" s="52" t="s">
        <v>45</v>
      </c>
      <c r="AW25" s="6">
        <v>0.85186672817104003</v>
      </c>
      <c r="AX25" s="6">
        <v>3.9999106735286101</v>
      </c>
      <c r="BA25" s="6">
        <v>4.0599999999999996</v>
      </c>
      <c r="BB25" s="6">
        <v>0</v>
      </c>
      <c r="BC25" s="21" t="s">
        <v>17</v>
      </c>
    </row>
    <row r="26" spans="1:60" ht="11.25" customHeight="1">
      <c r="A26" s="7"/>
      <c r="D26" s="6"/>
      <c r="E26" s="86" t="s">
        <v>75</v>
      </c>
      <c r="F26" s="7"/>
      <c r="H26" s="7"/>
      <c r="I26" s="86" t="s">
        <v>1</v>
      </c>
      <c r="J26" s="86" t="s">
        <v>2</v>
      </c>
      <c r="K26" s="86" t="s">
        <v>3</v>
      </c>
      <c r="L26" s="86" t="s">
        <v>4</v>
      </c>
      <c r="M26" s="7"/>
      <c r="N26" s="8"/>
      <c r="P26" s="8"/>
      <c r="Q26" s="7"/>
      <c r="R26" s="7"/>
      <c r="S26" s="44">
        <f t="array" ref="S26">SUM(1*E27:E38)</f>
        <v>3</v>
      </c>
      <c r="U26" s="133">
        <v>49202</v>
      </c>
      <c r="V26" s="134">
        <v>0.47993472291903932</v>
      </c>
      <c r="Y26" s="10" t="s">
        <v>68</v>
      </c>
      <c r="Z26" s="186" t="s">
        <v>5</v>
      </c>
      <c r="AA26" s="28" t="s">
        <v>6</v>
      </c>
      <c r="AC26" s="13" t="s">
        <v>14</v>
      </c>
      <c r="AD26" s="71"/>
      <c r="AN26" s="6">
        <f>_xll.xlShmInterpDisc(CurveName,DATE(YEAR(AU26)+IF(YEAR(AU26)&lt;2000,100,0),MONTH(AU26),DAY(AU26)))</f>
        <v>0.89410231318017908</v>
      </c>
      <c r="AO26" s="215">
        <f>_xll.xlShmInterpRate(CurveName,$AO$2,$C$50,DATE(YEAR(AU26)+IF(YEAR(AU26)&lt;2000,100,0),MONTH(AU26),DAY(AU26)))*100</f>
        <v>2.7420334980244583</v>
      </c>
      <c r="AP26" s="6">
        <f t="shared" si="6"/>
        <v>8.4674911714706091E-2</v>
      </c>
      <c r="AQ26" s="215">
        <f t="shared" si="10"/>
        <v>-1.4795907070802716</v>
      </c>
      <c r="AR26" s="8" t="s">
        <v>72</v>
      </c>
      <c r="AS26" s="52">
        <v>41557</v>
      </c>
      <c r="AT26" s="8" t="s">
        <v>248</v>
      </c>
      <c r="AU26" s="52">
        <v>43383</v>
      </c>
      <c r="AV26" s="52" t="s">
        <v>46</v>
      </c>
      <c r="AW26" s="6">
        <v>0.80942740146547298</v>
      </c>
      <c r="AX26" s="6">
        <v>4.2216242051047299</v>
      </c>
      <c r="BA26" s="6">
        <v>4.2750000000000004</v>
      </c>
      <c r="BB26" s="6">
        <v>0</v>
      </c>
      <c r="BC26" s="21" t="s">
        <v>17</v>
      </c>
      <c r="BD26" s="52"/>
    </row>
    <row r="27" spans="1:60" ht="11.25" customHeight="1">
      <c r="A27" s="7"/>
      <c r="D27" s="6"/>
      <c r="E27" s="128" t="b">
        <v>0</v>
      </c>
      <c r="F27" s="206" t="str">
        <f>IF($C$21,IF(LEN(AF35)&gt;0,AF35&amp;"x"&amp;(AF35+$AK$39),""),iText(H27,"mmm yy"))</f>
        <v>1x4</v>
      </c>
      <c r="G27" s="204">
        <f>IF(LEN(AF35)&gt;0,_xll.xlDateWorkFw($C$23,_xll.xlDateShiftMonth($C$25,AF35),$C$24),NA())</f>
        <v>41927</v>
      </c>
      <c r="H27" s="205">
        <f>_xll.xlDateNextFutLIFFE(C3)</f>
        <v>41899</v>
      </c>
      <c r="I27" s="78">
        <f>IF($C$21,100-AVERAGE(AG35:AH35),AVERAGE(Z35:AA35))</f>
        <v>97.88</v>
      </c>
      <c r="J27" s="49"/>
      <c r="K27" s="125"/>
      <c r="L27" s="49">
        <f t="shared" ref="L27:L38" si="20">IF(ISNUMBER(J27),J27,I27)+K27</f>
        <v>97.88</v>
      </c>
      <c r="M27" s="16">
        <v>1</v>
      </c>
      <c r="N27" s="17" t="str">
        <f t="shared" ref="N27:N38" si="21">IF(E27,M27,"")</f>
        <v/>
      </c>
      <c r="O27" s="44">
        <f>IF($S$26&gt;0,1,"")</f>
        <v>1</v>
      </c>
      <c r="P27" s="17">
        <f t="shared" ref="P27:P38" si="22">IF(LEN(O27)&gt;0,SMALL($N$27:$N$38,O27),"")</f>
        <v>3</v>
      </c>
      <c r="Q27" s="7"/>
      <c r="R27" s="45">
        <f>IF(LEN(P27)&gt;0,IF($C$21,INDEX($G$27:$G$38,$P27),INDEX($H$27:$H$38,$P27)),"")</f>
        <v>41988</v>
      </c>
      <c r="S27" s="40">
        <f t="shared" ref="S27:S32" si="23">IF(LEN(P27)&gt;0,INDEX($L$27:$L$38,$P27),"")</f>
        <v>97.84</v>
      </c>
      <c r="U27" s="133" t="e">
        <v>#N/A</v>
      </c>
      <c r="V27" s="134" t="e">
        <v>#N/A</v>
      </c>
      <c r="Y27" s="188" t="s">
        <v>68</v>
      </c>
      <c r="Z27" s="188" t="str">
        <f>_xll.RtGet($AD$26,$AD$27&amp;$Y27&amp;$AD$28,Z$26)</f>
        <v>#N/A</v>
      </c>
      <c r="AA27" s="187" t="str">
        <f>_xll.RtGet($AD$26,$AD$27&amp;$Y27&amp;$AD$28,AA$26)</f>
        <v>#N/A</v>
      </c>
      <c r="AC27" s="18" t="s">
        <v>20</v>
      </c>
      <c r="AD27" s="19"/>
      <c r="AN27" s="6">
        <f>_xll.xlShmInterpDisc(CurveName,DATE(YEAR(AU27)+IF(YEAR(AU27)&lt;2000,100,0),MONTH(AU27),DAY(AU27)))</f>
        <v>0.86174573209226724</v>
      </c>
      <c r="AO27" s="215">
        <f>_xll.xlShmInterpRate(CurveName,$AO$2,$C$50,DATE(YEAR(AU27)+IF(YEAR(AU27)&lt;2000,100,0),MONTH(AU27),DAY(AU27)))*100</f>
        <v>2.9277727527786563</v>
      </c>
      <c r="AP27" s="6">
        <f t="shared" si="6"/>
        <v>9.5765401583555287E-2</v>
      </c>
      <c r="AQ27" s="215">
        <f t="shared" si="10"/>
        <v>-1.5094619727926339</v>
      </c>
      <c r="AR27" s="8" t="s">
        <v>72</v>
      </c>
      <c r="AS27" s="52">
        <v>41557</v>
      </c>
      <c r="AT27" s="8" t="s">
        <v>248</v>
      </c>
      <c r="AU27" s="52">
        <v>43748</v>
      </c>
      <c r="AV27" s="52" t="s">
        <v>47</v>
      </c>
      <c r="AW27" s="6">
        <v>0.76598033050871195</v>
      </c>
      <c r="AX27" s="6">
        <v>4.4372347255712903</v>
      </c>
      <c r="BA27" s="6">
        <v>4.4800000000000004</v>
      </c>
      <c r="BB27" s="6">
        <v>0</v>
      </c>
      <c r="BC27" s="21" t="s">
        <v>17</v>
      </c>
      <c r="BD27" s="52"/>
    </row>
    <row r="28" spans="1:60" ht="11.25" customHeight="1">
      <c r="A28" s="7"/>
      <c r="D28" s="6"/>
      <c r="E28" s="129" t="b">
        <v>0</v>
      </c>
      <c r="F28" s="207" t="str">
        <f>IF($C$21,IF(LEN(AF36)&gt;0,AF36&amp;"x"&amp;(AF36+$AK$39),""),iText(H28,"mmm yy"))</f>
        <v>2x5</v>
      </c>
      <c r="G28" s="204">
        <f>IF(LEN(AF36)&gt;0,_xll.xlDateWorkFw($C$23,_xll.xlDateShiftMonth($C$25,AF36),$C$24),NA())</f>
        <v>41960</v>
      </c>
      <c r="H28" s="204">
        <f>_xll.xlDateNextFutLIFFE(H27)</f>
        <v>41990</v>
      </c>
      <c r="I28" s="79">
        <f t="shared" ref="I28:I38" si="24">IF($C$21,100-AVERAGE(AG36:AH36),AVERAGE(Z36:AA36))</f>
        <v>97.86</v>
      </c>
      <c r="J28" s="50"/>
      <c r="K28" s="127"/>
      <c r="L28" s="50">
        <f t="shared" si="20"/>
        <v>97.86</v>
      </c>
      <c r="M28" s="29">
        <f t="shared" ref="M28:M38" si="25">M27+1</f>
        <v>2</v>
      </c>
      <c r="N28" s="30" t="str">
        <f t="shared" si="21"/>
        <v/>
      </c>
      <c r="O28" s="29">
        <f t="shared" ref="O28:O38" si="26">IF(O27&lt;$S$26,O27+1,"")</f>
        <v>2</v>
      </c>
      <c r="P28" s="30">
        <f t="shared" si="22"/>
        <v>4</v>
      </c>
      <c r="Q28" s="7"/>
      <c r="R28" s="34">
        <f t="shared" ref="R28:R38" si="27">IF(LEN(P28)&gt;0,IF($C$21,INDEX($G$27:$G$38,$P28),INDEX($H$27:$H$38,$P28)),"")</f>
        <v>42079</v>
      </c>
      <c r="S28" s="41">
        <f t="shared" si="23"/>
        <v>97.76</v>
      </c>
      <c r="U28" s="133" t="e">
        <v>#N/A</v>
      </c>
      <c r="V28" s="134" t="e">
        <v>#N/A</v>
      </c>
      <c r="AC28" s="24" t="s">
        <v>24</v>
      </c>
      <c r="AD28" s="25"/>
      <c r="AN28" s="6">
        <f>_xll.xlShmInterpDisc(CurveName,DATE(YEAR(AU28)+IF(YEAR(AU28)&lt;2000,100,0),MONTH(AU28),DAY(AU28)))</f>
        <v>0.82657748246933782</v>
      </c>
      <c r="AO28" s="215">
        <f>_xll.xlShmInterpRate(CurveName,$AO$2,$C$50,DATE(YEAR(AU28)+IF(YEAR(AU28)&lt;2000,100,0),MONTH(AU28),DAY(AU28)))*100</f>
        <v>3.1272375494193443</v>
      </c>
      <c r="AP28" s="6">
        <f t="shared" si="6"/>
        <v>0.10508111285597577</v>
      </c>
      <c r="AQ28" s="215">
        <f t="shared" si="10"/>
        <v>-1.5250933901804555</v>
      </c>
      <c r="AR28" s="8" t="s">
        <v>72</v>
      </c>
      <c r="AS28" s="52">
        <v>41557</v>
      </c>
      <c r="AT28" s="8" t="s">
        <v>248</v>
      </c>
      <c r="AU28" s="52">
        <v>44116</v>
      </c>
      <c r="AV28" s="52" t="s">
        <v>48</v>
      </c>
      <c r="AW28" s="6">
        <v>0.72149636961336205</v>
      </c>
      <c r="AX28" s="6">
        <v>4.6523309395997998</v>
      </c>
      <c r="BA28" s="6">
        <v>4.68</v>
      </c>
      <c r="BB28" s="6">
        <v>0</v>
      </c>
      <c r="BC28" s="21" t="s">
        <v>17</v>
      </c>
      <c r="BD28" s="52"/>
      <c r="BG28"/>
      <c r="BH28"/>
    </row>
    <row r="29" spans="1:60" ht="11.25" customHeight="1">
      <c r="A29" s="7"/>
      <c r="B29" s="231" t="s">
        <v>142</v>
      </c>
      <c r="C29" s="232"/>
      <c r="D29" s="6"/>
      <c r="E29" s="129" t="b">
        <v>1</v>
      </c>
      <c r="F29" s="207" t="str">
        <f>IF($C$21,IF(LEN(AF37)&gt;0,AF37&amp;"x"&amp;(AF37+$AK$39),""),iText(H29,"mmm yy"))</f>
        <v>3x6</v>
      </c>
      <c r="G29" s="204">
        <f>IF(LEN(AF37)&gt;0,_xll.xlDateWorkFw($C$23,_xll.xlDateShiftMonth($C$25,AF37),$C$24),NA())</f>
        <v>41988</v>
      </c>
      <c r="H29" s="204">
        <f>_xll.xlDateNextFutLIFFE(H28)</f>
        <v>42081</v>
      </c>
      <c r="I29" s="79">
        <f t="shared" si="24"/>
        <v>97.84</v>
      </c>
      <c r="J29" s="50"/>
      <c r="K29" s="127"/>
      <c r="L29" s="50">
        <f t="shared" si="20"/>
        <v>97.84</v>
      </c>
      <c r="M29" s="29">
        <f t="shared" si="25"/>
        <v>3</v>
      </c>
      <c r="N29" s="30">
        <f t="shared" si="21"/>
        <v>3</v>
      </c>
      <c r="O29" s="29">
        <f t="shared" si="26"/>
        <v>3</v>
      </c>
      <c r="P29" s="30">
        <f t="shared" si="22"/>
        <v>5</v>
      </c>
      <c r="Q29" s="7"/>
      <c r="R29" s="34">
        <f t="shared" si="27"/>
        <v>42170</v>
      </c>
      <c r="S29" s="41">
        <f t="shared" si="23"/>
        <v>97.68</v>
      </c>
      <c r="U29" s="133" t="e">
        <v>#N/A</v>
      </c>
      <c r="V29" s="134" t="e">
        <v>#N/A</v>
      </c>
      <c r="Y29" s="27"/>
      <c r="Z29" s="27"/>
      <c r="AA29" s="27"/>
      <c r="AB29"/>
      <c r="AC29"/>
      <c r="AD29"/>
      <c r="AN29" s="6">
        <f>_xll.xlShmInterpDisc(CurveName,DATE(YEAR(AU29)+IF(YEAR(AU29)&lt;2000,100,0),MONTH(AU29),DAY(AU29)))</f>
        <v>0.7899438678284626</v>
      </c>
      <c r="AO29" s="215">
        <f>_xll.xlShmInterpRate(CurveName,$AO$2,$C$50,DATE(YEAR(AU29)+IF(YEAR(AU29)&lt;2000,100,0),MONTH(AU29),DAY(AU29)))*100</f>
        <v>3.3268104809013717</v>
      </c>
      <c r="AP29" s="6">
        <f t="shared" si="6"/>
        <v>0.11327378321722559</v>
      </c>
      <c r="AQ29" s="215">
        <f t="shared" si="10"/>
        <v>-1.5469870313826983</v>
      </c>
      <c r="AR29" s="8" t="s">
        <v>72</v>
      </c>
      <c r="AS29" s="52">
        <v>41557</v>
      </c>
      <c r="AT29" s="8" t="s">
        <v>248</v>
      </c>
      <c r="AU29" s="52">
        <v>44480</v>
      </c>
      <c r="AV29" s="52" t="s">
        <v>49</v>
      </c>
      <c r="AW29" s="6">
        <v>0.67667008461123701</v>
      </c>
      <c r="AX29" s="6">
        <v>4.87379751228407</v>
      </c>
      <c r="BA29" s="6">
        <v>4.88</v>
      </c>
      <c r="BB29" s="6">
        <v>0</v>
      </c>
      <c r="BC29" s="21" t="s">
        <v>17</v>
      </c>
      <c r="BD29" s="52"/>
      <c r="BG29"/>
      <c r="BH29"/>
    </row>
    <row r="30" spans="1:60" ht="11.25" customHeight="1">
      <c r="A30" s="7"/>
      <c r="B30" s="88" t="s">
        <v>85</v>
      </c>
      <c r="C30" s="94">
        <v>213</v>
      </c>
      <c r="D30" s="6"/>
      <c r="E30" s="129" t="b">
        <v>1</v>
      </c>
      <c r="F30" s="207" t="str">
        <f>IF($C$21,IF(LEN(AF38)&gt;0,AF38&amp;"x"&amp;(AF38+$AK$39),""),iText(H30,"mmm yy"))</f>
        <v>6x9</v>
      </c>
      <c r="G30" s="204">
        <f>IF(LEN(AF38)&gt;0,_xll.xlDateWorkFw($C$23,_xll.xlDateShiftMonth($C$25,AF38),$C$24),NA())</f>
        <v>42079</v>
      </c>
      <c r="H30" s="204">
        <f>_xll.xlDateNextFutLIFFE(H29)</f>
        <v>42172</v>
      </c>
      <c r="I30" s="79">
        <f t="shared" si="24"/>
        <v>97.76</v>
      </c>
      <c r="J30" s="50"/>
      <c r="K30" s="127"/>
      <c r="L30" s="50">
        <f t="shared" si="20"/>
        <v>97.76</v>
      </c>
      <c r="M30" s="29">
        <f t="shared" si="25"/>
        <v>4</v>
      </c>
      <c r="N30" s="30">
        <f t="shared" si="21"/>
        <v>4</v>
      </c>
      <c r="O30" s="29" t="str">
        <f t="shared" si="26"/>
        <v/>
      </c>
      <c r="P30" s="30" t="str">
        <f t="shared" si="22"/>
        <v/>
      </c>
      <c r="Q30" s="7"/>
      <c r="R30" s="34" t="str">
        <f t="shared" si="27"/>
        <v/>
      </c>
      <c r="S30" s="41" t="str">
        <f t="shared" si="23"/>
        <v/>
      </c>
      <c r="U30" s="133" t="e">
        <v>#N/A</v>
      </c>
      <c r="V30" s="134" t="e">
        <v>#N/A</v>
      </c>
      <c r="Y30" s="10" t="s">
        <v>69</v>
      </c>
      <c r="Z30" s="192" t="s">
        <v>220</v>
      </c>
      <c r="AA30" s="192" t="s">
        <v>221</v>
      </c>
      <c r="AC30" s="13" t="s">
        <v>14</v>
      </c>
      <c r="AD30" s="71" t="s">
        <v>62</v>
      </c>
      <c r="AN30" s="6">
        <f>_xll.xlShmInterpDisc(CurveName,DATE(YEAR(AU30)+IF(YEAR(AU30)&lt;2000,100,0),MONTH(AU30),DAY(AU30)))</f>
        <v>0.7527255719569319</v>
      </c>
      <c r="AO30" s="215">
        <f>_xll.xlShmInterpRate(CurveName,$AO$2,$C$50,DATE(YEAR(AU30)+IF(YEAR(AU30)&lt;2000,100,0),MONTH(AU30),DAY(AU30)))*100</f>
        <v>3.5133824404154588</v>
      </c>
      <c r="AP30" s="6">
        <f t="shared" si="6"/>
        <v>0.12059913548328294</v>
      </c>
      <c r="AQ30" s="215">
        <f t="shared" si="10"/>
        <v>-1.5767067722154309</v>
      </c>
      <c r="AR30" s="8" t="s">
        <v>72</v>
      </c>
      <c r="AS30" s="52">
        <v>41557</v>
      </c>
      <c r="AT30" s="8" t="s">
        <v>248</v>
      </c>
      <c r="AU30" s="52">
        <v>44844</v>
      </c>
      <c r="AV30" s="52" t="s">
        <v>50</v>
      </c>
      <c r="AW30" s="6">
        <v>0.63212643647364897</v>
      </c>
      <c r="AX30" s="6">
        <v>5.0900892126308896</v>
      </c>
      <c r="BA30" s="6">
        <v>5.07</v>
      </c>
      <c r="BB30" s="6">
        <v>0</v>
      </c>
      <c r="BC30" s="21" t="s">
        <v>17</v>
      </c>
      <c r="BD30" s="52"/>
      <c r="BG30"/>
      <c r="BH30"/>
    </row>
    <row r="31" spans="1:60" ht="11.25" customHeight="1">
      <c r="A31" s="6"/>
      <c r="B31" s="89" t="s">
        <v>144</v>
      </c>
      <c r="C31" s="96" t="b">
        <v>1</v>
      </c>
      <c r="D31" s="6"/>
      <c r="E31" s="129" t="b">
        <v>1</v>
      </c>
      <c r="F31" s="207" t="str">
        <f>IF($C$21,IF(LEN(AF39)&gt;0,AF39&amp;"x"&amp;(AF39+$AK$39),""),iText(H31,"mmm yy"))</f>
        <v>9x12</v>
      </c>
      <c r="G31" s="204">
        <f>IF(LEN(AF39)&gt;0,_xll.xlDateWorkFw($C$23,_xll.xlDateShiftMonth($C$25,AF39),$C$24),NA())</f>
        <v>42170</v>
      </c>
      <c r="H31" s="204">
        <f>_xll.xlDateNextFutLIFFE(H30)</f>
        <v>42263</v>
      </c>
      <c r="I31" s="79">
        <f t="shared" si="24"/>
        <v>97.68</v>
      </c>
      <c r="J31" s="50"/>
      <c r="K31" s="127"/>
      <c r="L31" s="50">
        <f t="shared" si="20"/>
        <v>97.68</v>
      </c>
      <c r="M31" s="29">
        <f t="shared" si="25"/>
        <v>5</v>
      </c>
      <c r="N31" s="30">
        <f t="shared" si="21"/>
        <v>5</v>
      </c>
      <c r="O31" s="29" t="str">
        <f t="shared" si="26"/>
        <v/>
      </c>
      <c r="P31" s="30" t="str">
        <f t="shared" si="22"/>
        <v/>
      </c>
      <c r="Q31" s="7"/>
      <c r="R31" s="34" t="str">
        <f t="shared" si="27"/>
        <v/>
      </c>
      <c r="S31" s="41" t="str">
        <f t="shared" si="23"/>
        <v/>
      </c>
      <c r="T31"/>
      <c r="U31" s="133" t="e">
        <v>#N/A</v>
      </c>
      <c r="V31" s="134" t="e">
        <v>#N/A</v>
      </c>
      <c r="Y31" s="139">
        <v>6</v>
      </c>
      <c r="Z31" s="194">
        <f>_xll.RtGet($AD$30,$AD$31&amp;$Y31&amp;$AD$32,Z30)</f>
        <v>2.16</v>
      </c>
      <c r="AA31" s="210">
        <f>_xll.RtGet($AD$30,$AD$31&amp;$Y31&amp;$AD$32,AA30)</f>
        <v>41893</v>
      </c>
      <c r="AC31" s="18" t="s">
        <v>20</v>
      </c>
      <c r="AD31" s="72" t="s">
        <v>214</v>
      </c>
      <c r="AN31" s="6">
        <f>_xll.xlShmInterpDisc(CurveName,DATE(YEAR(AU31)+IF(YEAR(AU31)&lt;2000,100,0),MONTH(AU31),DAY(AU31)))</f>
        <v>0.7157907208686376</v>
      </c>
      <c r="AO31" s="215">
        <f>_xll.xlShmInterpRate(CurveName,$AO$2,$C$50,DATE(YEAR(AU31)+IF(YEAR(AU31)&lt;2000,100,0),MONTH(AU31),DAY(AU31)))*100</f>
        <v>3.6804619141471484</v>
      </c>
      <c r="AP31" s="6">
        <f t="shared" si="6"/>
        <v>0.12275400212888055</v>
      </c>
      <c r="AQ31" s="215">
        <f t="shared" si="10"/>
        <v>-1.5388079540347412</v>
      </c>
      <c r="AR31" s="8" t="s">
        <v>72</v>
      </c>
      <c r="AS31" s="52">
        <v>41557</v>
      </c>
      <c r="AT31" s="8" t="s">
        <v>248</v>
      </c>
      <c r="AU31" s="52">
        <v>45209</v>
      </c>
      <c r="AV31" s="52" t="s">
        <v>51</v>
      </c>
      <c r="AW31" s="6">
        <v>0.59303671873975705</v>
      </c>
      <c r="AX31" s="6">
        <v>5.2192698681818896</v>
      </c>
      <c r="BA31" s="6">
        <v>5.1849999999999996</v>
      </c>
      <c r="BB31" s="6">
        <v>0</v>
      </c>
      <c r="BC31" s="21" t="s">
        <v>17</v>
      </c>
      <c r="BD31" s="52"/>
      <c r="BF31"/>
      <c r="BG31"/>
      <c r="BH31"/>
    </row>
    <row r="32" spans="1:60" ht="11.25" customHeight="1">
      <c r="A32" s="6"/>
      <c r="B32" s="120" t="s">
        <v>90</v>
      </c>
      <c r="C32" s="94" t="s">
        <v>128</v>
      </c>
      <c r="D32" s="6"/>
      <c r="E32" s="129" t="b">
        <v>0</v>
      </c>
      <c r="F32" s="207" t="str">
        <f>IF($C$21,IF(LEN(AF40)&gt;0,AF40&amp;"x"&amp;(AF40+$AK$39),""),iText(H32,"mmm yy"))</f>
        <v/>
      </c>
      <c r="G32" s="204" t="e">
        <f>IF(LEN(AF40)&gt;0,_xll.xlDateWorkFw($C$23,_xll.xlDateShiftMonth($C$25,AF40),$C$24),NA())</f>
        <v>#N/A</v>
      </c>
      <c r="H32" s="204">
        <f>_xll.xlDateNextFutLIFFE(H31)</f>
        <v>42354</v>
      </c>
      <c r="I32" s="79" t="e">
        <f t="shared" si="24"/>
        <v>#DIV/0!</v>
      </c>
      <c r="J32" s="50"/>
      <c r="K32" s="127"/>
      <c r="L32" s="50" t="e">
        <f t="shared" si="20"/>
        <v>#DIV/0!</v>
      </c>
      <c r="M32" s="29">
        <f t="shared" si="25"/>
        <v>6</v>
      </c>
      <c r="N32" s="30" t="str">
        <f t="shared" si="21"/>
        <v/>
      </c>
      <c r="O32" s="29" t="str">
        <f t="shared" si="26"/>
        <v/>
      </c>
      <c r="P32" s="30" t="str">
        <f t="shared" si="22"/>
        <v/>
      </c>
      <c r="Q32" s="7"/>
      <c r="R32" s="34" t="str">
        <f t="shared" si="27"/>
        <v/>
      </c>
      <c r="S32" s="41" t="str">
        <f t="shared" si="23"/>
        <v/>
      </c>
      <c r="T32"/>
      <c r="U32" s="133" t="e">
        <v>#N/A</v>
      </c>
      <c r="V32" s="134" t="e">
        <v>#N/A</v>
      </c>
      <c r="AC32" s="24" t="s">
        <v>24</v>
      </c>
      <c r="AD32" s="73" t="s">
        <v>222</v>
      </c>
      <c r="AN32" s="6">
        <f>_xll.xlShmInterpDisc(CurveName,DATE(YEAR(AU32)+IF(YEAR(AU32)&lt;2000,100,0),MONTH(AU32),DAY(AU32)))</f>
        <v>0.68093619609281064</v>
      </c>
      <c r="AO32" s="215">
        <f>_xll.xlShmInterpRate(CurveName,$AO$2,$C$50,DATE(YEAR(AU32)+IF(YEAR(AU32)&lt;2000,100,0),MONTH(AU32),DAY(AU32)))*100</f>
        <v>3.8094686062248826</v>
      </c>
      <c r="AP32" s="6">
        <f t="shared" si="6"/>
        <v>0.12061015559115662</v>
      </c>
      <c r="AQ32" s="215">
        <f t="shared" si="10"/>
        <v>-1.4497678133003777</v>
      </c>
      <c r="AR32" s="8" t="s">
        <v>72</v>
      </c>
      <c r="AS32" s="52">
        <v>41557</v>
      </c>
      <c r="AT32" s="8" t="s">
        <v>248</v>
      </c>
      <c r="AU32" s="52">
        <v>45575</v>
      </c>
      <c r="AV32" s="52" t="s">
        <v>52</v>
      </c>
      <c r="AW32" s="6">
        <v>0.56032604050165402</v>
      </c>
      <c r="AX32" s="6">
        <v>5.2592364195252603</v>
      </c>
      <c r="AY32" s="6" t="s">
        <v>193</v>
      </c>
      <c r="BA32" s="6">
        <v>5.2275581395348798</v>
      </c>
      <c r="BB32" s="6">
        <v>0</v>
      </c>
      <c r="BC32" s="21" t="s">
        <v>17</v>
      </c>
      <c r="BD32" s="52"/>
      <c r="BF32"/>
      <c r="BG32"/>
      <c r="BH32"/>
    </row>
    <row r="33" spans="1:60" ht="11.25" customHeight="1">
      <c r="A33" s="6"/>
      <c r="B33" s="121" t="s">
        <v>84</v>
      </c>
      <c r="C33" s="95" t="s">
        <v>12</v>
      </c>
      <c r="D33" s="6"/>
      <c r="E33" s="129" t="b">
        <v>0</v>
      </c>
      <c r="F33" s="207" t="str">
        <f>IF($C$21,IF(LEN(AF41)&gt;0,AF41&amp;"x"&amp;(AF41+$AK$39),""),iText(H33,"mmm yy"))</f>
        <v/>
      </c>
      <c r="G33" s="204" t="e">
        <f>IF(LEN(AF41)&gt;0,_xll.xlDateWorkFw($C$23,_xll.xlDateShiftMonth($C$25,AF41),$C$24),NA())</f>
        <v>#N/A</v>
      </c>
      <c r="H33" s="204">
        <f>_xll.xlDateNextFutLIFFE(H32)</f>
        <v>42445</v>
      </c>
      <c r="I33" s="79" t="e">
        <f t="shared" si="24"/>
        <v>#DIV/0!</v>
      </c>
      <c r="J33" s="50"/>
      <c r="K33" s="127"/>
      <c r="L33" s="50" t="e">
        <f t="shared" si="20"/>
        <v>#DIV/0!</v>
      </c>
      <c r="M33" s="29">
        <f t="shared" si="25"/>
        <v>7</v>
      </c>
      <c r="N33" s="30" t="str">
        <f t="shared" si="21"/>
        <v/>
      </c>
      <c r="O33" s="29" t="str">
        <f t="shared" si="26"/>
        <v/>
      </c>
      <c r="P33" s="30" t="str">
        <f t="shared" si="22"/>
        <v/>
      </c>
      <c r="Q33" s="7"/>
      <c r="R33" s="34" t="str">
        <f t="shared" si="27"/>
        <v/>
      </c>
      <c r="S33" s="41"/>
      <c r="T33"/>
      <c r="U33" s="133" t="e">
        <v>#N/A</v>
      </c>
      <c r="V33" s="134" t="e">
        <v>#N/A</v>
      </c>
      <c r="AN33" s="6">
        <f>_xll.xlShmInterpDisc(CurveName,DATE(YEAR(AU33)+IF(YEAR(AU33)&lt;2000,100,0),MONTH(AU33),DAY(AU33)))</f>
        <v>0.64928222028434945</v>
      </c>
      <c r="AO33" s="215">
        <f>_xll.xlShmInterpRate(CurveName,$AO$2,$C$50,DATE(YEAR(AU33)+IF(YEAR(AU33)&lt;2000,100,0),MONTH(AU33),DAY(AU33)))*100</f>
        <v>3.8952075117448115</v>
      </c>
      <c r="AP33" s="6">
        <f t="shared" si="6"/>
        <v>0.12039683897783149</v>
      </c>
      <c r="AQ33" s="215">
        <f t="shared" si="10"/>
        <v>-1.4069359888458481</v>
      </c>
      <c r="AR33" s="8" t="s">
        <v>72</v>
      </c>
      <c r="AS33" s="52">
        <v>41557</v>
      </c>
      <c r="AT33" s="8" t="s">
        <v>248</v>
      </c>
      <c r="AU33" s="52">
        <v>45940</v>
      </c>
      <c r="AV33" s="52" t="s">
        <v>53</v>
      </c>
      <c r="AW33" s="6">
        <v>0.52888538130651797</v>
      </c>
      <c r="AX33" s="6">
        <v>5.3021435005906596</v>
      </c>
      <c r="BA33" s="6">
        <v>5.27</v>
      </c>
      <c r="BB33" s="6">
        <v>0</v>
      </c>
      <c r="BC33" s="21" t="s">
        <v>17</v>
      </c>
      <c r="BD33" s="52"/>
      <c r="BF33"/>
      <c r="BG33"/>
      <c r="BH33"/>
    </row>
    <row r="34" spans="1:60" ht="11.25" customHeight="1">
      <c r="A34" s="7"/>
      <c r="B34" s="122" t="s">
        <v>83</v>
      </c>
      <c r="C34" s="96" t="s">
        <v>29</v>
      </c>
      <c r="D34" s="6"/>
      <c r="E34" s="129" t="b">
        <v>0</v>
      </c>
      <c r="F34" s="207" t="str">
        <f>IF($C$21,IF(LEN(AF42)&gt;0,AF42&amp;"x"&amp;(AF42+$AK$39),""),iText(H34,"mmm yy"))</f>
        <v/>
      </c>
      <c r="G34" s="204" t="e">
        <f>IF(LEN(AF42)&gt;0,_xll.xlDateWorkFw($C$23,_xll.xlDateShiftMonth($C$25,AF42),$C$24),NA())</f>
        <v>#N/A</v>
      </c>
      <c r="H34" s="204">
        <f>_xll.xlDateNextFutLIFFE(H33)</f>
        <v>42536</v>
      </c>
      <c r="I34" s="79" t="e">
        <f t="shared" si="24"/>
        <v>#DIV/0!</v>
      </c>
      <c r="J34" s="50"/>
      <c r="K34" s="127"/>
      <c r="L34" s="50" t="e">
        <f t="shared" si="20"/>
        <v>#DIV/0!</v>
      </c>
      <c r="M34" s="29">
        <f t="shared" si="25"/>
        <v>8</v>
      </c>
      <c r="N34" s="30" t="str">
        <f t="shared" si="21"/>
        <v/>
      </c>
      <c r="O34" s="29" t="str">
        <f t="shared" si="26"/>
        <v/>
      </c>
      <c r="P34" s="30" t="str">
        <f t="shared" si="22"/>
        <v/>
      </c>
      <c r="Q34" s="7"/>
      <c r="R34" s="34" t="str">
        <f t="shared" si="27"/>
        <v/>
      </c>
      <c r="S34" s="41"/>
      <c r="T34"/>
      <c r="U34" s="133" t="e">
        <v>#N/A</v>
      </c>
      <c r="V34" s="134" t="e">
        <v>#N/A</v>
      </c>
      <c r="Y34" s="10" t="s">
        <v>79</v>
      </c>
      <c r="Z34" s="11" t="s">
        <v>5</v>
      </c>
      <c r="AA34" s="12" t="s">
        <v>6</v>
      </c>
      <c r="AF34" s="10" t="s">
        <v>217</v>
      </c>
      <c r="AG34" s="11" t="s">
        <v>5</v>
      </c>
      <c r="AH34" s="12" t="s">
        <v>6</v>
      </c>
      <c r="AN34" s="6">
        <f>_xll.xlShmInterpDisc(CurveName,DATE(YEAR(AU34)+IF(YEAR(AU34)&lt;2000,100,0),MONTH(AU34),DAY(AU34)))</f>
        <v>0.61841290575409635</v>
      </c>
      <c r="AO34" s="215">
        <f>_xll.xlShmInterpRate(CurveName,$AO$2,$C$50,DATE(YEAR(AU34)+IF(YEAR(AU34)&lt;2000,100,0),MONTH(AU34),DAY(AU34)))*100</f>
        <v>3.9741414364092598</v>
      </c>
      <c r="AP34" s="6">
        <f t="shared" si="6"/>
        <v>0.11449057667181239</v>
      </c>
      <c r="AQ34" s="215">
        <f t="shared" si="10"/>
        <v>-1.2898861959335703</v>
      </c>
      <c r="AR34" s="8" t="s">
        <v>72</v>
      </c>
      <c r="AS34" s="52">
        <v>41557</v>
      </c>
      <c r="AT34" s="8" t="s">
        <v>248</v>
      </c>
      <c r="AU34" s="52">
        <v>46307</v>
      </c>
      <c r="AV34" s="52" t="s">
        <v>198</v>
      </c>
      <c r="AW34" s="6">
        <v>0.50392232908228396</v>
      </c>
      <c r="AX34" s="6">
        <v>5.2640276323428301</v>
      </c>
      <c r="AY34" s="6" t="s">
        <v>193</v>
      </c>
      <c r="BA34" s="6">
        <v>5.2515830291970804</v>
      </c>
      <c r="BB34" s="6">
        <v>0</v>
      </c>
      <c r="BC34" s="21" t="s">
        <v>17</v>
      </c>
      <c r="BD34" s="52"/>
      <c r="BF34"/>
      <c r="BG34"/>
      <c r="BH34"/>
    </row>
    <row r="35" spans="1:60" ht="11.25" customHeight="1">
      <c r="A35" s="7"/>
      <c r="B35" s="104" t="s">
        <v>93</v>
      </c>
      <c r="C35" s="98">
        <f>IF(C21,AK39,AD39)</f>
        <v>3</v>
      </c>
      <c r="D35" s="6"/>
      <c r="E35" s="129" t="b">
        <v>0</v>
      </c>
      <c r="F35" s="207" t="str">
        <f>IF($C$21,IF(LEN(AF43)&gt;0,AF43&amp;"x"&amp;(AF43+$AK$39),""),iText(H35,"mmm yy"))</f>
        <v/>
      </c>
      <c r="G35" s="204" t="e">
        <f>IF(LEN(AF43)&gt;0,_xll.xlDateWorkFw($C$23,_xll.xlDateShiftMonth($C$25,AF43),$C$24),NA())</f>
        <v>#N/A</v>
      </c>
      <c r="H35" s="204">
        <f>_xll.xlDateNextFutLIFFE(H34)</f>
        <v>42634</v>
      </c>
      <c r="I35" s="79" t="e">
        <f t="shared" si="24"/>
        <v>#DIV/0!</v>
      </c>
      <c r="J35" s="50"/>
      <c r="K35" s="127"/>
      <c r="L35" s="50" t="e">
        <f t="shared" si="20"/>
        <v>#DIV/0!</v>
      </c>
      <c r="M35" s="29">
        <f t="shared" si="25"/>
        <v>9</v>
      </c>
      <c r="N35" s="30" t="str">
        <f t="shared" si="21"/>
        <v/>
      </c>
      <c r="O35" s="29" t="str">
        <f t="shared" si="26"/>
        <v/>
      </c>
      <c r="P35" s="30" t="str">
        <f t="shared" si="22"/>
        <v/>
      </c>
      <c r="Q35" s="7"/>
      <c r="R35" s="34" t="str">
        <f t="shared" si="27"/>
        <v/>
      </c>
      <c r="S35" s="41"/>
      <c r="U35" s="133" t="e">
        <v>#N/A</v>
      </c>
      <c r="V35" s="134" t="e">
        <v>#N/A</v>
      </c>
      <c r="Y35" s="31" t="str">
        <f>_xll.xlFutCode(H27)</f>
        <v>U4</v>
      </c>
      <c r="Z35" s="16" t="str">
        <f>_xll.RtGet($AD$35,$AD$36&amp;$Y35&amp;$AD$37,Z$34)</f>
        <v>#N/A The record could not be found</v>
      </c>
      <c r="AA35" s="17" t="str">
        <f>_xll.RtGet($AD$35,$AD$36&amp;$Y35&amp;$AD$37,AA$34)</f>
        <v>#N/A The record could not be found</v>
      </c>
      <c r="AC35" s="13" t="s">
        <v>14</v>
      </c>
      <c r="AD35" s="71"/>
      <c r="AF35" s="31">
        <v>1</v>
      </c>
      <c r="AG35" s="16">
        <f>_xll.RtGet($AK$35,$AK$36&amp;$AF35&amp;"X"&amp;($AF35+$AK$39)&amp;$AK$37,AG$34)</f>
        <v>2.0699999999999998</v>
      </c>
      <c r="AH35" s="17">
        <f>_xll.RtGet($AK$35,$AK$36&amp;$AF35&amp;"X"&amp;($AF35+$AK$39)&amp;$AK$37,AH$34)</f>
        <v>2.17</v>
      </c>
      <c r="AI35" s="6"/>
      <c r="AJ35" s="13" t="s">
        <v>14</v>
      </c>
      <c r="AK35" s="71" t="s">
        <v>62</v>
      </c>
      <c r="AN35" s="6">
        <f>_xll.xlShmInterpDisc(CurveName,DATE(YEAR(AU35)+IF(YEAR(AU35)&lt;2000,100,0),MONTH(AU35),DAY(AU35)))</f>
        <v>0.59536187184813372</v>
      </c>
      <c r="AO35" s="215">
        <f>_xll.xlShmInterpRate(CurveName,$AO$2,$C$50,DATE(YEAR(AU35)+IF(YEAR(AU35)&lt;2000,100,0),MONTH(AU35),DAY(AU35)))*100</f>
        <v>3.9615705874769627</v>
      </c>
      <c r="AP35" s="6">
        <f t="shared" ref="AP35:AP66" si="28">AN35-AW35</f>
        <v>0.11479525815875574</v>
      </c>
      <c r="AQ35" s="215">
        <f t="shared" si="10"/>
        <v>-1.2665009628775077</v>
      </c>
      <c r="AR35" s="8" t="s">
        <v>72</v>
      </c>
      <c r="AS35" s="52">
        <v>41557</v>
      </c>
      <c r="AT35" s="8" t="s">
        <v>248</v>
      </c>
      <c r="AU35" s="52">
        <v>46671</v>
      </c>
      <c r="AV35" s="52" t="s">
        <v>199</v>
      </c>
      <c r="AW35" s="6">
        <v>0.48056661368937797</v>
      </c>
      <c r="AX35" s="6">
        <v>5.2280715503544704</v>
      </c>
      <c r="AY35" s="6" t="s">
        <v>193</v>
      </c>
      <c r="BA35" s="6">
        <v>5.2333166058394101</v>
      </c>
      <c r="BB35" s="6">
        <v>0</v>
      </c>
      <c r="BC35" s="21" t="s">
        <v>17</v>
      </c>
      <c r="BD35" s="52"/>
      <c r="BF35"/>
      <c r="BG35"/>
      <c r="BH35"/>
    </row>
    <row r="36" spans="1:60" ht="11.25" customHeight="1">
      <c r="A36" s="7"/>
      <c r="B36" s="105" t="s">
        <v>95</v>
      </c>
      <c r="C36" s="99" t="s">
        <v>136</v>
      </c>
      <c r="D36" s="6"/>
      <c r="E36" s="129" t="b">
        <v>0</v>
      </c>
      <c r="F36" s="207" t="str">
        <f>IF($C$21,IF(LEN(AF44)&gt;0,AF44&amp;"x"&amp;(AF44+$AK$39),""),iText(H36,"mmm yy"))</f>
        <v/>
      </c>
      <c r="G36" s="204" t="e">
        <f>IF(LEN(AF44)&gt;0,_xll.xlDateWorkFw($C$23,_xll.xlDateShiftMonth($C$25,AF44),$C$24),NA())</f>
        <v>#N/A</v>
      </c>
      <c r="H36" s="204">
        <f>_xll.xlDateNextFutLIFFE(H35)</f>
        <v>42725</v>
      </c>
      <c r="I36" s="79" t="e">
        <f t="shared" si="24"/>
        <v>#DIV/0!</v>
      </c>
      <c r="J36" s="50"/>
      <c r="K36" s="127"/>
      <c r="L36" s="50" t="e">
        <f t="shared" si="20"/>
        <v>#DIV/0!</v>
      </c>
      <c r="M36" s="29">
        <f t="shared" si="25"/>
        <v>10</v>
      </c>
      <c r="N36" s="30" t="str">
        <f t="shared" si="21"/>
        <v/>
      </c>
      <c r="O36" s="29" t="str">
        <f t="shared" si="26"/>
        <v/>
      </c>
      <c r="P36" s="30" t="str">
        <f t="shared" si="22"/>
        <v/>
      </c>
      <c r="Q36" s="7"/>
      <c r="R36" s="34" t="str">
        <f t="shared" si="27"/>
        <v/>
      </c>
      <c r="S36" s="41"/>
      <c r="U36" s="133" t="e">
        <v>#N/A</v>
      </c>
      <c r="V36" s="134" t="e">
        <v>#N/A</v>
      </c>
      <c r="Y36" s="32" t="str">
        <f>_xll.xlFutCode(H28)</f>
        <v>Z4</v>
      </c>
      <c r="Z36" s="29" t="str">
        <f>_xll.RtGet($AD$35,$AD$36&amp;$Y36&amp;$AD$37,Z$34)</f>
        <v>#N/A The record could not be found</v>
      </c>
      <c r="AA36" s="30" t="str">
        <f>_xll.RtGet($AD$35,$AD$36&amp;$Y36&amp;$AD$37,AA$34)</f>
        <v>#N/A The record could not be found</v>
      </c>
      <c r="AC36" s="18" t="s">
        <v>20</v>
      </c>
      <c r="AD36" s="72"/>
      <c r="AF36" s="32">
        <v>2</v>
      </c>
      <c r="AG36" s="29">
        <f>_xll.RtGet($AK$35,$AK$36&amp;$AF36&amp;"X"&amp;($AF36+$AK$39)&amp;$AK$37,AG$34)</f>
        <v>2.09</v>
      </c>
      <c r="AH36" s="30">
        <f>_xll.RtGet($AK$35,$AK$36&amp;$AF36&amp;"X"&amp;($AF36+$AK$39)&amp;$AK$37,AH$34)</f>
        <v>2.19</v>
      </c>
      <c r="AI36" s="6"/>
      <c r="AJ36" s="18" t="s">
        <v>20</v>
      </c>
      <c r="AK36" s="72" t="s">
        <v>212</v>
      </c>
      <c r="AN36" s="6">
        <f>_xll.xlShmInterpDisc(CurveName,DATE(YEAR(AU36)+IF(YEAR(AU36)&lt;2000,100,0),MONTH(AU36),DAY(AU36)))</f>
        <v>0.57325454674050214</v>
      </c>
      <c r="AO36" s="215">
        <f>_xll.xlShmInterpRate(CurveName,$AO$2,$C$50,DATE(YEAR(AU36)+IF(YEAR(AU36)&lt;2000,100,0),MONTH(AU36),DAY(AU36)))*100</f>
        <v>3.9489652032454026</v>
      </c>
      <c r="AP36" s="6">
        <f t="shared" si="28"/>
        <v>0.11477991007111815</v>
      </c>
      <c r="AQ36" s="215">
        <f t="shared" si="10"/>
        <v>-1.2443455431461579</v>
      </c>
      <c r="AR36" s="8" t="s">
        <v>72</v>
      </c>
      <c r="AS36" s="52">
        <v>41557</v>
      </c>
      <c r="AT36" s="8" t="s">
        <v>248</v>
      </c>
      <c r="AU36" s="52">
        <v>47036</v>
      </c>
      <c r="AV36" s="52" t="s">
        <v>54</v>
      </c>
      <c r="AW36" s="6">
        <v>0.45847463666938398</v>
      </c>
      <c r="AX36" s="6">
        <v>5.1933107463915604</v>
      </c>
      <c r="BA36" s="6">
        <v>5.2149999999999999</v>
      </c>
      <c r="BB36" s="6">
        <v>0</v>
      </c>
      <c r="BC36" s="21" t="s">
        <v>17</v>
      </c>
      <c r="BD36" s="52"/>
      <c r="BF36"/>
      <c r="BG36"/>
      <c r="BH36"/>
    </row>
    <row r="37" spans="1:60" ht="11.25" customHeight="1">
      <c r="A37" s="6"/>
      <c r="B37" s="46" t="s">
        <v>96</v>
      </c>
      <c r="C37" s="100" t="s">
        <v>97</v>
      </c>
      <c r="D37" s="6"/>
      <c r="E37" s="129" t="b">
        <v>0</v>
      </c>
      <c r="F37" s="207" t="str">
        <f>IF($C$21,IF(LEN(AF45)&gt;0,AF45&amp;"x"&amp;(AF45+$AK$39),""),iText(H37,"mmm yy"))</f>
        <v/>
      </c>
      <c r="G37" s="204" t="e">
        <f>IF(LEN(AF45)&gt;0,_xll.xlDateWorkFw($C$23,_xll.xlDateShiftMonth($C$25,AF45),$C$24),NA())</f>
        <v>#N/A</v>
      </c>
      <c r="H37" s="204">
        <f>_xll.xlDateNextFutLIFFE(H36)</f>
        <v>42809</v>
      </c>
      <c r="I37" s="79" t="e">
        <f t="shared" si="24"/>
        <v>#DIV/0!</v>
      </c>
      <c r="J37" s="50"/>
      <c r="K37" s="127"/>
      <c r="L37" s="50" t="e">
        <f t="shared" si="20"/>
        <v>#DIV/0!</v>
      </c>
      <c r="M37" s="29">
        <f t="shared" si="25"/>
        <v>11</v>
      </c>
      <c r="N37" s="30" t="str">
        <f t="shared" si="21"/>
        <v/>
      </c>
      <c r="O37" s="29" t="str">
        <f t="shared" si="26"/>
        <v/>
      </c>
      <c r="P37" s="30" t="str">
        <f t="shared" si="22"/>
        <v/>
      </c>
      <c r="Q37" s="7"/>
      <c r="R37" s="34" t="str">
        <f t="shared" si="27"/>
        <v/>
      </c>
      <c r="S37" s="41"/>
      <c r="U37" s="133" t="e">
        <v>#N/A</v>
      </c>
      <c r="V37" s="134" t="e">
        <v>#N/A</v>
      </c>
      <c r="Y37" s="32" t="str">
        <f>_xll.xlFutCode(H29)</f>
        <v>H5</v>
      </c>
      <c r="Z37" s="29" t="str">
        <f>_xll.RtGet($AD$35,$AD$36&amp;$Y37&amp;$AD$37,Z$34)</f>
        <v>#N/A The record could not be found</v>
      </c>
      <c r="AA37" s="30" t="str">
        <f>_xll.RtGet($AD$35,$AD$36&amp;$Y37&amp;$AD$37,AA$34)</f>
        <v>#N/A The record could not be found</v>
      </c>
      <c r="AC37" s="24" t="s">
        <v>24</v>
      </c>
      <c r="AD37" s="25"/>
      <c r="AF37" s="32">
        <v>3</v>
      </c>
      <c r="AG37" s="29">
        <f>_xll.RtGet($AK$35,$AK$36&amp;$AF37&amp;"X"&amp;($AF37+$AK$39)&amp;$AK$37,AG$34)</f>
        <v>2.11</v>
      </c>
      <c r="AH37" s="30">
        <f>_xll.RtGet($AK$35,$AK$36&amp;$AF37&amp;"X"&amp;($AF37+$AK$39)&amp;$AK$37,AH$34)</f>
        <v>2.21</v>
      </c>
      <c r="AI37" s="6"/>
      <c r="AJ37" s="24" t="s">
        <v>24</v>
      </c>
      <c r="AK37" s="73" t="s">
        <v>223</v>
      </c>
      <c r="AN37" s="6">
        <f>_xll.xlShmInterpDisc(CurveName,DATE(YEAR(AU37)+IF(YEAR(AU37)&lt;2000,100,0),MONTH(AU37),DAY(AU37)))</f>
        <v>0.55232602332191227</v>
      </c>
      <c r="AO37" s="215">
        <f>_xll.xlShmInterpRate(CurveName,$AO$2,$C$50,DATE(YEAR(AU37)+IF(YEAR(AU37)&lt;2000,100,0),MONTH(AU37),DAY(AU37)))*100</f>
        <v>3.9337350500934862</v>
      </c>
      <c r="AP37" s="6">
        <f t="shared" si="28"/>
        <v>0.11102440752855325</v>
      </c>
      <c r="AQ37" s="215">
        <f t="shared" si="10"/>
        <v>-1.173684484030054</v>
      </c>
      <c r="AR37" s="8" t="s">
        <v>72</v>
      </c>
      <c r="AS37" s="52">
        <v>41557</v>
      </c>
      <c r="AT37" s="8" t="s">
        <v>248</v>
      </c>
      <c r="AU37" s="52">
        <v>47401</v>
      </c>
      <c r="AV37" s="52" t="s">
        <v>200</v>
      </c>
      <c r="AW37" s="6">
        <v>0.44130161579335903</v>
      </c>
      <c r="AX37" s="6">
        <v>5.1074195341235402</v>
      </c>
      <c r="AY37" s="6" t="s">
        <v>193</v>
      </c>
      <c r="BA37" s="6">
        <v>5.1610295728368101</v>
      </c>
      <c r="BB37" s="6">
        <v>0</v>
      </c>
      <c r="BC37" s="21" t="s">
        <v>17</v>
      </c>
      <c r="BD37" s="52"/>
      <c r="BF37"/>
      <c r="BG37"/>
      <c r="BH37"/>
    </row>
    <row r="38" spans="1:60" ht="11.25" customHeight="1">
      <c r="A38" s="6"/>
      <c r="B38" s="47" t="s">
        <v>102</v>
      </c>
      <c r="C38" s="101"/>
      <c r="D38" s="6"/>
      <c r="E38" s="130" t="b">
        <v>0</v>
      </c>
      <c r="F38" s="208" t="str">
        <f>IF($C$21,IF(LEN(AF46)&gt;0,AF46&amp;"x"&amp;(AF46+$AK$39),""),iText(H38,"mmm yy"))</f>
        <v/>
      </c>
      <c r="G38" s="204" t="e">
        <f>IF(LEN(AF46)&gt;0,_xll.xlDateWorkFw($C$23,_xll.xlDateShiftMonth($C$25,AF46),$C$24),NA())</f>
        <v>#N/A</v>
      </c>
      <c r="H38" s="204">
        <f>_xll.xlDateNextFutLIFFE(H37)</f>
        <v>42907</v>
      </c>
      <c r="I38" s="80" t="e">
        <f t="shared" si="24"/>
        <v>#DIV/0!</v>
      </c>
      <c r="J38" s="51"/>
      <c r="K38" s="126"/>
      <c r="L38" s="51" t="e">
        <f t="shared" si="20"/>
        <v>#DIV/0!</v>
      </c>
      <c r="M38" s="22">
        <f t="shared" si="25"/>
        <v>12</v>
      </c>
      <c r="N38" s="23" t="str">
        <f t="shared" si="21"/>
        <v/>
      </c>
      <c r="O38" s="22" t="str">
        <f t="shared" si="26"/>
        <v/>
      </c>
      <c r="P38" s="23" t="str">
        <f t="shared" si="22"/>
        <v/>
      </c>
      <c r="Q38" s="7"/>
      <c r="R38" s="195" t="str">
        <f t="shared" si="27"/>
        <v/>
      </c>
      <c r="S38" s="1"/>
      <c r="U38" s="133" t="e">
        <v>#N/A</v>
      </c>
      <c r="V38" s="134" t="e">
        <v>#N/A</v>
      </c>
      <c r="Y38" s="32" t="str">
        <f>_xll.xlFutCode(H30)</f>
        <v>M5</v>
      </c>
      <c r="Z38" s="29" t="str">
        <f>_xll.RtGet($AD$35,$AD$36&amp;$Y38&amp;$AD$37,Z$34)</f>
        <v>#N/A The record could not be found</v>
      </c>
      <c r="AA38" s="30" t="str">
        <f>_xll.RtGet($AD$35,$AD$36&amp;$Y38&amp;$AD$37,AA$34)</f>
        <v>#N/A The record could not be found</v>
      </c>
      <c r="AF38" s="32">
        <v>6</v>
      </c>
      <c r="AG38" s="29">
        <f>_xll.RtGet($AK$35,$AK$36&amp;$AF38&amp;"X"&amp;($AF38+$AK$39)&amp;$AK$37,AG$34)</f>
        <v>2.19</v>
      </c>
      <c r="AH38" s="30">
        <f>_xll.RtGet($AK$35,$AK$36&amp;$AF38&amp;"X"&amp;($AF38+$AK$39)&amp;$AK$37,AH$34)</f>
        <v>2.29</v>
      </c>
      <c r="AI38" s="6"/>
      <c r="AJ38" s="6"/>
      <c r="AK38" s="6"/>
      <c r="AN38" s="6">
        <f>_xll.xlShmInterpDisc(CurveName,DATE(YEAR(AU38)+IF(YEAR(AU38)&lt;2000,100,0),MONTH(AU38),DAY(AU38)))</f>
        <v>0.53567717377602142</v>
      </c>
      <c r="AO38" s="215">
        <f>_xll.xlShmInterpRate(CurveName,$AO$2,$C$50,DATE(YEAR(AU38)+IF(YEAR(AU38)&lt;2000,100,0),MONTH(AU38),DAY(AU38)))*100</f>
        <v>3.8794757242997635</v>
      </c>
      <c r="AP38" s="6">
        <f t="shared" si="28"/>
        <v>0.1102609573816124</v>
      </c>
      <c r="AQ38" s="215">
        <f t="shared" si="10"/>
        <v>-1.1432395978450369</v>
      </c>
      <c r="AR38" s="8" t="s">
        <v>72</v>
      </c>
      <c r="AS38" s="52">
        <v>41557</v>
      </c>
      <c r="AT38" s="8" t="s">
        <v>248</v>
      </c>
      <c r="AU38" s="52">
        <v>47766</v>
      </c>
      <c r="AV38" s="52" t="s">
        <v>201</v>
      </c>
      <c r="AW38" s="6">
        <v>0.42541621639440902</v>
      </c>
      <c r="AX38" s="6">
        <v>5.0227153221448004</v>
      </c>
      <c r="AY38" s="6" t="s">
        <v>193</v>
      </c>
      <c r="BA38" s="6">
        <v>5.1070591456736096</v>
      </c>
      <c r="BB38" s="6">
        <v>0</v>
      </c>
      <c r="BC38" s="21" t="s">
        <v>17</v>
      </c>
      <c r="BD38" s="52"/>
      <c r="BF38"/>
      <c r="BG38"/>
      <c r="BH38"/>
    </row>
    <row r="39" spans="1:60" ht="11.25" customHeight="1">
      <c r="A39" s="6"/>
      <c r="B39" s="47" t="s">
        <v>103</v>
      </c>
      <c r="C39" s="95"/>
      <c r="D39" s="6"/>
      <c r="M39"/>
      <c r="N39"/>
      <c r="O39"/>
      <c r="P39"/>
      <c r="Q39"/>
      <c r="R39"/>
      <c r="S39"/>
      <c r="U39" s="133" t="e">
        <v>#N/A</v>
      </c>
      <c r="V39" s="134" t="e">
        <v>#N/A</v>
      </c>
      <c r="Y39" s="32" t="str">
        <f>_xll.xlFutCode(H31)</f>
        <v>U5</v>
      </c>
      <c r="Z39" s="29" t="str">
        <f>_xll.RtGet($AD$35,$AD$36&amp;$Y39&amp;$AD$37,Z$34)</f>
        <v>#N/A The record could not be found</v>
      </c>
      <c r="AA39" s="30" t="str">
        <f>_xll.RtGet($AD$35,$AD$36&amp;$Y39&amp;$AD$37,AA$34)</f>
        <v>#N/A The record could not be found</v>
      </c>
      <c r="AC39" s="212" t="s">
        <v>225</v>
      </c>
      <c r="AD39" s="209">
        <v>3</v>
      </c>
      <c r="AF39" s="32">
        <v>9</v>
      </c>
      <c r="AG39" s="29">
        <f>_xll.RtGet($AK$35,$AK$36&amp;$AF39&amp;"X"&amp;($AF39+$AK$39)&amp;$AK$37,AG$34)</f>
        <v>2.27</v>
      </c>
      <c r="AH39" s="30">
        <f>_xll.RtGet($AK$35,$AK$36&amp;$AF39&amp;"X"&amp;($AF39+$AK$39)&amp;$AK$37,AH$34)</f>
        <v>2.37</v>
      </c>
      <c r="AI39" s="6"/>
      <c r="AJ39" s="212" t="s">
        <v>225</v>
      </c>
      <c r="AK39" s="209">
        <v>3</v>
      </c>
      <c r="AN39" s="6">
        <f>_xll.xlShmInterpDisc(CurveName,DATE(YEAR(AU39)+IF(YEAR(AU39)&lt;2000,100,0),MONTH(AU39),DAY(AU39)))</f>
        <v>0.52009426625730759</v>
      </c>
      <c r="AO39" s="215">
        <f>_xll.xlShmInterpRate(CurveName,$AO$2,$C$50,DATE(YEAR(AU39)+IF(YEAR(AU39)&lt;2000,100,0),MONTH(AU39),DAY(AU39)))*100</f>
        <v>3.8252163985060426</v>
      </c>
      <c r="AP39" s="6">
        <f t="shared" si="28"/>
        <v>0.10936224590958959</v>
      </c>
      <c r="AQ39" s="215">
        <f t="shared" si="10"/>
        <v>-1.1136859426257875</v>
      </c>
      <c r="AR39" s="8" t="s">
        <v>72</v>
      </c>
      <c r="AS39" s="52">
        <v>41557</v>
      </c>
      <c r="AT39" s="8" t="s">
        <v>248</v>
      </c>
      <c r="AU39" s="52">
        <v>48131</v>
      </c>
      <c r="AV39" s="52" t="s">
        <v>202</v>
      </c>
      <c r="AW39" s="6">
        <v>0.410732020347718</v>
      </c>
      <c r="AX39" s="6">
        <v>4.93890234113183</v>
      </c>
      <c r="AY39" s="6" t="s">
        <v>193</v>
      </c>
      <c r="BA39" s="6">
        <v>5.0530887185104101</v>
      </c>
      <c r="BB39" s="6">
        <v>0</v>
      </c>
      <c r="BC39" s="21" t="s">
        <v>17</v>
      </c>
      <c r="BD39" s="52"/>
      <c r="BF39"/>
      <c r="BG39"/>
      <c r="BH39"/>
    </row>
    <row r="40" spans="1:60" ht="11.25" customHeight="1">
      <c r="A40" s="6"/>
      <c r="B40" s="47" t="s">
        <v>98</v>
      </c>
      <c r="C40" s="102">
        <v>1</v>
      </c>
      <c r="D40" s="6"/>
      <c r="E40" s="86" t="s">
        <v>75</v>
      </c>
      <c r="F40" s="7"/>
      <c r="G40" s="7"/>
      <c r="H40" s="7"/>
      <c r="I40" s="86" t="s">
        <v>1</v>
      </c>
      <c r="J40" s="86" t="s">
        <v>2</v>
      </c>
      <c r="K40" s="86" t="s">
        <v>3</v>
      </c>
      <c r="L40" s="86" t="s">
        <v>4</v>
      </c>
      <c r="M40" s="2"/>
      <c r="N40" s="8"/>
      <c r="P40" s="8"/>
      <c r="Q40" s="2"/>
      <c r="R40"/>
      <c r="S40" s="44">
        <f t="array" ref="S40">SUM(1*E41:E82)</f>
        <v>12</v>
      </c>
      <c r="U40" s="133" t="e">
        <v>#N/A</v>
      </c>
      <c r="V40" s="134" t="e">
        <v>#N/A</v>
      </c>
      <c r="Y40" s="32" t="str">
        <f>_xll.xlFutCode(H32)</f>
        <v>Z5</v>
      </c>
      <c r="Z40" s="29" t="str">
        <f>_xll.RtGet($AD$35,$AD$36&amp;$Y40&amp;$AD$37,Z$34)</f>
        <v>#N/A The record could not be found</v>
      </c>
      <c r="AA40" s="30" t="str">
        <f>_xll.RtGet($AD$35,$AD$36&amp;$Y40&amp;$AD$37,AA$34)</f>
        <v>#N/A The record could not be found</v>
      </c>
      <c r="AF40" s="32"/>
      <c r="AG40" s="29" t="str">
        <f>_xll.RtGet($AK$35,$AK$36&amp;$AF40&amp;"X"&amp;($AF40+$AK$39)&amp;$AK$37,AG$34)</f>
        <v>#N/A The record could not be found</v>
      </c>
      <c r="AH40" s="30" t="str">
        <f>_xll.RtGet($AK$35,$AK$36&amp;$AF40&amp;"X"&amp;($AF40+$AK$39)&amp;$AK$37,AH$34)</f>
        <v>#N/A The record could not be found</v>
      </c>
      <c r="AI40" s="6"/>
      <c r="AN40" s="6">
        <f>_xll.xlShmInterpDisc(CurveName,DATE(YEAR(AU40)+IF(YEAR(AU40)&lt;2000,100,0),MONTH(AU40),DAY(AU40)))</f>
        <v>0.50543569556315648</v>
      </c>
      <c r="AO40" s="215">
        <f>_xll.xlShmInterpRate(CurveName,$AO$2,$C$50,DATE(YEAR(AU40)+IF(YEAR(AU40)&lt;2000,100,0),MONTH(AU40),DAY(AU40)))*100</f>
        <v>3.7706597613381074</v>
      </c>
      <c r="AP40" s="6">
        <f t="shared" si="28"/>
        <v>0.1083361376975035</v>
      </c>
      <c r="AQ40" s="215">
        <f t="shared" si="10"/>
        <v>-1.084624882224813</v>
      </c>
      <c r="AR40" s="8" t="s">
        <v>72</v>
      </c>
      <c r="AS40" s="52">
        <v>41557</v>
      </c>
      <c r="AT40" s="8" t="s">
        <v>248</v>
      </c>
      <c r="AU40" s="52">
        <v>48498</v>
      </c>
      <c r="AV40" s="52" t="s">
        <v>203</v>
      </c>
      <c r="AW40" s="6">
        <v>0.39709955786565299</v>
      </c>
      <c r="AX40" s="6">
        <v>4.8552846435629204</v>
      </c>
      <c r="AY40" s="6" t="s">
        <v>193</v>
      </c>
      <c r="BA40" s="6">
        <v>4.99882256297919</v>
      </c>
      <c r="BB40" s="6">
        <v>0</v>
      </c>
      <c r="BC40" s="21" t="s">
        <v>17</v>
      </c>
      <c r="BD40" s="52"/>
      <c r="BF40"/>
    </row>
    <row r="41" spans="1:60" ht="11.25" customHeight="1">
      <c r="A41" s="6"/>
      <c r="B41" s="47" t="s">
        <v>99</v>
      </c>
      <c r="C41" s="102" t="s">
        <v>116</v>
      </c>
      <c r="D41" s="6"/>
      <c r="E41" s="137" t="b">
        <v>0</v>
      </c>
      <c r="F41" s="106">
        <f>IF(LEN(Y49)&gt;0,Y49,"")</f>
        <v>1</v>
      </c>
      <c r="G41" s="7"/>
      <c r="H41" s="7"/>
      <c r="I41" s="78" t="e">
        <f t="shared" ref="I41:I82" si="29">AVERAGE(Z49:AA49)</f>
        <v>#DIV/0!</v>
      </c>
      <c r="J41" s="49"/>
      <c r="K41" s="125"/>
      <c r="L41" s="49" t="e">
        <f t="shared" ref="L41:L82" si="30">IF(ISNUMBER(J41),J41,I41)+K41</f>
        <v>#DIV/0!</v>
      </c>
      <c r="M41" s="16">
        <v>1</v>
      </c>
      <c r="N41" s="17" t="str">
        <f t="shared" ref="N41:N82" si="31">IF(E41,M41,"")</f>
        <v/>
      </c>
      <c r="O41" s="44">
        <f>IF($S$40&gt;0,1,"")</f>
        <v>1</v>
      </c>
      <c r="P41" s="17">
        <f t="shared" ref="P41:P82" si="32">IF(LEN(O41)&gt;0,SMALL($N$41:$N$82,O41),"")</f>
        <v>2</v>
      </c>
      <c r="Q41" s="2"/>
      <c r="R41" s="35">
        <f t="shared" ref="R41:R82" si="33">IF(LEN(P41)&gt;0,INDEX($F$41:$F$82,$P41),"")</f>
        <v>2</v>
      </c>
      <c r="S41" s="40">
        <f t="shared" ref="S41:S82" si="34">IF(LEN(P41)&gt;0,INDEX($L$41:$L$82,$P41),"")</f>
        <v>2.4299999999999997</v>
      </c>
      <c r="U41" s="133" t="e">
        <v>#N/A</v>
      </c>
      <c r="V41" s="134" t="e">
        <v>#N/A</v>
      </c>
      <c r="Y41" s="32" t="str">
        <f>_xll.xlFutCode(H33)</f>
        <v>H6</v>
      </c>
      <c r="Z41" s="29" t="str">
        <f>_xll.RtGet($AD$35,$AD$36&amp;$Y41&amp;$AD$37,Z$34)</f>
        <v>#N/A The record could not be found</v>
      </c>
      <c r="AA41" s="30" t="str">
        <f>_xll.RtGet($AD$35,$AD$36&amp;$Y41&amp;$AD$37,AA$34)</f>
        <v>#N/A The record could not be found</v>
      </c>
      <c r="AF41" s="32"/>
      <c r="AG41" s="29" t="str">
        <f>_xll.RtGet($AK$35,$AK$36&amp;$AF41&amp;"X"&amp;($AF41+$AK$39)&amp;$AK$37,AG$34)</f>
        <v>#N/A The record could not be found</v>
      </c>
      <c r="AH41" s="30" t="str">
        <f>_xll.RtGet($AK$35,$AK$36&amp;$AF41&amp;"X"&amp;($AF41+$AK$39)&amp;$AK$37,AH$34)</f>
        <v>#N/A The record could not be found</v>
      </c>
      <c r="AI41" s="6"/>
      <c r="AJ41" s="6"/>
      <c r="AK41" s="6"/>
      <c r="AN41" s="6">
        <f>_xll.xlShmInterpDisc(CurveName,DATE(YEAR(AU41)+IF(YEAR(AU41)&lt;2000,100,0),MONTH(AU41),DAY(AU41)))</f>
        <v>0.49183778690382429</v>
      </c>
      <c r="AO41" s="215">
        <f>_xll.xlShmInterpRate(CurveName,$AO$2,$C$50,DATE(YEAR(AU41)+IF(YEAR(AU41)&lt;2000,100,0),MONTH(AU41),DAY(AU41)))*100</f>
        <v>3.7165490912314914</v>
      </c>
      <c r="AP41" s="6">
        <f t="shared" si="28"/>
        <v>0.1072158811854273</v>
      </c>
      <c r="AQ41" s="215">
        <f t="shared" si="10"/>
        <v>-1.0563466109816986</v>
      </c>
      <c r="AR41" s="8" t="s">
        <v>72</v>
      </c>
      <c r="AS41" s="52">
        <v>41557</v>
      </c>
      <c r="AT41" s="8" t="s">
        <v>248</v>
      </c>
      <c r="AU41" s="20">
        <v>48862</v>
      </c>
      <c r="AV41" s="52" t="s">
        <v>55</v>
      </c>
      <c r="AW41" s="6">
        <v>0.38462190571839699</v>
      </c>
      <c r="AX41" s="6">
        <v>4.7728957022131899</v>
      </c>
      <c r="BA41" s="6">
        <v>4.9450000000000003</v>
      </c>
      <c r="BB41" s="6">
        <v>0</v>
      </c>
      <c r="BC41" s="21" t="s">
        <v>17</v>
      </c>
      <c r="BD41" s="52"/>
    </row>
    <row r="42" spans="1:60" ht="11.25" customHeight="1">
      <c r="A42" s="6"/>
      <c r="B42" s="47" t="s">
        <v>100</v>
      </c>
      <c r="C42" s="102">
        <v>2</v>
      </c>
      <c r="D42" s="6"/>
      <c r="E42" s="129" t="b">
        <f>LEN(F42)&gt;0</f>
        <v>1</v>
      </c>
      <c r="F42" s="107">
        <f t="shared" ref="F42:F82" si="35">IF(LEN(Y50)&gt;0,Y50,"")</f>
        <v>2</v>
      </c>
      <c r="G42" s="7"/>
      <c r="I42" s="79">
        <f t="shared" si="29"/>
        <v>2.4299999999999997</v>
      </c>
      <c r="J42" s="50"/>
      <c r="K42" s="127"/>
      <c r="L42" s="50">
        <f t="shared" si="30"/>
        <v>2.4299999999999997</v>
      </c>
      <c r="M42" s="29">
        <f t="shared" ref="M42:M82" si="36">M41+1</f>
        <v>2</v>
      </c>
      <c r="N42" s="30">
        <f t="shared" si="31"/>
        <v>2</v>
      </c>
      <c r="O42" s="29">
        <f t="shared" ref="O42:O82" si="37">IF(O41&lt;$S$40,O41+1,"")</f>
        <v>2</v>
      </c>
      <c r="P42" s="30">
        <f t="shared" si="32"/>
        <v>3</v>
      </c>
      <c r="Q42" s="2"/>
      <c r="R42" s="26">
        <f t="shared" si="33"/>
        <v>3</v>
      </c>
      <c r="S42" s="41">
        <f t="shared" si="34"/>
        <v>2.5949999999999998</v>
      </c>
      <c r="U42" s="133" t="e">
        <v>#N/A</v>
      </c>
      <c r="V42" s="134" t="e">
        <v>#N/A</v>
      </c>
      <c r="Y42" s="32" t="str">
        <f>_xll.xlFutCode(H34)</f>
        <v>M6</v>
      </c>
      <c r="Z42" s="29" t="str">
        <f>_xll.RtGet($AD$35,$AD$36&amp;$Y42&amp;$AD$37,Z$34)</f>
        <v>#N/A The record could not be found</v>
      </c>
      <c r="AA42" s="30" t="str">
        <f>_xll.RtGet($AD$35,$AD$36&amp;$Y42&amp;$AD$37,AA$34)</f>
        <v>#N/A The record could not be found</v>
      </c>
      <c r="AF42" s="32"/>
      <c r="AG42" s="29" t="str">
        <f>_xll.RtGet($AK$35,$AK$36&amp;$AF42&amp;"X"&amp;($AF42+$AK$39)&amp;$AK$37,AG$34)</f>
        <v>#N/A The record could not be found</v>
      </c>
      <c r="AH42" s="30" t="str">
        <f>_xll.RtGet($AK$35,$AK$36&amp;$AF42&amp;"X"&amp;($AF42+$AK$39)&amp;$AK$37,AH$34)</f>
        <v>#N/A The record could not be found</v>
      </c>
      <c r="AI42" s="6"/>
      <c r="AJ42" s="6"/>
      <c r="AK42" s="6"/>
      <c r="AN42" s="6">
        <f>_xll.xlShmInterpDisc(CurveName,DATE(YEAR(AU42)+IF(YEAR(AU42)&lt;2000,100,0),MONTH(AU42),DAY(AU42)))</f>
        <v>0.47873113624224573</v>
      </c>
      <c r="AO42" s="215">
        <f>_xll.xlShmInterpRate(CurveName,$AO$2,$C$50,DATE(YEAR(AU42)+IF(YEAR(AU42)&lt;2000,100,0),MONTH(AU42),DAY(AU42)))*100</f>
        <v>3.6660061576154215</v>
      </c>
      <c r="AP42" s="6">
        <f t="shared" si="28"/>
        <v>0.10576811497915173</v>
      </c>
      <c r="AQ42" s="215">
        <f t="shared" si="10"/>
        <v>-1.0262610618784587</v>
      </c>
      <c r="AR42" s="8" t="s">
        <v>72</v>
      </c>
      <c r="AS42" s="52">
        <v>41557</v>
      </c>
      <c r="AT42" s="8" t="s">
        <v>248</v>
      </c>
      <c r="AU42" s="20">
        <v>49227</v>
      </c>
      <c r="AV42" s="52" t="s">
        <v>204</v>
      </c>
      <c r="AW42" s="6">
        <v>0.372963021263094</v>
      </c>
      <c r="AX42" s="6">
        <v>4.6922672194938801</v>
      </c>
      <c r="AY42" s="6" t="s">
        <v>193</v>
      </c>
      <c r="BA42" s="6">
        <v>4.8920580186097498</v>
      </c>
      <c r="BB42" s="6">
        <v>0</v>
      </c>
      <c r="BC42" s="21" t="s">
        <v>17</v>
      </c>
      <c r="BD42" s="52"/>
    </row>
    <row r="43" spans="1:60" ht="11.25" customHeight="1">
      <c r="A43" s="6"/>
      <c r="B43" s="48" t="s">
        <v>101</v>
      </c>
      <c r="C43" s="103" t="s">
        <v>115</v>
      </c>
      <c r="D43" s="6"/>
      <c r="E43" s="129" t="b">
        <f t="shared" ref="E43:E82" si="38">LEN(F43)&gt;0</f>
        <v>1</v>
      </c>
      <c r="F43" s="107">
        <f t="shared" si="35"/>
        <v>3</v>
      </c>
      <c r="G43" s="7"/>
      <c r="I43" s="79">
        <f t="shared" si="29"/>
        <v>2.5949999999999998</v>
      </c>
      <c r="J43" s="50"/>
      <c r="K43" s="127"/>
      <c r="L43" s="50">
        <f t="shared" si="30"/>
        <v>2.5949999999999998</v>
      </c>
      <c r="M43" s="29">
        <f t="shared" si="36"/>
        <v>3</v>
      </c>
      <c r="N43" s="30">
        <f t="shared" si="31"/>
        <v>3</v>
      </c>
      <c r="O43" s="29">
        <f t="shared" si="37"/>
        <v>3</v>
      </c>
      <c r="P43" s="30">
        <f t="shared" si="32"/>
        <v>4</v>
      </c>
      <c r="Q43" s="7"/>
      <c r="R43" s="26">
        <f t="shared" si="33"/>
        <v>4</v>
      </c>
      <c r="S43" s="41">
        <f t="shared" si="34"/>
        <v>2.76</v>
      </c>
      <c r="U43" s="133" t="e">
        <v>#N/A</v>
      </c>
      <c r="V43" s="134" t="e">
        <v>#N/A</v>
      </c>
      <c r="Y43" s="32" t="str">
        <f>_xll.xlFutCode(H35)</f>
        <v>U6</v>
      </c>
      <c r="Z43" s="29" t="str">
        <f>_xll.RtGet($AD$35,$AD$36&amp;$Y43&amp;$AD$37,Z$34)</f>
        <v>#N/A The record could not be found</v>
      </c>
      <c r="AA43" s="30" t="str">
        <f>_xll.RtGet($AD$35,$AD$36&amp;$Y43&amp;$AD$37,AA$34)</f>
        <v>#N/A The record could not be found</v>
      </c>
      <c r="AF43" s="32"/>
      <c r="AG43" s="29" t="str">
        <f>_xll.RtGet($AK$35,$AK$36&amp;$AF43&amp;"X"&amp;($AF43+$AK$39)&amp;$AK$37,AG$34)</f>
        <v>#N/A The record could not be found</v>
      </c>
      <c r="AH43" s="30" t="str">
        <f>_xll.RtGet($AK$35,$AK$36&amp;$AF43&amp;"X"&amp;($AF43+$AK$39)&amp;$AK$37,AH$34)</f>
        <v>#N/A The record could not be found</v>
      </c>
      <c r="AI43" s="6"/>
      <c r="AJ43" s="6"/>
      <c r="AK43" s="6"/>
      <c r="AN43" s="6">
        <f>_xll.xlShmInterpDisc(CurveName,DATE(YEAR(AU43)+IF(YEAR(AU43)&lt;2000,100,0),MONTH(AU43),DAY(AU43)))</f>
        <v>0.46149862569867722</v>
      </c>
      <c r="AO43" s="215">
        <f>_xll.xlShmInterpRate(CurveName,$AO$2,$C$50,DATE(YEAR(AU43)+IF(YEAR(AU43)&lt;2000,100,0),MONTH(AU43),DAY(AU43)))*100</f>
        <v>3.6660061576154215</v>
      </c>
      <c r="AP43" s="6">
        <f t="shared" si="28"/>
        <v>9.9279663384548245E-2</v>
      </c>
      <c r="AQ43" s="215">
        <f t="shared" si="10"/>
        <v>-0.9459115895127983</v>
      </c>
      <c r="AR43" s="8" t="s">
        <v>72</v>
      </c>
      <c r="AS43" s="52">
        <v>41557</v>
      </c>
      <c r="AT43" s="8" t="s">
        <v>248</v>
      </c>
      <c r="AU43" s="20">
        <v>49592</v>
      </c>
      <c r="AV43" s="52" t="s">
        <v>205</v>
      </c>
      <c r="AW43" s="6">
        <v>0.36221896231412898</v>
      </c>
      <c r="AX43" s="6">
        <v>4.6119177471282198</v>
      </c>
      <c r="AY43" s="6" t="s">
        <v>193</v>
      </c>
      <c r="BA43" s="6">
        <v>4.8391160372194797</v>
      </c>
      <c r="BB43" s="6">
        <v>0</v>
      </c>
      <c r="BC43" s="21" t="s">
        <v>17</v>
      </c>
      <c r="BD43" s="52"/>
    </row>
    <row r="44" spans="1:60" ht="11.25" customHeight="1">
      <c r="A44" s="6"/>
      <c r="B44" s="140" t="s">
        <v>143</v>
      </c>
      <c r="C44" s="93" t="b">
        <v>0</v>
      </c>
      <c r="D44" s="6"/>
      <c r="E44" s="129" t="b">
        <f t="shared" si="38"/>
        <v>1</v>
      </c>
      <c r="F44" s="107">
        <f t="shared" si="35"/>
        <v>4</v>
      </c>
      <c r="G44" s="7"/>
      <c r="I44" s="79">
        <f t="shared" si="29"/>
        <v>2.76</v>
      </c>
      <c r="J44" s="50"/>
      <c r="K44" s="127"/>
      <c r="L44" s="50">
        <f t="shared" si="30"/>
        <v>2.76</v>
      </c>
      <c r="M44" s="29">
        <f t="shared" si="36"/>
        <v>4</v>
      </c>
      <c r="N44" s="30">
        <f t="shared" si="31"/>
        <v>4</v>
      </c>
      <c r="O44" s="29">
        <f t="shared" si="37"/>
        <v>4</v>
      </c>
      <c r="P44" s="30">
        <f t="shared" si="32"/>
        <v>5</v>
      </c>
      <c r="Q44" s="7"/>
      <c r="R44" s="26">
        <f t="shared" si="33"/>
        <v>5</v>
      </c>
      <c r="S44" s="41">
        <f t="shared" si="34"/>
        <v>2.9400000000000004</v>
      </c>
      <c r="U44" s="133" t="e">
        <v>#N/A</v>
      </c>
      <c r="V44" s="134" t="e">
        <v>#N/A</v>
      </c>
      <c r="Y44" s="32" t="str">
        <f>_xll.xlFutCode(H36)</f>
        <v>Z6</v>
      </c>
      <c r="Z44" s="29" t="str">
        <f>_xll.RtGet($AD$35,$AD$36&amp;$Y44&amp;$AD$37,Z$34)</f>
        <v>#N/A The record could not be found</v>
      </c>
      <c r="AA44" s="30" t="str">
        <f>_xll.RtGet($AD$35,$AD$36&amp;$Y44&amp;$AD$37,AA$34)</f>
        <v>#N/A The record could not be found</v>
      </c>
      <c r="AF44" s="32"/>
      <c r="AG44" s="29" t="str">
        <f>_xll.RtGet($AK$35,$AK$36&amp;$AF44&amp;"X"&amp;($AF44+$AK$39)&amp;$AK$37,AG$34)</f>
        <v>#N/A The record could not be found</v>
      </c>
      <c r="AH44" s="30" t="str">
        <f>_xll.RtGet($AK$35,$AK$36&amp;$AF44&amp;"X"&amp;($AF44+$AK$39)&amp;$AK$37,AH$34)</f>
        <v>#N/A The record could not be found</v>
      </c>
      <c r="AI44" s="6"/>
      <c r="AJ44" s="6"/>
      <c r="AK44" s="6"/>
      <c r="AN44" s="6">
        <f>_xll.xlShmInterpDisc(CurveName,DATE(YEAR(AU44)+IF(YEAR(AU44)&lt;2000,100,0),MONTH(AU44),DAY(AU44)))</f>
        <v>0.44484173887663603</v>
      </c>
      <c r="AO44" s="215">
        <f>_xll.xlShmInterpRate(CurveName,$AO$2,$C$50,DATE(YEAR(AU44)+IF(YEAR(AU44)&lt;2000,100,0),MONTH(AU44),DAY(AU44)))*100</f>
        <v>3.6660061576154224</v>
      </c>
      <c r="AP44" s="6">
        <f t="shared" si="28"/>
        <v>9.2535439202173053E-2</v>
      </c>
      <c r="AQ44" s="215">
        <f t="shared" si="10"/>
        <v>-0.86556380507412722</v>
      </c>
      <c r="AR44" s="8" t="s">
        <v>72</v>
      </c>
      <c r="AS44" s="52">
        <v>41557</v>
      </c>
      <c r="AT44" s="8" t="s">
        <v>248</v>
      </c>
      <c r="AU44" s="20">
        <v>49958</v>
      </c>
      <c r="AV44" s="52" t="s">
        <v>206</v>
      </c>
      <c r="AW44" s="6">
        <v>0.35230629967446297</v>
      </c>
      <c r="AX44" s="6">
        <v>4.5315699626895496</v>
      </c>
      <c r="AY44" s="6" t="s">
        <v>193</v>
      </c>
      <c r="BA44" s="6">
        <v>4.7860290093048699</v>
      </c>
      <c r="BB44" s="6">
        <v>0</v>
      </c>
      <c r="BC44" s="21" t="s">
        <v>17</v>
      </c>
      <c r="BD44" s="52"/>
    </row>
    <row r="45" spans="1:60" ht="11.25" customHeight="1">
      <c r="A45" s="6"/>
      <c r="D45" s="6"/>
      <c r="E45" s="129" t="b">
        <v>1</v>
      </c>
      <c r="F45" s="107">
        <f t="shared" si="35"/>
        <v>5</v>
      </c>
      <c r="G45" s="7"/>
      <c r="I45" s="79">
        <f t="shared" si="29"/>
        <v>2.9400000000000004</v>
      </c>
      <c r="J45" s="50"/>
      <c r="K45" s="127"/>
      <c r="L45" s="50">
        <f t="shared" si="30"/>
        <v>2.9400000000000004</v>
      </c>
      <c r="M45" s="29">
        <f t="shared" si="36"/>
        <v>5</v>
      </c>
      <c r="N45" s="30">
        <f t="shared" si="31"/>
        <v>5</v>
      </c>
      <c r="O45" s="29">
        <f t="shared" si="37"/>
        <v>5</v>
      </c>
      <c r="P45" s="30">
        <f t="shared" si="32"/>
        <v>6</v>
      </c>
      <c r="Q45" s="7"/>
      <c r="R45" s="26">
        <f t="shared" si="33"/>
        <v>6</v>
      </c>
      <c r="S45" s="41">
        <f t="shared" si="34"/>
        <v>3.13</v>
      </c>
      <c r="U45" s="133" t="e">
        <v>#N/A</v>
      </c>
      <c r="V45" s="134" t="e">
        <v>#N/A</v>
      </c>
      <c r="Y45" s="32" t="str">
        <f>_xll.xlFutCode(H37)</f>
        <v>H7</v>
      </c>
      <c r="Z45" s="29" t="str">
        <f>_xll.RtGet($AD$35,$AD$36&amp;$Y45&amp;$AD$37,Z$34)</f>
        <v>#N/A The record could not be found</v>
      </c>
      <c r="AA45" s="30" t="str">
        <f>_xll.RtGet($AD$35,$AD$36&amp;$Y45&amp;$AD$37,AA$34)</f>
        <v>#N/A The record could not be found</v>
      </c>
      <c r="AF45" s="32"/>
      <c r="AG45" s="29" t="str">
        <f>_xll.RtGet($AK$35,$AK$36&amp;$AF45&amp;"X"&amp;($AF45+$AK$39)&amp;$AK$37,AG$34)</f>
        <v>#N/A The record could not be found</v>
      </c>
      <c r="AH45" s="30" t="str">
        <f>_xll.RtGet($AK$35,$AK$36&amp;$AF45&amp;"X"&amp;($AF45+$AK$39)&amp;$AK$37,AH$34)</f>
        <v>#N/A The record could not be found</v>
      </c>
      <c r="AI45" s="6"/>
      <c r="AJ45" s="6"/>
      <c r="AK45" s="6"/>
      <c r="AN45" s="6">
        <f>_xll.xlShmInterpDisc(CurveName,DATE(YEAR(AU45)+IF(YEAR(AU45)&lt;2000,100,0),MONTH(AU45),DAY(AU45)))</f>
        <v>0.42874298520591581</v>
      </c>
      <c r="AO45" s="215">
        <f>_xll.xlShmInterpRate(CurveName,$AO$2,$C$50,DATE(YEAR(AU45)+IF(YEAR(AU45)&lt;2000,100,0),MONTH(AU45),DAY(AU45)))*100</f>
        <v>3.6660061576154215</v>
      </c>
      <c r="AP45" s="6">
        <f t="shared" si="28"/>
        <v>8.5565399752043803E-2</v>
      </c>
      <c r="AQ45" s="215">
        <f t="shared" si="10"/>
        <v>-0.7851926649825085</v>
      </c>
      <c r="AR45" s="8" t="s">
        <v>72</v>
      </c>
      <c r="AS45" s="52">
        <v>41557</v>
      </c>
      <c r="AT45" s="8" t="s">
        <v>248</v>
      </c>
      <c r="AU45" s="20">
        <v>50325</v>
      </c>
      <c r="AV45" s="52" t="s">
        <v>207</v>
      </c>
      <c r="AW45" s="6">
        <v>0.343177585453872</v>
      </c>
      <c r="AX45" s="6">
        <v>4.45119882259793</v>
      </c>
      <c r="AY45" s="6" t="s">
        <v>193</v>
      </c>
      <c r="BA45" s="6">
        <v>4.7327969348658998</v>
      </c>
      <c r="BB45" s="6">
        <v>0</v>
      </c>
      <c r="BC45" s="21" t="s">
        <v>17</v>
      </c>
      <c r="BD45" s="52"/>
    </row>
    <row r="46" spans="1:60" ht="11.25" customHeight="1">
      <c r="A46" s="6"/>
      <c r="D46" s="6"/>
      <c r="E46" s="129" t="b">
        <f t="shared" si="38"/>
        <v>1</v>
      </c>
      <c r="F46" s="107">
        <f t="shared" si="35"/>
        <v>6</v>
      </c>
      <c r="G46" s="7"/>
      <c r="I46" s="79">
        <f t="shared" si="29"/>
        <v>3.13</v>
      </c>
      <c r="J46" s="50"/>
      <c r="K46" s="127"/>
      <c r="L46" s="50">
        <f t="shared" si="30"/>
        <v>3.13</v>
      </c>
      <c r="M46" s="29">
        <f t="shared" si="36"/>
        <v>6</v>
      </c>
      <c r="N46" s="30">
        <f t="shared" si="31"/>
        <v>6</v>
      </c>
      <c r="O46" s="29">
        <f t="shared" si="37"/>
        <v>6</v>
      </c>
      <c r="P46" s="30">
        <f t="shared" si="32"/>
        <v>7</v>
      </c>
      <c r="Q46" s="7"/>
      <c r="R46" s="26">
        <f t="shared" si="33"/>
        <v>7</v>
      </c>
      <c r="S46" s="41">
        <f t="shared" si="34"/>
        <v>3.3200000000000003</v>
      </c>
      <c r="U46" s="133" t="e">
        <v>#N/A</v>
      </c>
      <c r="V46" s="134" t="e">
        <v>#N/A</v>
      </c>
      <c r="Y46" s="33" t="str">
        <f>_xll.xlFutCode(H38)</f>
        <v>M7</v>
      </c>
      <c r="Z46" s="22" t="str">
        <f>_xll.RtGet($AD$35,$AD$36&amp;$Y46&amp;$AD$37,Z$34)</f>
        <v>#N/A The record could not be found</v>
      </c>
      <c r="AA46" s="23" t="str">
        <f>_xll.RtGet($AD$35,$AD$36&amp;$Y46&amp;$AD$37,AA$34)</f>
        <v>#N/A The record could not be found</v>
      </c>
      <c r="AF46" s="33"/>
      <c r="AG46" s="22" t="str">
        <f>_xll.RtGet($AK$35,$AK$36&amp;$AF46&amp;"X"&amp;($AF46+$AK$39)&amp;$AK$37,AG$34)</f>
        <v>#N/A The record could not be found</v>
      </c>
      <c r="AH46" s="23" t="str">
        <f>_xll.RtGet($AK$35,$AK$36&amp;$AF46&amp;"X"&amp;($AF46+$AK$39)&amp;$AK$37,AH$34)</f>
        <v>#N/A The record could not be found</v>
      </c>
      <c r="AI46" s="6"/>
      <c r="AJ46" s="6"/>
      <c r="AK46" s="6"/>
      <c r="AN46" s="6">
        <f>_xll.xlShmInterpDisc(CurveName,DATE(YEAR(AU46)+IF(YEAR(AU46)&lt;2000,100,0),MONTH(AU46),DAY(AU46)))</f>
        <v>0.41335137338269273</v>
      </c>
      <c r="AO46" s="215">
        <f>_xll.xlShmInterpRate(CurveName,$AO$2,$C$50,DATE(YEAR(AU46)+IF(YEAR(AU46)&lt;2000,100,0),MONTH(AU46),DAY(AU46)))*100</f>
        <v>3.6660061576154215</v>
      </c>
      <c r="AP46" s="6">
        <f t="shared" si="28"/>
        <v>7.8477462337715742E-2</v>
      </c>
      <c r="AQ46" s="215">
        <f t="shared" si="10"/>
        <v>-0.70568684737724841</v>
      </c>
      <c r="AR46" s="8" t="s">
        <v>72</v>
      </c>
      <c r="AS46" s="52">
        <v>41557</v>
      </c>
      <c r="AT46" s="8" t="s">
        <v>248</v>
      </c>
      <c r="AU46" s="20">
        <v>50689</v>
      </c>
      <c r="AV46" s="52" t="s">
        <v>56</v>
      </c>
      <c r="AW46" s="6">
        <v>0.33487391104497699</v>
      </c>
      <c r="AX46" s="6">
        <v>4.3716930049926699</v>
      </c>
      <c r="BA46" s="6">
        <v>4.68</v>
      </c>
      <c r="BB46" s="6">
        <v>0</v>
      </c>
      <c r="BC46" s="21" t="s">
        <v>17</v>
      </c>
      <c r="BD46" s="52"/>
    </row>
    <row r="47" spans="1:60" ht="11.25" customHeight="1">
      <c r="A47" s="6"/>
      <c r="D47" s="6"/>
      <c r="E47" s="129" t="b">
        <f t="shared" si="38"/>
        <v>1</v>
      </c>
      <c r="F47" s="107">
        <f t="shared" si="35"/>
        <v>7</v>
      </c>
      <c r="G47" s="7"/>
      <c r="I47" s="79">
        <f t="shared" si="29"/>
        <v>3.3200000000000003</v>
      </c>
      <c r="J47" s="50"/>
      <c r="K47" s="127"/>
      <c r="L47" s="50">
        <f t="shared" si="30"/>
        <v>3.3200000000000003</v>
      </c>
      <c r="M47" s="29">
        <f t="shared" si="36"/>
        <v>7</v>
      </c>
      <c r="N47" s="30">
        <f t="shared" si="31"/>
        <v>7</v>
      </c>
      <c r="O47" s="29">
        <f t="shared" si="37"/>
        <v>7</v>
      </c>
      <c r="P47" s="30">
        <f t="shared" si="32"/>
        <v>8</v>
      </c>
      <c r="Q47" s="7"/>
      <c r="R47" s="26">
        <f t="shared" si="33"/>
        <v>8</v>
      </c>
      <c r="S47" s="41">
        <f t="shared" si="34"/>
        <v>3.4950000000000001</v>
      </c>
      <c r="U47" s="133" t="e">
        <v>#N/A</v>
      </c>
      <c r="V47" s="134" t="e">
        <v>#N/A</v>
      </c>
      <c r="AI47" s="6"/>
      <c r="AJ47" s="6"/>
      <c r="AK47" s="6"/>
      <c r="AN47" s="6">
        <f>_xll.xlShmInterpDisc(CurveName,DATE(YEAR(AU47)+IF(YEAR(AU47)&lt;2000,100,0),MONTH(AU47),DAY(AU47)))</f>
        <v>0.39851231104177315</v>
      </c>
      <c r="AO47" s="215">
        <f>_xll.xlShmInterpRate(CurveName,$AO$2,$C$50,DATE(YEAR(AU47)+IF(YEAR(AU47)&lt;2000,100,0),MONTH(AU47),DAY(AU47)))*100</f>
        <v>3.6660061576154215</v>
      </c>
      <c r="AP47" s="6">
        <f t="shared" si="28"/>
        <v>7.2899423873657165E-2</v>
      </c>
      <c r="AQ47" s="215">
        <f t="shared" si="10"/>
        <v>-0.64592071169453824</v>
      </c>
      <c r="AR47" s="8" t="s">
        <v>72</v>
      </c>
      <c r="AS47" s="52">
        <v>41557</v>
      </c>
      <c r="AT47" s="8" t="s">
        <v>248</v>
      </c>
      <c r="AU47" s="20">
        <v>51053</v>
      </c>
      <c r="AV47" s="52" t="s">
        <v>208</v>
      </c>
      <c r="AW47" s="6">
        <v>0.32561288716811598</v>
      </c>
      <c r="AX47" s="6">
        <v>4.3119268693099597</v>
      </c>
      <c r="AY47" s="6" t="s">
        <v>193</v>
      </c>
      <c r="BA47" s="6">
        <v>4.6391570881225999</v>
      </c>
      <c r="BB47" s="6">
        <v>0</v>
      </c>
      <c r="BC47" s="21" t="s">
        <v>17</v>
      </c>
      <c r="BD47" s="52"/>
    </row>
    <row r="48" spans="1:60" ht="11.25" customHeight="1">
      <c r="A48" s="6"/>
      <c r="D48" s="6"/>
      <c r="E48" s="129" t="b">
        <f t="shared" si="38"/>
        <v>1</v>
      </c>
      <c r="F48" s="107">
        <f t="shared" si="35"/>
        <v>8</v>
      </c>
      <c r="G48" s="7"/>
      <c r="I48" s="79">
        <f t="shared" si="29"/>
        <v>3.4950000000000001</v>
      </c>
      <c r="J48" s="50"/>
      <c r="K48" s="127"/>
      <c r="L48" s="50">
        <f t="shared" si="30"/>
        <v>3.4950000000000001</v>
      </c>
      <c r="M48" s="29">
        <f t="shared" si="36"/>
        <v>8</v>
      </c>
      <c r="N48" s="30">
        <f t="shared" si="31"/>
        <v>8</v>
      </c>
      <c r="O48" s="29">
        <f t="shared" si="37"/>
        <v>8</v>
      </c>
      <c r="P48" s="30">
        <f t="shared" si="32"/>
        <v>9</v>
      </c>
      <c r="Q48" s="7"/>
      <c r="R48" s="26">
        <f t="shared" si="33"/>
        <v>9</v>
      </c>
      <c r="S48" s="41">
        <f t="shared" si="34"/>
        <v>3.6500000000000004</v>
      </c>
      <c r="U48" s="133" t="e">
        <v>#N/A</v>
      </c>
      <c r="V48" s="134" t="e">
        <v>#N/A</v>
      </c>
      <c r="Y48" s="10" t="s">
        <v>80</v>
      </c>
      <c r="Z48" s="11" t="s">
        <v>5</v>
      </c>
      <c r="AA48" s="12" t="s">
        <v>6</v>
      </c>
      <c r="AN48" s="6">
        <f>_xll.xlShmInterpDisc(CurveName,DATE(YEAR(AU48)+IF(YEAR(AU48)&lt;2000,100,0),MONTH(AU48),DAY(AU48)))</f>
        <v>0.38412879158456253</v>
      </c>
      <c r="AO48" s="215">
        <f>_xll.xlShmInterpRate(CurveName,$AO$2,$C$50,DATE(YEAR(AU48)+IF(YEAR(AU48)&lt;2000,100,0),MONTH(AU48),DAY(AU48)))*100</f>
        <v>3.6660061576154215</v>
      </c>
      <c r="AP48" s="6">
        <f t="shared" si="28"/>
        <v>6.7161739616650562E-2</v>
      </c>
      <c r="AQ48" s="215">
        <f t="shared" si="10"/>
        <v>-0.58550913378253888</v>
      </c>
      <c r="AR48" s="8" t="s">
        <v>72</v>
      </c>
      <c r="AS48" s="52">
        <v>41557</v>
      </c>
      <c r="AT48" s="8" t="s">
        <v>248</v>
      </c>
      <c r="AU48" s="20">
        <v>51419</v>
      </c>
      <c r="AV48" s="52" t="s">
        <v>209</v>
      </c>
      <c r="AW48" s="6">
        <v>0.31696705196791197</v>
      </c>
      <c r="AX48" s="6">
        <v>4.2515152913979604</v>
      </c>
      <c r="AY48" s="6" t="s">
        <v>193</v>
      </c>
      <c r="BA48" s="6">
        <v>4.5980897646414904</v>
      </c>
      <c r="BB48" s="6">
        <v>0</v>
      </c>
      <c r="BC48" s="21" t="s">
        <v>17</v>
      </c>
      <c r="BD48" s="52"/>
    </row>
    <row r="49" spans="1:56" ht="11.25" customHeight="1">
      <c r="A49" s="6"/>
      <c r="D49" s="6"/>
      <c r="E49" s="129" t="b">
        <f t="shared" si="38"/>
        <v>1</v>
      </c>
      <c r="F49" s="107">
        <f t="shared" si="35"/>
        <v>9</v>
      </c>
      <c r="G49" s="7"/>
      <c r="I49" s="79">
        <f t="shared" si="29"/>
        <v>3.6500000000000004</v>
      </c>
      <c r="J49" s="50"/>
      <c r="K49" s="127"/>
      <c r="L49" s="50">
        <f t="shared" si="30"/>
        <v>3.6500000000000004</v>
      </c>
      <c r="M49" s="29">
        <f t="shared" si="36"/>
        <v>9</v>
      </c>
      <c r="N49" s="30">
        <f t="shared" si="31"/>
        <v>9</v>
      </c>
      <c r="O49" s="29">
        <f t="shared" si="37"/>
        <v>9</v>
      </c>
      <c r="P49" s="30">
        <f t="shared" si="32"/>
        <v>10</v>
      </c>
      <c r="Q49" s="7"/>
      <c r="R49" s="26">
        <f t="shared" si="33"/>
        <v>10</v>
      </c>
      <c r="S49" s="41">
        <f t="shared" si="34"/>
        <v>3.77</v>
      </c>
      <c r="U49" s="133" t="e">
        <v>#N/A</v>
      </c>
      <c r="V49" s="134" t="e">
        <v>#N/A</v>
      </c>
      <c r="Y49" s="36">
        <v>1</v>
      </c>
      <c r="Z49" s="16" t="str">
        <f>_xll.RtGet($AD$50,$AD$51&amp;$Y49&amp;$AD$52,Z$48)</f>
        <v>#N/A The record could not be found</v>
      </c>
      <c r="AA49" s="17" t="str">
        <f>_xll.RtGet($AD$50,$AD$51&amp;$Y49&amp;$AD$52,AA$48)</f>
        <v>#N/A The record could not be found</v>
      </c>
      <c r="AN49" s="6">
        <f>_xll.xlShmInterpDisc(CurveName,DATE(YEAR(AU49)+IF(YEAR(AU49)&lt;2000,100,0),MONTH(AU49),DAY(AU49)))</f>
        <v>0.37030160770212622</v>
      </c>
      <c r="AO49" s="215">
        <f>_xll.xlShmInterpRate(CurveName,$AO$2,$C$50,DATE(YEAR(AU49)+IF(YEAR(AU49)&lt;2000,100,0),MONTH(AU49),DAY(AU49)))*100</f>
        <v>3.6660061576154215</v>
      </c>
      <c r="AP49" s="6">
        <f t="shared" si="28"/>
        <v>6.1332315623835232E-2</v>
      </c>
      <c r="AQ49" s="215">
        <f t="shared" si="10"/>
        <v>-0.52499380009996877</v>
      </c>
      <c r="AR49" s="8" t="s">
        <v>72</v>
      </c>
      <c r="AS49" s="52">
        <v>41557</v>
      </c>
      <c r="AT49" s="8" t="s">
        <v>248</v>
      </c>
      <c r="AU49" s="20">
        <v>51784</v>
      </c>
      <c r="AV49" s="52" t="s">
        <v>210</v>
      </c>
      <c r="AW49" s="6">
        <v>0.30896929207829099</v>
      </c>
      <c r="AX49" s="6">
        <v>4.1909999577153902</v>
      </c>
      <c r="AY49" s="6" t="s">
        <v>193</v>
      </c>
      <c r="BA49" s="6">
        <v>4.5571346469622203</v>
      </c>
      <c r="BB49" s="6">
        <v>0</v>
      </c>
      <c r="BC49" s="21" t="s">
        <v>17</v>
      </c>
      <c r="BD49" s="52"/>
    </row>
    <row r="50" spans="1:56" ht="11.25" customHeight="1">
      <c r="A50" s="6"/>
      <c r="B50" s="56" t="s">
        <v>87</v>
      </c>
      <c r="C50" s="57">
        <f>VLOOKUP(C10,dvCurveBootstrapperDayCount,2,FALSE)</f>
        <v>5</v>
      </c>
      <c r="D50" s="6"/>
      <c r="E50" s="129" t="b">
        <f t="shared" si="38"/>
        <v>1</v>
      </c>
      <c r="F50" s="107">
        <f t="shared" si="35"/>
        <v>10</v>
      </c>
      <c r="G50" s="7"/>
      <c r="I50" s="79">
        <f t="shared" si="29"/>
        <v>3.77</v>
      </c>
      <c r="J50" s="50"/>
      <c r="K50" s="127"/>
      <c r="L50" s="50">
        <f t="shared" si="30"/>
        <v>3.77</v>
      </c>
      <c r="M50" s="29">
        <f t="shared" si="36"/>
        <v>10</v>
      </c>
      <c r="N50" s="30">
        <f t="shared" si="31"/>
        <v>10</v>
      </c>
      <c r="O50" s="29">
        <f t="shared" si="37"/>
        <v>10</v>
      </c>
      <c r="P50" s="30">
        <f t="shared" si="32"/>
        <v>11</v>
      </c>
      <c r="Q50" s="7"/>
      <c r="R50" s="26">
        <f t="shared" si="33"/>
        <v>12</v>
      </c>
      <c r="S50" s="41">
        <f t="shared" si="34"/>
        <v>3.9249999999999998</v>
      </c>
      <c r="U50" s="133" t="e">
        <v>#N/A</v>
      </c>
      <c r="V50" s="134" t="e">
        <v>#N/A</v>
      </c>
      <c r="Y50" s="37">
        <v>2</v>
      </c>
      <c r="Z50" s="29">
        <f>_xll.RtGet($AD$50,$AD$51&amp;$Y50&amp;$AD$52,Z$48)</f>
        <v>2.4</v>
      </c>
      <c r="AA50" s="30">
        <f>_xll.RtGet($AD$50,$AD$51&amp;$Y50&amp;$AD$52,AA$48)</f>
        <v>2.46</v>
      </c>
      <c r="AC50" s="13" t="s">
        <v>14</v>
      </c>
      <c r="AD50" s="71" t="s">
        <v>62</v>
      </c>
      <c r="AN50" s="6">
        <f>_xll.xlShmInterpDisc(CurveName,DATE(YEAR(AU50)+IF(YEAR(AU50)&lt;2000,100,0),MONTH(AU50),DAY(AU50)))</f>
        <v>0.3569721501508249</v>
      </c>
      <c r="AO50" s="215">
        <f>_xll.xlShmInterpRate(CurveName,$AO$2,$C$50,DATE(YEAR(AU50)+IF(YEAR(AU50)&lt;2000,100,0),MONTH(AU50),DAY(AU50)))*100</f>
        <v>3.6660061576154215</v>
      </c>
      <c r="AP50" s="6">
        <f t="shared" si="28"/>
        <v>5.5412890119569902E-2</v>
      </c>
      <c r="AQ50" s="215">
        <f t="shared" si="10"/>
        <v>-0.4642363096036588</v>
      </c>
      <c r="AR50" s="8" t="s">
        <v>72</v>
      </c>
      <c r="AS50" s="52">
        <v>41557</v>
      </c>
      <c r="AT50" s="8" t="s">
        <v>248</v>
      </c>
      <c r="AU50" s="20">
        <v>52149</v>
      </c>
      <c r="AV50" s="52" t="s">
        <v>211</v>
      </c>
      <c r="AW50" s="6">
        <v>0.30155926003125499</v>
      </c>
      <c r="AX50" s="6">
        <v>4.1302424672190803</v>
      </c>
      <c r="AY50" s="6" t="s">
        <v>193</v>
      </c>
      <c r="BA50" s="6">
        <v>4.5161795292829696</v>
      </c>
      <c r="BB50" s="6">
        <v>0</v>
      </c>
      <c r="BC50" s="21" t="s">
        <v>17</v>
      </c>
      <c r="BD50" s="52"/>
    </row>
    <row r="51" spans="1:56" ht="11.25" customHeight="1">
      <c r="A51" s="6"/>
      <c r="D51" s="6"/>
      <c r="E51" s="129" t="b">
        <f t="shared" si="38"/>
        <v>1</v>
      </c>
      <c r="F51" s="107">
        <f t="shared" si="35"/>
        <v>12</v>
      </c>
      <c r="G51" s="7"/>
      <c r="I51" s="79">
        <f t="shared" si="29"/>
        <v>3.9249999999999998</v>
      </c>
      <c r="J51" s="50"/>
      <c r="K51" s="127"/>
      <c r="L51" s="50">
        <f t="shared" si="30"/>
        <v>3.9249999999999998</v>
      </c>
      <c r="M51" s="29">
        <f t="shared" si="36"/>
        <v>11</v>
      </c>
      <c r="N51" s="30">
        <f t="shared" si="31"/>
        <v>11</v>
      </c>
      <c r="O51" s="29">
        <f t="shared" si="37"/>
        <v>11</v>
      </c>
      <c r="P51" s="30">
        <f t="shared" si="32"/>
        <v>12</v>
      </c>
      <c r="Q51" s="7"/>
      <c r="R51" s="26">
        <f t="shared" si="33"/>
        <v>15</v>
      </c>
      <c r="S51" s="41">
        <f t="shared" si="34"/>
        <v>3.915</v>
      </c>
      <c r="U51" s="133" t="e">
        <v>#N/A</v>
      </c>
      <c r="V51" s="134" t="e">
        <v>#N/A</v>
      </c>
      <c r="Y51" s="37">
        <v>3</v>
      </c>
      <c r="Z51" s="29">
        <f>_xll.RtGet($AD$50,$AD$51&amp;$Y51&amp;$AD$52,Z$48)</f>
        <v>2.5649999999999999</v>
      </c>
      <c r="AA51" s="30">
        <f>_xll.RtGet($AD$50,$AD$51&amp;$Y51&amp;$AD$52,AA$48)</f>
        <v>2.625</v>
      </c>
      <c r="AC51" s="18" t="s">
        <v>20</v>
      </c>
      <c r="AD51" s="72" t="s">
        <v>226</v>
      </c>
      <c r="AN51" s="6">
        <f>_xll.xlShmInterpDisc(CurveName,DATE(YEAR(AU51)+IF(YEAR(AU51)&lt;2000,100,0),MONTH(AU51),DAY(AU51)))</f>
        <v>0.344053383294329</v>
      </c>
      <c r="AO51" s="215">
        <f>_xll.xlShmInterpRate(CurveName,$AO$2,$C$50,DATE(YEAR(AU51)+IF(YEAR(AU51)&lt;2000,100,0),MONTH(AU51),DAY(AU51)))*100</f>
        <v>3.6660061576154215</v>
      </c>
      <c r="AP51" s="6">
        <f t="shared" si="28"/>
        <v>4.9385631550960984E-2</v>
      </c>
      <c r="AQ51" s="215">
        <f t="shared" si="10"/>
        <v>-0.40292906965236863</v>
      </c>
      <c r="AR51" s="8" t="s">
        <v>72</v>
      </c>
      <c r="AS51" s="52">
        <v>41557</v>
      </c>
      <c r="AT51" s="8" t="s">
        <v>248</v>
      </c>
      <c r="AU51" s="20">
        <v>52516</v>
      </c>
      <c r="AV51" s="52" t="s">
        <v>57</v>
      </c>
      <c r="AW51" s="6">
        <v>0.29466775174336801</v>
      </c>
      <c r="AX51" s="6">
        <v>4.0689352272677901</v>
      </c>
      <c r="BA51" s="6">
        <v>4.4749999999999996</v>
      </c>
      <c r="BB51" s="6">
        <v>0</v>
      </c>
      <c r="BC51" s="21" t="s">
        <v>17</v>
      </c>
      <c r="BD51" s="52"/>
    </row>
    <row r="52" spans="1:56" ht="11.25" customHeight="1">
      <c r="B52" s="64" t="s">
        <v>81</v>
      </c>
      <c r="C52" s="64" t="s">
        <v>82</v>
      </c>
      <c r="E52" s="129" t="b">
        <f t="shared" si="38"/>
        <v>1</v>
      </c>
      <c r="F52" s="107">
        <f t="shared" si="35"/>
        <v>15</v>
      </c>
      <c r="G52" s="7"/>
      <c r="I52" s="79">
        <f t="shared" si="29"/>
        <v>3.915</v>
      </c>
      <c r="J52" s="50"/>
      <c r="K52" s="127"/>
      <c r="L52" s="50">
        <f t="shared" si="30"/>
        <v>3.915</v>
      </c>
      <c r="M52" s="29">
        <f t="shared" si="36"/>
        <v>12</v>
      </c>
      <c r="N52" s="30">
        <f t="shared" si="31"/>
        <v>12</v>
      </c>
      <c r="O52" s="29">
        <f t="shared" si="37"/>
        <v>12</v>
      </c>
      <c r="P52" s="30">
        <f t="shared" si="32"/>
        <v>13</v>
      </c>
      <c r="Q52" s="7"/>
      <c r="R52" s="26">
        <f t="shared" si="33"/>
        <v>20</v>
      </c>
      <c r="S52" s="41">
        <f t="shared" si="34"/>
        <v>3.73</v>
      </c>
      <c r="U52" s="133" t="e">
        <v>#N/A</v>
      </c>
      <c r="V52" s="134" t="e">
        <v>#N/A</v>
      </c>
      <c r="Y52" s="37">
        <v>4</v>
      </c>
      <c r="Z52" s="29">
        <f>_xll.RtGet($AD$50,$AD$51&amp;$Y52&amp;$AD$52,Z$48)</f>
        <v>2.73</v>
      </c>
      <c r="AA52" s="30">
        <f>_xll.RtGet($AD$50,$AD$51&amp;$Y52&amp;$AD$52,AA$48)</f>
        <v>2.79</v>
      </c>
      <c r="AC52" s="24" t="s">
        <v>24</v>
      </c>
      <c r="AD52" s="73" t="s">
        <v>155</v>
      </c>
      <c r="AN52" s="6" t="str">
        <f>_xll.xlShmInterpDisc(CurveName,DATE(YEAR(AU52)+IF(YEAR(AU52)&lt;2000,100,0),MONTH(AU52),DAY(AU52)))</f>
        <v>Date before first TermStructure's date.</v>
      </c>
      <c r="AO52" s="215" t="e">
        <f>_xll.xlShmInterpRate(CurveName,$AO$2,$C$50,DATE(YEAR(AU52)+IF(YEAR(AU52)&lt;2000,100,0),MONTH(AU52),DAY(AU52)))*100</f>
        <v>#VALUE!</v>
      </c>
      <c r="AP52" s="6" t="e">
        <f t="shared" si="28"/>
        <v>#VALUE!</v>
      </c>
      <c r="AQ52" s="215" t="e">
        <f t="shared" si="10"/>
        <v>#VALUE!</v>
      </c>
      <c r="AR52" s="8"/>
      <c r="AS52" s="52"/>
      <c r="AT52" s="8"/>
      <c r="AU52" s="20"/>
      <c r="AV52" s="52"/>
      <c r="BC52" s="21"/>
      <c r="BD52" s="52"/>
    </row>
    <row r="53" spans="1:56" ht="11.25" customHeight="1">
      <c r="B53" s="58" t="str">
        <f>"DiscCurveName"&amp;IF(ISBLANK(C6),"","#"&amp;C6)</f>
        <v>DiscCurveName</v>
      </c>
      <c r="C53" s="59"/>
      <c r="E53" s="129" t="b">
        <f t="shared" si="38"/>
        <v>1</v>
      </c>
      <c r="F53" s="107">
        <f t="shared" si="35"/>
        <v>20</v>
      </c>
      <c r="G53" s="7"/>
      <c r="I53" s="79">
        <f t="shared" si="29"/>
        <v>3.73</v>
      </c>
      <c r="J53" s="50"/>
      <c r="K53" s="127"/>
      <c r="L53" s="50">
        <f t="shared" si="30"/>
        <v>3.73</v>
      </c>
      <c r="M53" s="29">
        <f t="shared" si="36"/>
        <v>13</v>
      </c>
      <c r="N53" s="30">
        <f t="shared" si="31"/>
        <v>13</v>
      </c>
      <c r="O53" s="29" t="str">
        <f t="shared" si="37"/>
        <v/>
      </c>
      <c r="P53" s="30" t="str">
        <f t="shared" si="32"/>
        <v/>
      </c>
      <c r="Q53" s="7"/>
      <c r="R53" s="26" t="str">
        <f t="shared" si="33"/>
        <v/>
      </c>
      <c r="S53" s="41" t="str">
        <f t="shared" si="34"/>
        <v/>
      </c>
      <c r="U53" s="133" t="e">
        <v>#N/A</v>
      </c>
      <c r="V53" s="134" t="e">
        <v>#N/A</v>
      </c>
      <c r="Y53" s="37">
        <v>5</v>
      </c>
      <c r="Z53" s="29">
        <f>_xll.RtGet($AD$50,$AD$51&amp;$Y53&amp;$AD$52,Z$48)</f>
        <v>2.91</v>
      </c>
      <c r="AA53" s="30">
        <f>_xll.RtGet($AD$50,$AD$51&amp;$Y53&amp;$AD$52,AA$48)</f>
        <v>2.97</v>
      </c>
      <c r="AN53" s="6" t="str">
        <f>_xll.xlShmInterpDisc(CurveName,DATE(YEAR(AU53)+IF(YEAR(AU53)&lt;2000,100,0),MONTH(AU53),DAY(AU53)))</f>
        <v>Date before first TermStructure's date.</v>
      </c>
      <c r="AO53" s="215" t="e">
        <f>_xll.xlShmInterpRate(CurveName,$AO$2,$C$50,DATE(YEAR(AU53)+IF(YEAR(AU53)&lt;2000,100,0),MONTH(AU53),DAY(AU53)))*100</f>
        <v>#VALUE!</v>
      </c>
      <c r="AP53" s="6" t="e">
        <f t="shared" si="28"/>
        <v>#VALUE!</v>
      </c>
      <c r="AQ53" s="215" t="e">
        <f t="shared" si="10"/>
        <v>#VALUE!</v>
      </c>
      <c r="AR53" s="8"/>
      <c r="AS53" s="52"/>
      <c r="AT53" s="8"/>
      <c r="AU53" s="20"/>
      <c r="AV53" s="52"/>
      <c r="BC53" s="21"/>
      <c r="BD53" s="52"/>
    </row>
    <row r="54" spans="1:56" ht="11.25" customHeight="1">
      <c r="B54" s="58" t="str">
        <f>"BlockOrder"&amp;IF(ISBLANK(C30),"","#"&amp;C30)</f>
        <v>BlockOrder#213</v>
      </c>
      <c r="C54" s="59"/>
      <c r="E54" s="129" t="b">
        <f t="shared" si="38"/>
        <v>0</v>
      </c>
      <c r="F54" s="107" t="str">
        <f t="shared" si="35"/>
        <v/>
      </c>
      <c r="G54" s="7"/>
      <c r="H54" s="7"/>
      <c r="I54" s="79" t="e">
        <f t="shared" si="29"/>
        <v>#DIV/0!</v>
      </c>
      <c r="J54" s="50"/>
      <c r="K54" s="127"/>
      <c r="L54" s="50" t="e">
        <f t="shared" si="30"/>
        <v>#DIV/0!</v>
      </c>
      <c r="M54" s="29">
        <f t="shared" si="36"/>
        <v>14</v>
      </c>
      <c r="N54" s="30" t="str">
        <f t="shared" si="31"/>
        <v/>
      </c>
      <c r="O54" s="29" t="str">
        <f t="shared" si="37"/>
        <v/>
      </c>
      <c r="P54" s="30" t="str">
        <f t="shared" si="32"/>
        <v/>
      </c>
      <c r="Q54" s="7"/>
      <c r="R54" s="26" t="str">
        <f t="shared" si="33"/>
        <v/>
      </c>
      <c r="S54" s="41" t="str">
        <f t="shared" si="34"/>
        <v/>
      </c>
      <c r="U54" s="133" t="e">
        <v>#N/A</v>
      </c>
      <c r="V54" s="134" t="e">
        <v>#N/A</v>
      </c>
      <c r="Y54" s="37">
        <v>6</v>
      </c>
      <c r="Z54" s="29">
        <f>_xll.RtGet($AD$50,$AD$51&amp;$Y54&amp;$AD$52,Z$48)</f>
        <v>3.1</v>
      </c>
      <c r="AA54" s="30">
        <f>_xll.RtGet($AD$50,$AD$51&amp;$Y54&amp;$AD$52,AA$48)</f>
        <v>3.16</v>
      </c>
      <c r="AN54" s="6" t="str">
        <f>_xll.xlShmInterpDisc(CurveName,DATE(YEAR(AU54)+IF(YEAR(AU54)&lt;2000,100,0),MONTH(AU54),DAY(AU54)))</f>
        <v>Date before first TermStructure's date.</v>
      </c>
      <c r="AO54" s="215" t="e">
        <f>_xll.xlShmInterpRate(CurveName,$AO$2,$C$50,DATE(YEAR(AU54)+IF(YEAR(AU54)&lt;2000,100,0),MONTH(AU54),DAY(AU54)))*100</f>
        <v>#VALUE!</v>
      </c>
      <c r="AP54" s="6" t="e">
        <f t="shared" si="28"/>
        <v>#VALUE!</v>
      </c>
      <c r="AQ54" s="215" t="e">
        <f t="shared" si="10"/>
        <v>#VALUE!</v>
      </c>
      <c r="AR54" s="8"/>
      <c r="AS54" s="52"/>
      <c r="AT54" s="8"/>
      <c r="AU54" s="20"/>
      <c r="AV54" s="52"/>
      <c r="BC54" s="21"/>
      <c r="BD54" s="52"/>
    </row>
    <row r="55" spans="1:56" ht="11.25" customHeight="1">
      <c r="B55" s="58" t="str">
        <f>"MatBlockCons"&amp;IF(ISBLANK(C33),"","#"&amp;C33)</f>
        <v>MatBlockCons#on</v>
      </c>
      <c r="C55" s="59"/>
      <c r="E55" s="129" t="b">
        <f t="shared" si="38"/>
        <v>0</v>
      </c>
      <c r="F55" s="107" t="str">
        <f t="shared" si="35"/>
        <v/>
      </c>
      <c r="G55" s="7"/>
      <c r="H55" s="7"/>
      <c r="I55" s="79" t="e">
        <f t="shared" si="29"/>
        <v>#DIV/0!</v>
      </c>
      <c r="J55" s="50"/>
      <c r="K55" s="127"/>
      <c r="L55" s="50" t="e">
        <f t="shared" si="30"/>
        <v>#DIV/0!</v>
      </c>
      <c r="M55" s="29">
        <f t="shared" si="36"/>
        <v>15</v>
      </c>
      <c r="N55" s="30" t="str">
        <f t="shared" si="31"/>
        <v/>
      </c>
      <c r="O55" s="29" t="str">
        <f t="shared" si="37"/>
        <v/>
      </c>
      <c r="P55" s="30" t="str">
        <f t="shared" si="32"/>
        <v/>
      </c>
      <c r="Q55" s="7"/>
      <c r="R55" s="26" t="str">
        <f t="shared" si="33"/>
        <v/>
      </c>
      <c r="S55" s="41" t="str">
        <f t="shared" si="34"/>
        <v/>
      </c>
      <c r="U55" s="133" t="e">
        <v>#N/A</v>
      </c>
      <c r="V55" s="134" t="e">
        <v>#N/A</v>
      </c>
      <c r="Y55" s="37">
        <v>7</v>
      </c>
      <c r="Z55" s="29">
        <f>_xll.RtGet($AD$50,$AD$51&amp;$Y55&amp;$AD$52,Z$48)</f>
        <v>3.29</v>
      </c>
      <c r="AA55" s="30">
        <f>_xll.RtGet($AD$50,$AD$51&amp;$Y55&amp;$AD$52,AA$48)</f>
        <v>3.35</v>
      </c>
      <c r="AN55" s="6" t="str">
        <f>_xll.xlShmInterpDisc(CurveName,DATE(YEAR(AU55)+IF(YEAR(AU55)&lt;2000,100,0),MONTH(AU55),DAY(AU55)))</f>
        <v>Date before first TermStructure's date.</v>
      </c>
      <c r="AO55" s="215" t="e">
        <f>_xll.xlShmInterpRate(CurveName,$AO$2,$C$50,DATE(YEAR(AU55)+IF(YEAR(AU55)&lt;2000,100,0),MONTH(AU55),DAY(AU55)))*100</f>
        <v>#VALUE!</v>
      </c>
      <c r="AP55" s="6" t="e">
        <f t="shared" si="28"/>
        <v>#VALUE!</v>
      </c>
      <c r="AQ55" s="215" t="e">
        <f t="shared" si="10"/>
        <v>#VALUE!</v>
      </c>
      <c r="AR55" s="8"/>
      <c r="AS55" s="52"/>
      <c r="AT55" s="8"/>
      <c r="AU55" s="20"/>
      <c r="AV55" s="52"/>
      <c r="BC55" s="21"/>
      <c r="BD55" s="52"/>
    </row>
    <row r="56" spans="1:56" ht="11.25" customHeight="1">
      <c r="B56" s="58" t="str">
        <f>"FutEndDate"&amp;IF(ISBLANK(C34),"","#"&amp;C34)</f>
        <v>FutEndDate#standard</v>
      </c>
      <c r="C56" s="59"/>
      <c r="E56" s="129" t="b">
        <f t="shared" si="38"/>
        <v>0</v>
      </c>
      <c r="F56" s="107" t="str">
        <f t="shared" si="35"/>
        <v/>
      </c>
      <c r="G56" s="7"/>
      <c r="H56" s="7"/>
      <c r="I56" s="79" t="e">
        <f t="shared" si="29"/>
        <v>#DIV/0!</v>
      </c>
      <c r="J56" s="50"/>
      <c r="K56" s="127"/>
      <c r="L56" s="50" t="e">
        <f t="shared" si="30"/>
        <v>#DIV/0!</v>
      </c>
      <c r="M56" s="29">
        <f t="shared" si="36"/>
        <v>16</v>
      </c>
      <c r="N56" s="30" t="str">
        <f t="shared" si="31"/>
        <v/>
      </c>
      <c r="O56" s="29" t="str">
        <f t="shared" si="37"/>
        <v/>
      </c>
      <c r="P56" s="30" t="str">
        <f t="shared" si="32"/>
        <v/>
      </c>
      <c r="Q56" s="7"/>
      <c r="R56" s="26" t="str">
        <f t="shared" si="33"/>
        <v/>
      </c>
      <c r="S56" s="41" t="str">
        <f t="shared" si="34"/>
        <v/>
      </c>
      <c r="U56" s="133" t="e">
        <v>#N/A</v>
      </c>
      <c r="V56" s="134" t="e">
        <v>#N/A</v>
      </c>
      <c r="Y56" s="37">
        <v>8</v>
      </c>
      <c r="Z56" s="29">
        <f>_xll.RtGet($AD$50,$AD$51&amp;$Y56&amp;$AD$52,Z$48)</f>
        <v>3.4649999999999999</v>
      </c>
      <c r="AA56" s="30">
        <f>_xll.RtGet($AD$50,$AD$51&amp;$Y56&amp;$AD$52,AA$48)</f>
        <v>3.5249999999999999</v>
      </c>
      <c r="AN56" s="6" t="str">
        <f>_xll.xlShmInterpDisc(CurveName,DATE(YEAR(AU56)+IF(YEAR(AU56)&lt;2000,100,0),MONTH(AU56),DAY(AU56)))</f>
        <v>Date before first TermStructure's date.</v>
      </c>
      <c r="AO56" s="215" t="e">
        <f>_xll.xlShmInterpRate(CurveName,$AO$2,$C$50,DATE(YEAR(AU56)+IF(YEAR(AU56)&lt;2000,100,0),MONTH(AU56),DAY(AU56)))*100</f>
        <v>#VALUE!</v>
      </c>
      <c r="AP56" s="6" t="e">
        <f t="shared" si="28"/>
        <v>#VALUE!</v>
      </c>
      <c r="AQ56" s="215" t="e">
        <f t="shared" si="10"/>
        <v>#VALUE!</v>
      </c>
      <c r="AR56" s="8"/>
      <c r="AS56" s="52"/>
      <c r="AT56" s="8"/>
      <c r="AU56" s="20"/>
      <c r="AV56" s="52"/>
      <c r="BC56" s="21"/>
      <c r="BD56" s="52"/>
    </row>
    <row r="57" spans="1:56" ht="11.25" customHeight="1">
      <c r="B57" s="58" t="str">
        <f>"FutBlockCons"&amp;IF(ISBLANK(C32),"","#"&amp;C32)</f>
        <v>FutBlockCons#end</v>
      </c>
      <c r="C57" s="59"/>
      <c r="E57" s="129" t="b">
        <f t="shared" si="38"/>
        <v>0</v>
      </c>
      <c r="F57" s="107" t="str">
        <f t="shared" si="35"/>
        <v/>
      </c>
      <c r="G57" s="7"/>
      <c r="H57" s="7"/>
      <c r="I57" s="79" t="e">
        <f t="shared" si="29"/>
        <v>#DIV/0!</v>
      </c>
      <c r="J57" s="50"/>
      <c r="K57" s="127"/>
      <c r="L57" s="50" t="e">
        <f t="shared" si="30"/>
        <v>#DIV/0!</v>
      </c>
      <c r="M57" s="29">
        <f t="shared" si="36"/>
        <v>17</v>
      </c>
      <c r="N57" s="30" t="str">
        <f t="shared" si="31"/>
        <v/>
      </c>
      <c r="O57" s="29" t="str">
        <f t="shared" si="37"/>
        <v/>
      </c>
      <c r="P57" s="30" t="str">
        <f t="shared" si="32"/>
        <v/>
      </c>
      <c r="Q57" s="7"/>
      <c r="R57" s="26" t="str">
        <f t="shared" si="33"/>
        <v/>
      </c>
      <c r="S57" s="41" t="str">
        <f t="shared" si="34"/>
        <v/>
      </c>
      <c r="U57" s="133" t="e">
        <v>#N/A</v>
      </c>
      <c r="V57" s="134" t="e">
        <v>#N/A</v>
      </c>
      <c r="Y57" s="37">
        <v>9</v>
      </c>
      <c r="Z57" s="29">
        <f>_xll.RtGet($AD$50,$AD$51&amp;$Y57&amp;$AD$52,Z$48)</f>
        <v>3.62</v>
      </c>
      <c r="AA57" s="30">
        <f>_xll.RtGet($AD$50,$AD$51&amp;$Y57&amp;$AD$52,AA$48)</f>
        <v>3.68</v>
      </c>
      <c r="AN57" s="6" t="str">
        <f>_xll.xlShmInterpDisc(CurveName,DATE(YEAR(AU57)+IF(YEAR(AU57)&lt;2000,100,0),MONTH(AU57),DAY(AU57)))</f>
        <v>Date before first TermStructure's date.</v>
      </c>
      <c r="AO57" s="215" t="e">
        <f>_xll.xlShmInterpRate(CurveName,$AO$2,$C$50,DATE(YEAR(AU57)+IF(YEAR(AU57)&lt;2000,100,0),MONTH(AU57),DAY(AU57)))*100</f>
        <v>#VALUE!</v>
      </c>
      <c r="AP57" s="6" t="e">
        <f t="shared" si="28"/>
        <v>#VALUE!</v>
      </c>
      <c r="AQ57" s="215" t="e">
        <f t="shared" si="10"/>
        <v>#VALUE!</v>
      </c>
      <c r="AR57" s="8"/>
      <c r="AS57" s="52"/>
      <c r="AT57" s="8"/>
      <c r="AU57" s="20"/>
      <c r="AV57" s="52"/>
      <c r="BC57" s="21"/>
      <c r="BD57" s="52"/>
    </row>
    <row r="58" spans="1:56" ht="11.25" customHeight="1">
      <c r="B58" s="65" t="str">
        <f>IF(E23,"FutBlockStubRate","")</f>
        <v/>
      </c>
      <c r="C58" s="66">
        <f>IF(E23,L23,0)</f>
        <v>0</v>
      </c>
      <c r="E58" s="129" t="b">
        <f t="shared" si="38"/>
        <v>0</v>
      </c>
      <c r="F58" s="107" t="str">
        <f t="shared" si="35"/>
        <v/>
      </c>
      <c r="G58" s="7"/>
      <c r="H58" s="7"/>
      <c r="I58" s="79" t="e">
        <f t="shared" si="29"/>
        <v>#DIV/0!</v>
      </c>
      <c r="J58" s="50"/>
      <c r="K58" s="127"/>
      <c r="L58" s="50" t="e">
        <f t="shared" si="30"/>
        <v>#DIV/0!</v>
      </c>
      <c r="M58" s="29">
        <f t="shared" si="36"/>
        <v>18</v>
      </c>
      <c r="N58" s="30" t="str">
        <f t="shared" si="31"/>
        <v/>
      </c>
      <c r="O58" s="29" t="str">
        <f t="shared" si="37"/>
        <v/>
      </c>
      <c r="P58" s="30" t="str">
        <f t="shared" si="32"/>
        <v/>
      </c>
      <c r="Q58" s="7"/>
      <c r="R58" s="26" t="str">
        <f t="shared" si="33"/>
        <v/>
      </c>
      <c r="S58" s="41" t="str">
        <f t="shared" si="34"/>
        <v/>
      </c>
      <c r="U58" s="133" t="e">
        <v>#N/A</v>
      </c>
      <c r="V58" s="134" t="e">
        <v>#N/A</v>
      </c>
      <c r="Y58" s="37">
        <v>10</v>
      </c>
      <c r="Z58" s="29">
        <f>_xll.RtGet($AD$50,$AD$51&amp;$Y58&amp;$AD$52,Z$48)</f>
        <v>3.74</v>
      </c>
      <c r="AA58" s="30">
        <f>_xll.RtGet($AD$50,$AD$51&amp;$Y58&amp;$AD$52,AA$48)</f>
        <v>3.8</v>
      </c>
      <c r="AN58" s="6" t="str">
        <f>_xll.xlShmInterpDisc(CurveName,DATE(YEAR(AU58)+IF(YEAR(AU58)&lt;2000,100,0),MONTH(AU58),DAY(AU58)))</f>
        <v>Date before first TermStructure's date.</v>
      </c>
      <c r="AO58" s="215" t="e">
        <f>_xll.xlShmInterpRate(CurveName,$AO$2,$C$50,DATE(YEAR(AU58)+IF(YEAR(AU58)&lt;2000,100,0),MONTH(AU58),DAY(AU58)))*100</f>
        <v>#VALUE!</v>
      </c>
      <c r="AP58" s="6" t="e">
        <f t="shared" si="28"/>
        <v>#VALUE!</v>
      </c>
      <c r="AQ58" s="215" t="e">
        <f t="shared" si="10"/>
        <v>#VALUE!</v>
      </c>
      <c r="AR58" s="8"/>
      <c r="AS58" s="52"/>
      <c r="AT58" s="8"/>
      <c r="AU58" s="20"/>
      <c r="AV58" s="52"/>
      <c r="BC58" s="21"/>
      <c r="BD58" s="52"/>
    </row>
    <row r="59" spans="1:56" ht="11.25" customHeight="1">
      <c r="B59" s="58" t="str">
        <f>IF(ISBLANK(C35),"","FraFutTenor")</f>
        <v>FraFutTenor</v>
      </c>
      <c r="C59" s="59">
        <f>C35</f>
        <v>3</v>
      </c>
      <c r="E59" s="129" t="b">
        <f t="shared" si="38"/>
        <v>0</v>
      </c>
      <c r="F59" s="107" t="str">
        <f t="shared" si="35"/>
        <v/>
      </c>
      <c r="G59" s="7"/>
      <c r="H59" s="7"/>
      <c r="I59" s="79" t="e">
        <f t="shared" si="29"/>
        <v>#DIV/0!</v>
      </c>
      <c r="J59" s="50"/>
      <c r="K59" s="127"/>
      <c r="L59" s="50" t="e">
        <f t="shared" si="30"/>
        <v>#DIV/0!</v>
      </c>
      <c r="M59" s="29">
        <f t="shared" si="36"/>
        <v>19</v>
      </c>
      <c r="N59" s="30" t="str">
        <f t="shared" si="31"/>
        <v/>
      </c>
      <c r="O59" s="29" t="str">
        <f t="shared" si="37"/>
        <v/>
      </c>
      <c r="P59" s="30" t="str">
        <f t="shared" si="32"/>
        <v/>
      </c>
      <c r="Q59" s="7"/>
      <c r="R59" s="26" t="str">
        <f t="shared" si="33"/>
        <v/>
      </c>
      <c r="S59" s="41" t="str">
        <f t="shared" si="34"/>
        <v/>
      </c>
      <c r="U59" s="133" t="e">
        <v>#N/A</v>
      </c>
      <c r="V59" s="134" t="e">
        <v>#N/A</v>
      </c>
      <c r="Y59" s="37">
        <v>12</v>
      </c>
      <c r="Z59" s="29">
        <f>_xll.RtGet($AD$50,$AD$51&amp;$Y59&amp;$AD$52,Z$48)</f>
        <v>3.895</v>
      </c>
      <c r="AA59" s="30">
        <f>_xll.RtGet($AD$50,$AD$51&amp;$Y59&amp;$AD$52,AA$48)</f>
        <v>3.9550000000000001</v>
      </c>
      <c r="AN59" s="6" t="str">
        <f>_xll.xlShmInterpDisc(CurveName,DATE(YEAR(AU59)+IF(YEAR(AU59)&lt;2000,100,0),MONTH(AU59),DAY(AU59)))</f>
        <v>Date before first TermStructure's date.</v>
      </c>
      <c r="AO59" s="215" t="e">
        <f>_xll.xlShmInterpRate(CurveName,$AO$2,$C$50,DATE(YEAR(AU59)+IF(YEAR(AU59)&lt;2000,100,0),MONTH(AU59),DAY(AU59)))*100</f>
        <v>#VALUE!</v>
      </c>
      <c r="AP59" s="6" t="e">
        <f t="shared" si="28"/>
        <v>#VALUE!</v>
      </c>
      <c r="AQ59" s="215" t="e">
        <f t="shared" si="10"/>
        <v>#VALUE!</v>
      </c>
      <c r="AR59" s="8"/>
      <c r="AS59" s="52"/>
      <c r="AT59" s="8"/>
      <c r="AU59" s="20"/>
      <c r="AV59" s="52"/>
      <c r="BC59" s="21"/>
      <c r="BD59" s="52"/>
    </row>
    <row r="60" spans="1:56" ht="11.25" customHeight="1">
      <c r="B60" s="61" t="str">
        <f>IF(ISBLANK(C36),"","FraFutAdjType")</f>
        <v>FraFutAdjType</v>
      </c>
      <c r="C60" s="59">
        <f>IF(ISBLANK(C36),0,VLOOKUP(C36,dvCurveBootstrapperFraFutAdjust,2,FALSE))</f>
        <v>3</v>
      </c>
      <c r="E60" s="129" t="b">
        <f t="shared" si="38"/>
        <v>0</v>
      </c>
      <c r="F60" s="107" t="str">
        <f t="shared" si="35"/>
        <v/>
      </c>
      <c r="G60" s="7"/>
      <c r="H60" s="7"/>
      <c r="I60" s="79" t="e">
        <f t="shared" si="29"/>
        <v>#DIV/0!</v>
      </c>
      <c r="J60" s="50"/>
      <c r="K60" s="127"/>
      <c r="L60" s="50" t="e">
        <f t="shared" si="30"/>
        <v>#DIV/0!</v>
      </c>
      <c r="M60" s="29">
        <f t="shared" si="36"/>
        <v>20</v>
      </c>
      <c r="N60" s="30" t="str">
        <f t="shared" si="31"/>
        <v/>
      </c>
      <c r="O60" s="29" t="str">
        <f t="shared" si="37"/>
        <v/>
      </c>
      <c r="P60" s="30" t="str">
        <f t="shared" si="32"/>
        <v/>
      </c>
      <c r="Q60" s="7"/>
      <c r="R60" s="26" t="str">
        <f t="shared" si="33"/>
        <v/>
      </c>
      <c r="S60" s="41" t="str">
        <f t="shared" si="34"/>
        <v/>
      </c>
      <c r="U60" s="133" t="e">
        <v>#N/A</v>
      </c>
      <c r="V60" s="134" t="e">
        <v>#N/A</v>
      </c>
      <c r="Y60" s="37">
        <v>15</v>
      </c>
      <c r="Z60" s="29">
        <f>_xll.RtGet($AD$50,$AD$51&amp;$Y60&amp;$AD$52,Z$48)</f>
        <v>3.8849999999999998</v>
      </c>
      <c r="AA60" s="30">
        <f>_xll.RtGet($AD$50,$AD$51&amp;$Y60&amp;$AD$52,AA$48)</f>
        <v>3.9449999999999998</v>
      </c>
      <c r="AN60" s="6" t="str">
        <f>_xll.xlShmInterpDisc(CurveName,DATE(YEAR(AU60)+IF(YEAR(AU60)&lt;2000,100,0),MONTH(AU60),DAY(AU60)))</f>
        <v>Date before first TermStructure's date.</v>
      </c>
      <c r="AO60" s="215" t="e">
        <f>_xll.xlShmInterpRate(CurveName,$AO$2,$C$50,DATE(YEAR(AU60)+IF(YEAR(AU60)&lt;2000,100,0),MONTH(AU60),DAY(AU60)))*100</f>
        <v>#VALUE!</v>
      </c>
      <c r="AP60" s="6" t="e">
        <f t="shared" si="28"/>
        <v>#VALUE!</v>
      </c>
      <c r="AQ60" s="215" t="e">
        <f t="shared" si="10"/>
        <v>#VALUE!</v>
      </c>
      <c r="AR60" s="8"/>
      <c r="AS60" s="52"/>
      <c r="AT60" s="8"/>
      <c r="AU60" s="20"/>
      <c r="AV60" s="52"/>
      <c r="BC60" s="21"/>
      <c r="BD60" s="52"/>
    </row>
    <row r="61" spans="1:56" ht="11.25" customHeight="1">
      <c r="A61" s="2"/>
      <c r="B61" s="58" t="str">
        <f>IF(ISBLANK(C37),"","SwapMatType")</f>
        <v>SwapMatType</v>
      </c>
      <c r="C61" s="59">
        <f>IF(ISBLANK(C37),0,VLOOKUP(C37,dvCurveBootstrapperSwapMatType,2,FALSE))</f>
        <v>0</v>
      </c>
      <c r="D61" s="2"/>
      <c r="E61" s="129" t="b">
        <f t="shared" si="38"/>
        <v>0</v>
      </c>
      <c r="F61" s="107" t="str">
        <f t="shared" si="35"/>
        <v/>
      </c>
      <c r="G61" s="7"/>
      <c r="H61" s="7"/>
      <c r="I61" s="79" t="e">
        <f t="shared" si="29"/>
        <v>#DIV/0!</v>
      </c>
      <c r="J61" s="50"/>
      <c r="K61" s="127"/>
      <c r="L61" s="50" t="e">
        <f t="shared" si="30"/>
        <v>#DIV/0!</v>
      </c>
      <c r="M61" s="29">
        <f t="shared" si="36"/>
        <v>21</v>
      </c>
      <c r="N61" s="30" t="str">
        <f t="shared" si="31"/>
        <v/>
      </c>
      <c r="O61" s="29" t="str">
        <f t="shared" si="37"/>
        <v/>
      </c>
      <c r="P61" s="30" t="str">
        <f t="shared" si="32"/>
        <v/>
      </c>
      <c r="Q61" s="7"/>
      <c r="R61" s="26" t="str">
        <f t="shared" si="33"/>
        <v/>
      </c>
      <c r="S61" s="41" t="str">
        <f t="shared" si="34"/>
        <v/>
      </c>
      <c r="U61" s="133" t="e">
        <v>#N/A</v>
      </c>
      <c r="V61" s="134" t="e">
        <v>#N/A</v>
      </c>
      <c r="Y61" s="37">
        <v>20</v>
      </c>
      <c r="Z61" s="29">
        <f>_xll.RtGet($AD$50,$AD$51&amp;$Y61&amp;$AD$52,Z$48)</f>
        <v>3.7</v>
      </c>
      <c r="AA61" s="30">
        <f>_xll.RtGet($AD$50,$AD$51&amp;$Y61&amp;$AD$52,AA$48)</f>
        <v>3.76</v>
      </c>
      <c r="AN61" s="6" t="str">
        <f>_xll.xlShmInterpDisc(CurveName,DATE(YEAR(AU61)+IF(YEAR(AU61)&lt;2000,100,0),MONTH(AU61),DAY(AU61)))</f>
        <v>Date before first TermStructure's date.</v>
      </c>
      <c r="AO61" s="215" t="e">
        <f>_xll.xlShmInterpRate(CurveName,$AO$2,$C$50,DATE(YEAR(AU61)+IF(YEAR(AU61)&lt;2000,100,0),MONTH(AU61),DAY(AU61)))*100</f>
        <v>#VALUE!</v>
      </c>
      <c r="AP61" s="6" t="e">
        <f t="shared" si="28"/>
        <v>#VALUE!</v>
      </c>
      <c r="AQ61" s="215" t="e">
        <f t="shared" si="10"/>
        <v>#VALUE!</v>
      </c>
      <c r="AR61" s="8"/>
      <c r="AS61" s="52"/>
      <c r="AT61" s="8"/>
      <c r="AU61" s="20"/>
      <c r="AV61" s="52"/>
      <c r="BC61" s="21"/>
      <c r="BD61" s="52"/>
    </row>
    <row r="62" spans="1:56" ht="11.25" customHeight="1">
      <c r="A62" s="2"/>
      <c r="B62" s="58" t="str">
        <f>IF(ISBLANK(C38),"","MSwapFixFreq")</f>
        <v/>
      </c>
      <c r="C62" s="59">
        <f>C38</f>
        <v>0</v>
      </c>
      <c r="D62" s="2"/>
      <c r="E62" s="129" t="b">
        <f t="shared" si="38"/>
        <v>0</v>
      </c>
      <c r="F62" s="107" t="str">
        <f t="shared" si="35"/>
        <v/>
      </c>
      <c r="G62" s="7"/>
      <c r="H62" s="7"/>
      <c r="I62" s="79" t="e">
        <f t="shared" si="29"/>
        <v>#DIV/0!</v>
      </c>
      <c r="J62" s="50"/>
      <c r="K62" s="127"/>
      <c r="L62" s="50" t="e">
        <f t="shared" si="30"/>
        <v>#DIV/0!</v>
      </c>
      <c r="M62" s="29">
        <f t="shared" si="36"/>
        <v>22</v>
      </c>
      <c r="N62" s="30" t="str">
        <f t="shared" si="31"/>
        <v/>
      </c>
      <c r="O62" s="29" t="str">
        <f t="shared" si="37"/>
        <v/>
      </c>
      <c r="P62" s="30" t="str">
        <f t="shared" si="32"/>
        <v/>
      </c>
      <c r="Q62" s="7"/>
      <c r="R62" s="26" t="str">
        <f t="shared" si="33"/>
        <v/>
      </c>
      <c r="S62" s="41" t="str">
        <f t="shared" si="34"/>
        <v/>
      </c>
      <c r="U62" s="133" t="e">
        <v>#N/A</v>
      </c>
      <c r="V62" s="134" t="e">
        <v>#N/A</v>
      </c>
      <c r="Y62" s="37"/>
      <c r="Z62" s="29" t="str">
        <f>_xll.RtGet($AD$50,$AD$51&amp;$Y62&amp;$AD$52,Z$48)</f>
        <v>#N/A The record could not be found</v>
      </c>
      <c r="AA62" s="30" t="str">
        <f>_xll.RtGet($AD$50,$AD$51&amp;$Y62&amp;$AD$52,AA$48)</f>
        <v>#N/A The record could not be found</v>
      </c>
      <c r="AN62" s="6" t="str">
        <f>_xll.xlShmInterpDisc(CurveName,DATE(YEAR(AU62)+IF(YEAR(AU62)&lt;2000,100,0),MONTH(AU62),DAY(AU62)))</f>
        <v>Date before first TermStructure's date.</v>
      </c>
      <c r="AO62" s="215" t="e">
        <f>_xll.xlShmInterpRate(CurveName,$AO$2,$C$50,DATE(YEAR(AU62)+IF(YEAR(AU62)&lt;2000,100,0),MONTH(AU62),DAY(AU62)))*100</f>
        <v>#VALUE!</v>
      </c>
      <c r="AP62" s="6" t="e">
        <f t="shared" si="28"/>
        <v>#VALUE!</v>
      </c>
      <c r="AQ62" s="215" t="e">
        <f t="shared" si="10"/>
        <v>#VALUE!</v>
      </c>
      <c r="AR62" s="8"/>
      <c r="AS62" s="52"/>
      <c r="AT62" s="8"/>
      <c r="AU62" s="20"/>
      <c r="AV62" s="52"/>
      <c r="BC62" s="21"/>
      <c r="BD62" s="52"/>
    </row>
    <row r="63" spans="1:56" ht="11.25" customHeight="1">
      <c r="A63" s="2"/>
      <c r="B63" s="58" t="str">
        <f>IF(ISBLANK(C39),"","MSwapFixYrf")</f>
        <v/>
      </c>
      <c r="C63" s="59">
        <f>IF(ISBLANK(C39),0,VLOOKUP(C39,dvCurveBootstrapperDayCount,2,FALSE))</f>
        <v>0</v>
      </c>
      <c r="D63" s="2"/>
      <c r="E63" s="129" t="b">
        <f t="shared" si="38"/>
        <v>0</v>
      </c>
      <c r="F63" s="107" t="str">
        <f t="shared" si="35"/>
        <v/>
      </c>
      <c r="G63" s="7"/>
      <c r="H63" s="7"/>
      <c r="I63" s="79" t="e">
        <f t="shared" si="29"/>
        <v>#DIV/0!</v>
      </c>
      <c r="J63" s="50"/>
      <c r="K63" s="127"/>
      <c r="L63" s="50" t="e">
        <f t="shared" si="30"/>
        <v>#DIV/0!</v>
      </c>
      <c r="M63" s="29">
        <f t="shared" si="36"/>
        <v>23</v>
      </c>
      <c r="N63" s="30" t="str">
        <f t="shared" si="31"/>
        <v/>
      </c>
      <c r="O63" s="29" t="str">
        <f t="shared" si="37"/>
        <v/>
      </c>
      <c r="P63" s="30" t="str">
        <f t="shared" si="32"/>
        <v/>
      </c>
      <c r="Q63" s="7"/>
      <c r="R63" s="26" t="str">
        <f t="shared" si="33"/>
        <v/>
      </c>
      <c r="S63" s="41" t="str">
        <f t="shared" si="34"/>
        <v/>
      </c>
      <c r="U63" s="133" t="e">
        <v>#N/A</v>
      </c>
      <c r="V63" s="134" t="e">
        <v>#N/A</v>
      </c>
      <c r="Y63" s="37"/>
      <c r="Z63" s="29" t="str">
        <f>_xll.RtGet($AD$50,$AD$51&amp;$Y63&amp;$AD$52,Z$48)</f>
        <v>#N/A The record could not be found</v>
      </c>
      <c r="AA63" s="30" t="str">
        <f>_xll.RtGet($AD$50,$AD$51&amp;$Y63&amp;$AD$52,AA$48)</f>
        <v>#N/A The record could not be found</v>
      </c>
      <c r="AN63" s="6" t="str">
        <f>_xll.xlShmInterpDisc(CurveName,DATE(YEAR(AU63)+IF(YEAR(AU63)&lt;2000,100,0),MONTH(AU63),DAY(AU63)))</f>
        <v>Date before first TermStructure's date.</v>
      </c>
      <c r="AO63" s="215" t="e">
        <f>_xll.xlShmInterpRate(CurveName,$AO$2,$C$50,DATE(YEAR(AU63)+IF(YEAR(AU63)&lt;2000,100,0),MONTH(AU63),DAY(AU63)))*100</f>
        <v>#VALUE!</v>
      </c>
      <c r="AP63" s="6" t="e">
        <f t="shared" si="28"/>
        <v>#VALUE!</v>
      </c>
      <c r="AQ63" s="215" t="e">
        <f t="shared" si="10"/>
        <v>#VALUE!</v>
      </c>
      <c r="AR63" s="8"/>
      <c r="AS63" s="52"/>
      <c r="AT63" s="8"/>
      <c r="AU63" s="20"/>
      <c r="AV63" s="52"/>
      <c r="BC63" s="21"/>
      <c r="BD63" s="52"/>
    </row>
    <row r="64" spans="1:56" ht="11.25" customHeight="1">
      <c r="B64" s="58" t="str">
        <f>IF(ISBLANK(C40),"","SwapFixFreq")</f>
        <v>SwapFixFreq</v>
      </c>
      <c r="C64" s="59">
        <f>C40</f>
        <v>1</v>
      </c>
      <c r="E64" s="129" t="b">
        <f t="shared" si="38"/>
        <v>0</v>
      </c>
      <c r="F64" s="107" t="str">
        <f t="shared" si="35"/>
        <v/>
      </c>
      <c r="G64" s="7"/>
      <c r="H64" s="7"/>
      <c r="I64" s="79" t="e">
        <f t="shared" si="29"/>
        <v>#DIV/0!</v>
      </c>
      <c r="J64" s="50"/>
      <c r="K64" s="127"/>
      <c r="L64" s="50" t="e">
        <f t="shared" si="30"/>
        <v>#DIV/0!</v>
      </c>
      <c r="M64" s="29">
        <f t="shared" si="36"/>
        <v>24</v>
      </c>
      <c r="N64" s="30" t="str">
        <f t="shared" si="31"/>
        <v/>
      </c>
      <c r="O64" s="29" t="str">
        <f t="shared" si="37"/>
        <v/>
      </c>
      <c r="P64" s="30" t="str">
        <f t="shared" si="32"/>
        <v/>
      </c>
      <c r="Q64" s="7"/>
      <c r="R64" s="26" t="str">
        <f t="shared" si="33"/>
        <v/>
      </c>
      <c r="S64" s="41" t="str">
        <f t="shared" si="34"/>
        <v/>
      </c>
      <c r="U64" s="133" t="e">
        <v>#N/A</v>
      </c>
      <c r="V64" s="134" t="e">
        <v>#N/A</v>
      </c>
      <c r="Y64" s="37"/>
      <c r="Z64" s="29" t="str">
        <f>_xll.RtGet($AD$50,$AD$51&amp;$Y64&amp;$AD$52,Z$48)</f>
        <v>#N/A The record could not be found</v>
      </c>
      <c r="AA64" s="30" t="str">
        <f>_xll.RtGet($AD$50,$AD$51&amp;$Y64&amp;$AD$52,AA$48)</f>
        <v>#N/A The record could not be found</v>
      </c>
      <c r="AN64" s="6" t="str">
        <f>_xll.xlShmInterpDisc(CurveName,DATE(YEAR(AU64)+IF(YEAR(AU64)&lt;2000,100,0),MONTH(AU64),DAY(AU64)))</f>
        <v>Date before first TermStructure's date.</v>
      </c>
      <c r="AO64" s="215" t="e">
        <f>_xll.xlShmInterpRate(CurveName,$AO$2,$C$50,DATE(YEAR(AU64)+IF(YEAR(AU64)&lt;2000,100,0),MONTH(AU64),DAY(AU64)))*100</f>
        <v>#VALUE!</v>
      </c>
      <c r="AP64" s="6" t="e">
        <f t="shared" si="28"/>
        <v>#VALUE!</v>
      </c>
      <c r="AQ64" s="215" t="e">
        <f t="shared" si="10"/>
        <v>#VALUE!</v>
      </c>
      <c r="AR64" s="8"/>
      <c r="AS64" s="52"/>
      <c r="AT64" s="8"/>
      <c r="AU64" s="20"/>
      <c r="AV64" s="52"/>
      <c r="BC64" s="21"/>
      <c r="BD64" s="52"/>
    </row>
    <row r="65" spans="2:56" ht="11.25" customHeight="1">
      <c r="B65" s="58" t="str">
        <f>IF(ISBLANK(C41),"","SwapFixYrf")</f>
        <v>SwapFixYrf</v>
      </c>
      <c r="C65" s="59">
        <f>IF(ISBLANK(C41),0,VLOOKUP(C41,dvCurveBootstrapperDayCount,2,FALSE))</f>
        <v>5</v>
      </c>
      <c r="E65" s="129" t="b">
        <f t="shared" si="38"/>
        <v>0</v>
      </c>
      <c r="F65" s="107" t="str">
        <f t="shared" si="35"/>
        <v/>
      </c>
      <c r="G65" s="7"/>
      <c r="H65" s="7"/>
      <c r="I65" s="79" t="e">
        <f t="shared" si="29"/>
        <v>#DIV/0!</v>
      </c>
      <c r="J65" s="50"/>
      <c r="K65" s="127"/>
      <c r="L65" s="50" t="e">
        <f t="shared" si="30"/>
        <v>#DIV/0!</v>
      </c>
      <c r="M65" s="29">
        <f t="shared" si="36"/>
        <v>25</v>
      </c>
      <c r="N65" s="30" t="str">
        <f t="shared" si="31"/>
        <v/>
      </c>
      <c r="O65" s="29" t="str">
        <f t="shared" si="37"/>
        <v/>
      </c>
      <c r="P65" s="30" t="str">
        <f t="shared" si="32"/>
        <v/>
      </c>
      <c r="Q65" s="7"/>
      <c r="R65" s="26" t="str">
        <f t="shared" si="33"/>
        <v/>
      </c>
      <c r="S65" s="41" t="str">
        <f t="shared" si="34"/>
        <v/>
      </c>
      <c r="U65" s="133" t="e">
        <v>#N/A</v>
      </c>
      <c r="V65" s="134" t="e">
        <v>#N/A</v>
      </c>
      <c r="Y65" s="37"/>
      <c r="Z65" s="29" t="str">
        <f>_xll.RtGet($AD$50,$AD$51&amp;$Y65&amp;$AD$52,Z$48)</f>
        <v>#N/A The record could not be found</v>
      </c>
      <c r="AA65" s="30" t="str">
        <f>_xll.RtGet($AD$50,$AD$51&amp;$Y65&amp;$AD$52,AA$48)</f>
        <v>#N/A The record could not be found</v>
      </c>
      <c r="AN65" s="6" t="str">
        <f>_xll.xlShmInterpDisc(CurveName,DATE(YEAR(AU65)+IF(YEAR(AU65)&lt;2000,100,0),MONTH(AU65),DAY(AU65)))</f>
        <v>Date before first TermStructure's date.</v>
      </c>
      <c r="AO65" s="215" t="e">
        <f>_xll.xlShmInterpRate(CurveName,$AO$2,$C$50,DATE(YEAR(AU65)+IF(YEAR(AU65)&lt;2000,100,0),MONTH(AU65),DAY(AU65)))*100</f>
        <v>#VALUE!</v>
      </c>
      <c r="AP65" s="6" t="e">
        <f t="shared" si="28"/>
        <v>#VALUE!</v>
      </c>
      <c r="AQ65" s="215" t="e">
        <f t="shared" si="10"/>
        <v>#VALUE!</v>
      </c>
      <c r="AR65" s="8"/>
      <c r="AS65" s="52"/>
      <c r="AT65" s="8"/>
      <c r="AU65" s="20"/>
      <c r="AV65" s="52"/>
      <c r="BC65" s="21"/>
      <c r="BD65" s="52"/>
    </row>
    <row r="66" spans="2:56" ht="11.25" customHeight="1">
      <c r="B66" s="58" t="str">
        <f>IF(ISBLANK(C42),"","SwapFltFreq")</f>
        <v>SwapFltFreq</v>
      </c>
      <c r="C66" s="59">
        <f>C42</f>
        <v>2</v>
      </c>
      <c r="E66" s="129" t="b">
        <f t="shared" si="38"/>
        <v>0</v>
      </c>
      <c r="F66" s="107" t="str">
        <f t="shared" si="35"/>
        <v/>
      </c>
      <c r="G66" s="7"/>
      <c r="H66" s="7"/>
      <c r="I66" s="79" t="e">
        <f t="shared" si="29"/>
        <v>#DIV/0!</v>
      </c>
      <c r="J66" s="50"/>
      <c r="K66" s="127"/>
      <c r="L66" s="50" t="e">
        <f t="shared" si="30"/>
        <v>#DIV/0!</v>
      </c>
      <c r="M66" s="29">
        <f t="shared" si="36"/>
        <v>26</v>
      </c>
      <c r="N66" s="30" t="str">
        <f t="shared" si="31"/>
        <v/>
      </c>
      <c r="O66" s="29" t="str">
        <f t="shared" si="37"/>
        <v/>
      </c>
      <c r="P66" s="30" t="str">
        <f t="shared" si="32"/>
        <v/>
      </c>
      <c r="Q66" s="7"/>
      <c r="R66" s="26" t="str">
        <f t="shared" si="33"/>
        <v/>
      </c>
      <c r="S66" s="41" t="str">
        <f t="shared" si="34"/>
        <v/>
      </c>
      <c r="U66" s="133" t="e">
        <v>#N/A</v>
      </c>
      <c r="V66" s="134" t="e">
        <v>#N/A</v>
      </c>
      <c r="Y66" s="37"/>
      <c r="Z66" s="29" t="str">
        <f>_xll.RtGet($AD$50,$AD$51&amp;$Y66&amp;$AD$52,Z$48)</f>
        <v>#N/A The record could not be found</v>
      </c>
      <c r="AA66" s="30" t="str">
        <f>_xll.RtGet($AD$50,$AD$51&amp;$Y66&amp;$AD$52,AA$48)</f>
        <v>#N/A The record could not be found</v>
      </c>
      <c r="AN66" s="6" t="str">
        <f>_xll.xlShmInterpDisc(CurveName,DATE(YEAR(AU66)+IF(YEAR(AU66)&lt;2000,100,0),MONTH(AU66),DAY(AU66)))</f>
        <v>Date before first TermStructure's date.</v>
      </c>
      <c r="AO66" s="215" t="e">
        <f>_xll.xlShmInterpRate(CurveName,$AO$2,$C$50,DATE(YEAR(AU66)+IF(YEAR(AU66)&lt;2000,100,0),MONTH(AU66),DAY(AU66)))*100</f>
        <v>#VALUE!</v>
      </c>
      <c r="AP66" s="6" t="e">
        <f t="shared" si="28"/>
        <v>#VALUE!</v>
      </c>
      <c r="AQ66" s="215" t="e">
        <f t="shared" si="10"/>
        <v>#VALUE!</v>
      </c>
      <c r="AR66" s="8"/>
      <c r="AS66" s="52"/>
      <c r="AT66" s="8"/>
      <c r="AU66" s="20"/>
      <c r="AV66" s="52"/>
      <c r="BC66" s="21"/>
      <c r="BD66" s="52"/>
    </row>
    <row r="67" spans="2:56" ht="11.25" customHeight="1">
      <c r="B67" s="58" t="str">
        <f>IF(ISBLANK(C43),"","SwapFltYrf")</f>
        <v>SwapFltYrf</v>
      </c>
      <c r="C67" s="59">
        <f>IF(ISBLANK(C43),0,VLOOKUP(C43,dvCurveBootstrapperDayCount,2,FALSE))</f>
        <v>4</v>
      </c>
      <c r="E67" s="129" t="b">
        <f t="shared" si="38"/>
        <v>0</v>
      </c>
      <c r="F67" s="107" t="str">
        <f t="shared" si="35"/>
        <v/>
      </c>
      <c r="G67" s="7"/>
      <c r="H67" s="7"/>
      <c r="I67" s="79" t="e">
        <f t="shared" si="29"/>
        <v>#DIV/0!</v>
      </c>
      <c r="J67" s="50"/>
      <c r="K67" s="127"/>
      <c r="L67" s="50" t="e">
        <f t="shared" si="30"/>
        <v>#DIV/0!</v>
      </c>
      <c r="M67" s="29">
        <f t="shared" si="36"/>
        <v>27</v>
      </c>
      <c r="N67" s="30" t="str">
        <f t="shared" si="31"/>
        <v/>
      </c>
      <c r="O67" s="29" t="str">
        <f t="shared" si="37"/>
        <v/>
      </c>
      <c r="P67" s="30" t="str">
        <f t="shared" si="32"/>
        <v/>
      </c>
      <c r="Q67" s="7"/>
      <c r="R67" s="26" t="str">
        <f t="shared" si="33"/>
        <v/>
      </c>
      <c r="S67" s="41" t="str">
        <f t="shared" si="34"/>
        <v/>
      </c>
      <c r="U67" s="133" t="e">
        <v>#N/A</v>
      </c>
      <c r="V67" s="134" t="e">
        <v>#N/A</v>
      </c>
      <c r="Y67" s="37"/>
      <c r="Z67" s="29" t="str">
        <f>_xll.RtGet($AD$50,$AD$51&amp;$Y67&amp;$AD$52,Z$48)</f>
        <v>#N/A The record could not be found</v>
      </c>
      <c r="AA67" s="30" t="str">
        <f>_xll.RtGet($AD$50,$AD$51&amp;$Y67&amp;$AD$52,AA$48)</f>
        <v>#N/A The record could not be found</v>
      </c>
      <c r="BD67" s="52"/>
    </row>
    <row r="68" spans="2:56" ht="11.25" customHeight="1">
      <c r="B68" s="58" t="str">
        <f>IF(E24,"SwapFirstCpn","")</f>
        <v/>
      </c>
      <c r="C68" s="60">
        <f>IF(E24,L24,0)</f>
        <v>0</v>
      </c>
      <c r="E68" s="129" t="b">
        <f t="shared" si="38"/>
        <v>0</v>
      </c>
      <c r="F68" s="107" t="str">
        <f t="shared" si="35"/>
        <v/>
      </c>
      <c r="G68" s="7"/>
      <c r="H68" s="7"/>
      <c r="I68" s="79" t="e">
        <f t="shared" si="29"/>
        <v>#DIV/0!</v>
      </c>
      <c r="J68" s="50"/>
      <c r="K68" s="127"/>
      <c r="L68" s="50" t="e">
        <f t="shared" si="30"/>
        <v>#DIV/0!</v>
      </c>
      <c r="M68" s="29">
        <f t="shared" si="36"/>
        <v>28</v>
      </c>
      <c r="N68" s="30" t="str">
        <f t="shared" si="31"/>
        <v/>
      </c>
      <c r="O68" s="29" t="str">
        <f t="shared" si="37"/>
        <v/>
      </c>
      <c r="P68" s="30" t="str">
        <f t="shared" si="32"/>
        <v/>
      </c>
      <c r="Q68" s="7"/>
      <c r="R68" s="26" t="str">
        <f t="shared" si="33"/>
        <v/>
      </c>
      <c r="S68" s="41" t="str">
        <f t="shared" si="34"/>
        <v/>
      </c>
      <c r="U68" s="133" t="e">
        <v>#N/A</v>
      </c>
      <c r="V68" s="134" t="e">
        <v>#N/A</v>
      </c>
      <c r="Y68" s="37"/>
      <c r="Z68" s="29" t="str">
        <f>_xll.RtGet($AD$50,$AD$51&amp;$Y68&amp;$AD$52,Z$48)</f>
        <v>#N/A The record could not be found</v>
      </c>
      <c r="AA68" s="30" t="str">
        <f>_xll.RtGet($AD$50,$AD$51&amp;$Y68&amp;$AD$52,AA$48)</f>
        <v>#N/A The record could not be found</v>
      </c>
    </row>
    <row r="69" spans="2:56" ht="11.25" customHeight="1">
      <c r="B69" s="58" t="str">
        <f>IF(ISBLANK(C31),"","StubPriority")</f>
        <v>StubPriority</v>
      </c>
      <c r="C69" s="59">
        <f>IF(C31,1,0)</f>
        <v>1</v>
      </c>
      <c r="E69" s="129" t="b">
        <f t="shared" si="38"/>
        <v>0</v>
      </c>
      <c r="F69" s="107" t="str">
        <f t="shared" si="35"/>
        <v/>
      </c>
      <c r="G69" s="7"/>
      <c r="H69" s="7"/>
      <c r="I69" s="79" t="e">
        <f t="shared" si="29"/>
        <v>#DIV/0!</v>
      </c>
      <c r="J69" s="50"/>
      <c r="K69" s="127"/>
      <c r="L69" s="50" t="e">
        <f t="shared" si="30"/>
        <v>#DIV/0!</v>
      </c>
      <c r="M69" s="29">
        <f t="shared" si="36"/>
        <v>29</v>
      </c>
      <c r="N69" s="30" t="str">
        <f t="shared" si="31"/>
        <v/>
      </c>
      <c r="O69" s="29" t="str">
        <f t="shared" si="37"/>
        <v/>
      </c>
      <c r="P69" s="30" t="str">
        <f t="shared" si="32"/>
        <v/>
      </c>
      <c r="Q69" s="7"/>
      <c r="R69" s="26" t="str">
        <f t="shared" si="33"/>
        <v/>
      </c>
      <c r="S69" s="41" t="str">
        <f t="shared" si="34"/>
        <v/>
      </c>
      <c r="U69" s="133" t="e">
        <v>#N/A</v>
      </c>
      <c r="V69" s="134" t="e">
        <v>#N/A</v>
      </c>
      <c r="Y69" s="37"/>
      <c r="Z69" s="29" t="str">
        <f>_xll.RtGet($AD$50,$AD$51&amp;$Y69&amp;$AD$52,Z$48)</f>
        <v>#N/A The record could not be found</v>
      </c>
      <c r="AA69" s="30" t="str">
        <f>_xll.RtGet($AD$50,$AD$51&amp;$Y69&amp;$AD$52,AA$48)</f>
        <v>#N/A The record could not be found</v>
      </c>
    </row>
    <row r="70" spans="2:56" ht="11.25" customHeight="1">
      <c r="B70" s="62" t="str">
        <f>IF(ISBLANK(C11),"","OutputType")</f>
        <v>OutputType</v>
      </c>
      <c r="C70" s="63">
        <f>IF(ISBLANK(C11),0,VLOOKUP(C11,dvCurveBootstrapperOutputType,2,FALSE))</f>
        <v>0</v>
      </c>
      <c r="E70" s="129" t="b">
        <f t="shared" si="38"/>
        <v>0</v>
      </c>
      <c r="F70" s="107" t="str">
        <f t="shared" si="35"/>
        <v/>
      </c>
      <c r="G70" s="7"/>
      <c r="H70" s="7"/>
      <c r="I70" s="79" t="e">
        <f t="shared" si="29"/>
        <v>#DIV/0!</v>
      </c>
      <c r="J70" s="50"/>
      <c r="K70" s="127"/>
      <c r="L70" s="50" t="e">
        <f t="shared" si="30"/>
        <v>#DIV/0!</v>
      </c>
      <c r="M70" s="29">
        <f t="shared" si="36"/>
        <v>30</v>
      </c>
      <c r="N70" s="30" t="str">
        <f t="shared" si="31"/>
        <v/>
      </c>
      <c r="O70" s="29" t="str">
        <f t="shared" si="37"/>
        <v/>
      </c>
      <c r="P70" s="30" t="str">
        <f t="shared" si="32"/>
        <v/>
      </c>
      <c r="Q70" s="7"/>
      <c r="R70" s="26" t="str">
        <f t="shared" si="33"/>
        <v/>
      </c>
      <c r="S70" s="41" t="str">
        <f t="shared" si="34"/>
        <v/>
      </c>
      <c r="U70" s="133" t="e">
        <v>#N/A</v>
      </c>
      <c r="V70" s="134" t="e">
        <v>#N/A</v>
      </c>
      <c r="Y70" s="37"/>
      <c r="Z70" s="29" t="str">
        <f>_xll.RtGet($AD$50,$AD$51&amp;$Y70&amp;$AD$52,Z$48)</f>
        <v>#N/A The record could not be found</v>
      </c>
      <c r="AA70" s="30" t="str">
        <f>_xll.RtGet($AD$50,$AD$51&amp;$Y70&amp;$AD$52,AA$48)</f>
        <v>#N/A The record could not be found</v>
      </c>
    </row>
    <row r="71" spans="2:56" ht="11.25" customHeight="1">
      <c r="E71" s="129" t="b">
        <f t="shared" si="38"/>
        <v>0</v>
      </c>
      <c r="F71" s="107" t="str">
        <f t="shared" si="35"/>
        <v/>
      </c>
      <c r="G71" s="7"/>
      <c r="H71" s="7"/>
      <c r="I71" s="79" t="e">
        <f t="shared" si="29"/>
        <v>#DIV/0!</v>
      </c>
      <c r="J71" s="50"/>
      <c r="K71" s="127"/>
      <c r="L71" s="50" t="e">
        <f t="shared" si="30"/>
        <v>#DIV/0!</v>
      </c>
      <c r="M71" s="29">
        <f t="shared" si="36"/>
        <v>31</v>
      </c>
      <c r="N71" s="30" t="str">
        <f t="shared" si="31"/>
        <v/>
      </c>
      <c r="O71" s="29" t="str">
        <f t="shared" si="37"/>
        <v/>
      </c>
      <c r="P71" s="30" t="str">
        <f t="shared" si="32"/>
        <v/>
      </c>
      <c r="Q71" s="7"/>
      <c r="R71" s="26" t="str">
        <f t="shared" si="33"/>
        <v/>
      </c>
      <c r="S71" s="41" t="str">
        <f t="shared" si="34"/>
        <v/>
      </c>
      <c r="U71" s="133" t="e">
        <v>#N/A</v>
      </c>
      <c r="V71" s="134" t="e">
        <v>#N/A</v>
      </c>
      <c r="Y71" s="37"/>
      <c r="Z71" s="29" t="str">
        <f>_xll.RtGet($AD$50,$AD$51&amp;$Y71&amp;$AD$52,Z$48)</f>
        <v>#N/A The record could not be found</v>
      </c>
      <c r="AA71" s="30" t="str">
        <f>_xll.RtGet($AD$50,$AD$51&amp;$Y71&amp;$AD$52,AA$48)</f>
        <v>#N/A The record could not be found</v>
      </c>
    </row>
    <row r="72" spans="2:56" ht="11.25" customHeight="1">
      <c r="E72" s="129" t="b">
        <f t="shared" si="38"/>
        <v>0</v>
      </c>
      <c r="F72" s="107" t="str">
        <f t="shared" si="35"/>
        <v/>
      </c>
      <c r="G72" s="7"/>
      <c r="H72" s="7"/>
      <c r="I72" s="79" t="e">
        <f t="shared" si="29"/>
        <v>#DIV/0!</v>
      </c>
      <c r="J72" s="50"/>
      <c r="K72" s="127"/>
      <c r="L72" s="50" t="e">
        <f t="shared" si="30"/>
        <v>#DIV/0!</v>
      </c>
      <c r="M72" s="29">
        <f t="shared" si="36"/>
        <v>32</v>
      </c>
      <c r="N72" s="30" t="str">
        <f t="shared" si="31"/>
        <v/>
      </c>
      <c r="O72" s="29" t="str">
        <f t="shared" si="37"/>
        <v/>
      </c>
      <c r="P72" s="30" t="str">
        <f t="shared" si="32"/>
        <v/>
      </c>
      <c r="Q72" s="7"/>
      <c r="R72" s="26" t="str">
        <f t="shared" si="33"/>
        <v/>
      </c>
      <c r="S72" s="41" t="str">
        <f t="shared" si="34"/>
        <v/>
      </c>
      <c r="U72" s="133" t="e">
        <v>#N/A</v>
      </c>
      <c r="V72" s="134" t="e">
        <v>#N/A</v>
      </c>
      <c r="Y72" s="37"/>
      <c r="Z72" s="29" t="str">
        <f>_xll.RtGet($AD$50,$AD$51&amp;$Y72&amp;$AD$52,Z$48)</f>
        <v>#N/A The record could not be found</v>
      </c>
      <c r="AA72" s="30" t="str">
        <f>_xll.RtGet($AD$50,$AD$51&amp;$Y72&amp;$AD$52,AA$48)</f>
        <v>#N/A The record could not be found</v>
      </c>
    </row>
    <row r="73" spans="2:56" ht="11.25" customHeight="1">
      <c r="E73" s="129" t="b">
        <f t="shared" si="38"/>
        <v>0</v>
      </c>
      <c r="F73" s="107" t="str">
        <f t="shared" si="35"/>
        <v/>
      </c>
      <c r="G73" s="7"/>
      <c r="H73" s="7"/>
      <c r="I73" s="79" t="e">
        <f t="shared" si="29"/>
        <v>#DIV/0!</v>
      </c>
      <c r="J73" s="50"/>
      <c r="K73" s="127"/>
      <c r="L73" s="50" t="e">
        <f t="shared" si="30"/>
        <v>#DIV/0!</v>
      </c>
      <c r="M73" s="29">
        <f t="shared" si="36"/>
        <v>33</v>
      </c>
      <c r="N73" s="30" t="str">
        <f t="shared" si="31"/>
        <v/>
      </c>
      <c r="O73" s="29" t="str">
        <f t="shared" si="37"/>
        <v/>
      </c>
      <c r="P73" s="30" t="str">
        <f t="shared" si="32"/>
        <v/>
      </c>
      <c r="Q73" s="7"/>
      <c r="R73" s="26" t="str">
        <f t="shared" si="33"/>
        <v/>
      </c>
      <c r="S73" s="41" t="str">
        <f t="shared" si="34"/>
        <v/>
      </c>
      <c r="U73" s="133" t="e">
        <v>#N/A</v>
      </c>
      <c r="V73" s="134" t="e">
        <v>#N/A</v>
      </c>
      <c r="Y73" s="37"/>
      <c r="Z73" s="29" t="str">
        <f>_xll.RtGet($AD$50,$AD$51&amp;$Y73&amp;$AD$52,Z$48)</f>
        <v>#N/A The record could not be found</v>
      </c>
      <c r="AA73" s="30" t="str">
        <f>_xll.RtGet($AD$50,$AD$51&amp;$Y73&amp;$AD$52,AA$48)</f>
        <v>#N/A The record could not be found</v>
      </c>
    </row>
    <row r="74" spans="2:56" ht="11.25" customHeight="1">
      <c r="E74" s="129" t="b">
        <f t="shared" si="38"/>
        <v>0</v>
      </c>
      <c r="F74" s="107" t="str">
        <f t="shared" si="35"/>
        <v/>
      </c>
      <c r="G74" s="7"/>
      <c r="H74" s="7"/>
      <c r="I74" s="79" t="e">
        <f t="shared" si="29"/>
        <v>#DIV/0!</v>
      </c>
      <c r="J74" s="50"/>
      <c r="K74" s="127"/>
      <c r="L74" s="50" t="e">
        <f t="shared" si="30"/>
        <v>#DIV/0!</v>
      </c>
      <c r="M74" s="29">
        <f t="shared" si="36"/>
        <v>34</v>
      </c>
      <c r="N74" s="30" t="str">
        <f t="shared" si="31"/>
        <v/>
      </c>
      <c r="O74" s="29" t="str">
        <f t="shared" si="37"/>
        <v/>
      </c>
      <c r="P74" s="30" t="str">
        <f t="shared" si="32"/>
        <v/>
      </c>
      <c r="Q74" s="7"/>
      <c r="R74" s="26" t="str">
        <f t="shared" si="33"/>
        <v/>
      </c>
      <c r="S74" s="41" t="str">
        <f t="shared" si="34"/>
        <v/>
      </c>
      <c r="U74" s="133" t="e">
        <v>#N/A</v>
      </c>
      <c r="V74" s="134" t="e">
        <v>#N/A</v>
      </c>
      <c r="Y74" s="37"/>
      <c r="Z74" s="29" t="str">
        <f>_xll.RtGet($AD$50,$AD$51&amp;$Y74&amp;$AD$52,Z$48)</f>
        <v>#N/A The record could not be found</v>
      </c>
      <c r="AA74" s="30" t="str">
        <f>_xll.RtGet($AD$50,$AD$51&amp;$Y74&amp;$AD$52,AA$48)</f>
        <v>#N/A The record could not be found</v>
      </c>
    </row>
    <row r="75" spans="2:56" ht="11.25" customHeight="1">
      <c r="E75" s="129" t="b">
        <f t="shared" si="38"/>
        <v>0</v>
      </c>
      <c r="F75" s="107" t="str">
        <f t="shared" si="35"/>
        <v/>
      </c>
      <c r="G75" s="7"/>
      <c r="H75" s="7"/>
      <c r="I75" s="79" t="e">
        <f t="shared" si="29"/>
        <v>#DIV/0!</v>
      </c>
      <c r="J75" s="50"/>
      <c r="K75" s="127"/>
      <c r="L75" s="50" t="e">
        <f t="shared" si="30"/>
        <v>#DIV/0!</v>
      </c>
      <c r="M75" s="29">
        <f t="shared" si="36"/>
        <v>35</v>
      </c>
      <c r="N75" s="30" t="str">
        <f t="shared" si="31"/>
        <v/>
      </c>
      <c r="O75" s="29" t="str">
        <f t="shared" si="37"/>
        <v/>
      </c>
      <c r="P75" s="30" t="str">
        <f t="shared" si="32"/>
        <v/>
      </c>
      <c r="Q75" s="7"/>
      <c r="R75" s="26" t="str">
        <f t="shared" si="33"/>
        <v/>
      </c>
      <c r="S75" s="41" t="str">
        <f t="shared" si="34"/>
        <v/>
      </c>
      <c r="U75" s="133" t="e">
        <v>#N/A</v>
      </c>
      <c r="V75" s="134" t="e">
        <v>#N/A</v>
      </c>
      <c r="Y75" s="37"/>
      <c r="Z75" s="29" t="str">
        <f>_xll.RtGet($AD$50,$AD$51&amp;$Y75&amp;$AD$52,Z$48)</f>
        <v>#N/A The record could not be found</v>
      </c>
      <c r="AA75" s="30" t="str">
        <f>_xll.RtGet($AD$50,$AD$51&amp;$Y75&amp;$AD$52,AA$48)</f>
        <v>#N/A The record could not be found</v>
      </c>
    </row>
    <row r="76" spans="2:56" ht="11.25" customHeight="1">
      <c r="E76" s="129" t="b">
        <f t="shared" si="38"/>
        <v>0</v>
      </c>
      <c r="F76" s="107" t="str">
        <f t="shared" si="35"/>
        <v/>
      </c>
      <c r="G76" s="7"/>
      <c r="H76" s="7"/>
      <c r="I76" s="79" t="e">
        <f t="shared" si="29"/>
        <v>#DIV/0!</v>
      </c>
      <c r="J76" s="50"/>
      <c r="K76" s="127"/>
      <c r="L76" s="50" t="e">
        <f t="shared" si="30"/>
        <v>#DIV/0!</v>
      </c>
      <c r="M76" s="29">
        <f t="shared" si="36"/>
        <v>36</v>
      </c>
      <c r="N76" s="30" t="str">
        <f t="shared" si="31"/>
        <v/>
      </c>
      <c r="O76" s="29" t="str">
        <f t="shared" si="37"/>
        <v/>
      </c>
      <c r="P76" s="30" t="str">
        <f t="shared" si="32"/>
        <v/>
      </c>
      <c r="Q76" s="7"/>
      <c r="R76" s="26" t="str">
        <f t="shared" si="33"/>
        <v/>
      </c>
      <c r="S76" s="41" t="str">
        <f t="shared" si="34"/>
        <v/>
      </c>
      <c r="U76" s="133" t="e">
        <v>#N/A</v>
      </c>
      <c r="V76" s="134" t="e">
        <v>#N/A</v>
      </c>
      <c r="Y76" s="37"/>
      <c r="Z76" s="29" t="str">
        <f>_xll.RtGet($AD$50,$AD$51&amp;$Y76&amp;$AD$52,Z$48)</f>
        <v>#N/A The record could not be found</v>
      </c>
      <c r="AA76" s="30" t="str">
        <f>_xll.RtGet($AD$50,$AD$51&amp;$Y76&amp;$AD$52,AA$48)</f>
        <v>#N/A The record could not be found</v>
      </c>
    </row>
    <row r="77" spans="2:56" ht="11.25" customHeight="1">
      <c r="E77" s="129" t="b">
        <f t="shared" si="38"/>
        <v>0</v>
      </c>
      <c r="F77" s="107" t="str">
        <f t="shared" si="35"/>
        <v/>
      </c>
      <c r="G77" s="7"/>
      <c r="H77" s="7"/>
      <c r="I77" s="79" t="e">
        <f t="shared" si="29"/>
        <v>#DIV/0!</v>
      </c>
      <c r="J77" s="50"/>
      <c r="K77" s="127"/>
      <c r="L77" s="50" t="e">
        <f t="shared" si="30"/>
        <v>#DIV/0!</v>
      </c>
      <c r="M77" s="29">
        <f t="shared" si="36"/>
        <v>37</v>
      </c>
      <c r="N77" s="30" t="str">
        <f t="shared" si="31"/>
        <v/>
      </c>
      <c r="O77" s="29" t="str">
        <f t="shared" si="37"/>
        <v/>
      </c>
      <c r="P77" s="30" t="str">
        <f t="shared" si="32"/>
        <v/>
      </c>
      <c r="Q77" s="7"/>
      <c r="R77" s="26" t="str">
        <f t="shared" si="33"/>
        <v/>
      </c>
      <c r="S77" s="41" t="str">
        <f t="shared" si="34"/>
        <v/>
      </c>
      <c r="U77" s="133" t="e">
        <v>#N/A</v>
      </c>
      <c r="V77" s="134" t="e">
        <v>#N/A</v>
      </c>
      <c r="Y77" s="37"/>
      <c r="Z77" s="29" t="str">
        <f>_xll.RtGet($AD$50,$AD$51&amp;$Y77&amp;$AD$52,Z$48)</f>
        <v>#N/A The record could not be found</v>
      </c>
      <c r="AA77" s="30" t="str">
        <f>_xll.RtGet($AD$50,$AD$51&amp;$Y77&amp;$AD$52,AA$48)</f>
        <v>#N/A The record could not be found</v>
      </c>
    </row>
    <row r="78" spans="2:56" ht="11.25" customHeight="1">
      <c r="E78" s="129" t="b">
        <f t="shared" si="38"/>
        <v>0</v>
      </c>
      <c r="F78" s="107" t="str">
        <f t="shared" si="35"/>
        <v/>
      </c>
      <c r="G78" s="7"/>
      <c r="H78" s="7"/>
      <c r="I78" s="79" t="e">
        <f t="shared" si="29"/>
        <v>#DIV/0!</v>
      </c>
      <c r="J78" s="50"/>
      <c r="K78" s="127"/>
      <c r="L78" s="50" t="e">
        <f t="shared" si="30"/>
        <v>#DIV/0!</v>
      </c>
      <c r="M78" s="29">
        <f t="shared" si="36"/>
        <v>38</v>
      </c>
      <c r="N78" s="30" t="str">
        <f t="shared" si="31"/>
        <v/>
      </c>
      <c r="O78" s="29" t="str">
        <f t="shared" si="37"/>
        <v/>
      </c>
      <c r="P78" s="30" t="str">
        <f t="shared" si="32"/>
        <v/>
      </c>
      <c r="Q78" s="7"/>
      <c r="R78" s="26" t="str">
        <f t="shared" si="33"/>
        <v/>
      </c>
      <c r="S78" s="41" t="str">
        <f t="shared" si="34"/>
        <v/>
      </c>
      <c r="U78" s="133" t="e">
        <v>#N/A</v>
      </c>
      <c r="V78" s="134" t="e">
        <v>#N/A</v>
      </c>
      <c r="Y78" s="37"/>
      <c r="Z78" s="29" t="str">
        <f>_xll.RtGet($AD$50,$AD$51&amp;$Y78&amp;$AD$52,Z$48)</f>
        <v>#N/A The record could not be found</v>
      </c>
      <c r="AA78" s="30" t="str">
        <f>_xll.RtGet($AD$50,$AD$51&amp;$Y78&amp;$AD$52,AA$48)</f>
        <v>#N/A The record could not be found</v>
      </c>
    </row>
    <row r="79" spans="2:56" ht="11.25" customHeight="1">
      <c r="E79" s="129" t="b">
        <f t="shared" si="38"/>
        <v>0</v>
      </c>
      <c r="F79" s="107" t="str">
        <f t="shared" si="35"/>
        <v/>
      </c>
      <c r="G79" s="7"/>
      <c r="H79" s="7"/>
      <c r="I79" s="79" t="e">
        <f t="shared" si="29"/>
        <v>#DIV/0!</v>
      </c>
      <c r="J79" s="50"/>
      <c r="K79" s="127"/>
      <c r="L79" s="50" t="e">
        <f t="shared" si="30"/>
        <v>#DIV/0!</v>
      </c>
      <c r="M79" s="29">
        <f t="shared" si="36"/>
        <v>39</v>
      </c>
      <c r="N79" s="30" t="str">
        <f t="shared" si="31"/>
        <v/>
      </c>
      <c r="O79" s="29" t="str">
        <f t="shared" si="37"/>
        <v/>
      </c>
      <c r="P79" s="30" t="str">
        <f t="shared" si="32"/>
        <v/>
      </c>
      <c r="Q79" s="7"/>
      <c r="R79" s="26" t="str">
        <f t="shared" si="33"/>
        <v/>
      </c>
      <c r="S79" s="41" t="str">
        <f t="shared" si="34"/>
        <v/>
      </c>
      <c r="U79" s="135" t="e">
        <v>#N/A</v>
      </c>
      <c r="V79" s="136" t="e">
        <v>#N/A</v>
      </c>
      <c r="Y79" s="37"/>
      <c r="Z79" s="29" t="str">
        <f>_xll.RtGet($AD$50,$AD$51&amp;$Y79&amp;$AD$52,Z$48)</f>
        <v>#N/A The record could not be found</v>
      </c>
      <c r="AA79" s="30" t="str">
        <f>_xll.RtGet($AD$50,$AD$51&amp;$Y79&amp;$AD$52,AA$48)</f>
        <v>#N/A The record could not be found</v>
      </c>
    </row>
    <row r="80" spans="2:56" ht="11.25" customHeight="1">
      <c r="E80" s="129" t="b">
        <f t="shared" si="38"/>
        <v>0</v>
      </c>
      <c r="F80" s="107" t="str">
        <f t="shared" si="35"/>
        <v/>
      </c>
      <c r="G80" s="7"/>
      <c r="H80" s="7"/>
      <c r="I80" s="79" t="e">
        <f t="shared" si="29"/>
        <v>#DIV/0!</v>
      </c>
      <c r="J80" s="50"/>
      <c r="K80" s="127"/>
      <c r="L80" s="50" t="e">
        <f t="shared" si="30"/>
        <v>#DIV/0!</v>
      </c>
      <c r="M80" s="29">
        <f t="shared" si="36"/>
        <v>40</v>
      </c>
      <c r="N80" s="30" t="str">
        <f t="shared" si="31"/>
        <v/>
      </c>
      <c r="O80" s="29" t="str">
        <f t="shared" si="37"/>
        <v/>
      </c>
      <c r="P80" s="30" t="str">
        <f t="shared" si="32"/>
        <v/>
      </c>
      <c r="Q80" s="7"/>
      <c r="R80" s="26" t="str">
        <f t="shared" si="33"/>
        <v/>
      </c>
      <c r="S80" s="41" t="str">
        <f t="shared" si="34"/>
        <v/>
      </c>
      <c r="Y80" s="37"/>
      <c r="Z80" s="29" t="str">
        <f>_xll.RtGet($AD$50,$AD$51&amp;$Y80&amp;$AD$52,Z$48)</f>
        <v>#N/A The record could not be found</v>
      </c>
      <c r="AA80" s="30" t="str">
        <f>_xll.RtGet($AD$50,$AD$51&amp;$Y80&amp;$AD$52,AA$48)</f>
        <v>#N/A The record could not be found</v>
      </c>
    </row>
    <row r="81" spans="5:27" ht="11.25" customHeight="1">
      <c r="E81" s="129" t="b">
        <f t="shared" si="38"/>
        <v>0</v>
      </c>
      <c r="F81" s="107" t="str">
        <f t="shared" si="35"/>
        <v/>
      </c>
      <c r="G81" s="7"/>
      <c r="H81" s="7"/>
      <c r="I81" s="79" t="e">
        <f t="shared" si="29"/>
        <v>#DIV/0!</v>
      </c>
      <c r="J81" s="50"/>
      <c r="K81" s="127"/>
      <c r="L81" s="50" t="e">
        <f t="shared" si="30"/>
        <v>#DIV/0!</v>
      </c>
      <c r="M81" s="29">
        <f t="shared" si="36"/>
        <v>41</v>
      </c>
      <c r="N81" s="30" t="str">
        <f t="shared" si="31"/>
        <v/>
      </c>
      <c r="O81" s="29" t="str">
        <f t="shared" si="37"/>
        <v/>
      </c>
      <c r="P81" s="30" t="str">
        <f t="shared" si="32"/>
        <v/>
      </c>
      <c r="Q81" s="7"/>
      <c r="R81" s="26" t="str">
        <f t="shared" si="33"/>
        <v/>
      </c>
      <c r="S81" s="41" t="str">
        <f t="shared" si="34"/>
        <v/>
      </c>
      <c r="Y81" s="37"/>
      <c r="Z81" s="29" t="str">
        <f>_xll.RtGet($AD$50,$AD$51&amp;$Y81&amp;$AD$52,Z$48)</f>
        <v>#N/A The record could not be found</v>
      </c>
      <c r="AA81" s="30" t="str">
        <f>_xll.RtGet($AD$50,$AD$51&amp;$Y81&amp;$AD$52,AA$48)</f>
        <v>#N/A The record could not be found</v>
      </c>
    </row>
    <row r="82" spans="5:27" ht="11.25" customHeight="1">
      <c r="E82" s="130" t="b">
        <f t="shared" si="38"/>
        <v>0</v>
      </c>
      <c r="F82" s="108" t="str">
        <f t="shared" si="35"/>
        <v/>
      </c>
      <c r="I82" s="80" t="e">
        <f t="shared" si="29"/>
        <v>#DIV/0!</v>
      </c>
      <c r="J82" s="51"/>
      <c r="K82" s="126"/>
      <c r="L82" s="51" t="e">
        <f t="shared" si="30"/>
        <v>#DIV/0!</v>
      </c>
      <c r="M82" s="22">
        <f t="shared" si="36"/>
        <v>42</v>
      </c>
      <c r="N82" s="23" t="str">
        <f t="shared" si="31"/>
        <v/>
      </c>
      <c r="O82" s="22" t="str">
        <f t="shared" si="37"/>
        <v/>
      </c>
      <c r="P82" s="23" t="str">
        <f t="shared" si="32"/>
        <v/>
      </c>
      <c r="R82" s="9" t="str">
        <f t="shared" si="33"/>
        <v/>
      </c>
      <c r="S82" s="43" t="str">
        <f t="shared" si="34"/>
        <v/>
      </c>
      <c r="Y82" s="37"/>
      <c r="Z82" s="29" t="str">
        <f>_xll.RtGet($AD$50,$AD$51&amp;$Y82&amp;$AD$52,Z$48)</f>
        <v>#N/A The record could not be found</v>
      </c>
      <c r="AA82" s="30" t="str">
        <f>_xll.RtGet($AD$50,$AD$51&amp;$Y82&amp;$AD$52,AA$48)</f>
        <v>#N/A The record could not be found</v>
      </c>
    </row>
    <row r="83" spans="5:27" ht="11.25" customHeight="1">
      <c r="I83" s="7"/>
      <c r="J83" s="7"/>
      <c r="K83" s="7"/>
      <c r="L83" s="7"/>
      <c r="N83"/>
      <c r="O83"/>
      <c r="Y83" s="37"/>
      <c r="Z83" s="29" t="str">
        <f>_xll.RtGet($AD$50,$AD$51&amp;$Y83&amp;$AD$52,Z$48)</f>
        <v>#N/A The record could not be found</v>
      </c>
      <c r="AA83" s="30" t="str">
        <f>_xll.RtGet($AD$50,$AD$51&amp;$Y83&amp;$AD$52,AA$48)</f>
        <v>#N/A The record could not be found</v>
      </c>
    </row>
    <row r="84" spans="5:27" ht="11.25" customHeight="1">
      <c r="N84"/>
      <c r="O84"/>
      <c r="Y84" s="37"/>
      <c r="Z84" s="29" t="str">
        <f>_xll.RtGet($AD$50,$AD$51&amp;$Y84&amp;$AD$52,Z$48)</f>
        <v>#N/A The record could not be found</v>
      </c>
      <c r="AA84" s="30" t="str">
        <f>_xll.RtGet($AD$50,$AD$51&amp;$Y84&amp;$AD$52,AA$48)</f>
        <v>#N/A The record could not be found</v>
      </c>
    </row>
    <row r="85" spans="5:27" ht="11.25" customHeight="1">
      <c r="N85"/>
      <c r="O85"/>
      <c r="Y85" s="37"/>
      <c r="Z85" s="29" t="str">
        <f>_xll.RtGet($AD$50,$AD$51&amp;$Y85&amp;$AD$52,Z$48)</f>
        <v>#N/A The record could not be found</v>
      </c>
      <c r="AA85" s="30" t="str">
        <f>_xll.RtGet($AD$50,$AD$51&amp;$Y85&amp;$AD$52,AA$48)</f>
        <v>#N/A The record could not be found</v>
      </c>
    </row>
    <row r="86" spans="5:27" ht="11.25" customHeight="1">
      <c r="N86"/>
      <c r="O86"/>
      <c r="Y86" s="37"/>
      <c r="Z86" s="29" t="str">
        <f>_xll.RtGet($AD$50,$AD$51&amp;$Y86&amp;$AD$52,Z$48)</f>
        <v>#N/A The record could not be found</v>
      </c>
      <c r="AA86" s="30" t="str">
        <f>_xll.RtGet($AD$50,$AD$51&amp;$Y86&amp;$AD$52,AA$48)</f>
        <v>#N/A The record could not be found</v>
      </c>
    </row>
    <row r="87" spans="5:27" ht="11.25" customHeight="1">
      <c r="N87"/>
      <c r="O87"/>
      <c r="Y87" s="37"/>
      <c r="Z87" s="29" t="str">
        <f>_xll.RtGet($AD$50,$AD$51&amp;$Y87&amp;$AD$52,Z$48)</f>
        <v>#N/A The record could not be found</v>
      </c>
      <c r="AA87" s="30" t="str">
        <f>_xll.RtGet($AD$50,$AD$51&amp;$Y87&amp;$AD$52,AA$48)</f>
        <v>#N/A The record could not be found</v>
      </c>
    </row>
    <row r="88" spans="5:27" ht="11.25" customHeight="1">
      <c r="N88"/>
      <c r="O88"/>
      <c r="Y88" s="37"/>
      <c r="Z88" s="29" t="str">
        <f>_xll.RtGet($AD$50,$AD$51&amp;$Y88&amp;$AD$52,Z$48)</f>
        <v>#N/A The record could not be found</v>
      </c>
      <c r="AA88" s="30" t="str">
        <f>_xll.RtGet($AD$50,$AD$51&amp;$Y88&amp;$AD$52,AA$48)</f>
        <v>#N/A The record could not be found</v>
      </c>
    </row>
    <row r="89" spans="5:27" ht="11.25" customHeight="1">
      <c r="N89"/>
      <c r="O89"/>
      <c r="Y89" s="37"/>
      <c r="Z89" s="29" t="str">
        <f>_xll.RtGet($AD$50,$AD$51&amp;$Y89&amp;$AD$52,Z$48)</f>
        <v>#N/A The record could not be found</v>
      </c>
      <c r="AA89" s="30" t="str">
        <f>_xll.RtGet($AD$50,$AD$51&amp;$Y89&amp;$AD$52,AA$48)</f>
        <v>#N/A The record could not be found</v>
      </c>
    </row>
    <row r="90" spans="5:27" ht="11.25" customHeight="1">
      <c r="N90"/>
      <c r="O90"/>
      <c r="Y90" s="38"/>
      <c r="Z90" s="22" t="str">
        <f>_xll.RtGet($AD$50,$AD$51&amp;$Y90&amp;$AD$52,Z$48)</f>
        <v>#N/A The record could not be found</v>
      </c>
      <c r="AA90" s="23" t="str">
        <f>_xll.RtGet($AD$50,$AD$51&amp;$Y90&amp;$AD$52,AA$48)</f>
        <v>#N/A The record could not be found</v>
      </c>
    </row>
    <row r="91" spans="5:27" ht="11.25" customHeight="1">
      <c r="N91"/>
      <c r="O91"/>
    </row>
    <row r="92" spans="5:27" ht="11.25" customHeight="1">
      <c r="N92"/>
      <c r="O92"/>
    </row>
    <row r="93" spans="5:27" ht="11.25" customHeight="1">
      <c r="N93"/>
      <c r="O93"/>
    </row>
    <row r="94" spans="5:27" ht="11.25" customHeight="1">
      <c r="N94"/>
      <c r="O94"/>
    </row>
    <row r="95" spans="5:27" ht="11.25" customHeight="1">
      <c r="N95"/>
      <c r="O95"/>
    </row>
    <row r="96" spans="5:27" ht="11.25" customHeight="1">
      <c r="N96"/>
      <c r="O96"/>
    </row>
    <row r="97" spans="14:15" ht="11.25" customHeight="1">
      <c r="N97"/>
      <c r="O97"/>
    </row>
    <row r="98" spans="14:15" ht="11.25" customHeight="1">
      <c r="N98"/>
      <c r="O98"/>
    </row>
    <row r="99" spans="14:15" ht="11.25" customHeight="1">
      <c r="N99"/>
      <c r="O99"/>
    </row>
    <row r="100" spans="14:15" ht="11.25" customHeight="1">
      <c r="N100"/>
      <c r="O100"/>
    </row>
    <row r="101" spans="14:15" ht="11.25" customHeight="1">
      <c r="N101"/>
      <c r="O101"/>
    </row>
    <row r="102" spans="14:15" ht="11.25" customHeight="1">
      <c r="N102"/>
      <c r="O102"/>
    </row>
    <row r="103" spans="14:15" ht="11.25" customHeight="1">
      <c r="N103"/>
      <c r="O103"/>
    </row>
    <row r="104" spans="14:15" ht="11.25" customHeight="1">
      <c r="N104"/>
      <c r="O104"/>
    </row>
    <row r="105" spans="14:15" ht="11.25" customHeight="1">
      <c r="N105"/>
      <c r="O105"/>
    </row>
    <row r="106" spans="14:15" ht="11.25" customHeight="1">
      <c r="N106"/>
      <c r="O106"/>
    </row>
    <row r="107" spans="14:15" ht="11.25" customHeight="1">
      <c r="N107"/>
      <c r="O107"/>
    </row>
    <row r="108" spans="14:15" ht="11.25" customHeight="1">
      <c r="N108"/>
      <c r="O108"/>
    </row>
    <row r="109" spans="14:15" ht="11.25" customHeight="1">
      <c r="N109"/>
      <c r="O109"/>
    </row>
    <row r="110" spans="14:15" ht="11.25" customHeight="1">
      <c r="N110"/>
      <c r="O110"/>
    </row>
    <row r="111" spans="14:15" ht="11.25" customHeight="1">
      <c r="N111"/>
      <c r="O111"/>
    </row>
    <row r="112" spans="14:15" ht="11.25" customHeight="1">
      <c r="N112"/>
      <c r="O112"/>
    </row>
  </sheetData>
  <sheetProtection formatCells="0" formatColumns="0" formatRows="0"/>
  <mergeCells count="4">
    <mergeCell ref="B2:C2"/>
    <mergeCell ref="AU2:AV2"/>
    <mergeCell ref="B29:C29"/>
    <mergeCell ref="B20:C20"/>
  </mergeCells>
  <conditionalFormatting sqref="AP3:AQ66">
    <cfRule type="expression" dxfId="37" priority="22" stopIfTrue="1">
      <formula>AW3=0</formula>
    </cfRule>
  </conditionalFormatting>
  <conditionalFormatting sqref="E3:E20 E27:E38 E41:E82 E23:E24">
    <cfRule type="cellIs" dxfId="36" priority="21" stopIfTrue="1" operator="equal">
      <formula>FALSE</formula>
    </cfRule>
  </conditionalFormatting>
  <conditionalFormatting sqref="I3:L20">
    <cfRule type="expression" dxfId="35" priority="15" stopIfTrue="1">
      <formula>NOT($E3)</formula>
    </cfRule>
  </conditionalFormatting>
  <conditionalFormatting sqref="I23:L24">
    <cfRule type="expression" dxfId="34" priority="13" stopIfTrue="1">
      <formula>NOT($E23)</formula>
    </cfRule>
  </conditionalFormatting>
  <conditionalFormatting sqref="I27:L38">
    <cfRule type="expression" dxfId="33" priority="11" stopIfTrue="1">
      <formula>NOT($E27)</formula>
    </cfRule>
  </conditionalFormatting>
  <conditionalFormatting sqref="I41:L82">
    <cfRule type="expression" dxfId="32" priority="9" stopIfTrue="1">
      <formula>NOT($E41)</formula>
    </cfRule>
  </conditionalFormatting>
  <conditionalFormatting sqref="L3:L20">
    <cfRule type="expression" dxfId="31" priority="16" stopIfTrue="1">
      <formula>ISNUMBER(J3)</formula>
    </cfRule>
    <cfRule type="expression" dxfId="30" priority="20" stopIfTrue="1">
      <formula>ISNUMBER(K3)</formula>
    </cfRule>
  </conditionalFormatting>
  <conditionalFormatting sqref="L23:L24">
    <cfRule type="expression" dxfId="29" priority="14" stopIfTrue="1">
      <formula>ISNUMBER(J23)</formula>
    </cfRule>
    <cfRule type="expression" dxfId="28" priority="19" stopIfTrue="1">
      <formula>ISNUMBER(K23)</formula>
    </cfRule>
  </conditionalFormatting>
  <conditionalFormatting sqref="L27:L38">
    <cfRule type="expression" dxfId="27" priority="12" stopIfTrue="1">
      <formula>ISNUMBER(J27)</formula>
    </cfRule>
    <cfRule type="expression" dxfId="26" priority="18" stopIfTrue="1">
      <formula>ISNUMBER(K27)</formula>
    </cfRule>
  </conditionalFormatting>
  <conditionalFormatting sqref="L41:L82">
    <cfRule type="expression" dxfId="25" priority="10" stopIfTrue="1">
      <formula>ISNUMBER(J41)</formula>
    </cfRule>
    <cfRule type="expression" dxfId="24" priority="17" stopIfTrue="1">
      <formula>ISNUMBER(K41)</formula>
    </cfRule>
  </conditionalFormatting>
  <dataValidations count="11">
    <dataValidation type="list" allowBlank="1" showInputMessage="1" showErrorMessage="1" sqref="C43 C10 C41 C39">
      <formula1>INDEX(dvCurveBootstrapperDayCount,0,1)</formula1>
    </dataValidation>
    <dataValidation type="list" allowBlank="1" showInputMessage="1" showErrorMessage="1" sqref="C11">
      <formula1>INDEX(dvCurveBootstrapperOutputType,0,1)</formula1>
    </dataValidation>
    <dataValidation type="list" allowBlank="1" showInputMessage="1" showErrorMessage="1" sqref="C9">
      <formula1>dvCurveBootstrapperCompounding</formula1>
    </dataValidation>
    <dataValidation type="list" allowBlank="1" showInputMessage="1" showErrorMessage="1" sqref="C8">
      <formula1>dvCurveBootstrapperInterpOn</formula1>
    </dataValidation>
    <dataValidation type="list" allowBlank="1" showInputMessage="1" showErrorMessage="1" sqref="C7">
      <formula1>dvCurveBootstrapperInterpType</formula1>
    </dataValidation>
    <dataValidation type="list" allowBlank="1" showInputMessage="1" showErrorMessage="1" sqref="E41:E82 E3:E20 C31 E27:E38 C21 E23:E24 C24 C44">
      <formula1>dvBool</formula1>
    </dataValidation>
    <dataValidation type="list" allowBlank="1" showInputMessage="1" showErrorMessage="1" sqref="C37">
      <formula1>INDEX(dvCurveBootstrapperSwapMatType,0,1)</formula1>
    </dataValidation>
    <dataValidation type="list" allowBlank="1" showInputMessage="1" showErrorMessage="1" sqref="C36">
      <formula1>INDEX(dvCurveBootstrapperFraFutAdjust,0,1)</formula1>
    </dataValidation>
    <dataValidation type="list" allowBlank="1" showInputMessage="1" showErrorMessage="1" sqref="C32">
      <formula1>dvCurveBootstrapperFutCons</formula1>
    </dataValidation>
    <dataValidation type="list" allowBlank="1" showInputMessage="1" showErrorMessage="1" sqref="C33">
      <formula1>dvCurveBootstrapperMatCons</formula1>
    </dataValidation>
    <dataValidation type="list" allowBlank="1" showInputMessage="1" showErrorMessage="1" sqref="C34">
      <formula1>dvCurveBootstrapperFutEndDate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btnRun">
          <controlPr defaultSize="0" autoLine="0" r:id="rId5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1</xdr:col>
                <xdr:colOff>914400</xdr:colOff>
                <xdr:row>15</xdr:row>
                <xdr:rowOff>9525</xdr:rowOff>
              </to>
            </anchor>
          </controlPr>
        </control>
      </mc:Choice>
      <mc:Fallback>
        <control shapeId="26625" r:id="rId4" name="btnRun"/>
      </mc:Fallback>
    </mc:AlternateContent>
    <mc:AlternateContent xmlns:mc="http://schemas.openxmlformats.org/markup-compatibility/2006">
      <mc:Choice Requires="x14">
        <control shapeId="26626" r:id="rId6" name="btnFreeze">
          <controlPr defaultSize="0" autoLine="0" r:id="rId7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1</xdr:col>
                <xdr:colOff>914400</xdr:colOff>
                <xdr:row>17</xdr:row>
                <xdr:rowOff>9525</xdr:rowOff>
              </to>
            </anchor>
          </controlPr>
        </control>
      </mc:Choice>
      <mc:Fallback>
        <control shapeId="26626" r:id="rId6" name="btnFreez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  <outlinePr summaryRight="0"/>
  </sheetPr>
  <dimension ref="A1:AB19"/>
  <sheetViews>
    <sheetView showGridLines="0" workbookViewId="0">
      <selection activeCell="B19" sqref="B19:C19"/>
    </sheetView>
  </sheetViews>
  <sheetFormatPr defaultRowHeight="11.25" outlineLevelCol="1"/>
  <cols>
    <col min="1" max="1" width="3.83203125" customWidth="1"/>
    <col min="2" max="3" width="21.83203125" customWidth="1"/>
    <col min="4" max="4" width="2.83203125" customWidth="1"/>
    <col min="11" max="12" width="9.33203125" customWidth="1" outlineLevel="1"/>
    <col min="13" max="13" width="12.83203125" customWidth="1" outlineLevel="1"/>
    <col min="14" max="14" width="14.83203125" customWidth="1" outlineLevel="1"/>
    <col min="15" max="15" width="9.33203125" customWidth="1" outlineLevel="1"/>
    <col min="17" max="17" width="55.83203125" customWidth="1"/>
    <col min="18" max="18" width="2.83203125" customWidth="1"/>
    <col min="20" max="20" width="13.83203125" customWidth="1"/>
    <col min="23" max="23" width="11.83203125" customWidth="1"/>
    <col min="24" max="25" width="9.5" bestFit="1" customWidth="1"/>
    <col min="26" max="26" width="2.83203125" customWidth="1"/>
    <col min="27" max="27" width="10.33203125" customWidth="1"/>
  </cols>
  <sheetData>
    <row r="1" spans="1:28">
      <c r="A1" s="234"/>
      <c r="B1" s="6"/>
      <c r="C1" s="6" t="b">
        <f>_xll.pdgSettingsSetEvaluationDate(C3)</f>
        <v>1</v>
      </c>
      <c r="D1" s="6"/>
      <c r="E1" s="53"/>
      <c r="F1" s="7"/>
      <c r="P1" s="190" t="b">
        <f>NOT(ISERROR(SUM(P3:P17)))</f>
        <v>1</v>
      </c>
      <c r="Q1" t="b">
        <f>Summary!H9</f>
        <v>0</v>
      </c>
    </row>
    <row r="2" spans="1:28" ht="12.75">
      <c r="A2" s="6"/>
      <c r="B2" s="231" t="s">
        <v>0</v>
      </c>
      <c r="C2" s="232"/>
      <c r="D2" s="6"/>
      <c r="E2" s="86" t="s">
        <v>75</v>
      </c>
      <c r="F2" s="6"/>
      <c r="G2" s="86" t="s">
        <v>1</v>
      </c>
      <c r="H2" s="86" t="s">
        <v>2</v>
      </c>
      <c r="I2" s="86" t="s">
        <v>3</v>
      </c>
      <c r="J2" s="86" t="s">
        <v>4</v>
      </c>
      <c r="K2" s="86" t="s">
        <v>173</v>
      </c>
      <c r="L2" s="86" t="s">
        <v>174</v>
      </c>
      <c r="M2" s="86" t="s">
        <v>176</v>
      </c>
      <c r="N2" s="86" t="s">
        <v>181</v>
      </c>
      <c r="O2" s="86" t="s">
        <v>179</v>
      </c>
      <c r="P2" s="171" t="s">
        <v>179</v>
      </c>
      <c r="Q2" s="86" t="s">
        <v>184</v>
      </c>
      <c r="W2" s="10" t="s">
        <v>161</v>
      </c>
      <c r="X2" s="11" t="s">
        <v>5</v>
      </c>
      <c r="Y2" s="12" t="s">
        <v>6</v>
      </c>
      <c r="Z2" s="6"/>
      <c r="AA2" s="6"/>
      <c r="AB2" s="6"/>
    </row>
    <row r="3" spans="1:28">
      <c r="A3" s="6"/>
      <c r="B3" s="235" t="s">
        <v>73</v>
      </c>
      <c r="C3" s="236">
        <f>Today</f>
        <v>41893</v>
      </c>
      <c r="D3" s="6"/>
      <c r="E3" s="216" t="b">
        <v>1</v>
      </c>
      <c r="F3" s="217">
        <f>W3</f>
        <v>6</v>
      </c>
      <c r="G3" s="218">
        <f>AVERAGE(X3:Y3)</f>
        <v>-47</v>
      </c>
      <c r="H3" s="219"/>
      <c r="I3" s="220"/>
      <c r="J3" s="219">
        <f t="shared" ref="J3:J16" si="0">IF(ISNUMBER(H3),H3,G3)+I3</f>
        <v>-47</v>
      </c>
      <c r="K3" s="221">
        <f>-_xll.xlShmSwapNPV($C$8,$C$7,$C$6,,F3,-J3/100,$C$14,$C$19,$C$14,$C$19,$C$16,$C$17,,$C$11)</f>
        <v>0.83484363117321547</v>
      </c>
      <c r="L3" s="221">
        <f t="shared" ref="L3" si="1">Notional-K3</f>
        <v>99.165156368826786</v>
      </c>
      <c r="M3" s="222">
        <f>_xll.xlDateWorkFw($C$4,_xll.xlDateShiftMonth($C$6,F3),TRUE)</f>
        <v>42079</v>
      </c>
      <c r="N3" s="223" t="str">
        <f>_xll.pdgDefaultableLoan(,EvaluationDate,Currency,pdgDiscCurve,EntityName,M3,Notional,Notional*Recovery,,FloatingFlag)</f>
        <v>obj_001f0#0004</v>
      </c>
      <c r="O3" s="224">
        <f t="array" ref="O3:O17">_xll.pdgLoanCalibration3(C3,C8,M3:M17,N3:N17,L3:L17,E3:E17,C9,C12)</f>
        <v>-5.0342446658830017E-3</v>
      </c>
      <c r="P3" s="225">
        <f>IF(E3,ROUND(O3*(10^4),2),NA())</f>
        <v>-50.34</v>
      </c>
      <c r="Q3" s="223" t="str">
        <f>IF(AND($P$1,$Q$1),_xll.RtContribute($T$3,$T$4&amp;F3&amp;$T$5,CHOOSE({1,2},"BID","ASK"),CHOOSE({1,2},P3,P3),"SCOPE:SERVER FTC:ALL"),"--")</f>
        <v>--</v>
      </c>
      <c r="S3" s="13" t="s">
        <v>14</v>
      </c>
      <c r="T3" s="71" t="s">
        <v>162</v>
      </c>
      <c r="W3" s="44">
        <v>6</v>
      </c>
      <c r="X3" s="143">
        <f>_xll.RtGet($AB$3,$AB$4&amp;$W3&amp;$AB$5,X$2)</f>
        <v>-47</v>
      </c>
      <c r="Y3" s="144">
        <f>_xll.RtGet($AB$3,$AB$4&amp;$W3&amp;$AB$5,Y$2)</f>
        <v>-47</v>
      </c>
      <c r="Z3" s="6"/>
      <c r="AA3" s="13" t="s">
        <v>14</v>
      </c>
      <c r="AB3" s="71" t="s">
        <v>162</v>
      </c>
    </row>
    <row r="4" spans="1:28">
      <c r="A4" s="6"/>
      <c r="B4" s="156" t="s">
        <v>166</v>
      </c>
      <c r="C4" s="237" t="s">
        <v>212</v>
      </c>
      <c r="D4" s="6"/>
      <c r="E4" s="129" t="b">
        <v>1</v>
      </c>
      <c r="F4" s="149">
        <f>W4</f>
        <v>1</v>
      </c>
      <c r="G4" s="151">
        <f t="shared" ref="G4:G17" si="2">AVERAGE(X4:Y4)</f>
        <v>-41</v>
      </c>
      <c r="H4" s="152"/>
      <c r="I4" s="153"/>
      <c r="J4" s="152">
        <f t="shared" si="0"/>
        <v>-41</v>
      </c>
      <c r="K4" s="162">
        <f>-_xll.xlShmSwapNPV($C$8,$C$7,$C$6,,12*F4,-J4/100,$C$14,$C$19,$C$14,$C$19,$C$16,$C$17,,$C$11)</f>
        <v>1.7970472699308333</v>
      </c>
      <c r="L4" s="162">
        <f t="shared" ref="L4:L17" si="3">Notional-K4</f>
        <v>98.202952730069171</v>
      </c>
      <c r="M4" s="164">
        <f>_xll.xlDateWorkFw($C$4,_xll.xlDateShiftMonth($C$6,12*F4),TRUE)</f>
        <v>42262</v>
      </c>
      <c r="N4" s="169" t="str">
        <f>_xll.pdgDefaultableLoan(,EvaluationDate,Currency,pdgDiscCurve,EntityName,M4,Notional,Notional*Recovery,,FloatingFlag)</f>
        <v>obj_001f6#0003</v>
      </c>
      <c r="O4" s="167">
        <v>-4.334270455898466E-3</v>
      </c>
      <c r="P4" s="172">
        <f>IF(E4,ROUND(O4*(10^4),2),P3)</f>
        <v>-43.34</v>
      </c>
      <c r="Q4" s="169" t="str">
        <f>IF(AND($P$1,$Q$1),_xll.RtContribute($T$3,$T$4&amp;F4&amp;$T$6,CHOOSE({1,2},"BID","ASK"),CHOOSE({1,2},P4,P4),"SCOPE:SERVER FTC:ALL"),"--")</f>
        <v>--</v>
      </c>
      <c r="S4" s="18" t="s">
        <v>20</v>
      </c>
      <c r="T4" s="72" t="str">
        <f>C9&amp;"ISPTITCDS"</f>
        <v>HUFISPTITCDS</v>
      </c>
      <c r="W4" s="32">
        <v>1</v>
      </c>
      <c r="X4" s="145">
        <f>_xll.RtGet($AB$3,$AB$4&amp;$W4&amp;$AB$6,X$2)</f>
        <v>-41</v>
      </c>
      <c r="Y4" s="146">
        <f>_xll.RtGet($AB$3,$AB$4&amp;$W4&amp;$AB$6,Y$2)</f>
        <v>-41</v>
      </c>
      <c r="Z4" s="6"/>
      <c r="AA4" s="18" t="s">
        <v>20</v>
      </c>
      <c r="AB4" s="72" t="str">
        <f>C9&amp;"ISPTIT"</f>
        <v>HUFISPTIT</v>
      </c>
    </row>
    <row r="5" spans="1:28">
      <c r="A5" s="6"/>
      <c r="B5" s="200" t="s">
        <v>167</v>
      </c>
      <c r="C5" s="238">
        <v>2</v>
      </c>
      <c r="D5" s="6"/>
      <c r="E5" s="129" t="b">
        <v>1</v>
      </c>
      <c r="F5" s="149">
        <f t="shared" ref="F5:F16" si="4">W5</f>
        <v>2</v>
      </c>
      <c r="G5" s="151">
        <f t="shared" si="2"/>
        <v>-18</v>
      </c>
      <c r="H5" s="152"/>
      <c r="I5" s="153"/>
      <c r="J5" s="152">
        <f t="shared" si="0"/>
        <v>-18</v>
      </c>
      <c r="K5" s="162">
        <f>-_xll.xlShmSwapNPV($C$8,$C$7,$C$6,,12*F5,-J5/100,$C$14,$C$19,$C$14,$C$19,$C$16,$C$17,,$C$11)</f>
        <v>4.3416734094800757</v>
      </c>
      <c r="L5" s="162">
        <f t="shared" si="3"/>
        <v>95.65832659051992</v>
      </c>
      <c r="M5" s="164">
        <f>_xll.xlDateWorkFw($C$4,_xll.xlDateShiftMonth($C$6,12*F5),TRUE)</f>
        <v>42628</v>
      </c>
      <c r="N5" s="169" t="str">
        <f>_xll.pdgDefaultableLoan(,EvaluationDate,Currency,pdgDiscCurve,EntityName,M5,Notional,Notional*Recovery,,FloatingFlag)</f>
        <v>obj_001f2#0003</v>
      </c>
      <c r="O5" s="167">
        <v>-2.0143030148113898E-3</v>
      </c>
      <c r="P5" s="172">
        <f t="shared" ref="P5:P16" si="5">IF(E5,ROUND(O5*(10^4),2),P4)</f>
        <v>-20.14</v>
      </c>
      <c r="Q5" s="169" t="str">
        <f>IF(AND($P$1,$Q$1),_xll.RtContribute($T$3,$T$4&amp;F5&amp;$T$6,CHOOSE({1,2},"BID","ASK"),CHOOSE({1,2},P5,P5),"SCOPE:SERVER FTC:ALL"),"--")</f>
        <v>--</v>
      </c>
      <c r="S5" s="18" t="s">
        <v>24</v>
      </c>
      <c r="T5" s="141" t="s">
        <v>183</v>
      </c>
      <c r="W5" s="32">
        <v>2</v>
      </c>
      <c r="X5" s="145">
        <f>_xll.RtGet($AB$3,$AB$4&amp;$W5&amp;$AB$6,X$2)</f>
        <v>-18</v>
      </c>
      <c r="Y5" s="146">
        <f>_xll.RtGet($AB$3,$AB$4&amp;$W5&amp;$AB$6,Y$2)</f>
        <v>-18</v>
      </c>
      <c r="Z5" s="6"/>
      <c r="AA5" s="18" t="s">
        <v>24</v>
      </c>
      <c r="AB5" s="141" t="s">
        <v>164</v>
      </c>
    </row>
    <row r="6" spans="1:28">
      <c r="A6" s="7"/>
      <c r="B6" s="157" t="s">
        <v>172</v>
      </c>
      <c r="C6" s="239">
        <f>_xll.xlDateSettle(Calendar,EvaluationDate,SettlementDays)</f>
        <v>41897</v>
      </c>
      <c r="D6" s="6"/>
      <c r="E6" s="129" t="b">
        <v>1</v>
      </c>
      <c r="F6" s="149">
        <f t="shared" si="4"/>
        <v>3</v>
      </c>
      <c r="G6" s="151">
        <f t="shared" si="2"/>
        <v>-4</v>
      </c>
      <c r="H6" s="152"/>
      <c r="I6" s="153"/>
      <c r="J6" s="152">
        <f t="shared" si="0"/>
        <v>-4</v>
      </c>
      <c r="K6" s="162">
        <f>-_xll.xlShmSwapNPV($C$8,$C$7,$C$6,,12*F6,-J6/100,$C$14,$C$19,$C$14,$C$19,$C$16,$C$17,,$C$11)</f>
        <v>7.3017382462420706</v>
      </c>
      <c r="L6" s="162">
        <f t="shared" si="3"/>
        <v>92.698261753757933</v>
      </c>
      <c r="M6" s="164">
        <f>_xll.xlDateWorkFw($C$4,_xll.xlDateShiftMonth($C$6,12*F6),TRUE)</f>
        <v>42993</v>
      </c>
      <c r="N6" s="169" t="str">
        <f>_xll.pdgDefaultableLoan(,EvaluationDate,Currency,pdgDiscCurve,EntityName,M6,Notional,Notional*Recovery,,FloatingFlag)</f>
        <v>obj_00219#0003</v>
      </c>
      <c r="O6" s="167">
        <v>-5.9621595430586847E-4</v>
      </c>
      <c r="P6" s="172">
        <f t="shared" si="5"/>
        <v>-5.96</v>
      </c>
      <c r="Q6" s="169" t="str">
        <f>IF(AND($P$1,$Q$1),_xll.RtContribute($T$3,$T$4&amp;F6&amp;$T$6,CHOOSE({1,2},"BID","ASK"),CHOOSE({1,2},P6,P6),"SCOPE:SERVER FTC:ALL"),"--")</f>
        <v>--</v>
      </c>
      <c r="S6" s="24" t="s">
        <v>24</v>
      </c>
      <c r="T6" s="142" t="s">
        <v>17</v>
      </c>
      <c r="W6" s="32">
        <v>3</v>
      </c>
      <c r="X6" s="145">
        <f>_xll.RtGet($AB$3,$AB$4&amp;$W6&amp;$AB$6,X$2)</f>
        <v>-4</v>
      </c>
      <c r="Y6" s="146">
        <f>_xll.RtGet($AB$3,$AB$4&amp;$W6&amp;$AB$6,Y$2)</f>
        <v>-4</v>
      </c>
      <c r="Z6" s="6"/>
      <c r="AA6" s="24" t="s">
        <v>24</v>
      </c>
      <c r="AB6" s="142" t="s">
        <v>165</v>
      </c>
    </row>
    <row r="7" spans="1:28">
      <c r="A7" s="7"/>
      <c r="B7" s="242" t="s">
        <v>168</v>
      </c>
      <c r="C7" s="243" t="str">
        <f>C8</f>
        <v>HUFSTD</v>
      </c>
      <c r="D7" s="6"/>
      <c r="E7" s="129" t="b">
        <v>1</v>
      </c>
      <c r="F7" s="149">
        <f t="shared" si="4"/>
        <v>4</v>
      </c>
      <c r="G7" s="151">
        <f t="shared" si="2"/>
        <v>14</v>
      </c>
      <c r="H7" s="152"/>
      <c r="I7" s="153"/>
      <c r="J7" s="152">
        <f t="shared" si="0"/>
        <v>14</v>
      </c>
      <c r="K7" s="162">
        <f>-_xll.xlShmSwapNPV($C$8,$C$7,$C$6,,12*F7,-J7/100,$C$14,$C$19,$C$14,$C$19,$C$16,$C$17,,$C$11)</f>
        <v>10.916586357366727</v>
      </c>
      <c r="L7" s="162">
        <f t="shared" si="3"/>
        <v>89.083413642633275</v>
      </c>
      <c r="M7" s="164">
        <f>_xll.xlDateWorkFw($C$4,_xll.xlDateShiftMonth($C$6,12*F7),TRUE)</f>
        <v>43360</v>
      </c>
      <c r="N7" s="169" t="str">
        <f>_xll.pdgDefaultableLoan(,EvaluationDate,Currency,pdgDiscCurve,EntityName,M7,Notional,Notional*Recovery,,FloatingFlag)</f>
        <v>obj_00216#0003</v>
      </c>
      <c r="O7" s="167">
        <v>1.2684388934334594E-3</v>
      </c>
      <c r="P7" s="172">
        <f t="shared" si="5"/>
        <v>12.68</v>
      </c>
      <c r="Q7" s="169" t="str">
        <f>IF(AND($P$1,$Q$1),_xll.RtContribute($T$3,$T$4&amp;F7&amp;$T$6,CHOOSE({1,2},"BID","ASK"),CHOOSE({1,2},P7,P7),"SCOPE:SERVER FTC:ALL"),"--")</f>
        <v>--</v>
      </c>
      <c r="W7" s="32">
        <v>4</v>
      </c>
      <c r="X7" s="145">
        <f>_xll.RtGet($AB$3,$AB$4&amp;$W7&amp;$AB$6,X$2)</f>
        <v>14</v>
      </c>
      <c r="Y7" s="146">
        <f>_xll.RtGet($AB$3,$AB$4&amp;$W7&amp;$AB$6,Y$2)</f>
        <v>14</v>
      </c>
      <c r="Z7" s="6"/>
      <c r="AA7" s="6"/>
      <c r="AB7" s="6"/>
    </row>
    <row r="8" spans="1:28">
      <c r="A8" s="7"/>
      <c r="B8" s="240" t="s">
        <v>169</v>
      </c>
      <c r="C8" s="241" t="str">
        <f>HUFSTD!CurveName</f>
        <v>HUFSTD</v>
      </c>
      <c r="D8" s="6"/>
      <c r="E8" s="129" t="b">
        <v>1</v>
      </c>
      <c r="F8" s="149">
        <f t="shared" si="4"/>
        <v>5</v>
      </c>
      <c r="G8" s="151">
        <f t="shared" si="2"/>
        <v>24</v>
      </c>
      <c r="H8" s="152"/>
      <c r="I8" s="153"/>
      <c r="J8" s="152">
        <f t="shared" si="0"/>
        <v>24</v>
      </c>
      <c r="K8" s="162">
        <f>-_xll.xlShmSwapNPV($C$8,$C$7,$C$6,,12*F8,-J8/100,$C$14,$C$19,$C$14,$C$19,$C$16,$C$17,,$C$11)</f>
        <v>14.72432866223372</v>
      </c>
      <c r="L8" s="162">
        <f t="shared" si="3"/>
        <v>85.275671337766283</v>
      </c>
      <c r="M8" s="164">
        <f>_xll.xlDateWorkFw($C$4,_xll.xlDateShiftMonth($C$6,12*F8),TRUE)</f>
        <v>43724</v>
      </c>
      <c r="N8" s="169" t="str">
        <f>_xll.pdgDefaultableLoan(,EvaluationDate,Currency,pdgDiscCurve,EntityName,M8,Notional,Notional*Recovery,,FloatingFlag)</f>
        <v>obj_00213#0003</v>
      </c>
      <c r="O8" s="167">
        <v>2.402593231579697E-3</v>
      </c>
      <c r="P8" s="172">
        <f t="shared" si="5"/>
        <v>24.03</v>
      </c>
      <c r="Q8" s="169" t="str">
        <f>IF(AND($P$1,$Q$1),_xll.RtContribute($T$3,$T$4&amp;F8&amp;$T$6,CHOOSE({1,2},"BID","ASK"),CHOOSE({1,2},P8,P8),"SCOPE:SERVER FTC:ALL"),"--")</f>
        <v>--</v>
      </c>
      <c r="W8" s="32">
        <v>5</v>
      </c>
      <c r="X8" s="145">
        <f>_xll.RtGet($AB$3,$AB$4&amp;$W8&amp;$AB$6,X$2)</f>
        <v>24</v>
      </c>
      <c r="Y8" s="146">
        <f>_xll.RtGet($AB$3,$AB$4&amp;$W8&amp;$AB$6,Y$2)</f>
        <v>24</v>
      </c>
      <c r="Z8" s="6"/>
      <c r="AA8" s="6"/>
      <c r="AB8" s="6"/>
    </row>
    <row r="9" spans="1:28">
      <c r="A9" s="7"/>
      <c r="B9" s="245" t="s">
        <v>76</v>
      </c>
      <c r="C9" s="246" t="s">
        <v>212</v>
      </c>
      <c r="D9" s="6"/>
      <c r="E9" s="129" t="b">
        <v>1</v>
      </c>
      <c r="F9" s="149">
        <f t="shared" si="4"/>
        <v>6</v>
      </c>
      <c r="G9" s="151">
        <f t="shared" si="2"/>
        <v>41</v>
      </c>
      <c r="H9" s="152"/>
      <c r="I9" s="153"/>
      <c r="J9" s="152">
        <f t="shared" si="0"/>
        <v>41</v>
      </c>
      <c r="K9" s="162">
        <f>-_xll.xlShmSwapNPV($C$8,$C$7,$C$6,,12*F9,-J9/100,$C$14,$C$19,$C$14,$C$19,$C$16,$C$17,,$C$11)</f>
        <v>19.353603062076417</v>
      </c>
      <c r="L9" s="162">
        <f t="shared" si="3"/>
        <v>80.646396937923583</v>
      </c>
      <c r="M9" s="164">
        <f>_xll.xlDateWorkFw($C$4,_xll.xlDateShiftMonth($C$6,12*F9),TRUE)</f>
        <v>44089</v>
      </c>
      <c r="N9" s="169" t="str">
        <f>_xll.pdgDefaultableLoan(,EvaluationDate,Currency,pdgDiscCurve,EntityName,M9,Notional,Notional*Recovery,,FloatingFlag)</f>
        <v>obj_00201#0003</v>
      </c>
      <c r="O9" s="167">
        <v>4.338627196054985E-3</v>
      </c>
      <c r="P9" s="172">
        <f t="shared" si="5"/>
        <v>43.39</v>
      </c>
      <c r="Q9" s="169" t="str">
        <f>IF(AND($P$1,$Q$1),_xll.RtContribute($T$3,$T$4&amp;F9&amp;$T$6,CHOOSE({1,2},"BID","ASK"),CHOOSE({1,2},P9,P9),"SCOPE:SERVER FTC:ALL"),"--")</f>
        <v>--</v>
      </c>
      <c r="W9" s="32">
        <v>6</v>
      </c>
      <c r="X9" s="145">
        <f>_xll.RtGet($AB$3,$AB$4&amp;$W9&amp;$AB$6,X$2)</f>
        <v>41</v>
      </c>
      <c r="Y9" s="146">
        <f>_xll.RtGet($AB$3,$AB$4&amp;$W9&amp;$AB$6,Y$2)</f>
        <v>41</v>
      </c>
      <c r="Z9" s="6"/>
      <c r="AA9" s="6"/>
      <c r="AB9" s="6"/>
    </row>
    <row r="10" spans="1:28">
      <c r="A10" s="7"/>
      <c r="B10" s="244" t="s">
        <v>250</v>
      </c>
      <c r="C10" s="241" t="str">
        <f>UPPER("UNICA_"&amp;Currency)</f>
        <v>UNICA_HUF</v>
      </c>
      <c r="D10" s="6"/>
      <c r="E10" s="129" t="b">
        <v>1</v>
      </c>
      <c r="F10" s="149">
        <f t="shared" si="4"/>
        <v>7</v>
      </c>
      <c r="G10" s="151">
        <f t="shared" si="2"/>
        <v>52</v>
      </c>
      <c r="H10" s="152"/>
      <c r="I10" s="153"/>
      <c r="J10" s="152">
        <f t="shared" si="0"/>
        <v>52</v>
      </c>
      <c r="K10" s="162">
        <f>-_xll.xlShmSwapNPV($C$8,$C$7,$C$6,,12*F10,-J10/100,$C$14,$C$19,$C$14,$C$19,$C$16,$C$17,,$C$11)</f>
        <v>24.060886328831614</v>
      </c>
      <c r="L10" s="162">
        <f t="shared" si="3"/>
        <v>75.939113671168386</v>
      </c>
      <c r="M10" s="164">
        <f>_xll.xlDateWorkFw($C$4,_xll.xlDateShiftMonth($C$6,12*F10),TRUE)</f>
        <v>44454</v>
      </c>
      <c r="N10" s="169" t="str">
        <f>_xll.pdgDefaultableLoan(,EvaluationDate,Currency,pdgDiscCurve,EntityName,M10,Notional,Notional*Recovery,,FloatingFlag)</f>
        <v>obj_00211#0003</v>
      </c>
      <c r="O10" s="167">
        <v>5.8022530347002889E-3</v>
      </c>
      <c r="P10" s="172">
        <f t="shared" si="5"/>
        <v>58.02</v>
      </c>
      <c r="Q10" s="169" t="str">
        <f>IF(AND($P$1,$Q$1),_xll.RtContribute($T$3,$T$4&amp;F10&amp;$T$6,CHOOSE({1,2},"BID","ASK"),CHOOSE({1,2},P10,P10),"SCOPE:SERVER FTC:ALL"),"--")</f>
        <v>--</v>
      </c>
      <c r="W10" s="32">
        <v>7</v>
      </c>
      <c r="X10" s="145">
        <f>_xll.RtGet($AB$3,$AB$4&amp;$W10&amp;$AB$6,X$2)</f>
        <v>52</v>
      </c>
      <c r="Y10" s="146">
        <f>_xll.RtGet($AB$3,$AB$4&amp;$W10&amp;$AB$6,Y$2)</f>
        <v>52</v>
      </c>
      <c r="Z10" s="6"/>
      <c r="AA10" s="6"/>
      <c r="AB10" s="6"/>
    </row>
    <row r="11" spans="1:28">
      <c r="B11" s="244" t="s">
        <v>175</v>
      </c>
      <c r="C11" s="249">
        <v>100</v>
      </c>
      <c r="E11" s="129" t="b">
        <v>1</v>
      </c>
      <c r="F11" s="149">
        <f t="shared" si="4"/>
        <v>8</v>
      </c>
      <c r="G11" s="151">
        <f t="shared" si="2"/>
        <v>63</v>
      </c>
      <c r="H11" s="152"/>
      <c r="I11" s="153"/>
      <c r="J11" s="152">
        <f t="shared" si="0"/>
        <v>63</v>
      </c>
      <c r="K11" s="162">
        <f>-_xll.xlShmSwapNPV($C$8,$C$7,$C$6,,12*F11,-J11/100,$C$14,$C$19,$C$14,$C$19,$C$16,$C$17,,$C$11)</f>
        <v>28.989541507684528</v>
      </c>
      <c r="L11" s="162">
        <f t="shared" si="3"/>
        <v>71.010458492315479</v>
      </c>
      <c r="M11" s="164">
        <f>_xll.xlDateWorkFw($C$4,_xll.xlDateShiftMonth($C$6,12*F11),TRUE)</f>
        <v>44819</v>
      </c>
      <c r="N11" s="169" t="str">
        <f>_xll.pdgDefaultableLoan(,EvaluationDate,Currency,pdgDiscCurve,EntityName,M11,Notional,Notional*Recovery,,FloatingFlag)</f>
        <v>obj_00210#0003</v>
      </c>
      <c r="O11" s="167">
        <v>7.3901312473710293E-3</v>
      </c>
      <c r="P11" s="172">
        <f t="shared" si="5"/>
        <v>73.900000000000006</v>
      </c>
      <c r="Q11" s="169" t="str">
        <f>IF(AND($P$1,$Q$1),_xll.RtContribute($T$3,$T$4&amp;F11&amp;$T$6,CHOOSE({1,2},"BID","ASK"),CHOOSE({1,2},P11,P11),"SCOPE:SERVER FTC:ALL"),"--")</f>
        <v>--</v>
      </c>
      <c r="W11" s="32">
        <v>8</v>
      </c>
      <c r="X11" s="145">
        <f>_xll.RtGet($AB$3,$AB$4&amp;$W11&amp;$AB$6,X$2)</f>
        <v>63</v>
      </c>
      <c r="Y11" s="146">
        <f>_xll.RtGet($AB$3,$AB$4&amp;$W11&amp;$AB$6,Y$2)</f>
        <v>63</v>
      </c>
      <c r="Z11" s="6"/>
      <c r="AA11" s="6"/>
      <c r="AB11" s="6"/>
    </row>
    <row r="12" spans="1:28">
      <c r="B12" s="244" t="s">
        <v>180</v>
      </c>
      <c r="C12" s="248">
        <v>0.4</v>
      </c>
      <c r="E12" s="129" t="b">
        <v>1</v>
      </c>
      <c r="F12" s="149">
        <f t="shared" si="4"/>
        <v>9</v>
      </c>
      <c r="G12" s="151">
        <f t="shared" si="2"/>
        <v>71</v>
      </c>
      <c r="H12" s="152"/>
      <c r="I12" s="153"/>
      <c r="J12" s="152">
        <f t="shared" si="0"/>
        <v>71</v>
      </c>
      <c r="K12" s="162">
        <f>-_xll.xlShmSwapNPV($C$8,$C$7,$C$6,,12*F12,-J12/100,$C$14,$C$19,$C$14,$C$19,$C$16,$C$17,,$C$11)</f>
        <v>33.79790690376263</v>
      </c>
      <c r="L12" s="162">
        <f t="shared" si="3"/>
        <v>66.202093096237377</v>
      </c>
      <c r="M12" s="164">
        <f>_xll.xlDateWorkFw($C$4,_xll.xlDateShiftMonth($C$6,12*F12),TRUE)</f>
        <v>45184</v>
      </c>
      <c r="N12" s="169" t="str">
        <f>_xll.pdgDefaultableLoan(,EvaluationDate,Currency,pdgDiscCurve,EntityName,M12,Notional,Notional*Recovery,,FloatingFlag)</f>
        <v>obj_001fe#0003</v>
      </c>
      <c r="O12" s="167">
        <v>8.793358465870307E-3</v>
      </c>
      <c r="P12" s="172">
        <f t="shared" si="5"/>
        <v>87.93</v>
      </c>
      <c r="Q12" s="169" t="str">
        <f>IF(AND($P$1,$Q$1),_xll.RtContribute($T$3,$T$4&amp;F12&amp;$T$6,CHOOSE({1,2},"BID","ASK"),CHOOSE({1,2},P12,P12),"SCOPE:SERVER FTC:ALL"),"--")</f>
        <v>--</v>
      </c>
      <c r="W12" s="32">
        <v>9</v>
      </c>
      <c r="X12" s="145">
        <f>_xll.RtGet($AB$3,$AB$4&amp;$W12&amp;$AB$6,X$2)</f>
        <v>71</v>
      </c>
      <c r="Y12" s="146">
        <f>_xll.RtGet($AB$3,$AB$4&amp;$W12&amp;$AB$6,Y$2)</f>
        <v>71</v>
      </c>
      <c r="Z12" s="6"/>
      <c r="AA12" s="6"/>
      <c r="AB12" s="6"/>
    </row>
    <row r="13" spans="1:28">
      <c r="B13" s="247" t="s">
        <v>251</v>
      </c>
      <c r="C13" s="248" t="s">
        <v>252</v>
      </c>
      <c r="E13" s="129" t="b">
        <v>1</v>
      </c>
      <c r="F13" s="149">
        <f t="shared" si="4"/>
        <v>10</v>
      </c>
      <c r="G13" s="151">
        <f t="shared" si="2"/>
        <v>81.875</v>
      </c>
      <c r="H13" s="152"/>
      <c r="I13" s="153"/>
      <c r="J13" s="152">
        <f t="shared" si="0"/>
        <v>81.875</v>
      </c>
      <c r="K13" s="162">
        <f>-_xll.xlShmSwapNPV($C$8,$C$7,$C$6,,12*F13,-J13/100,$C$14,$C$19,$C$14,$C$19,$C$16,$C$17,,$C$11)</f>
        <v>38.756797554494298</v>
      </c>
      <c r="L13" s="162">
        <f t="shared" si="3"/>
        <v>61.243202445505702</v>
      </c>
      <c r="M13" s="164">
        <f>_xll.xlDateWorkFw($C$4,_xll.xlDateShiftMonth($C$6,12*F13),TRUE)</f>
        <v>45551</v>
      </c>
      <c r="N13" s="169" t="str">
        <f>_xll.pdgDefaultableLoan(,EvaluationDate,Currency,pdgDiscCurve,EntityName,M13,Notional,Notional*Recovery,,FloatingFlag)</f>
        <v>obj_0020b#0003</v>
      </c>
      <c r="O13" s="167">
        <v>1.060884975342315E-2</v>
      </c>
      <c r="P13" s="172">
        <f>IF(E13,ROUND(O13*(10^4),2),P12)</f>
        <v>106.09</v>
      </c>
      <c r="Q13" s="169" t="str">
        <f>IF(AND($P$1,$Q$1),_xll.RtContribute($T$3,$T$4&amp;F13&amp;$T$6,CHOOSE({1,2},"BID","ASK"),CHOOSE({1,2},P13,P13),"SCOPE:SERVER FTC:ALL"),"--")</f>
        <v>--</v>
      </c>
      <c r="W13" s="32">
        <v>10</v>
      </c>
      <c r="X13" s="145">
        <f>_xll.RtGet($AB$3,$AB$4&amp;$W13&amp;$AB$6,X$2)</f>
        <v>82</v>
      </c>
      <c r="Y13" s="146">
        <f>_xll.RtGet($AB$3,$AB$4&amp;$W13&amp;$AB$6,Y$2)</f>
        <v>81.75</v>
      </c>
      <c r="Z13" s="6"/>
      <c r="AA13" s="6"/>
      <c r="AB13" s="6"/>
    </row>
    <row r="14" spans="1:28">
      <c r="B14" s="160" t="s">
        <v>170</v>
      </c>
      <c r="C14" s="94">
        <v>4</v>
      </c>
      <c r="E14" s="129" t="b">
        <v>1</v>
      </c>
      <c r="F14" s="149">
        <f t="shared" si="4"/>
        <v>15</v>
      </c>
      <c r="G14" s="151">
        <f t="shared" si="2"/>
        <v>142.75</v>
      </c>
      <c r="H14" s="152"/>
      <c r="I14" s="153"/>
      <c r="J14" s="152">
        <f t="shared" si="0"/>
        <v>142.75</v>
      </c>
      <c r="K14" s="162">
        <f>-_xll.xlShmSwapNPV($C$8,$C$7,$C$6,,12*F14,-J14/100,$C$14,$C$19,$C$14,$C$19,$C$16,$C$17,,$C$11)</f>
        <v>61.390708641576254</v>
      </c>
      <c r="L14" s="162">
        <f t="shared" si="3"/>
        <v>38.609291358423746</v>
      </c>
      <c r="M14" s="164">
        <f>_xll.xlDateWorkFw($C$4,_xll.xlDateShiftMonth($C$6,12*F14),TRUE)</f>
        <v>47378</v>
      </c>
      <c r="N14" s="169" t="str">
        <f>_xll.pdgDefaultableLoan(,EvaluationDate,Currency,pdgDiscCurve,EntityName,M14,Notional,Notional*Recovery,,FloatingFlag)</f>
        <v>obj_00202#0003</v>
      </c>
      <c r="O14" s="167">
        <v>2.32195596284934E-2</v>
      </c>
      <c r="P14" s="172">
        <f t="shared" si="5"/>
        <v>232.2</v>
      </c>
      <c r="Q14" s="169" t="str">
        <f>IF(AND($P$1,$Q$1),_xll.RtContribute($T$3,$T$4&amp;F14&amp;$T$6,CHOOSE({1,2},"BID","ASK"),CHOOSE({1,2},P14,P14),"SCOPE:SERVER FTC:ALL"),"--")</f>
        <v>--</v>
      </c>
      <c r="W14" s="32">
        <v>15</v>
      </c>
      <c r="X14" s="145">
        <f>_xll.RtGet($AB$3,$AB$4&amp;$W14&amp;$AB$6,X$2)</f>
        <v>143</v>
      </c>
      <c r="Y14" s="146">
        <f>_xll.RtGet($AB$3,$AB$4&amp;$W14&amp;$AB$6,Y$2)</f>
        <v>142.5</v>
      </c>
      <c r="Z14" s="6"/>
      <c r="AA14" s="6"/>
      <c r="AB14" s="6"/>
    </row>
    <row r="15" spans="1:28">
      <c r="B15" s="158" t="s">
        <v>171</v>
      </c>
      <c r="C15" s="102" t="s">
        <v>115</v>
      </c>
      <c r="E15" s="129" t="b">
        <v>0</v>
      </c>
      <c r="F15" s="149">
        <f t="shared" si="4"/>
        <v>20</v>
      </c>
      <c r="G15" s="151">
        <f t="shared" si="2"/>
        <v>193.6</v>
      </c>
      <c r="H15" s="152"/>
      <c r="I15" s="153"/>
      <c r="J15" s="152">
        <f t="shared" si="0"/>
        <v>193.6</v>
      </c>
      <c r="K15" s="162">
        <f>-_xll.xlShmSwapNPV($C$8,$C$7,$C$6,,12*F15,-J15/100,$C$14,$C$19,$C$14,$C$19,$C$16,$C$17,,$C$11)</f>
        <v>79.734520952433002</v>
      </c>
      <c r="L15" s="162">
        <f t="shared" si="3"/>
        <v>20.265479047566998</v>
      </c>
      <c r="M15" s="164">
        <f>_xll.xlDateWorkFw($C$4,_xll.xlDateShiftMonth($C$6,12*F15),TRUE)</f>
        <v>49202</v>
      </c>
      <c r="N15" s="169" t="str">
        <f>_xll.pdgDefaultableLoan(,EvaluationDate,Currency,pdgDiscCurve,EntityName,M15,Notional,Notional*Recovery,,FloatingFlag)</f>
        <v>obj_001fa#0003</v>
      </c>
      <c r="O15" s="167">
        <v>0</v>
      </c>
      <c r="P15" s="172">
        <f t="shared" si="5"/>
        <v>232.2</v>
      </c>
      <c r="Q15" s="169" t="str">
        <f>IF(AND($P$1,$Q$1),_xll.RtContribute($T$3,$T$4&amp;F15&amp;$T$6,CHOOSE({1,2},"BID","ASK"),CHOOSE({1,2},P15,P15),"SCOPE:SERVER FTC:ALL"),"--")</f>
        <v>--</v>
      </c>
      <c r="W15" s="32">
        <v>20</v>
      </c>
      <c r="X15" s="145">
        <f>_xll.RtGet($AB$3,$AB$4&amp;$W15&amp;$AB$6,X$2)</f>
        <v>194</v>
      </c>
      <c r="Y15" s="146">
        <f>_xll.RtGet($AB$3,$AB$4&amp;$W15&amp;$AB$6,Y$2)</f>
        <v>193.2</v>
      </c>
      <c r="AA15" s="6"/>
      <c r="AB15" s="6"/>
    </row>
    <row r="16" spans="1:28">
      <c r="B16" s="158" t="s">
        <v>177</v>
      </c>
      <c r="C16" s="95" t="b">
        <v>1</v>
      </c>
      <c r="E16" s="129" t="b">
        <v>0</v>
      </c>
      <c r="F16" s="149">
        <f t="shared" si="4"/>
        <v>25</v>
      </c>
      <c r="G16" s="151">
        <f t="shared" si="2"/>
        <v>205.5</v>
      </c>
      <c r="H16" s="152"/>
      <c r="I16" s="153"/>
      <c r="J16" s="152">
        <f t="shared" si="0"/>
        <v>205.5</v>
      </c>
      <c r="K16" s="162">
        <f>-_xll.xlShmSwapNPV($C$8,$C$7,$C$6,,12*F16,-J16/100,$C$14,$C$19,$C$14,$C$19,$C$16,$C$17,,$C$11)</f>
        <v>94.0316069675102</v>
      </c>
      <c r="L16" s="162">
        <f t="shared" si="3"/>
        <v>5.9683930324898</v>
      </c>
      <c r="M16" s="164">
        <f>_xll.xlDateWorkFw($C$4,_xll.xlDateShiftMonth($C$6,12*F16),TRUE)</f>
        <v>51028</v>
      </c>
      <c r="N16" s="169" t="str">
        <f>_xll.pdgDefaultableLoan(,EvaluationDate,Currency,pdgDiscCurve,EntityName,M16,Notional,Notional*Recovery,,FloatingFlag)</f>
        <v>obj_001f5#0003</v>
      </c>
      <c r="O16" s="167">
        <v>0</v>
      </c>
      <c r="P16" s="172">
        <f t="shared" si="5"/>
        <v>232.2</v>
      </c>
      <c r="Q16" s="169" t="str">
        <f>IF(AND($P$1,$Q$1),_xll.RtContribute($T$3,$T$4&amp;F16&amp;$T$6,CHOOSE({1,2},"BID","ASK"),CHOOSE({1,2},P16,P16),"SCOPE:SERVER FTC:ALL"),"--")</f>
        <v>--</v>
      </c>
      <c r="W16" s="32">
        <v>25</v>
      </c>
      <c r="X16" s="145">
        <f>_xll.RtGet($AB$3,$AB$4&amp;$W16&amp;$AB$6,X$2)</f>
        <v>206</v>
      </c>
      <c r="Y16" s="146">
        <f>_xll.RtGet($AB$3,$AB$4&amp;$W16&amp;$AB$6,Y$2)</f>
        <v>205</v>
      </c>
    </row>
    <row r="17" spans="2:25">
      <c r="B17" s="166" t="s">
        <v>178</v>
      </c>
      <c r="C17" s="96" t="b">
        <v>1</v>
      </c>
      <c r="E17" s="130" t="b">
        <v>0</v>
      </c>
      <c r="F17" s="150">
        <f>W17</f>
        <v>30</v>
      </c>
      <c r="G17" s="154">
        <f t="shared" si="2"/>
        <v>246.5</v>
      </c>
      <c r="H17" s="155"/>
      <c r="I17" s="174"/>
      <c r="J17" s="155">
        <f>IF(ISNUMBER(H17),H17,G17)+I17</f>
        <v>246.5</v>
      </c>
      <c r="K17" s="163">
        <f>-_xll.xlShmSwapNPV($C$8,$C$7,$C$6,,12*F17,-J17/100,$C$14,$C$19,$C$14,$C$19,$C$16,$C$17,,$C$11)</f>
        <v>112.05788078667956</v>
      </c>
      <c r="L17" s="163">
        <f t="shared" si="3"/>
        <v>-12.057880786679561</v>
      </c>
      <c r="M17" s="165">
        <f>_xll.xlDateWorkFw($C$4,_xll.xlDateShiftMonth($C$6,12*F17),TRUE)</f>
        <v>52855</v>
      </c>
      <c r="N17" s="170" t="str">
        <f>_xll.pdgDefaultableLoan(,EvaluationDate,Currency,pdgDiscCurve,EntityName,M17,Notional,Notional*Recovery,,FloatingFlag)</f>
        <v>obj_001f1#0003</v>
      </c>
      <c r="O17" s="168">
        <v>0</v>
      </c>
      <c r="P17" s="173">
        <f>IF(E17,ROUND(O17*(10^4),2),P16)</f>
        <v>232.2</v>
      </c>
      <c r="Q17" s="170" t="str">
        <f>IF(AND($P$1,$Q$1),_xll.RtContribute($T$3,$T$4&amp;F17&amp;$T$6,CHOOSE({1,2},"BID","ASK"),CHOOSE({1,2},P17,P17),"SCOPE:SERVER FTC:ALL"),"--")</f>
        <v>--</v>
      </c>
      <c r="W17" s="33">
        <v>30</v>
      </c>
      <c r="X17" s="147">
        <f>_xll.RtGet($AB$3,$AB$4&amp;$W17&amp;$AB$6,X$2)</f>
        <v>247</v>
      </c>
      <c r="Y17" s="148">
        <f>_xll.RtGet($AB$3,$AB$4&amp;$W17&amp;$AB$6,Y$2)</f>
        <v>246</v>
      </c>
    </row>
    <row r="19" spans="2:25">
      <c r="B19" s="56" t="s">
        <v>87</v>
      </c>
      <c r="C19" s="57">
        <f>VLOOKUP(C15,dvCurveBootstrapperDayCount,2,FALSE)</f>
        <v>4</v>
      </c>
    </row>
  </sheetData>
  <dataConsolidate/>
  <mergeCells count="1">
    <mergeCell ref="B2:C2"/>
  </mergeCells>
  <conditionalFormatting sqref="E3:E17">
    <cfRule type="cellIs" dxfId="23" priority="4" stopIfTrue="1" operator="equal">
      <formula>FALSE</formula>
    </cfRule>
  </conditionalFormatting>
  <conditionalFormatting sqref="G3:J17">
    <cfRule type="expression" dxfId="22" priority="1" stopIfTrue="1">
      <formula>NOT($E3)</formula>
    </cfRule>
  </conditionalFormatting>
  <conditionalFormatting sqref="J3:J17">
    <cfRule type="expression" dxfId="21" priority="2" stopIfTrue="1">
      <formula>ISNUMBER(H3)</formula>
    </cfRule>
    <cfRule type="expression" dxfId="20" priority="3" stopIfTrue="1">
      <formula>ISNUMBER(I3)</formula>
    </cfRule>
  </conditionalFormatting>
  <conditionalFormatting sqref="P1">
    <cfRule type="cellIs" dxfId="19" priority="5" operator="equal">
      <formula>FALSE</formula>
    </cfRule>
  </conditionalFormatting>
  <dataValidations count="2">
    <dataValidation type="list" allowBlank="1" showInputMessage="1" showErrorMessage="1" sqref="C15">
      <formula1>INDEX(dvCurveBootstrapperDayCount,0,1)</formula1>
    </dataValidation>
    <dataValidation type="list" allowBlank="1" showInputMessage="1" showErrorMessage="1" sqref="E3:E17 C16:C17 Q1">
      <formula1>dvBool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 tint="0.59999389629810485"/>
    <outlinePr summaryRight="0"/>
  </sheetPr>
  <dimension ref="A1:BH112"/>
  <sheetViews>
    <sheetView showGridLines="0" workbookViewId="0"/>
  </sheetViews>
  <sheetFormatPr defaultRowHeight="11.25" customHeight="1" outlineLevelCol="1"/>
  <cols>
    <col min="1" max="1" width="3.83203125" customWidth="1"/>
    <col min="2" max="2" width="25.83203125" customWidth="1"/>
    <col min="3" max="3" width="12.83203125" customWidth="1"/>
    <col min="4" max="4" width="2.83203125" customWidth="1"/>
    <col min="5" max="5" width="9.33203125" style="6"/>
    <col min="6" max="6" width="9.33203125" style="6" collapsed="1"/>
    <col min="7" max="8" width="9.33203125" style="6" hidden="1" customWidth="1" outlineLevel="1"/>
    <col min="9" max="11" width="9.33203125" style="6"/>
    <col min="12" max="12" width="9.33203125" style="6" collapsed="1"/>
    <col min="13" max="17" width="9.33203125" style="6" hidden="1" customWidth="1" outlineLevel="1"/>
    <col min="18" max="18" width="10.83203125" style="6" hidden="1" customWidth="1" outlineLevel="1"/>
    <col min="19" max="19" width="9.33203125" style="6" hidden="1" customWidth="1" outlineLevel="1"/>
    <col min="20" max="20" width="2.83203125" style="6" customWidth="1"/>
    <col min="21" max="21" width="10.83203125" style="7" customWidth="1"/>
    <col min="22" max="22" width="12.83203125" style="7" customWidth="1"/>
    <col min="25" max="25" width="11.83203125" style="6" customWidth="1"/>
    <col min="26" max="27" width="9.5" style="6" bestFit="1" customWidth="1"/>
    <col min="28" max="28" width="2.83203125" style="6" customWidth="1"/>
    <col min="29" max="29" width="10.33203125" style="6" customWidth="1"/>
    <col min="30" max="30" width="9.33203125" style="6"/>
    <col min="31" max="31" width="2.83203125" customWidth="1"/>
    <col min="32" max="32" width="11.83203125" customWidth="1"/>
    <col min="33" max="34" width="9.5" bestFit="1" customWidth="1"/>
    <col min="35" max="35" width="2.83203125" customWidth="1"/>
    <col min="36" max="36" width="10.33203125" customWidth="1"/>
    <col min="38" max="38" width="9.33203125" customWidth="1"/>
    <col min="40" max="40" width="9.83203125" style="6" customWidth="1"/>
    <col min="41" max="41" width="9.33203125" style="6" customWidth="1"/>
    <col min="42" max="42" width="12.83203125" style="6" bestFit="1" customWidth="1"/>
    <col min="43" max="43" width="12.83203125" style="6" customWidth="1"/>
    <col min="44" max="44" width="9.33203125" style="6"/>
    <col min="45" max="45" width="10.83203125" style="6" customWidth="1"/>
    <col min="46" max="46" width="16.83203125" style="6" customWidth="1"/>
    <col min="47" max="48" width="10.83203125" style="6" customWidth="1"/>
    <col min="49" max="50" width="9.5" style="6" bestFit="1" customWidth="1"/>
    <col min="51" max="52" width="3.83203125" style="6" customWidth="1"/>
    <col min="53" max="54" width="9.5" style="6" bestFit="1" customWidth="1"/>
    <col min="55" max="16384" width="9.33203125" style="6"/>
  </cols>
  <sheetData>
    <row r="1" spans="1:58" ht="11.25" customHeight="1">
      <c r="A1" s="119"/>
      <c r="B1" s="6"/>
      <c r="C1" s="6"/>
      <c r="D1" s="6"/>
      <c r="E1" s="53"/>
      <c r="F1" s="7"/>
      <c r="G1" s="7"/>
      <c r="H1" s="7"/>
      <c r="I1" s="7"/>
      <c r="J1" s="7"/>
      <c r="K1" s="7"/>
      <c r="L1" s="7"/>
    </row>
    <row r="2" spans="1:58" ht="11.25" customHeight="1">
      <c r="A2" s="6"/>
      <c r="B2" s="231" t="s">
        <v>0</v>
      </c>
      <c r="C2" s="232"/>
      <c r="D2" s="6"/>
      <c r="E2" s="86" t="s">
        <v>75</v>
      </c>
      <c r="G2" s="8"/>
      <c r="H2" s="8"/>
      <c r="I2" s="86" t="s">
        <v>1</v>
      </c>
      <c r="J2" s="86" t="s">
        <v>2</v>
      </c>
      <c r="K2" s="86" t="s">
        <v>3</v>
      </c>
      <c r="L2" s="86" t="s">
        <v>4</v>
      </c>
      <c r="M2" s="8"/>
      <c r="N2" s="8"/>
      <c r="P2" s="8"/>
      <c r="Q2" s="8"/>
      <c r="R2" s="8"/>
      <c r="S2" s="44">
        <f t="array" ref="S2">SUM(1*E3:E20)</f>
        <v>9</v>
      </c>
      <c r="U2" s="87" t="s">
        <v>88</v>
      </c>
      <c r="V2" s="87" t="s">
        <v>89</v>
      </c>
      <c r="Y2" s="10" t="s">
        <v>78</v>
      </c>
      <c r="Z2" s="81" t="str">
        <f>AA2</f>
        <v>ASK</v>
      </c>
      <c r="AA2" s="12" t="s">
        <v>6</v>
      </c>
      <c r="AO2" s="214">
        <f>MATCH(C9,{"simple","annual","cont"},0)-1</f>
        <v>2</v>
      </c>
      <c r="AR2" s="191" t="s">
        <v>7</v>
      </c>
      <c r="AS2" s="191" t="s">
        <v>8</v>
      </c>
      <c r="AT2" s="191" t="s">
        <v>9</v>
      </c>
      <c r="AU2" s="233" t="s">
        <v>10</v>
      </c>
      <c r="AV2" s="233"/>
      <c r="AW2" s="14" t="s">
        <v>65</v>
      </c>
      <c r="AX2" s="14" t="s">
        <v>66</v>
      </c>
      <c r="AY2" s="14"/>
      <c r="AZ2" s="14"/>
      <c r="BA2" s="14" t="s">
        <v>11</v>
      </c>
      <c r="BB2" s="14" t="s">
        <v>67</v>
      </c>
      <c r="BC2" s="15"/>
      <c r="BD2" s="15"/>
    </row>
    <row r="3" spans="1:58" ht="11.25" customHeight="1">
      <c r="A3" s="6"/>
      <c r="B3" s="83" t="s">
        <v>73</v>
      </c>
      <c r="C3" s="90">
        <f>Today</f>
        <v>41893</v>
      </c>
      <c r="D3" s="6"/>
      <c r="E3" s="128" t="b">
        <v>1</v>
      </c>
      <c r="F3" s="111" t="str">
        <f>Y3</f>
        <v>ON</v>
      </c>
      <c r="G3" s="16">
        <v>0</v>
      </c>
      <c r="H3" s="17" t="s">
        <v>12</v>
      </c>
      <c r="I3" s="78">
        <f>AVERAGE(Z3:AA3)</f>
        <v>2.63</v>
      </c>
      <c r="J3" s="49"/>
      <c r="K3" s="125"/>
      <c r="L3" s="49">
        <f t="shared" ref="L3:L16" si="0">IF(ISNUMBER(J3),J3,I3)+K3</f>
        <v>2.63</v>
      </c>
      <c r="M3" s="16">
        <v>1</v>
      </c>
      <c r="N3" s="17">
        <f t="shared" ref="N3:N16" si="1">IF(E3,M3,"")</f>
        <v>1</v>
      </c>
      <c r="O3" s="44">
        <f>IF($S$2&gt;0,1,"")</f>
        <v>1</v>
      </c>
      <c r="P3" s="17">
        <f t="shared" ref="P3:P20" si="2">IF(LEN(O3)&gt;0,SMALL($N$3:$N$20,O3),"")</f>
        <v>1</v>
      </c>
      <c r="Q3" s="16">
        <f t="shared" ref="Q3:Q20" si="3">IF(LEN(O3)&gt;0,INDEX($G$3:$G$20,$P3),"")</f>
        <v>0</v>
      </c>
      <c r="R3" s="39" t="str">
        <f t="shared" ref="R3:R20" si="4">IF(LEN(P3)&gt;0,INDEX($H$3:$H$20,$P3),"")</f>
        <v>on</v>
      </c>
      <c r="S3" s="40">
        <f t="shared" ref="S3:S20" si="5">IF(LEN(P3)&gt;0,INDEX($L$3:$L$20,$P3),"")</f>
        <v>2.63</v>
      </c>
      <c r="U3" s="131">
        <f t="array" ref="U3:V79">_xll.xlCurveBootstrapper(C3+0*TYPE(A1),C4,C5,S2,Q3:S20,S26,R27:S38,S40,R41:S82,C7,C8,C9,C50,B53:B70,C53:C70)</f>
        <v>41893</v>
      </c>
      <c r="V3" s="132">
        <v>1</v>
      </c>
      <c r="Y3" s="16" t="s">
        <v>13</v>
      </c>
      <c r="Z3" s="16">
        <f>_xll.RtGet($AD$3,$AD$4&amp;$Y3&amp;$AD$5,Z$2)</f>
        <v>2.63</v>
      </c>
      <c r="AA3" s="17">
        <f>_xll.RtGet($AD$3,$AD$4&amp;$Y3&amp;$AD$5,AA$2)</f>
        <v>2.63</v>
      </c>
      <c r="AC3" s="13" t="s">
        <v>14</v>
      </c>
      <c r="AD3" s="71" t="s">
        <v>62</v>
      </c>
      <c r="AN3" s="6" t="str">
        <f>_xll.xlShmInterpDisc(CurveName,DATE(YEAR(AU3)+IF(YEAR(AU3)&lt;2000,100,0),MONTH(AU3),DAY(AU3)))</f>
        <v>Date before first TermStructure's date.</v>
      </c>
      <c r="AO3" s="215" t="e">
        <f>_xll.xlShmInterpRate(CurveName,$AO$2,$C$50,DATE(YEAR(AU3)+IF(YEAR(AU3)&lt;2000,100,0),MONTH(AU3),DAY(AU3)))*100</f>
        <v>#VALUE!</v>
      </c>
      <c r="AP3" s="6" t="e">
        <f t="shared" ref="AP3:AP34" si="6">AN3-AW3</f>
        <v>#VALUE!</v>
      </c>
      <c r="AQ3" s="215" t="e">
        <f>AO3-AX3</f>
        <v>#VALUE!</v>
      </c>
      <c r="AR3" s="8" t="s">
        <v>15</v>
      </c>
      <c r="AS3" s="52">
        <v>41555</v>
      </c>
      <c r="AT3" s="8" t="s">
        <v>192</v>
      </c>
      <c r="AU3" s="52">
        <v>41556</v>
      </c>
      <c r="AV3" s="52" t="s">
        <v>16</v>
      </c>
      <c r="AW3" s="6">
        <v>0.99992932006449997</v>
      </c>
      <c r="AX3" s="6">
        <v>2.5799088207353602</v>
      </c>
      <c r="BA3" s="6">
        <v>2.58</v>
      </c>
      <c r="BB3" s="6">
        <v>0</v>
      </c>
      <c r="BC3" s="21" t="s">
        <v>17</v>
      </c>
      <c r="BD3" s="52" t="str">
        <f>AV3</f>
        <v>O/N</v>
      </c>
      <c r="BE3" s="6">
        <f>BA3</f>
        <v>2.58</v>
      </c>
      <c r="BF3" s="6">
        <f>BB3</f>
        <v>0</v>
      </c>
    </row>
    <row r="4" spans="1:58" ht="11.25" customHeight="1">
      <c r="A4" s="6"/>
      <c r="B4" s="84" t="s">
        <v>76</v>
      </c>
      <c r="C4" s="91" t="s">
        <v>227</v>
      </c>
      <c r="D4" s="6"/>
      <c r="E4" s="129" t="b">
        <v>1</v>
      </c>
      <c r="F4" s="112" t="str">
        <f>Y4</f>
        <v>TN</v>
      </c>
      <c r="G4" s="29">
        <v>0</v>
      </c>
      <c r="H4" s="30" t="s">
        <v>18</v>
      </c>
      <c r="I4" s="79">
        <f t="shared" ref="I4:I5" si="7">AVERAGE(Z4:AA4)</f>
        <v>2.63</v>
      </c>
      <c r="J4" s="50"/>
      <c r="K4" s="127"/>
      <c r="L4" s="50">
        <f t="shared" si="0"/>
        <v>2.63</v>
      </c>
      <c r="M4" s="29">
        <f t="shared" ref="M4:M16" si="8">M3+1</f>
        <v>2</v>
      </c>
      <c r="N4" s="30">
        <f t="shared" si="1"/>
        <v>2</v>
      </c>
      <c r="O4" s="29">
        <f t="shared" ref="O4:O16" si="9">IF(O3&lt;$S$2,O3+1,"")</f>
        <v>2</v>
      </c>
      <c r="P4" s="30">
        <f t="shared" si="2"/>
        <v>2</v>
      </c>
      <c r="Q4" s="29">
        <f t="shared" si="3"/>
        <v>0</v>
      </c>
      <c r="R4" s="27" t="str">
        <f t="shared" si="4"/>
        <v>tn</v>
      </c>
      <c r="S4" s="41">
        <f t="shared" si="5"/>
        <v>2.63</v>
      </c>
      <c r="U4" s="133">
        <v>41894</v>
      </c>
      <c r="V4" s="134">
        <v>0.99992795039699889</v>
      </c>
      <c r="Y4" s="29" t="s">
        <v>19</v>
      </c>
      <c r="Z4" s="29">
        <f>_xll.RtGet($AD$3,$AD$4&amp;$Y4&amp;$AD$5,Z$2)</f>
        <v>2.63</v>
      </c>
      <c r="AA4" s="30">
        <f>_xll.RtGet($AD$3,$AD$4&amp;$Y4&amp;$AD$5,AA$2)</f>
        <v>2.63</v>
      </c>
      <c r="AC4" s="18" t="s">
        <v>20</v>
      </c>
      <c r="AD4" s="72" t="s">
        <v>230</v>
      </c>
      <c r="AN4" s="6" t="str">
        <f>_xll.xlShmInterpDisc(CurveName,DATE(YEAR(AU4)+IF(YEAR(AU4)&lt;2000,100,0),MONTH(AU4),DAY(AU4)))</f>
        <v>Date before first TermStructure's date.</v>
      </c>
      <c r="AO4" s="215" t="e">
        <f>_xll.xlShmInterpRate(CurveName,$AO$2,$C$50,DATE(YEAR(AU4)+IF(YEAR(AU4)&lt;2000,100,0),MONTH(AU4),DAY(AU4)))*100</f>
        <v>#VALUE!</v>
      </c>
      <c r="AP4" s="6" t="e">
        <f t="shared" si="6"/>
        <v>#VALUE!</v>
      </c>
      <c r="AQ4" s="215" t="e">
        <f t="shared" ref="AQ4:AQ66" si="10">AO4-AX4</f>
        <v>#VALUE!</v>
      </c>
      <c r="AR4" s="8" t="s">
        <v>15</v>
      </c>
      <c r="AS4" s="52">
        <v>41556</v>
      </c>
      <c r="AT4" s="8" t="s">
        <v>192</v>
      </c>
      <c r="AU4" s="52">
        <v>41557</v>
      </c>
      <c r="AV4" s="52" t="s">
        <v>21</v>
      </c>
      <c r="AW4" s="6">
        <v>0.99985864512465195</v>
      </c>
      <c r="AX4" s="6">
        <v>2.5799088207387699</v>
      </c>
      <c r="BA4" s="6">
        <v>2.58</v>
      </c>
      <c r="BB4" s="6">
        <v>0</v>
      </c>
      <c r="BC4" s="21" t="s">
        <v>17</v>
      </c>
      <c r="BD4" s="52" t="str">
        <f t="shared" ref="BD4:BD7" si="11">AV4</f>
        <v>T/N</v>
      </c>
      <c r="BE4" s="6">
        <f t="shared" ref="BE4:BF7" si="12">BA4</f>
        <v>2.58</v>
      </c>
      <c r="BF4" s="6">
        <f t="shared" si="12"/>
        <v>0</v>
      </c>
    </row>
    <row r="5" spans="1:58" ht="11.25" customHeight="1">
      <c r="A5" s="6"/>
      <c r="B5" s="85" t="s">
        <v>77</v>
      </c>
      <c r="C5" s="92" t="s">
        <v>228</v>
      </c>
      <c r="D5" s="6"/>
      <c r="E5" s="130" t="b">
        <v>0</v>
      </c>
      <c r="F5" s="113" t="str">
        <f>Y5</f>
        <v>SN</v>
      </c>
      <c r="G5" s="22">
        <v>0</v>
      </c>
      <c r="H5" s="23" t="s">
        <v>22</v>
      </c>
      <c r="I5" s="80" t="e">
        <f t="shared" si="7"/>
        <v>#DIV/0!</v>
      </c>
      <c r="J5" s="51"/>
      <c r="K5" s="126"/>
      <c r="L5" s="51" t="e">
        <f t="shared" si="0"/>
        <v>#DIV/0!</v>
      </c>
      <c r="M5" s="29">
        <f t="shared" si="8"/>
        <v>3</v>
      </c>
      <c r="N5" s="30" t="str">
        <f t="shared" si="1"/>
        <v/>
      </c>
      <c r="O5" s="29">
        <f t="shared" si="9"/>
        <v>3</v>
      </c>
      <c r="P5" s="30">
        <f t="shared" si="2"/>
        <v>4</v>
      </c>
      <c r="Q5" s="29">
        <f t="shared" si="3"/>
        <v>1</v>
      </c>
      <c r="R5" s="27" t="str">
        <f t="shared" si="4"/>
        <v>w</v>
      </c>
      <c r="S5" s="41">
        <f t="shared" si="5"/>
        <v>2.57</v>
      </c>
      <c r="U5" s="133">
        <v>41897</v>
      </c>
      <c r="V5" s="134">
        <v>0.99971184830157145</v>
      </c>
      <c r="Y5" s="22" t="s">
        <v>23</v>
      </c>
      <c r="Z5" s="22" t="str">
        <f>_xll.RtGet($AD$3,$AD$4&amp;$Y5&amp;$AD$5,Z$2)</f>
        <v>#N/A The record could not be found</v>
      </c>
      <c r="AA5" s="23" t="str">
        <f>_xll.RtGet($AD$3,$AD$4&amp;$Y5&amp;$AD$5,AA$2)</f>
        <v>#N/A The record could not be found</v>
      </c>
      <c r="AC5" s="24" t="s">
        <v>24</v>
      </c>
      <c r="AD5" s="73" t="s">
        <v>215</v>
      </c>
      <c r="AN5" s="6" t="str">
        <f>_xll.xlShmInterpDisc(CurveName,DATE(YEAR(AU5)+IF(YEAR(AU5)&lt;2000,100,0),MONTH(AU5),DAY(AU5)))</f>
        <v>Date before first TermStructure's date.</v>
      </c>
      <c r="AO5" s="215" t="e">
        <f>_xll.xlShmInterpRate(CurveName,$AO$2,$C$50,DATE(YEAR(AU5)+IF(YEAR(AU5)&lt;2000,100,0),MONTH(AU5),DAY(AU5)))*100</f>
        <v>#VALUE!</v>
      </c>
      <c r="AP5" s="6" t="e">
        <f t="shared" si="6"/>
        <v>#VALUE!</v>
      </c>
      <c r="AQ5" s="215" t="e">
        <f t="shared" si="10"/>
        <v>#VALUE!</v>
      </c>
      <c r="AR5" s="8" t="s">
        <v>15</v>
      </c>
      <c r="AS5" s="52">
        <v>41557</v>
      </c>
      <c r="AT5" s="8" t="s">
        <v>192</v>
      </c>
      <c r="AU5" s="52">
        <v>41558</v>
      </c>
      <c r="AV5" s="52" t="s">
        <v>25</v>
      </c>
      <c r="AW5" s="6">
        <v>0.99978805343586996</v>
      </c>
      <c r="AX5" s="6">
        <v>2.5789565070593601</v>
      </c>
      <c r="AY5" s="6" t="s">
        <v>193</v>
      </c>
      <c r="BA5" s="6">
        <v>2.5771428571428698</v>
      </c>
      <c r="BB5" s="6">
        <v>0</v>
      </c>
      <c r="BC5" s="21" t="s">
        <v>17</v>
      </c>
      <c r="BD5" s="52" t="str">
        <f t="shared" si="11"/>
        <v>S/N</v>
      </c>
      <c r="BE5" s="6">
        <f t="shared" si="12"/>
        <v>2.5771428571428698</v>
      </c>
      <c r="BF5" s="6">
        <f t="shared" si="12"/>
        <v>0</v>
      </c>
    </row>
    <row r="6" spans="1:58" ht="11.25" customHeight="1">
      <c r="A6" s="7"/>
      <c r="B6" s="159" t="s">
        <v>169</v>
      </c>
      <c r="C6" s="93"/>
      <c r="D6" s="6"/>
      <c r="E6" s="128" t="b">
        <v>1</v>
      </c>
      <c r="F6" s="114">
        <v>1</v>
      </c>
      <c r="G6" s="16">
        <v>1</v>
      </c>
      <c r="H6" s="17" t="s">
        <v>26</v>
      </c>
      <c r="I6" s="78">
        <f>AVERAGE(Z8:AA8)</f>
        <v>2.57</v>
      </c>
      <c r="J6" s="49"/>
      <c r="K6" s="125"/>
      <c r="L6" s="49">
        <f t="shared" si="0"/>
        <v>2.57</v>
      </c>
      <c r="M6" s="29">
        <f t="shared" si="8"/>
        <v>4</v>
      </c>
      <c r="N6" s="30">
        <f t="shared" si="1"/>
        <v>4</v>
      </c>
      <c r="O6" s="29">
        <f t="shared" si="9"/>
        <v>4</v>
      </c>
      <c r="P6" s="30">
        <f t="shared" si="2"/>
        <v>5</v>
      </c>
      <c r="Q6" s="29">
        <f t="shared" si="3"/>
        <v>2</v>
      </c>
      <c r="R6" s="27" t="str">
        <f t="shared" si="4"/>
        <v>w</v>
      </c>
      <c r="S6" s="41">
        <f t="shared" si="5"/>
        <v>2.57</v>
      </c>
      <c r="U6" s="133">
        <v>41904</v>
      </c>
      <c r="V6" s="134">
        <v>0.99921935635031811</v>
      </c>
      <c r="Y6" s="27"/>
      <c r="Z6" s="27"/>
      <c r="AA6" s="27"/>
      <c r="AC6" s="7"/>
      <c r="AD6" s="7"/>
      <c r="AN6" s="6" t="str">
        <f>_xll.xlShmInterpDisc(CurveName,DATE(YEAR(AU6)+IF(YEAR(AU6)&lt;2000,100,0),MONTH(AU6),DAY(AU6)))</f>
        <v>Date before first TermStructure's date.</v>
      </c>
      <c r="AO6" s="215" t="e">
        <f>_xll.xlShmInterpRate(CurveName,$AO$2,$C$50,DATE(YEAR(AU6)+IF(YEAR(AU6)&lt;2000,100,0),MONTH(AU6),DAY(AU6)))*100</f>
        <v>#VALUE!</v>
      </c>
      <c r="AP6" s="6" t="e">
        <f t="shared" si="6"/>
        <v>#VALUE!</v>
      </c>
      <c r="AQ6" s="215" t="e">
        <f t="shared" si="10"/>
        <v>#VALUE!</v>
      </c>
      <c r="AR6" s="8" t="s">
        <v>15</v>
      </c>
      <c r="AS6" s="52">
        <v>41557</v>
      </c>
      <c r="AT6" s="8" t="s">
        <v>192</v>
      </c>
      <c r="AU6" s="52">
        <v>41564</v>
      </c>
      <c r="AV6" s="52" t="s">
        <v>27</v>
      </c>
      <c r="AW6" s="6">
        <v>0.99936799650828401</v>
      </c>
      <c r="AX6" s="6">
        <v>2.5639355654419198</v>
      </c>
      <c r="BA6" s="6">
        <v>2.56</v>
      </c>
      <c r="BB6" s="6">
        <v>0</v>
      </c>
      <c r="BC6" s="21" t="s">
        <v>17</v>
      </c>
      <c r="BD6" s="52" t="str">
        <f t="shared" si="11"/>
        <v>1W</v>
      </c>
      <c r="BE6" s="6">
        <f t="shared" si="12"/>
        <v>2.56</v>
      </c>
      <c r="BF6" s="6">
        <f t="shared" si="12"/>
        <v>0</v>
      </c>
    </row>
    <row r="7" spans="1:58" ht="11.25" customHeight="1">
      <c r="A7" s="7"/>
      <c r="B7" s="88" t="s">
        <v>122</v>
      </c>
      <c r="C7" s="94" t="s">
        <v>63</v>
      </c>
      <c r="D7" s="6"/>
      <c r="E7" s="129" t="b">
        <v>1</v>
      </c>
      <c r="F7" s="115">
        <f>Y9</f>
        <v>2</v>
      </c>
      <c r="G7" s="29">
        <v>2</v>
      </c>
      <c r="H7" s="30" t="s">
        <v>26</v>
      </c>
      <c r="I7" s="79">
        <f t="shared" ref="I7:I8" si="13">AVERAGE(Z9:AA9)</f>
        <v>2.57</v>
      </c>
      <c r="J7" s="50"/>
      <c r="K7" s="127"/>
      <c r="L7" s="50">
        <f t="shared" si="0"/>
        <v>2.57</v>
      </c>
      <c r="M7" s="29">
        <f t="shared" si="8"/>
        <v>5</v>
      </c>
      <c r="N7" s="30">
        <f t="shared" si="1"/>
        <v>5</v>
      </c>
      <c r="O7" s="29">
        <f t="shared" si="9"/>
        <v>5</v>
      </c>
      <c r="P7" s="30">
        <f t="shared" si="2"/>
        <v>7</v>
      </c>
      <c r="Q7" s="29">
        <f t="shared" si="3"/>
        <v>1</v>
      </c>
      <c r="R7" s="27" t="str">
        <f t="shared" si="4"/>
        <v>m</v>
      </c>
      <c r="S7" s="41">
        <f t="shared" si="5"/>
        <v>2.54</v>
      </c>
      <c r="U7" s="133">
        <v>41911</v>
      </c>
      <c r="V7" s="134">
        <v>0.99872734939660468</v>
      </c>
      <c r="Y7" s="10" t="s">
        <v>78</v>
      </c>
      <c r="Z7" s="81" t="str">
        <f>AA7</f>
        <v>ASK</v>
      </c>
      <c r="AA7" s="12" t="s">
        <v>6</v>
      </c>
      <c r="AN7" s="6" t="str">
        <f>_xll.xlShmInterpDisc(CurveName,DATE(YEAR(AU7)+IF(YEAR(AU7)&lt;2000,100,0),MONTH(AU7),DAY(AU7)))</f>
        <v>Date before first TermStructure's date.</v>
      </c>
      <c r="AO7" s="215" t="e">
        <f>_xll.xlShmInterpRate(CurveName,$AO$2,$C$50,DATE(YEAR(AU7)+IF(YEAR(AU7)&lt;2000,100,0),MONTH(AU7),DAY(AU7)))*100</f>
        <v>#VALUE!</v>
      </c>
      <c r="AP7" s="6" t="e">
        <f t="shared" si="6"/>
        <v>#VALUE!</v>
      </c>
      <c r="AQ7" s="215" t="e">
        <f t="shared" si="10"/>
        <v>#VALUE!</v>
      </c>
      <c r="AR7" s="8" t="s">
        <v>15</v>
      </c>
      <c r="AS7" s="52">
        <v>41557</v>
      </c>
      <c r="AT7" s="8" t="s">
        <v>192</v>
      </c>
      <c r="AU7" s="52">
        <v>41571</v>
      </c>
      <c r="AV7" s="52" t="s">
        <v>28</v>
      </c>
      <c r="AW7" s="6">
        <v>0.99887017414683898</v>
      </c>
      <c r="AX7" s="6">
        <v>2.57887234032812</v>
      </c>
      <c r="BA7" s="6">
        <v>2.58</v>
      </c>
      <c r="BB7" s="6">
        <v>0</v>
      </c>
      <c r="BC7" s="21" t="s">
        <v>17</v>
      </c>
      <c r="BD7" s="52" t="str">
        <f t="shared" si="11"/>
        <v>2W</v>
      </c>
      <c r="BE7" s="6">
        <f t="shared" si="12"/>
        <v>2.58</v>
      </c>
      <c r="BF7" s="6">
        <f t="shared" si="12"/>
        <v>0</v>
      </c>
    </row>
    <row r="8" spans="1:58" ht="11.25" customHeight="1">
      <c r="A8" s="7"/>
      <c r="B8" s="123" t="s">
        <v>123</v>
      </c>
      <c r="C8" s="95" t="s">
        <v>64</v>
      </c>
      <c r="D8" s="6"/>
      <c r="E8" s="130" t="b">
        <v>0</v>
      </c>
      <c r="F8" s="116">
        <f>Y10</f>
        <v>3</v>
      </c>
      <c r="G8" s="22">
        <v>3</v>
      </c>
      <c r="H8" s="23" t="s">
        <v>26</v>
      </c>
      <c r="I8" s="80" t="e">
        <f t="shared" si="13"/>
        <v>#DIV/0!</v>
      </c>
      <c r="J8" s="51"/>
      <c r="K8" s="126"/>
      <c r="L8" s="51" t="e">
        <f t="shared" si="0"/>
        <v>#DIV/0!</v>
      </c>
      <c r="M8" s="29">
        <f t="shared" si="8"/>
        <v>6</v>
      </c>
      <c r="N8" s="30" t="str">
        <f t="shared" si="1"/>
        <v/>
      </c>
      <c r="O8" s="29">
        <f t="shared" si="9"/>
        <v>6</v>
      </c>
      <c r="P8" s="30">
        <f t="shared" si="2"/>
        <v>9</v>
      </c>
      <c r="Q8" s="29">
        <f t="shared" si="3"/>
        <v>3</v>
      </c>
      <c r="R8" s="27" t="str">
        <f t="shared" si="4"/>
        <v>m</v>
      </c>
      <c r="S8" s="41">
        <f t="shared" si="5"/>
        <v>2.4900000000000002</v>
      </c>
      <c r="U8" s="133">
        <v>41927</v>
      </c>
      <c r="V8" s="134">
        <v>0.99762912667273695</v>
      </c>
      <c r="Y8" s="213" t="s">
        <v>145</v>
      </c>
      <c r="Z8" s="16">
        <f>_xll.RtGet($AD$8,$AD$9&amp;$Y8&amp;$AD$10,Z$7)</f>
        <v>2.57</v>
      </c>
      <c r="AA8" s="17">
        <f>_xll.RtGet($AD$8,$AD$9&amp;$Y8&amp;$AD$10,AA$7)</f>
        <v>2.57</v>
      </c>
      <c r="AC8" s="13" t="s">
        <v>14</v>
      </c>
      <c r="AD8" s="71" t="s">
        <v>62</v>
      </c>
      <c r="AN8" s="6" t="str">
        <f>_xll.xlShmInterpDisc(CurveName,DATE(YEAR(AU8)+IF(YEAR(AU8)&lt;2000,100,0),MONTH(AU8),DAY(AU8)))</f>
        <v>Date before first TermStructure's date.</v>
      </c>
      <c r="AO8" s="215" t="e">
        <f>_xll.xlShmInterpRate(CurveName,$AO$2,$C$50,DATE(YEAR(AU8)+IF(YEAR(AU8)&lt;2000,100,0),MONTH(AU8),DAY(AU8)))*100</f>
        <v>#VALUE!</v>
      </c>
      <c r="AP8" s="6" t="e">
        <f t="shared" si="6"/>
        <v>#VALUE!</v>
      </c>
      <c r="AQ8" s="215" t="e">
        <f t="shared" si="10"/>
        <v>#VALUE!</v>
      </c>
      <c r="AR8" s="8" t="s">
        <v>15</v>
      </c>
      <c r="AS8" s="52">
        <v>41557</v>
      </c>
      <c r="AT8" s="8" t="s">
        <v>192</v>
      </c>
      <c r="AU8" s="52">
        <v>41578</v>
      </c>
      <c r="AV8" s="52" t="s">
        <v>30</v>
      </c>
      <c r="AW8" s="6">
        <v>0.99837244501314004</v>
      </c>
      <c r="AX8" s="6">
        <v>2.5849631568061802</v>
      </c>
      <c r="AY8" s="6" t="s">
        <v>193</v>
      </c>
      <c r="BA8" s="6">
        <v>2.5873684210526302</v>
      </c>
      <c r="BB8" s="6">
        <v>0</v>
      </c>
      <c r="BC8" s="21" t="s">
        <v>17</v>
      </c>
      <c r="BD8" s="52" t="str">
        <f t="shared" ref="BD8:BD13" si="14">AV8</f>
        <v>3W</v>
      </c>
      <c r="BE8" s="6">
        <f t="shared" ref="BE8:BE13" si="15">BA8</f>
        <v>2.5873684210526302</v>
      </c>
      <c r="BF8" s="6">
        <f t="shared" ref="BF8:BF13" si="16">BB8</f>
        <v>0</v>
      </c>
    </row>
    <row r="9" spans="1:58" ht="11.25" customHeight="1">
      <c r="A9" s="7"/>
      <c r="B9" s="123" t="s">
        <v>86</v>
      </c>
      <c r="C9" s="95" t="s">
        <v>39</v>
      </c>
      <c r="D9" s="6"/>
      <c r="E9" s="129" t="b">
        <v>1</v>
      </c>
      <c r="F9" s="117">
        <f>Y13</f>
        <v>1</v>
      </c>
      <c r="G9" s="29">
        <v>1</v>
      </c>
      <c r="H9" s="30" t="s">
        <v>31</v>
      </c>
      <c r="I9" s="79">
        <f>AVERAGE(Z13:AA13)</f>
        <v>2.54</v>
      </c>
      <c r="J9" s="50"/>
      <c r="K9" s="127"/>
      <c r="L9" s="50">
        <f t="shared" si="0"/>
        <v>2.54</v>
      </c>
      <c r="M9" s="29">
        <f t="shared" si="8"/>
        <v>7</v>
      </c>
      <c r="N9" s="30">
        <f t="shared" si="1"/>
        <v>7</v>
      </c>
      <c r="O9" s="29">
        <f t="shared" si="9"/>
        <v>7</v>
      </c>
      <c r="P9" s="30">
        <f t="shared" si="2"/>
        <v>12</v>
      </c>
      <c r="Q9" s="29">
        <f t="shared" si="3"/>
        <v>6</v>
      </c>
      <c r="R9" s="27" t="str">
        <f t="shared" si="4"/>
        <v>m</v>
      </c>
      <c r="S9" s="41">
        <f t="shared" si="5"/>
        <v>2.4900000000000002</v>
      </c>
      <c r="U9" s="133">
        <v>41988</v>
      </c>
      <c r="V9" s="134">
        <v>0.99354398170391967</v>
      </c>
      <c r="Y9" s="29">
        <v>2</v>
      </c>
      <c r="Z9" s="29">
        <f>_xll.RtGet($AD$8,$AD$9&amp;$Y9&amp;$AD$10,Z$7)</f>
        <v>2.57</v>
      </c>
      <c r="AA9" s="30">
        <f>_xll.RtGet($AD$8,$AD$9&amp;$Y9&amp;$AD$10,AA$7)</f>
        <v>2.57</v>
      </c>
      <c r="AC9" s="18" t="s">
        <v>20</v>
      </c>
      <c r="AD9" s="72" t="s">
        <v>230</v>
      </c>
      <c r="AN9" s="6" t="str">
        <f>_xll.xlShmInterpDisc(CurveName,DATE(YEAR(AU9)+IF(YEAR(AU9)&lt;2000,100,0),MONTH(AU9),DAY(AU9)))</f>
        <v>Date before first TermStructure's date.</v>
      </c>
      <c r="AO9" s="215" t="e">
        <f>_xll.xlShmInterpRate(CurveName,$AO$2,$C$50,DATE(YEAR(AU9)+IF(YEAR(AU9)&lt;2000,100,0),MONTH(AU9),DAY(AU9)))*100</f>
        <v>#VALUE!</v>
      </c>
      <c r="AP9" s="6" t="e">
        <f t="shared" si="6"/>
        <v>#VALUE!</v>
      </c>
      <c r="AQ9" s="215" t="e">
        <f t="shared" si="10"/>
        <v>#VALUE!</v>
      </c>
      <c r="AR9" s="8" t="s">
        <v>15</v>
      </c>
      <c r="AS9" s="52">
        <v>41557</v>
      </c>
      <c r="AT9" s="8" t="s">
        <v>192</v>
      </c>
      <c r="AU9" s="52">
        <v>41590</v>
      </c>
      <c r="AV9" s="52" t="s">
        <v>32</v>
      </c>
      <c r="AW9" s="6">
        <v>0.99751380445554905</v>
      </c>
      <c r="AX9" s="6">
        <v>2.5959751718684698</v>
      </c>
      <c r="BA9" s="6">
        <v>2.6</v>
      </c>
      <c r="BB9" s="6">
        <v>0</v>
      </c>
      <c r="BC9" s="21" t="s">
        <v>17</v>
      </c>
      <c r="BD9" s="52" t="str">
        <f t="shared" si="14"/>
        <v>1M</v>
      </c>
      <c r="BE9" s="6">
        <f t="shared" si="15"/>
        <v>2.6</v>
      </c>
      <c r="BF9" s="6">
        <f t="shared" si="16"/>
        <v>0</v>
      </c>
    </row>
    <row r="10" spans="1:58" ht="11.25" customHeight="1">
      <c r="A10" s="7"/>
      <c r="B10" s="89" t="s">
        <v>87</v>
      </c>
      <c r="C10" s="96" t="s">
        <v>116</v>
      </c>
      <c r="D10" s="6"/>
      <c r="E10" s="129" t="b">
        <v>0</v>
      </c>
      <c r="F10" s="117">
        <f t="shared" ref="F10:F20" si="17">Y14</f>
        <v>2</v>
      </c>
      <c r="G10" s="29">
        <v>2</v>
      </c>
      <c r="H10" s="30" t="s">
        <v>31</v>
      </c>
      <c r="I10" s="79" t="e">
        <f t="shared" ref="I10:I20" si="18">AVERAGE(Z14:AA14)</f>
        <v>#DIV/0!</v>
      </c>
      <c r="J10" s="50"/>
      <c r="K10" s="127"/>
      <c r="L10" s="50" t="e">
        <f t="shared" si="0"/>
        <v>#DIV/0!</v>
      </c>
      <c r="M10" s="29">
        <f t="shared" si="8"/>
        <v>8</v>
      </c>
      <c r="N10" s="30" t="str">
        <f t="shared" si="1"/>
        <v/>
      </c>
      <c r="O10" s="29">
        <f t="shared" si="9"/>
        <v>8</v>
      </c>
      <c r="P10" s="30">
        <f t="shared" si="2"/>
        <v>15</v>
      </c>
      <c r="Q10" s="29">
        <f t="shared" si="3"/>
        <v>9</v>
      </c>
      <c r="R10" s="27" t="str">
        <f t="shared" si="4"/>
        <v>m</v>
      </c>
      <c r="S10" s="41">
        <f t="shared" si="5"/>
        <v>2.48</v>
      </c>
      <c r="U10" s="133">
        <v>42079</v>
      </c>
      <c r="V10" s="134">
        <v>0.98875299073563294</v>
      </c>
      <c r="Y10" s="22">
        <v>3</v>
      </c>
      <c r="Z10" s="22" t="str">
        <f>_xll.RtGet($AD$8,$AD$9&amp;$Y10&amp;$AD$10,Z$7)</f>
        <v>#N/A The record could not be found</v>
      </c>
      <c r="AA10" s="23" t="str">
        <f>_xll.RtGet($AD$8,$AD$9&amp;$Y10&amp;$AD$10,AA$7)</f>
        <v>#N/A The record could not be found</v>
      </c>
      <c r="AC10" s="24" t="s">
        <v>24</v>
      </c>
      <c r="AD10" s="73" t="s">
        <v>216</v>
      </c>
      <c r="AN10" s="6" t="str">
        <f>_xll.xlShmInterpDisc(CurveName,DATE(YEAR(AU10)+IF(YEAR(AU10)&lt;2000,100,0),MONTH(AU10),DAY(AU10)))</f>
        <v>Date before first TermStructure's date.</v>
      </c>
      <c r="AO10" s="215" t="e">
        <f>_xll.xlShmInterpRate(CurveName,$AO$2,$C$50,DATE(YEAR(AU10)+IF(YEAR(AU10)&lt;2000,100,0),MONTH(AU10),DAY(AU10)))*100</f>
        <v>#VALUE!</v>
      </c>
      <c r="AP10" s="6" t="e">
        <f t="shared" si="6"/>
        <v>#VALUE!</v>
      </c>
      <c r="AQ10" s="215" t="e">
        <f t="shared" si="10"/>
        <v>#VALUE!</v>
      </c>
      <c r="AR10" s="8" t="s">
        <v>15</v>
      </c>
      <c r="AS10" s="52">
        <v>41557</v>
      </c>
      <c r="AT10" s="8" t="s">
        <v>192</v>
      </c>
      <c r="AU10" s="52">
        <v>41618</v>
      </c>
      <c r="AV10" s="52" t="s">
        <v>33</v>
      </c>
      <c r="AW10" s="6">
        <v>0.99546996083074701</v>
      </c>
      <c r="AX10" s="6">
        <v>2.63050916626465</v>
      </c>
      <c r="AY10" s="6" t="s">
        <v>193</v>
      </c>
      <c r="BA10" s="6">
        <v>2.6379661016949099</v>
      </c>
      <c r="BB10" s="6">
        <v>0</v>
      </c>
      <c r="BC10" s="21" t="s">
        <v>17</v>
      </c>
      <c r="BD10" s="52" t="str">
        <f t="shared" si="14"/>
        <v>2M</v>
      </c>
      <c r="BE10" s="6">
        <f t="shared" si="15"/>
        <v>2.6379661016949099</v>
      </c>
      <c r="BF10" s="6">
        <f t="shared" si="16"/>
        <v>0</v>
      </c>
    </row>
    <row r="11" spans="1:58" ht="11.25" customHeight="1">
      <c r="A11" s="7"/>
      <c r="B11" s="124" t="s">
        <v>91</v>
      </c>
      <c r="C11" s="97" t="s">
        <v>92</v>
      </c>
      <c r="D11" s="6"/>
      <c r="E11" s="129" t="b">
        <v>1</v>
      </c>
      <c r="F11" s="117">
        <f t="shared" si="17"/>
        <v>3</v>
      </c>
      <c r="G11" s="29">
        <v>3</v>
      </c>
      <c r="H11" s="30" t="s">
        <v>31</v>
      </c>
      <c r="I11" s="79">
        <f t="shared" si="18"/>
        <v>2.4900000000000002</v>
      </c>
      <c r="J11" s="50"/>
      <c r="K11" s="127"/>
      <c r="L11" s="50">
        <f t="shared" si="0"/>
        <v>2.4900000000000002</v>
      </c>
      <c r="M11" s="29">
        <f t="shared" si="8"/>
        <v>9</v>
      </c>
      <c r="N11" s="30">
        <f t="shared" si="1"/>
        <v>9</v>
      </c>
      <c r="O11" s="29">
        <f t="shared" si="9"/>
        <v>9</v>
      </c>
      <c r="P11" s="30">
        <f t="shared" si="2"/>
        <v>18</v>
      </c>
      <c r="Q11" s="29">
        <f t="shared" si="3"/>
        <v>12</v>
      </c>
      <c r="R11" s="27" t="str">
        <f t="shared" si="4"/>
        <v>m</v>
      </c>
      <c r="S11" s="41">
        <f t="shared" si="5"/>
        <v>2.48</v>
      </c>
      <c r="U11" s="133">
        <v>42171</v>
      </c>
      <c r="V11" s="134">
        <v>0.98409039524742092</v>
      </c>
      <c r="Y11" s="27"/>
      <c r="Z11" s="27"/>
      <c r="AA11" s="27"/>
      <c r="AN11" s="6" t="str">
        <f>_xll.xlShmInterpDisc(CurveName,DATE(YEAR(AU11)+IF(YEAR(AU11)&lt;2000,100,0),MONTH(AU11),DAY(AU11)))</f>
        <v>Date before first TermStructure's date.</v>
      </c>
      <c r="AO11" s="215" t="e">
        <f>_xll.xlShmInterpRate(CurveName,$AO$2,$C$50,DATE(YEAR(AU11)+IF(YEAR(AU11)&lt;2000,100,0),MONTH(AU11),DAY(AU11)))*100</f>
        <v>#VALUE!</v>
      </c>
      <c r="AP11" s="6" t="e">
        <f t="shared" si="6"/>
        <v>#VALUE!</v>
      </c>
      <c r="AQ11" s="215" t="e">
        <f t="shared" si="10"/>
        <v>#VALUE!</v>
      </c>
      <c r="AR11" s="8" t="s">
        <v>15</v>
      </c>
      <c r="AS11" s="52">
        <v>41557</v>
      </c>
      <c r="AT11" s="8" t="s">
        <v>192</v>
      </c>
      <c r="AU11" s="52">
        <v>41649</v>
      </c>
      <c r="AV11" s="52" t="s">
        <v>35</v>
      </c>
      <c r="AW11" s="6">
        <v>0.993149849864853</v>
      </c>
      <c r="AX11" s="6">
        <v>2.6690508952714702</v>
      </c>
      <c r="BA11" s="6">
        <v>2.68</v>
      </c>
      <c r="BB11" s="6">
        <v>0</v>
      </c>
      <c r="BC11" s="21" t="s">
        <v>17</v>
      </c>
      <c r="BD11" s="52" t="str">
        <f t="shared" si="14"/>
        <v>3M</v>
      </c>
      <c r="BE11" s="6">
        <f t="shared" si="15"/>
        <v>2.68</v>
      </c>
      <c r="BF11" s="6">
        <f t="shared" si="16"/>
        <v>0</v>
      </c>
    </row>
    <row r="12" spans="1:58" ht="11.25" customHeight="1">
      <c r="A12" s="7"/>
      <c r="D12" s="6"/>
      <c r="E12" s="129" t="b">
        <v>0</v>
      </c>
      <c r="F12" s="117">
        <f t="shared" si="17"/>
        <v>4</v>
      </c>
      <c r="G12" s="29">
        <v>4</v>
      </c>
      <c r="H12" s="30" t="s">
        <v>31</v>
      </c>
      <c r="I12" s="79" t="e">
        <f t="shared" si="18"/>
        <v>#DIV/0!</v>
      </c>
      <c r="J12" s="50"/>
      <c r="K12" s="127"/>
      <c r="L12" s="50" t="e">
        <f t="shared" si="0"/>
        <v>#DIV/0!</v>
      </c>
      <c r="M12" s="29">
        <f t="shared" si="8"/>
        <v>10</v>
      </c>
      <c r="N12" s="30" t="str">
        <f t="shared" si="1"/>
        <v/>
      </c>
      <c r="O12" s="29" t="str">
        <f t="shared" si="9"/>
        <v/>
      </c>
      <c r="P12" s="30" t="str">
        <f t="shared" si="2"/>
        <v/>
      </c>
      <c r="Q12" s="29" t="str">
        <f t="shared" si="3"/>
        <v/>
      </c>
      <c r="R12" s="27" t="str">
        <f t="shared" si="4"/>
        <v/>
      </c>
      <c r="S12" s="41" t="str">
        <f t="shared" si="5"/>
        <v/>
      </c>
      <c r="U12" s="133">
        <v>42262</v>
      </c>
      <c r="V12" s="134">
        <v>0.97949772504274635</v>
      </c>
      <c r="Y12" s="10" t="s">
        <v>78</v>
      </c>
      <c r="Z12" s="82" t="s">
        <v>6</v>
      </c>
      <c r="AA12" s="28" t="s">
        <v>6</v>
      </c>
      <c r="AN12" s="6" t="str">
        <f>_xll.xlShmInterpDisc(CurveName,DATE(YEAR(AU12)+IF(YEAR(AU12)&lt;2000,100,0),MONTH(AU12),DAY(AU12)))</f>
        <v>Date before first TermStructure's date.</v>
      </c>
      <c r="AO12" s="215" t="e">
        <f>_xll.xlShmInterpRate(CurveName,$AO$2,$C$50,DATE(YEAR(AU12)+IF(YEAR(AU12)&lt;2000,100,0),MONTH(AU12),DAY(AU12)))*100</f>
        <v>#VALUE!</v>
      </c>
      <c r="AP12" s="6" t="e">
        <f t="shared" si="6"/>
        <v>#VALUE!</v>
      </c>
      <c r="AQ12" s="215" t="e">
        <f t="shared" si="10"/>
        <v>#VALUE!</v>
      </c>
      <c r="AR12" s="8" t="s">
        <v>15</v>
      </c>
      <c r="AS12" s="52">
        <v>41557</v>
      </c>
      <c r="AT12" s="8" t="s">
        <v>192</v>
      </c>
      <c r="AU12" s="52">
        <v>41680</v>
      </c>
      <c r="AV12" s="52" t="s">
        <v>36</v>
      </c>
      <c r="AW12" s="6">
        <v>0.99087531522230898</v>
      </c>
      <c r="AX12" s="6">
        <v>2.6766383523025201</v>
      </c>
      <c r="AY12" s="6" t="s">
        <v>193</v>
      </c>
      <c r="BA12" s="6">
        <v>2.6903333333333301</v>
      </c>
      <c r="BB12" s="6">
        <v>0</v>
      </c>
      <c r="BC12" s="21" t="s">
        <v>17</v>
      </c>
      <c r="BD12" s="52" t="str">
        <f t="shared" si="14"/>
        <v>4M</v>
      </c>
      <c r="BE12" s="6">
        <f t="shared" si="15"/>
        <v>2.6903333333333301</v>
      </c>
      <c r="BF12" s="6">
        <f t="shared" si="16"/>
        <v>0</v>
      </c>
    </row>
    <row r="13" spans="1:58" ht="11.25" customHeight="1">
      <c r="A13" s="7"/>
      <c r="D13" s="6"/>
      <c r="E13" s="129" t="b">
        <v>0</v>
      </c>
      <c r="F13" s="117">
        <f t="shared" si="17"/>
        <v>5</v>
      </c>
      <c r="G13" s="29">
        <v>5</v>
      </c>
      <c r="H13" s="30" t="s">
        <v>31</v>
      </c>
      <c r="I13" s="79" t="e">
        <f t="shared" si="18"/>
        <v>#DIV/0!</v>
      </c>
      <c r="J13" s="50"/>
      <c r="K13" s="127"/>
      <c r="L13" s="50" t="e">
        <f t="shared" si="0"/>
        <v>#DIV/0!</v>
      </c>
      <c r="M13" s="29">
        <f t="shared" si="8"/>
        <v>11</v>
      </c>
      <c r="N13" s="30" t="str">
        <f t="shared" si="1"/>
        <v/>
      </c>
      <c r="O13" s="29" t="str">
        <f t="shared" si="9"/>
        <v/>
      </c>
      <c r="P13" s="30" t="str">
        <f t="shared" si="2"/>
        <v/>
      </c>
      <c r="Q13" s="29" t="str">
        <f t="shared" si="3"/>
        <v/>
      </c>
      <c r="R13" s="27" t="str">
        <f t="shared" si="4"/>
        <v/>
      </c>
      <c r="S13" s="41" t="str">
        <f t="shared" si="5"/>
        <v/>
      </c>
      <c r="U13" s="133">
        <v>42628</v>
      </c>
      <c r="V13" s="134">
        <v>0.95900332622494977</v>
      </c>
      <c r="Y13" s="29">
        <v>1</v>
      </c>
      <c r="Z13" s="29">
        <f>_xll.RtGet($AD$13,$AD$14&amp;$Y13&amp;$AD$15,Z$12)</f>
        <v>2.54</v>
      </c>
      <c r="AA13" s="30">
        <f>_xll.RtGet($AD$13,$AD$14&amp;$Y13&amp;$AD$15,AA$12)</f>
        <v>2.54</v>
      </c>
      <c r="AC13" s="13" t="s">
        <v>14</v>
      </c>
      <c r="AD13" s="71" t="s">
        <v>62</v>
      </c>
      <c r="AN13" s="6" t="str">
        <f>_xll.xlShmInterpDisc(CurveName,DATE(YEAR(AU13)+IF(YEAR(AU13)&lt;2000,100,0),MONTH(AU13),DAY(AU13)))</f>
        <v>Date before first TermStructure's date.</v>
      </c>
      <c r="AO13" s="215" t="e">
        <f>_xll.xlShmInterpRate(CurveName,$AO$2,$C$50,DATE(YEAR(AU13)+IF(YEAR(AU13)&lt;2000,100,0),MONTH(AU13),DAY(AU13)))*100</f>
        <v>#VALUE!</v>
      </c>
      <c r="AP13" s="6" t="e">
        <f t="shared" si="6"/>
        <v>#VALUE!</v>
      </c>
      <c r="AQ13" s="215" t="e">
        <f t="shared" si="10"/>
        <v>#VALUE!</v>
      </c>
      <c r="AR13" s="8" t="s">
        <v>15</v>
      </c>
      <c r="AS13" s="52">
        <v>41557</v>
      </c>
      <c r="AT13" s="8" t="s">
        <v>192</v>
      </c>
      <c r="AU13" s="52">
        <v>41708</v>
      </c>
      <c r="AV13" s="52" t="s">
        <v>37</v>
      </c>
      <c r="AW13" s="6">
        <v>0.98881507970989302</v>
      </c>
      <c r="AX13" s="6">
        <v>2.6833325398401602</v>
      </c>
      <c r="AY13" s="6" t="s">
        <v>193</v>
      </c>
      <c r="BA13" s="6">
        <v>2.6996666666666602</v>
      </c>
      <c r="BB13" s="6">
        <v>0</v>
      </c>
      <c r="BC13" s="21" t="s">
        <v>17</v>
      </c>
      <c r="BD13" s="52" t="str">
        <f t="shared" si="14"/>
        <v>5M</v>
      </c>
      <c r="BE13" s="6">
        <f t="shared" si="15"/>
        <v>2.6996666666666602</v>
      </c>
      <c r="BF13" s="6">
        <f t="shared" si="16"/>
        <v>0</v>
      </c>
    </row>
    <row r="14" spans="1:58" ht="11.25" customHeight="1">
      <c r="A14" s="7"/>
      <c r="D14" s="6"/>
      <c r="E14" s="129" t="b">
        <v>1</v>
      </c>
      <c r="F14" s="117">
        <f t="shared" si="17"/>
        <v>6</v>
      </c>
      <c r="G14" s="29">
        <v>6</v>
      </c>
      <c r="H14" s="30" t="s">
        <v>31</v>
      </c>
      <c r="I14" s="79">
        <f t="shared" si="18"/>
        <v>2.4900000000000002</v>
      </c>
      <c r="J14" s="50"/>
      <c r="K14" s="127"/>
      <c r="L14" s="50">
        <f t="shared" si="0"/>
        <v>2.4900000000000002</v>
      </c>
      <c r="M14" s="29">
        <f t="shared" si="8"/>
        <v>12</v>
      </c>
      <c r="N14" s="30">
        <f t="shared" si="1"/>
        <v>12</v>
      </c>
      <c r="O14" s="29" t="str">
        <f t="shared" si="9"/>
        <v/>
      </c>
      <c r="P14" s="30" t="str">
        <f t="shared" si="2"/>
        <v/>
      </c>
      <c r="Q14" s="29" t="str">
        <f t="shared" si="3"/>
        <v/>
      </c>
      <c r="R14" s="27" t="str">
        <f t="shared" si="4"/>
        <v/>
      </c>
      <c r="S14" s="41" t="str">
        <f t="shared" si="5"/>
        <v/>
      </c>
      <c r="U14" s="133">
        <v>42993</v>
      </c>
      <c r="V14" s="134">
        <v>0.93744756084923975</v>
      </c>
      <c r="Y14" s="29">
        <v>2</v>
      </c>
      <c r="Z14" s="29" t="str">
        <f>_xll.RtGet($AD$13,$AD$14&amp;$Y14&amp;$AD$15,Z$12)</f>
        <v>#N/A The record could not be found</v>
      </c>
      <c r="AA14" s="30" t="str">
        <f>_xll.RtGet($AD$13,$AD$14&amp;$Y14&amp;$AD$15,AA$12)</f>
        <v>#N/A The record could not be found</v>
      </c>
      <c r="AC14" s="18" t="s">
        <v>20</v>
      </c>
      <c r="AD14" s="72" t="s">
        <v>230</v>
      </c>
      <c r="AN14" s="6" t="str">
        <f>_xll.xlShmInterpDisc(CurveName,DATE(YEAR(AU14)+IF(YEAR(AU14)&lt;2000,100,0),MONTH(AU14),DAY(AU14)))</f>
        <v>Date before first TermStructure's date.</v>
      </c>
      <c r="AO14" s="215" t="e">
        <f>_xll.xlShmInterpRate(CurveName,$AO$2,$C$50,DATE(YEAR(AU14)+IF(YEAR(AU14)&lt;2000,100,0),MONTH(AU14),DAY(AU14)))*100</f>
        <v>#VALUE!</v>
      </c>
      <c r="AP14" s="6" t="e">
        <f t="shared" si="6"/>
        <v>#VALUE!</v>
      </c>
      <c r="AQ14" s="215" t="e">
        <f t="shared" si="10"/>
        <v>#VALUE!</v>
      </c>
      <c r="AR14" s="8" t="s">
        <v>15</v>
      </c>
      <c r="AS14" s="52">
        <v>41557</v>
      </c>
      <c r="AT14" s="8" t="s">
        <v>192</v>
      </c>
      <c r="AU14" s="52">
        <v>41739</v>
      </c>
      <c r="AV14" s="52" t="s">
        <v>38</v>
      </c>
      <c r="AW14" s="6">
        <v>0</v>
      </c>
      <c r="AX14" s="6">
        <v>0</v>
      </c>
      <c r="BA14" s="6">
        <v>2.71</v>
      </c>
      <c r="BB14" s="6">
        <v>0</v>
      </c>
      <c r="BC14" s="21" t="s">
        <v>17</v>
      </c>
      <c r="BD14" s="52" t="str">
        <f>AV15</f>
        <v>3M-6M</v>
      </c>
      <c r="BE14" s="6">
        <f>BA15</f>
        <v>2.7323300000000001</v>
      </c>
      <c r="BF14" s="6">
        <f>BB15</f>
        <v>0</v>
      </c>
    </row>
    <row r="15" spans="1:58" ht="11.25" customHeight="1">
      <c r="A15" s="7"/>
      <c r="D15" s="6"/>
      <c r="E15" s="129" t="b">
        <v>0</v>
      </c>
      <c r="F15" s="117">
        <f t="shared" si="17"/>
        <v>7</v>
      </c>
      <c r="G15" s="29">
        <v>7</v>
      </c>
      <c r="H15" s="30" t="s">
        <v>31</v>
      </c>
      <c r="I15" s="79" t="e">
        <f t="shared" si="18"/>
        <v>#DIV/0!</v>
      </c>
      <c r="J15" s="50"/>
      <c r="K15" s="127"/>
      <c r="L15" s="50" t="e">
        <f t="shared" si="0"/>
        <v>#DIV/0!</v>
      </c>
      <c r="M15" s="29">
        <f t="shared" si="8"/>
        <v>13</v>
      </c>
      <c r="N15" s="30" t="str">
        <f t="shared" si="1"/>
        <v/>
      </c>
      <c r="O15" s="29" t="str">
        <f t="shared" si="9"/>
        <v/>
      </c>
      <c r="P15" s="30" t="str">
        <f t="shared" si="2"/>
        <v/>
      </c>
      <c r="Q15" s="29" t="str">
        <f t="shared" si="3"/>
        <v/>
      </c>
      <c r="R15" s="27" t="str">
        <f t="shared" si="4"/>
        <v/>
      </c>
      <c r="S15" s="41" t="str">
        <f t="shared" si="5"/>
        <v/>
      </c>
      <c r="U15" s="133">
        <v>43360</v>
      </c>
      <c r="V15" s="134">
        <v>0.91283418041970632</v>
      </c>
      <c r="Y15" s="29">
        <v>3</v>
      </c>
      <c r="Z15" s="29">
        <f>_xll.RtGet($AD$13,$AD$14&amp;$Y15&amp;$AD$15,Z$12)</f>
        <v>2.4900000000000002</v>
      </c>
      <c r="AA15" s="30">
        <f>_xll.RtGet($AD$13,$AD$14&amp;$Y15&amp;$AD$15,AA$12)</f>
        <v>2.4900000000000002</v>
      </c>
      <c r="AB15"/>
      <c r="AC15" s="24" t="s">
        <v>24</v>
      </c>
      <c r="AD15" s="73" t="s">
        <v>222</v>
      </c>
      <c r="AN15" s="6" t="str">
        <f>_xll.xlShmInterpDisc(CurveName,DATE(YEAR(AU15)+IF(YEAR(AU15)&lt;2000,100,0),MONTH(AU15),DAY(AU15)))</f>
        <v>Date before first TermStructure's date.</v>
      </c>
      <c r="AO15" s="215" t="e">
        <f>_xll.xlShmInterpRate(CurveName,$AO$2,$C$50,DATE(YEAR(AU15)+IF(YEAR(AU15)&lt;2000,100,0),MONTH(AU15),DAY(AU15)))*100</f>
        <v>#VALUE!</v>
      </c>
      <c r="AP15" s="6" t="e">
        <f t="shared" si="6"/>
        <v>#VALUE!</v>
      </c>
      <c r="AQ15" s="215" t="e">
        <f t="shared" si="10"/>
        <v>#VALUE!</v>
      </c>
      <c r="AR15" s="8" t="s">
        <v>194</v>
      </c>
      <c r="AS15" s="52">
        <v>41649</v>
      </c>
      <c r="AT15" s="8" t="s">
        <v>241</v>
      </c>
      <c r="AU15" s="52">
        <v>41739</v>
      </c>
      <c r="AV15" s="52" t="s">
        <v>195</v>
      </c>
      <c r="AW15" s="6">
        <v>0.98650352695084098</v>
      </c>
      <c r="AX15" s="6">
        <v>2.69552069728425</v>
      </c>
      <c r="BA15" s="6">
        <v>2.7323300000000001</v>
      </c>
      <c r="BB15" s="6">
        <v>0</v>
      </c>
      <c r="BC15" s="21" t="s">
        <v>17</v>
      </c>
      <c r="BD15" s="52" t="str">
        <f t="shared" ref="BD15:BD16" si="19">AV16</f>
        <v>7M</v>
      </c>
      <c r="BE15" s="6">
        <f t="shared" ref="BE15:BE16" si="20">BA16</f>
        <v>2.71703296703296</v>
      </c>
      <c r="BF15" s="6">
        <f t="shared" ref="BF15:BF16" si="21">BB16</f>
        <v>0</v>
      </c>
    </row>
    <row r="16" spans="1:58" ht="11.25" customHeight="1">
      <c r="A16" s="7"/>
      <c r="D16" s="6"/>
      <c r="E16" s="129" t="b">
        <v>0</v>
      </c>
      <c r="F16" s="117">
        <f t="shared" si="17"/>
        <v>8</v>
      </c>
      <c r="G16" s="29">
        <v>8</v>
      </c>
      <c r="H16" s="30" t="s">
        <v>31</v>
      </c>
      <c r="I16" s="79" t="e">
        <f t="shared" si="18"/>
        <v>#DIV/0!</v>
      </c>
      <c r="J16" s="50"/>
      <c r="K16" s="127"/>
      <c r="L16" s="50" t="e">
        <f t="shared" si="0"/>
        <v>#DIV/0!</v>
      </c>
      <c r="M16" s="29">
        <f t="shared" si="8"/>
        <v>14</v>
      </c>
      <c r="N16" s="30" t="str">
        <f t="shared" si="1"/>
        <v/>
      </c>
      <c r="O16" s="29" t="str">
        <f t="shared" si="9"/>
        <v/>
      </c>
      <c r="P16" s="30" t="str">
        <f t="shared" si="2"/>
        <v/>
      </c>
      <c r="Q16" s="29" t="str">
        <f t="shared" si="3"/>
        <v/>
      </c>
      <c r="R16" s="27" t="str">
        <f t="shared" si="4"/>
        <v/>
      </c>
      <c r="S16" s="41" t="str">
        <f t="shared" si="5"/>
        <v/>
      </c>
      <c r="U16" s="133">
        <v>43724</v>
      </c>
      <c r="V16" s="134">
        <v>0.88696436170254611</v>
      </c>
      <c r="Y16" s="29">
        <v>4</v>
      </c>
      <c r="Z16" s="29" t="str">
        <f>_xll.RtGet($AD$13,$AD$14&amp;$Y16&amp;$AD$15,Z$12)</f>
        <v>#N/A The record could not be found</v>
      </c>
      <c r="AA16" s="30" t="str">
        <f>_xll.RtGet($AD$13,$AD$14&amp;$Y16&amp;$AD$15,AA$12)</f>
        <v>#N/A The record could not be found</v>
      </c>
      <c r="AB16"/>
      <c r="AC16"/>
      <c r="AD16"/>
      <c r="AN16" s="6" t="str">
        <f>_xll.xlShmInterpDisc(CurveName,DATE(YEAR(AU16)+IF(YEAR(AU16)&lt;2000,100,0),MONTH(AU16),DAY(AU16)))</f>
        <v>Date before first TermStructure's date.</v>
      </c>
      <c r="AO16" s="215" t="e">
        <f>_xll.xlShmInterpRate(CurveName,$AO$2,$C$50,DATE(YEAR(AU16)+IF(YEAR(AU16)&lt;2000,100,0),MONTH(AU16),DAY(AU16)))*100</f>
        <v>#VALUE!</v>
      </c>
      <c r="AP16" s="6" t="e">
        <f t="shared" si="6"/>
        <v>#VALUE!</v>
      </c>
      <c r="AQ16" s="215" t="e">
        <f t="shared" si="10"/>
        <v>#VALUE!</v>
      </c>
      <c r="AR16" s="8" t="s">
        <v>15</v>
      </c>
      <c r="AS16" s="52">
        <v>41557</v>
      </c>
      <c r="AT16" s="8" t="s">
        <v>192</v>
      </c>
      <c r="AU16" s="52">
        <v>41771</v>
      </c>
      <c r="AV16" s="52" t="s">
        <v>40</v>
      </c>
      <c r="AW16" s="6">
        <v>0</v>
      </c>
      <c r="AX16" s="6">
        <v>0</v>
      </c>
      <c r="AY16" s="6" t="s">
        <v>193</v>
      </c>
      <c r="BA16" s="6">
        <v>2.71703296703296</v>
      </c>
      <c r="BB16" s="6">
        <v>0</v>
      </c>
      <c r="BC16" s="21" t="s">
        <v>17</v>
      </c>
      <c r="BD16" s="52" t="str">
        <f t="shared" si="19"/>
        <v>8M</v>
      </c>
      <c r="BE16" s="6">
        <f t="shared" si="20"/>
        <v>2.7234065934065699</v>
      </c>
      <c r="BF16" s="6">
        <f t="shared" si="21"/>
        <v>0</v>
      </c>
    </row>
    <row r="17" spans="1:60" ht="11.25" customHeight="1">
      <c r="A17" s="7"/>
      <c r="D17" s="6"/>
      <c r="E17" s="129" t="b">
        <v>1</v>
      </c>
      <c r="F17" s="117">
        <f t="shared" si="17"/>
        <v>9</v>
      </c>
      <c r="G17" s="29">
        <v>9</v>
      </c>
      <c r="H17" s="30" t="s">
        <v>31</v>
      </c>
      <c r="I17" s="79">
        <f t="shared" si="18"/>
        <v>2.48</v>
      </c>
      <c r="J17" s="50"/>
      <c r="K17" s="127"/>
      <c r="L17" s="50">
        <f>IF(ISNUMBER(J17),J17,I17)+K17</f>
        <v>2.48</v>
      </c>
      <c r="M17" s="29">
        <f>M16+1</f>
        <v>15</v>
      </c>
      <c r="N17" s="30">
        <f>IF(E17,M17,"")</f>
        <v>15</v>
      </c>
      <c r="O17" s="29" t="str">
        <f>IF(O16&lt;$S$2,O16+1,"")</f>
        <v/>
      </c>
      <c r="P17" s="30" t="str">
        <f t="shared" si="2"/>
        <v/>
      </c>
      <c r="Q17" s="29" t="str">
        <f t="shared" si="3"/>
        <v/>
      </c>
      <c r="R17" s="27" t="str">
        <f t="shared" si="4"/>
        <v/>
      </c>
      <c r="S17" s="41" t="str">
        <f t="shared" si="5"/>
        <v/>
      </c>
      <c r="U17" s="133">
        <v>44089</v>
      </c>
      <c r="V17" s="134">
        <v>0.86020038799637832</v>
      </c>
      <c r="Y17" s="29">
        <v>5</v>
      </c>
      <c r="Z17" s="29" t="str">
        <f>_xll.RtGet($AD$13,$AD$14&amp;$Y17&amp;$AD$15,Z$12)</f>
        <v>#N/A The record could not be found</v>
      </c>
      <c r="AA17" s="30" t="str">
        <f>_xll.RtGet($AD$13,$AD$14&amp;$Y17&amp;$AD$15,AA$12)</f>
        <v>#N/A The record could not be found</v>
      </c>
      <c r="AB17"/>
      <c r="AC17"/>
      <c r="AD17"/>
      <c r="AN17" s="6" t="str">
        <f>_xll.xlShmInterpDisc(CurveName,DATE(YEAR(AU17)+IF(YEAR(AU17)&lt;2000,100,0),MONTH(AU17),DAY(AU17)))</f>
        <v>Date before first TermStructure's date.</v>
      </c>
      <c r="AO17" s="215" t="e">
        <f>_xll.xlShmInterpRate(CurveName,$AO$2,$C$50,DATE(YEAR(AU17)+IF(YEAR(AU17)&lt;2000,100,0),MONTH(AU17),DAY(AU17)))*100</f>
        <v>#VALUE!</v>
      </c>
      <c r="AP17" s="6" t="e">
        <f t="shared" si="6"/>
        <v>#VALUE!</v>
      </c>
      <c r="AQ17" s="215" t="e">
        <f t="shared" si="10"/>
        <v>#VALUE!</v>
      </c>
      <c r="AR17" s="8" t="s">
        <v>15</v>
      </c>
      <c r="AS17" s="52">
        <v>41557</v>
      </c>
      <c r="AT17" s="8" t="s">
        <v>192</v>
      </c>
      <c r="AU17" s="52">
        <v>41800</v>
      </c>
      <c r="AV17" s="52" t="s">
        <v>41</v>
      </c>
      <c r="AW17" s="6">
        <v>0</v>
      </c>
      <c r="AX17" s="6">
        <v>0</v>
      </c>
      <c r="AY17" s="6" t="s">
        <v>193</v>
      </c>
      <c r="BA17" s="6">
        <v>2.7234065934065699</v>
      </c>
      <c r="BB17" s="6">
        <v>0</v>
      </c>
      <c r="BC17" s="21" t="s">
        <v>17</v>
      </c>
      <c r="BD17" s="52" t="str">
        <f>AV19</f>
        <v>6M-9M</v>
      </c>
      <c r="BE17" s="6">
        <f>BA19</f>
        <v>2.8165499999999999</v>
      </c>
      <c r="BF17" s="6">
        <f>BB19</f>
        <v>0</v>
      </c>
    </row>
    <row r="18" spans="1:60" ht="11.25" customHeight="1">
      <c r="A18" s="7"/>
      <c r="D18" s="6"/>
      <c r="E18" s="129" t="b">
        <v>0</v>
      </c>
      <c r="F18" s="117">
        <f t="shared" si="17"/>
        <v>10</v>
      </c>
      <c r="G18" s="29">
        <v>10</v>
      </c>
      <c r="H18" s="30" t="s">
        <v>31</v>
      </c>
      <c r="I18" s="79" t="e">
        <f t="shared" si="18"/>
        <v>#DIV/0!</v>
      </c>
      <c r="J18" s="50"/>
      <c r="K18" s="127"/>
      <c r="L18" s="50" t="e">
        <f>IF(ISNUMBER(J18),J18,I18)+K18</f>
        <v>#DIV/0!</v>
      </c>
      <c r="M18" s="29">
        <f>M17+1</f>
        <v>16</v>
      </c>
      <c r="N18" s="30" t="str">
        <f>IF(E18,M18,"")</f>
        <v/>
      </c>
      <c r="O18" s="29" t="str">
        <f>IF(O17&lt;$S$2,O17+1,"")</f>
        <v/>
      </c>
      <c r="P18" s="30" t="str">
        <f t="shared" si="2"/>
        <v/>
      </c>
      <c r="Q18" s="29" t="str">
        <f t="shared" si="3"/>
        <v/>
      </c>
      <c r="R18" s="27" t="str">
        <f t="shared" si="4"/>
        <v/>
      </c>
      <c r="S18" s="41" t="str">
        <f t="shared" si="5"/>
        <v/>
      </c>
      <c r="U18" s="133">
        <v>44454</v>
      </c>
      <c r="V18" s="134">
        <v>0.83284371363929888</v>
      </c>
      <c r="Y18" s="29">
        <v>6</v>
      </c>
      <c r="Z18" s="29">
        <f>_xll.RtGet($AD$13,$AD$14&amp;$Y18&amp;$AD$15,Z$12)</f>
        <v>2.4900000000000002</v>
      </c>
      <c r="AA18" s="30">
        <f>_xll.RtGet($AD$13,$AD$14&amp;$Y18&amp;$AD$15,AA$12)</f>
        <v>2.4900000000000002</v>
      </c>
      <c r="AB18"/>
      <c r="AC18"/>
      <c r="AD18"/>
      <c r="AN18" s="6" t="str">
        <f>_xll.xlShmInterpDisc(CurveName,DATE(YEAR(AU18)+IF(YEAR(AU18)&lt;2000,100,0),MONTH(AU18),DAY(AU18)))</f>
        <v>Date before first TermStructure's date.</v>
      </c>
      <c r="AO18" s="215" t="e">
        <f>_xll.xlShmInterpRate(CurveName,$AO$2,$C$50,DATE(YEAR(AU18)+IF(YEAR(AU18)&lt;2000,100,0),MONTH(AU18),DAY(AU18)))*100</f>
        <v>#VALUE!</v>
      </c>
      <c r="AP18" s="6" t="e">
        <f t="shared" si="6"/>
        <v>#VALUE!</v>
      </c>
      <c r="AQ18" s="215" t="e">
        <f t="shared" si="10"/>
        <v>#VALUE!</v>
      </c>
      <c r="AR18" s="8" t="s">
        <v>15</v>
      </c>
      <c r="AS18" s="52">
        <v>41557</v>
      </c>
      <c r="AT18" s="8" t="s">
        <v>192</v>
      </c>
      <c r="AU18" s="52">
        <v>41830</v>
      </c>
      <c r="AV18" s="52" t="s">
        <v>42</v>
      </c>
      <c r="AW18" s="6">
        <v>0</v>
      </c>
      <c r="AX18" s="6">
        <v>0</v>
      </c>
      <c r="BA18" s="6">
        <v>2.73</v>
      </c>
      <c r="BB18" s="6">
        <v>0</v>
      </c>
      <c r="BC18" s="21" t="s">
        <v>17</v>
      </c>
      <c r="BD18" s="52" t="str">
        <f t="shared" ref="BD18:BD20" si="22">AV20</f>
        <v>10M</v>
      </c>
      <c r="BE18" s="6">
        <f t="shared" ref="BE18:BF18" si="23">BA20</f>
        <v>2.7369565217391298</v>
      </c>
      <c r="BF18" s="6">
        <f t="shared" si="23"/>
        <v>0</v>
      </c>
    </row>
    <row r="19" spans="1:60" ht="11.25" customHeight="1">
      <c r="A19" s="7"/>
      <c r="D19" s="6"/>
      <c r="E19" s="129" t="b">
        <v>0</v>
      </c>
      <c r="F19" s="117">
        <f t="shared" si="17"/>
        <v>11</v>
      </c>
      <c r="G19" s="29">
        <v>11</v>
      </c>
      <c r="H19" s="30" t="s">
        <v>31</v>
      </c>
      <c r="I19" s="79" t="e">
        <f t="shared" si="18"/>
        <v>#DIV/0!</v>
      </c>
      <c r="J19" s="50"/>
      <c r="K19" s="127"/>
      <c r="L19" s="50" t="e">
        <f>IF(ISNUMBER(J19),J19,I19)+K19</f>
        <v>#DIV/0!</v>
      </c>
      <c r="M19" s="29">
        <f>M18+1</f>
        <v>17</v>
      </c>
      <c r="N19" s="30" t="str">
        <f>IF(E19,M19,"")</f>
        <v/>
      </c>
      <c r="O19" s="29" t="str">
        <f>IF(O18&lt;$S$2,O18+1,"")</f>
        <v/>
      </c>
      <c r="P19" s="30" t="str">
        <f t="shared" si="2"/>
        <v/>
      </c>
      <c r="Q19" s="29" t="str">
        <f t="shared" si="3"/>
        <v/>
      </c>
      <c r="R19" s="27" t="str">
        <f t="shared" si="4"/>
        <v/>
      </c>
      <c r="S19" s="41" t="str">
        <f t="shared" si="5"/>
        <v/>
      </c>
      <c r="U19" s="133">
        <v>44819</v>
      </c>
      <c r="V19" s="134">
        <v>0.80546291893250344</v>
      </c>
      <c r="Y19" s="29">
        <v>7</v>
      </c>
      <c r="Z19" s="29" t="str">
        <f>_xll.RtGet($AD$13,$AD$14&amp;$Y19&amp;$AD$15,Z$12)</f>
        <v>#N/A The record could not be found</v>
      </c>
      <c r="AA19" s="30" t="str">
        <f>_xll.RtGet($AD$13,$AD$14&amp;$Y19&amp;$AD$15,AA$12)</f>
        <v>#N/A The record could not be found</v>
      </c>
      <c r="AB19"/>
      <c r="AC19"/>
      <c r="AD19"/>
      <c r="AN19" s="6" t="str">
        <f>_xll.xlShmInterpDisc(CurveName,DATE(YEAR(AU19)+IF(YEAR(AU19)&lt;2000,100,0),MONTH(AU19),DAY(AU19)))</f>
        <v>Date before first TermStructure's date.</v>
      </c>
      <c r="AO19" s="215" t="e">
        <f>_xll.xlShmInterpRate(CurveName,$AO$2,$C$50,DATE(YEAR(AU19)+IF(YEAR(AU19)&lt;2000,100,0),MONTH(AU19),DAY(AU19)))*100</f>
        <v>#VALUE!</v>
      </c>
      <c r="AP19" s="6" t="e">
        <f t="shared" si="6"/>
        <v>#VALUE!</v>
      </c>
      <c r="AQ19" s="215" t="e">
        <f t="shared" si="10"/>
        <v>#VALUE!</v>
      </c>
      <c r="AR19" s="8" t="s">
        <v>194</v>
      </c>
      <c r="AS19" s="52">
        <v>41739</v>
      </c>
      <c r="AT19" s="8" t="s">
        <v>241</v>
      </c>
      <c r="AU19" s="52">
        <v>41830</v>
      </c>
      <c r="AV19" s="52" t="s">
        <v>196</v>
      </c>
      <c r="AW19" s="6">
        <v>0.97962452170042502</v>
      </c>
      <c r="AX19" s="6">
        <v>2.7323132646361299</v>
      </c>
      <c r="BA19" s="6">
        <v>2.8165499999999999</v>
      </c>
      <c r="BB19" s="6">
        <v>0</v>
      </c>
      <c r="BC19" s="21" t="s">
        <v>17</v>
      </c>
      <c r="BD19" s="52" t="str">
        <f t="shared" si="22"/>
        <v>11M</v>
      </c>
      <c r="BE19" s="6">
        <f t="shared" ref="BE19:BF19" si="24">BA21</f>
        <v>2.7434782608695798</v>
      </c>
      <c r="BF19" s="6">
        <f t="shared" si="24"/>
        <v>0</v>
      </c>
    </row>
    <row r="20" spans="1:60" ht="11.25" customHeight="1">
      <c r="A20" s="7"/>
      <c r="B20" s="231" t="s">
        <v>218</v>
      </c>
      <c r="C20" s="232"/>
      <c r="D20" s="6"/>
      <c r="E20" s="130" t="b">
        <v>1</v>
      </c>
      <c r="F20" s="118">
        <f t="shared" si="17"/>
        <v>12</v>
      </c>
      <c r="G20" s="22">
        <v>12</v>
      </c>
      <c r="H20" s="23" t="s">
        <v>31</v>
      </c>
      <c r="I20" s="80">
        <f t="shared" si="18"/>
        <v>2.48</v>
      </c>
      <c r="J20" s="51"/>
      <c r="K20" s="175"/>
      <c r="L20" s="51">
        <f>IF(ISNUMBER(J20),J20,I20)+K20</f>
        <v>2.48</v>
      </c>
      <c r="M20" s="22">
        <f>M19+1</f>
        <v>18</v>
      </c>
      <c r="N20" s="23">
        <f>IF(E20,M20,"")</f>
        <v>18</v>
      </c>
      <c r="O20" s="22" t="str">
        <f>IF(O19&lt;$S$2,O19+1,"")</f>
        <v/>
      </c>
      <c r="P20" s="23" t="str">
        <f t="shared" si="2"/>
        <v/>
      </c>
      <c r="Q20" s="22" t="str">
        <f t="shared" si="3"/>
        <v/>
      </c>
      <c r="R20" s="42" t="str">
        <f t="shared" si="4"/>
        <v/>
      </c>
      <c r="S20" s="43" t="str">
        <f t="shared" si="5"/>
        <v/>
      </c>
      <c r="U20" s="133">
        <v>45184</v>
      </c>
      <c r="V20" s="134">
        <v>0.7778421796734647</v>
      </c>
      <c r="Y20" s="29">
        <v>8</v>
      </c>
      <c r="Z20" s="29" t="str">
        <f>_xll.RtGet($AD$13,$AD$14&amp;$Y20&amp;$AD$15,Z$12)</f>
        <v>#N/A The record could not be found</v>
      </c>
      <c r="AA20" s="30" t="str">
        <f>_xll.RtGet($AD$13,$AD$14&amp;$Y20&amp;$AD$15,AA$12)</f>
        <v>#N/A The record could not be found</v>
      </c>
      <c r="AB20"/>
      <c r="AC20"/>
      <c r="AD20"/>
      <c r="AN20" s="6" t="str">
        <f>_xll.xlShmInterpDisc(CurveName,DATE(YEAR(AU20)+IF(YEAR(AU20)&lt;2000,100,0),MONTH(AU20),DAY(AU20)))</f>
        <v>Date before first TermStructure's date.</v>
      </c>
      <c r="AO20" s="215" t="e">
        <f>_xll.xlShmInterpRate(CurveName,$AO$2,$C$50,DATE(YEAR(AU20)+IF(YEAR(AU20)&lt;2000,100,0),MONTH(AU20),DAY(AU20)))*100</f>
        <v>#VALUE!</v>
      </c>
      <c r="AP20" s="6" t="e">
        <f t="shared" si="6"/>
        <v>#VALUE!</v>
      </c>
      <c r="AQ20" s="215" t="e">
        <f t="shared" si="10"/>
        <v>#VALUE!</v>
      </c>
      <c r="AR20" s="8" t="s">
        <v>15</v>
      </c>
      <c r="AS20" s="52">
        <v>41557</v>
      </c>
      <c r="AT20" s="8" t="s">
        <v>192</v>
      </c>
      <c r="AU20" s="52">
        <v>41862</v>
      </c>
      <c r="AV20" s="52" t="s">
        <v>58</v>
      </c>
      <c r="AW20" s="6">
        <v>0</v>
      </c>
      <c r="AX20" s="6">
        <v>0</v>
      </c>
      <c r="AY20" s="6" t="s">
        <v>193</v>
      </c>
      <c r="BA20" s="6">
        <v>2.7369565217391298</v>
      </c>
      <c r="BB20" s="6">
        <v>0</v>
      </c>
      <c r="BC20" s="21" t="s">
        <v>17</v>
      </c>
      <c r="BD20" s="52" t="str">
        <f t="shared" si="22"/>
        <v>1Y</v>
      </c>
      <c r="BE20" s="6">
        <f t="shared" ref="BE20:BF20" si="25">BA22</f>
        <v>2.75</v>
      </c>
      <c r="BF20" s="6">
        <f t="shared" si="25"/>
        <v>0</v>
      </c>
    </row>
    <row r="21" spans="1:60" ht="11.25" customHeight="1">
      <c r="A21" s="7"/>
      <c r="B21" s="159" t="s">
        <v>219</v>
      </c>
      <c r="C21" s="96" t="b">
        <v>1</v>
      </c>
      <c r="D21" s="6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U21" s="133">
        <v>45551</v>
      </c>
      <c r="V21" s="134">
        <v>0.75074541282530105</v>
      </c>
      <c r="Y21" s="29">
        <v>9</v>
      </c>
      <c r="Z21" s="29">
        <f>_xll.RtGet($AD$13,$AD$14&amp;$Y21&amp;$AD$15,Z$12)</f>
        <v>2.48</v>
      </c>
      <c r="AA21" s="30">
        <f>_xll.RtGet($AD$13,$AD$14&amp;$Y21&amp;$AD$15,AA$12)</f>
        <v>2.48</v>
      </c>
      <c r="AB21"/>
      <c r="AC21"/>
      <c r="AD21"/>
      <c r="AN21" s="6" t="str">
        <f>_xll.xlShmInterpDisc(CurveName,DATE(YEAR(AU21)+IF(YEAR(AU21)&lt;2000,100,0),MONTH(AU21),DAY(AU21)))</f>
        <v>Date before first TermStructure's date.</v>
      </c>
      <c r="AO21" s="215" t="e">
        <f>_xll.xlShmInterpRate(CurveName,$AO$2,$C$50,DATE(YEAR(AU21)+IF(YEAR(AU21)&lt;2000,100,0),MONTH(AU21),DAY(AU21)))*100</f>
        <v>#VALUE!</v>
      </c>
      <c r="AP21" s="6" t="e">
        <f t="shared" si="6"/>
        <v>#VALUE!</v>
      </c>
      <c r="AQ21" s="215" t="e">
        <f t="shared" si="10"/>
        <v>#VALUE!</v>
      </c>
      <c r="AR21" s="8" t="s">
        <v>15</v>
      </c>
      <c r="AS21" s="52">
        <v>41557</v>
      </c>
      <c r="AT21" s="8" t="s">
        <v>192</v>
      </c>
      <c r="AU21" s="52">
        <v>41892</v>
      </c>
      <c r="AV21" s="52" t="s">
        <v>59</v>
      </c>
      <c r="AW21" s="6">
        <v>0</v>
      </c>
      <c r="AX21" s="6">
        <v>0</v>
      </c>
      <c r="AY21" s="6" t="s">
        <v>193</v>
      </c>
      <c r="BA21" s="6">
        <v>2.7434782608695798</v>
      </c>
      <c r="BB21" s="6">
        <v>0</v>
      </c>
      <c r="BC21" s="21" t="s">
        <v>17</v>
      </c>
      <c r="BD21" s="52"/>
    </row>
    <row r="22" spans="1:60" ht="11.25" customHeight="1">
      <c r="A22" s="7"/>
      <c r="B22" s="199" t="s">
        <v>167</v>
      </c>
      <c r="C22" s="94">
        <v>2</v>
      </c>
      <c r="D22" s="6"/>
      <c r="E22" s="86" t="s">
        <v>75</v>
      </c>
      <c r="F22" s="7"/>
      <c r="H22" s="7"/>
      <c r="I22" s="86" t="s">
        <v>1</v>
      </c>
      <c r="J22" s="86" t="s">
        <v>2</v>
      </c>
      <c r="K22" s="86" t="s">
        <v>3</v>
      </c>
      <c r="L22" s="86" t="s">
        <v>4</v>
      </c>
      <c r="M22"/>
      <c r="N22"/>
      <c r="O22"/>
      <c r="P22"/>
      <c r="Q22"/>
      <c r="R22"/>
      <c r="S22"/>
      <c r="U22" s="133">
        <v>46280</v>
      </c>
      <c r="V22" s="134">
        <v>0.69845708799729778</v>
      </c>
      <c r="Y22" s="29">
        <v>10</v>
      </c>
      <c r="Z22" s="29" t="str">
        <f>_xll.RtGet($AD$13,$AD$14&amp;$Y22&amp;$AD$15,Z$12)</f>
        <v>#N/A The record could not be found</v>
      </c>
      <c r="AA22" s="30" t="str">
        <f>_xll.RtGet($AD$13,$AD$14&amp;$Y22&amp;$AD$15,AA$12)</f>
        <v>#N/A The record could not be found</v>
      </c>
      <c r="AB22"/>
      <c r="AC22"/>
      <c r="AD22"/>
      <c r="AN22" s="6">
        <f>_xll.xlShmInterpDisc(CurveName,DATE(YEAR(AU22)+IF(YEAR(AU22)&lt;2000,100,0),MONTH(AU22),DAY(AU22)))</f>
        <v>0.99796898916770371</v>
      </c>
      <c r="AO22" s="215">
        <f>_xll.xlShmInterpRate(CurveName,$AO$2,$C$50,DATE(YEAR(AU22)+IF(YEAR(AU22)&lt;2000,100,0),MONTH(AU22),DAY(AU22)))*100</f>
        <v>2.5588716830028062</v>
      </c>
      <c r="AP22" s="6">
        <f t="shared" si="6"/>
        <v>0.99796898916770371</v>
      </c>
      <c r="AQ22" s="215">
        <f t="shared" si="10"/>
        <v>2.5588716830028062</v>
      </c>
      <c r="AR22" s="8" t="s">
        <v>15</v>
      </c>
      <c r="AS22" s="52">
        <v>41557</v>
      </c>
      <c r="AT22" s="8" t="s">
        <v>192</v>
      </c>
      <c r="AU22" s="52">
        <v>41922</v>
      </c>
      <c r="AV22" s="52" t="s">
        <v>229</v>
      </c>
      <c r="AW22" s="6">
        <v>0</v>
      </c>
      <c r="AX22" s="6">
        <v>0</v>
      </c>
      <c r="BA22" s="6">
        <v>2.75</v>
      </c>
      <c r="BB22" s="6">
        <v>0</v>
      </c>
      <c r="BC22" s="21" t="s">
        <v>17</v>
      </c>
      <c r="BD22" s="52" t="str">
        <f>AV14</f>
        <v>6M</v>
      </c>
      <c r="BE22" s="6">
        <f>100-BA14</f>
        <v>97.29</v>
      </c>
      <c r="BF22" s="6">
        <f>BB14</f>
        <v>0</v>
      </c>
    </row>
    <row r="23" spans="1:60" ht="11.25" customHeight="1">
      <c r="A23" s="7"/>
      <c r="B23" s="200" t="s">
        <v>166</v>
      </c>
      <c r="C23" s="201" t="s">
        <v>227</v>
      </c>
      <c r="D23" s="6"/>
      <c r="E23" s="128" t="b">
        <v>0</v>
      </c>
      <c r="F23" s="109" t="str">
        <f>Y27</f>
        <v>STUB</v>
      </c>
      <c r="G23"/>
      <c r="H23"/>
      <c r="I23" s="78" t="e">
        <f>AVERAGE(Z27:AA27)</f>
        <v>#DIV/0!</v>
      </c>
      <c r="J23" s="49"/>
      <c r="K23" s="125"/>
      <c r="L23" s="49" t="e">
        <f>IF(ISNUMBER(J23),J23,I23)+K23</f>
        <v>#DIV/0!</v>
      </c>
      <c r="M23"/>
      <c r="N23"/>
      <c r="O23"/>
      <c r="P23"/>
      <c r="Q23"/>
      <c r="R23"/>
      <c r="S23"/>
      <c r="U23" s="133">
        <v>47378</v>
      </c>
      <c r="V23" s="134">
        <v>0.6264256146258278</v>
      </c>
      <c r="Y23" s="29">
        <v>11</v>
      </c>
      <c r="Z23" s="29" t="str">
        <f>_xll.RtGet($AD$13,$AD$14&amp;$Y23&amp;$AD$15,Z$12)</f>
        <v>#N/A The record could not be found</v>
      </c>
      <c r="AA23" s="30" t="str">
        <f>_xll.RtGet($AD$13,$AD$14&amp;$Y23&amp;$AD$15,AA$12)</f>
        <v>#N/A The record could not be found</v>
      </c>
      <c r="AB23"/>
      <c r="AC23"/>
      <c r="AD23"/>
      <c r="AN23" s="6">
        <f>_xll.xlShmInterpDisc(CurveName,DATE(YEAR(AU23)+IF(YEAR(AU23)&lt;2000,100,0),MONTH(AU23),DAY(AU23)))</f>
        <v>0.99796898916770371</v>
      </c>
      <c r="AO23" s="215">
        <f>_xll.xlShmInterpRate(CurveName,$AO$2,$C$50,DATE(YEAR(AU23)+IF(YEAR(AU23)&lt;2000,100,0),MONTH(AU23),DAY(AU23)))*100</f>
        <v>2.5588716830028062</v>
      </c>
      <c r="AP23" s="6">
        <f t="shared" si="6"/>
        <v>2.5585765373915659E-2</v>
      </c>
      <c r="AQ23" s="215">
        <f t="shared" si="10"/>
        <v>-0.22639548515579389</v>
      </c>
      <c r="AR23" s="8" t="s">
        <v>194</v>
      </c>
      <c r="AS23" s="52">
        <v>41830</v>
      </c>
      <c r="AT23" s="8" t="s">
        <v>241</v>
      </c>
      <c r="AU23" s="52">
        <v>41922</v>
      </c>
      <c r="AV23" s="52" t="s">
        <v>197</v>
      </c>
      <c r="AW23" s="6">
        <v>0.97238322379378805</v>
      </c>
      <c r="AX23" s="6">
        <v>2.7852671681586001</v>
      </c>
      <c r="BA23" s="6">
        <v>2.9544999999999999</v>
      </c>
      <c r="BB23" s="6">
        <v>0</v>
      </c>
      <c r="BC23" s="21" t="s">
        <v>17</v>
      </c>
    </row>
    <row r="24" spans="1:60" ht="11.25" customHeight="1">
      <c r="A24" s="7"/>
      <c r="B24" s="200" t="s">
        <v>136</v>
      </c>
      <c r="C24" s="96" t="b">
        <v>1</v>
      </c>
      <c r="D24" s="6"/>
      <c r="E24" s="130" t="b">
        <f>IF(C44,OR(C3=AA31,ISNUMBER(J24)),FALSE)</f>
        <v>0</v>
      </c>
      <c r="F24" s="110" t="s">
        <v>69</v>
      </c>
      <c r="G24"/>
      <c r="H24"/>
      <c r="I24" s="80" t="str">
        <f>Z31</f>
        <v>#N/A The record could not be found</v>
      </c>
      <c r="J24" s="51"/>
      <c r="K24" s="126"/>
      <c r="L24" s="51" t="e">
        <f>IF(ISNUMBER(J24),J24,I24)+K24</f>
        <v>#VALUE!</v>
      </c>
      <c r="M24"/>
      <c r="N24"/>
      <c r="O24"/>
      <c r="P24"/>
      <c r="Q24"/>
      <c r="R24"/>
      <c r="S24"/>
      <c r="U24" s="133">
        <v>49202</v>
      </c>
      <c r="V24" s="134">
        <v>0.53673519387156576</v>
      </c>
      <c r="Y24" s="226">
        <v>12</v>
      </c>
      <c r="Z24" s="227">
        <f>_xll.RtGet($AD$13,$AD$14&amp;"1YD=",Z$12)</f>
        <v>2.48</v>
      </c>
      <c r="AA24" s="228">
        <f>_xll.RtGet($AD$13,$AD$14&amp;"1YD=",AA$12)</f>
        <v>2.48</v>
      </c>
      <c r="AB24"/>
      <c r="AC24"/>
      <c r="AD24"/>
      <c r="AN24" s="6">
        <f>_xll.xlShmInterpDisc(CurveName,DATE(YEAR(AU24)+IF(YEAR(AU24)&lt;2000,100,0),MONTH(AU24),DAY(AU24)))</f>
        <v>0.97799090619239015</v>
      </c>
      <c r="AO24" s="215">
        <f>_xll.xlShmInterpRate(CurveName,$AO$2,$C$50,DATE(YEAR(AU24)+IF(YEAR(AU24)&lt;2000,100,0),MONTH(AU24),DAY(AU24)))*100</f>
        <v>2.0512730270842816</v>
      </c>
      <c r="AP24" s="6">
        <f t="shared" si="6"/>
        <v>3.8982313025197168E-2</v>
      </c>
      <c r="AQ24" s="215">
        <f t="shared" si="10"/>
        <v>-1.0781120779211886</v>
      </c>
      <c r="AR24" s="8" t="s">
        <v>72</v>
      </c>
      <c r="AS24" s="52">
        <v>41557</v>
      </c>
      <c r="AT24" s="8" t="s">
        <v>249</v>
      </c>
      <c r="AU24" s="52">
        <v>42289</v>
      </c>
      <c r="AV24" s="52" t="s">
        <v>43</v>
      </c>
      <c r="AW24" s="6">
        <v>0.93900859316719298</v>
      </c>
      <c r="AX24" s="6">
        <v>3.1293851050054702</v>
      </c>
      <c r="BA24" s="6">
        <v>3.1749999999999998</v>
      </c>
      <c r="BB24" s="6">
        <v>0</v>
      </c>
      <c r="BC24" s="21" t="s">
        <v>17</v>
      </c>
    </row>
    <row r="25" spans="1:60" ht="11.25" customHeight="1">
      <c r="A25" s="7"/>
      <c r="B25" s="202" t="s">
        <v>172</v>
      </c>
      <c r="C25" s="161">
        <f>_xll.xlDateSettle(C23,C3,C22)</f>
        <v>41897</v>
      </c>
      <c r="D25" s="6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U25" s="133" t="e">
        <v>#N/A</v>
      </c>
      <c r="V25" s="134" t="e">
        <v>#N/A</v>
      </c>
      <c r="Y25" s="27"/>
      <c r="Z25" s="27"/>
      <c r="AA25" s="27"/>
      <c r="AB25"/>
      <c r="AC25"/>
      <c r="AD25"/>
      <c r="AN25" s="6">
        <f>_xll.xlShmInterpDisc(CurveName,DATE(YEAR(AU25)+IF(YEAR(AU25)&lt;2000,100,0),MONTH(AU25),DAY(AU25)))</f>
        <v>0.95755066309956938</v>
      </c>
      <c r="AO25" s="215">
        <f>_xll.xlShmInterpRate(CurveName,$AO$2,$C$50,DATE(YEAR(AU25)+IF(YEAR(AU25)&lt;2000,100,0),MONTH(AU25),DAY(AU25)))*100</f>
        <v>2.0832205694645576</v>
      </c>
      <c r="AP25" s="6">
        <f t="shared" si="6"/>
        <v>5.4787676876284386E-2</v>
      </c>
      <c r="AQ25" s="215">
        <f t="shared" si="10"/>
        <v>-1.3173040495890125</v>
      </c>
      <c r="AR25" s="8" t="s">
        <v>72</v>
      </c>
      <c r="AS25" s="52">
        <v>41557</v>
      </c>
      <c r="AT25" s="8" t="s">
        <v>249</v>
      </c>
      <c r="AU25" s="52">
        <v>42653</v>
      </c>
      <c r="AV25" s="52" t="s">
        <v>44</v>
      </c>
      <c r="AW25" s="6">
        <v>0.90276298622328499</v>
      </c>
      <c r="AX25" s="6">
        <v>3.4005246190535701</v>
      </c>
      <c r="BA25" s="6">
        <v>3.45</v>
      </c>
      <c r="BB25" s="6">
        <v>0</v>
      </c>
      <c r="BC25" s="21" t="s">
        <v>17</v>
      </c>
      <c r="BD25" s="52" t="str">
        <f>AV18</f>
        <v>9M</v>
      </c>
      <c r="BE25" s="6">
        <f>100-BA18</f>
        <v>97.27</v>
      </c>
      <c r="BF25" s="6">
        <f>BB18</f>
        <v>0</v>
      </c>
    </row>
    <row r="26" spans="1:60" ht="11.25" customHeight="1">
      <c r="A26" s="7"/>
      <c r="D26" s="6"/>
      <c r="E26" s="86" t="s">
        <v>75</v>
      </c>
      <c r="F26" s="7"/>
      <c r="H26" s="7"/>
      <c r="I26" s="86" t="s">
        <v>1</v>
      </c>
      <c r="J26" s="86" t="s">
        <v>2</v>
      </c>
      <c r="K26" s="86" t="s">
        <v>3</v>
      </c>
      <c r="L26" s="86" t="s">
        <v>4</v>
      </c>
      <c r="M26" s="7"/>
      <c r="N26" s="8"/>
      <c r="P26" s="8"/>
      <c r="Q26" s="7"/>
      <c r="R26" s="7"/>
      <c r="S26" s="44">
        <f t="array" ref="S26">SUM(1*E27:E38)</f>
        <v>3</v>
      </c>
      <c r="U26" s="133" t="e">
        <v>#N/A</v>
      </c>
      <c r="V26" s="134" t="e">
        <v>#N/A</v>
      </c>
      <c r="Y26" s="10" t="s">
        <v>68</v>
      </c>
      <c r="Z26" s="192" t="s">
        <v>5</v>
      </c>
      <c r="AA26" s="28" t="s">
        <v>6</v>
      </c>
      <c r="AC26" s="13" t="s">
        <v>14</v>
      </c>
      <c r="AD26" s="71"/>
      <c r="AN26" s="6">
        <f>_xll.xlShmInterpDisc(CurveName,DATE(YEAR(AU26)+IF(YEAR(AU26)&lt;2000,100,0),MONTH(AU26),DAY(AU26)))</f>
        <v>0.93582516474662114</v>
      </c>
      <c r="AO26" s="215">
        <f>_xll.xlShmInterpRate(CurveName,$AO$2,$C$50,DATE(YEAR(AU26)+IF(YEAR(AU26)&lt;2000,100,0),MONTH(AU26),DAY(AU26)))*100</f>
        <v>2.1519300053049863</v>
      </c>
      <c r="AP26" s="6">
        <f t="shared" si="6"/>
        <v>7.063819225823309E-2</v>
      </c>
      <c r="AQ26" s="215">
        <f t="shared" si="10"/>
        <v>-1.4608874532329938</v>
      </c>
      <c r="AR26" s="8" t="s">
        <v>72</v>
      </c>
      <c r="AS26" s="52">
        <v>41557</v>
      </c>
      <c r="AT26" s="8" t="s">
        <v>249</v>
      </c>
      <c r="AU26" s="52">
        <v>43018</v>
      </c>
      <c r="AV26" s="52" t="s">
        <v>45</v>
      </c>
      <c r="AW26" s="6">
        <v>0.86518697248838805</v>
      </c>
      <c r="AX26" s="6">
        <v>3.6128174585379802</v>
      </c>
      <c r="BA26" s="6">
        <v>3.66</v>
      </c>
      <c r="BB26" s="6">
        <v>0</v>
      </c>
      <c r="BC26" s="21" t="s">
        <v>17</v>
      </c>
      <c r="BD26" s="52" t="str">
        <f>AV23</f>
        <v>9M-12M</v>
      </c>
      <c r="BE26" s="6">
        <f>100-BA23</f>
        <v>97.045500000000004</v>
      </c>
      <c r="BF26" s="6">
        <f>BB23</f>
        <v>0</v>
      </c>
    </row>
    <row r="27" spans="1:60" ht="11.25" customHeight="1">
      <c r="A27" s="7"/>
      <c r="D27" s="6"/>
      <c r="E27" s="128" t="b">
        <v>0</v>
      </c>
      <c r="F27" s="206" t="str">
        <f>IF($C$21,IF(LEN(AF35)&gt;0,AF35&amp;"x"&amp;(AF35+$AK$39),""),iText(H27,"mmm yy"))</f>
        <v>1x4</v>
      </c>
      <c r="G27" s="204">
        <f>IF(LEN(AF35)&gt;0,_xll.xlDateWorkFw($C$23,_xll.xlDateShiftMonth($C$25,AF35),$C$24),NA())</f>
        <v>41927</v>
      </c>
      <c r="H27" s="205">
        <f>_xll.xlDateNextFutLIFFE(C3)</f>
        <v>41899</v>
      </c>
      <c r="I27" s="78">
        <f>IF($C$21,100-AVERAGE(AG35:AH35),AVERAGE(Z35:AA35))</f>
        <v>97.806129999999996</v>
      </c>
      <c r="J27" s="49"/>
      <c r="K27" s="125"/>
      <c r="L27" s="49">
        <f t="shared" ref="L27:L38" si="26">IF(ISNUMBER(J27),J27,I27)+K27</f>
        <v>97.806129999999996</v>
      </c>
      <c r="M27" s="16">
        <v>1</v>
      </c>
      <c r="N27" s="17" t="str">
        <f t="shared" ref="N27:N38" si="27">IF(E27,M27,"")</f>
        <v/>
      </c>
      <c r="O27" s="44">
        <f>IF($S$26&gt;0,1,"")</f>
        <v>1</v>
      </c>
      <c r="P27" s="17">
        <f t="shared" ref="P27:P38" si="28">IF(LEN(O27)&gt;0,SMALL($N$27:$N$38,O27),"")</f>
        <v>3</v>
      </c>
      <c r="Q27" s="7"/>
      <c r="R27" s="45">
        <f>IF(LEN(P27)&gt;0,IF($C$21,INDEX($G$27:$G$38,$P27),INDEX($H$27:$H$38,$P27)),"")</f>
        <v>41988</v>
      </c>
      <c r="S27" s="40">
        <f t="shared" ref="S27:S32" si="29">IF(LEN(P27)&gt;0,INDEX($L$27:$L$38,$P27),"")</f>
        <v>98.056479999999993</v>
      </c>
      <c r="U27" s="133" t="e">
        <v>#N/A</v>
      </c>
      <c r="V27" s="134" t="e">
        <v>#N/A</v>
      </c>
      <c r="Y27" s="194" t="s">
        <v>68</v>
      </c>
      <c r="Z27" s="194" t="str">
        <f>_xll.RtGet($AD$26,$AD$27&amp;$Y27&amp;$AD$28,Z$26)</f>
        <v>#N/A</v>
      </c>
      <c r="AA27" s="193" t="str">
        <f>_xll.RtGet($AD$26,$AD$27&amp;$Y27&amp;$AD$28,AA$26)</f>
        <v>#N/A</v>
      </c>
      <c r="AC27" s="18" t="s">
        <v>20</v>
      </c>
      <c r="AD27" s="19"/>
      <c r="AN27" s="6">
        <f>_xll.xlShmInterpDisc(CurveName,DATE(YEAR(AU27)+IF(YEAR(AU27)&lt;2000,100,0),MONTH(AU27),DAY(AU27)))</f>
        <v>0.91124306984040881</v>
      </c>
      <c r="AO27" s="215">
        <f>_xll.xlShmInterpRate(CurveName,$AO$2,$C$50,DATE(YEAR(AU27)+IF(YEAR(AU27)&lt;2000,100,0),MONTH(AU27),DAY(AU27)))*100</f>
        <v>2.2768553216497889</v>
      </c>
      <c r="AP27" s="6">
        <f t="shared" si="6"/>
        <v>8.3994942263401762E-2</v>
      </c>
      <c r="AQ27" s="215">
        <f t="shared" si="10"/>
        <v>-1.5099317351865711</v>
      </c>
      <c r="AR27" s="8" t="s">
        <v>72</v>
      </c>
      <c r="AS27" s="52">
        <v>41557</v>
      </c>
      <c r="AT27" s="8" t="s">
        <v>249</v>
      </c>
      <c r="AU27" s="52">
        <v>43383</v>
      </c>
      <c r="AV27" s="52" t="s">
        <v>46</v>
      </c>
      <c r="AW27" s="6">
        <v>0.82724812757700705</v>
      </c>
      <c r="AX27" s="6">
        <v>3.78678705683636</v>
      </c>
      <c r="BA27" s="6">
        <v>3.83</v>
      </c>
      <c r="BB27" s="6">
        <v>0</v>
      </c>
      <c r="BC27" s="21" t="s">
        <v>17</v>
      </c>
      <c r="BD27" s="52"/>
    </row>
    <row r="28" spans="1:60" ht="11.25" customHeight="1">
      <c r="A28" s="7"/>
      <c r="D28" s="6"/>
      <c r="E28" s="129" t="b">
        <v>0</v>
      </c>
      <c r="F28" s="207" t="str">
        <f>IF($C$21,IF(LEN(AF36)&gt;0,AF36&amp;"x"&amp;(AF36+$AK$39),""),iText(H28,"mmm yy"))</f>
        <v>2x5</v>
      </c>
      <c r="G28" s="204">
        <f>IF(LEN(AF36)&gt;0,_xll.xlDateWorkFw($C$23,_xll.xlDateShiftMonth($C$25,AF36),$C$24),NA())</f>
        <v>41960</v>
      </c>
      <c r="H28" s="204">
        <f>_xll.xlDateNextFutLIFFE(H27)</f>
        <v>41990</v>
      </c>
      <c r="I28" s="79">
        <f t="shared" ref="I28:I38" si="30">IF($C$21,100-AVERAGE(AG36:AH36),AVERAGE(Z36:AA36))</f>
        <v>98.000150000000005</v>
      </c>
      <c r="J28" s="50"/>
      <c r="K28" s="127"/>
      <c r="L28" s="50">
        <f t="shared" si="26"/>
        <v>98.000150000000005</v>
      </c>
      <c r="M28" s="29">
        <f t="shared" ref="M28:M38" si="31">M27+1</f>
        <v>2</v>
      </c>
      <c r="N28" s="30" t="str">
        <f t="shared" si="27"/>
        <v/>
      </c>
      <c r="O28" s="29">
        <f t="shared" ref="O28:O38" si="32">IF(O27&lt;$S$26,O27+1,"")</f>
        <v>2</v>
      </c>
      <c r="P28" s="30">
        <f t="shared" si="28"/>
        <v>6</v>
      </c>
      <c r="Q28" s="7"/>
      <c r="R28" s="34">
        <f t="shared" ref="R28:R38" si="33">IF(LEN(P28)&gt;0,IF($C$21,INDEX($G$27:$G$38,$P28),INDEX($H$27:$H$38,$P28)),"")</f>
        <v>42079</v>
      </c>
      <c r="S28" s="41">
        <f t="shared" si="29"/>
        <v>98.120260000000002</v>
      </c>
      <c r="U28" s="133" t="e">
        <v>#N/A</v>
      </c>
      <c r="V28" s="134" t="e">
        <v>#N/A</v>
      </c>
      <c r="AC28" s="24" t="s">
        <v>24</v>
      </c>
      <c r="AD28" s="25"/>
      <c r="AN28" s="6">
        <f>_xll.xlShmInterpDisc(CurveName,DATE(YEAR(AU28)+IF(YEAR(AU28)&lt;2000,100,0),MONTH(AU28),DAY(AU28)))</f>
        <v>0.88524004911421872</v>
      </c>
      <c r="AO28" s="215">
        <f>_xll.xlShmInterpRate(CurveName,$AO$2,$C$50,DATE(YEAR(AU28)+IF(YEAR(AU28)&lt;2000,100,0),MONTH(AU28),DAY(AU28)))*100</f>
        <v>2.3985011600047708</v>
      </c>
      <c r="AP28" s="6">
        <f t="shared" si="6"/>
        <v>9.5138774638611756E-2</v>
      </c>
      <c r="AQ28" s="215">
        <f t="shared" si="10"/>
        <v>-1.5226964397451392</v>
      </c>
      <c r="AR28" s="8" t="s">
        <v>72</v>
      </c>
      <c r="AS28" s="52">
        <v>41557</v>
      </c>
      <c r="AT28" s="8" t="s">
        <v>249</v>
      </c>
      <c r="AU28" s="52">
        <v>43748</v>
      </c>
      <c r="AV28" s="52" t="s">
        <v>47</v>
      </c>
      <c r="AW28" s="6">
        <v>0.79010127447560696</v>
      </c>
      <c r="AX28" s="6">
        <v>3.92119759974991</v>
      </c>
      <c r="BA28" s="6">
        <v>3.96</v>
      </c>
      <c r="BB28" s="6">
        <v>0</v>
      </c>
      <c r="BC28" s="21" t="s">
        <v>17</v>
      </c>
      <c r="BD28" s="52"/>
      <c r="BG28"/>
      <c r="BH28"/>
    </row>
    <row r="29" spans="1:60" ht="11.25" customHeight="1">
      <c r="A29" s="7"/>
      <c r="B29" s="231" t="s">
        <v>142</v>
      </c>
      <c r="C29" s="232"/>
      <c r="D29" s="6"/>
      <c r="E29" s="129" t="b">
        <v>1</v>
      </c>
      <c r="F29" s="207" t="str">
        <f>IF($C$21,IF(LEN(AF37)&gt;0,AF37&amp;"x"&amp;(AF37+$AK$39),""),iText(H29,"mmm yy"))</f>
        <v>3x6</v>
      </c>
      <c r="G29" s="204">
        <f>IF(LEN(AF37)&gt;0,_xll.xlDateWorkFw($C$23,_xll.xlDateShiftMonth($C$25,AF37),$C$24),NA())</f>
        <v>41988</v>
      </c>
      <c r="H29" s="204">
        <f>_xll.xlDateNextFutLIFFE(H28)</f>
        <v>42081</v>
      </c>
      <c r="I29" s="79">
        <f t="shared" si="30"/>
        <v>98.056479999999993</v>
      </c>
      <c r="J29" s="50"/>
      <c r="K29" s="127"/>
      <c r="L29" s="50">
        <f t="shared" si="26"/>
        <v>98.056479999999993</v>
      </c>
      <c r="M29" s="29">
        <f t="shared" si="31"/>
        <v>3</v>
      </c>
      <c r="N29" s="30">
        <f t="shared" si="27"/>
        <v>3</v>
      </c>
      <c r="O29" s="29">
        <f t="shared" si="32"/>
        <v>3</v>
      </c>
      <c r="P29" s="30">
        <f t="shared" si="28"/>
        <v>7</v>
      </c>
      <c r="Q29" s="7"/>
      <c r="R29" s="34">
        <f t="shared" si="33"/>
        <v>42170</v>
      </c>
      <c r="S29" s="41">
        <f t="shared" si="29"/>
        <v>98.120519999999999</v>
      </c>
      <c r="U29" s="133" t="e">
        <v>#N/A</v>
      </c>
      <c r="V29" s="134" t="e">
        <v>#N/A</v>
      </c>
      <c r="Y29" s="27"/>
      <c r="Z29" s="27"/>
      <c r="AA29" s="27"/>
      <c r="AB29"/>
      <c r="AC29"/>
      <c r="AD29"/>
      <c r="AN29" s="6">
        <f>_xll.xlShmInterpDisc(CurveName,DATE(YEAR(AU29)+IF(YEAR(AU29)&lt;2000,100,0),MONTH(AU29),DAY(AU29)))</f>
        <v>0.85820739683880953</v>
      </c>
      <c r="AO29" s="215">
        <f>_xll.xlShmInterpRate(CurveName,$AO$2,$C$50,DATE(YEAR(AU29)+IF(YEAR(AU29)&lt;2000,100,0),MONTH(AU29),DAY(AU29)))*100</f>
        <v>2.5106596004518424</v>
      </c>
      <c r="AP29" s="6">
        <f t="shared" si="6"/>
        <v>0.10447453904148452</v>
      </c>
      <c r="AQ29" s="215">
        <f t="shared" si="10"/>
        <v>-1.5186963121304879</v>
      </c>
      <c r="AR29" s="8" t="s">
        <v>72</v>
      </c>
      <c r="AS29" s="52">
        <v>41557</v>
      </c>
      <c r="AT29" s="8" t="s">
        <v>249</v>
      </c>
      <c r="AU29" s="52">
        <v>44116</v>
      </c>
      <c r="AV29" s="52" t="s">
        <v>48</v>
      </c>
      <c r="AW29" s="6">
        <v>0.75373285779732502</v>
      </c>
      <c r="AX29" s="6">
        <v>4.0293559125823304</v>
      </c>
      <c r="BA29" s="6">
        <v>4.0650000000000004</v>
      </c>
      <c r="BB29" s="6">
        <v>0</v>
      </c>
      <c r="BC29" s="21" t="s">
        <v>17</v>
      </c>
      <c r="BD29" s="52"/>
      <c r="BG29"/>
      <c r="BH29"/>
    </row>
    <row r="30" spans="1:60" ht="11.25" customHeight="1">
      <c r="A30" s="7"/>
      <c r="B30" s="88" t="s">
        <v>85</v>
      </c>
      <c r="C30" s="94">
        <v>213</v>
      </c>
      <c r="D30" s="6"/>
      <c r="E30" s="129" t="b">
        <v>0</v>
      </c>
      <c r="F30" s="207" t="str">
        <f>IF($C$21,IF(LEN(AF38)&gt;0,AF38&amp;"x"&amp;(AF38+$AK$39),""),iText(H30,"mmm yy"))</f>
        <v>4x7</v>
      </c>
      <c r="G30" s="204">
        <f>IF(LEN(AF38)&gt;0,_xll.xlDateWorkFw($C$23,_xll.xlDateShiftMonth($C$25,AF38),$C$24),NA())</f>
        <v>42019</v>
      </c>
      <c r="H30" s="204">
        <f>_xll.xlDateNextFutLIFFE(H29)</f>
        <v>42172</v>
      </c>
      <c r="I30" s="79">
        <f t="shared" si="30"/>
        <v>98.083650000000006</v>
      </c>
      <c r="J30" s="50"/>
      <c r="K30" s="127"/>
      <c r="L30" s="50">
        <f t="shared" si="26"/>
        <v>98.083650000000006</v>
      </c>
      <c r="M30" s="29">
        <f t="shared" si="31"/>
        <v>4</v>
      </c>
      <c r="N30" s="30" t="str">
        <f t="shared" si="27"/>
        <v/>
      </c>
      <c r="O30" s="29" t="str">
        <f t="shared" si="32"/>
        <v/>
      </c>
      <c r="P30" s="30" t="str">
        <f t="shared" si="28"/>
        <v/>
      </c>
      <c r="Q30" s="7"/>
      <c r="R30" s="34" t="str">
        <f t="shared" si="33"/>
        <v/>
      </c>
      <c r="S30" s="41" t="str">
        <f t="shared" si="29"/>
        <v/>
      </c>
      <c r="U30" s="133" t="e">
        <v>#N/A</v>
      </c>
      <c r="V30" s="134" t="e">
        <v>#N/A</v>
      </c>
      <c r="Y30" s="10" t="s">
        <v>69</v>
      </c>
      <c r="Z30" s="192" t="s">
        <v>220</v>
      </c>
      <c r="AA30" s="192" t="s">
        <v>221</v>
      </c>
      <c r="AC30" s="13" t="s">
        <v>14</v>
      </c>
      <c r="AD30" s="71"/>
      <c r="AN30" s="6">
        <f>_xll.xlShmInterpDisc(CurveName,DATE(YEAR(AU30)+IF(YEAR(AU30)&lt;2000,100,0),MONTH(AU30),DAY(AU30)))</f>
        <v>0.83091334885279111</v>
      </c>
      <c r="AO30" s="215">
        <f>_xll.xlShmInterpRate(CurveName,$AO$2,$C$50,DATE(YEAR(AU30)+IF(YEAR(AU30)&lt;2000,100,0),MONTH(AU30),DAY(AU30)))*100</f>
        <v>2.6134079420379637</v>
      </c>
      <c r="AP30" s="6">
        <f t="shared" si="6"/>
        <v>0.11158928702239512</v>
      </c>
      <c r="AQ30" s="215">
        <f t="shared" si="10"/>
        <v>-1.4975940576877562</v>
      </c>
      <c r="AR30" s="8" t="s">
        <v>72</v>
      </c>
      <c r="AS30" s="52">
        <v>41557</v>
      </c>
      <c r="AT30" s="8" t="s">
        <v>249</v>
      </c>
      <c r="AU30" s="52">
        <v>44480</v>
      </c>
      <c r="AV30" s="52" t="s">
        <v>49</v>
      </c>
      <c r="AW30" s="6">
        <v>0.71932406183039599</v>
      </c>
      <c r="AX30" s="6">
        <v>4.1110019997257199</v>
      </c>
      <c r="BA30" s="6">
        <v>4.1425000000000001</v>
      </c>
      <c r="BB30" s="6">
        <v>0</v>
      </c>
      <c r="BC30" s="21" t="s">
        <v>17</v>
      </c>
      <c r="BD30" s="52"/>
      <c r="BG30"/>
      <c r="BH30"/>
    </row>
    <row r="31" spans="1:60" ht="11.25" customHeight="1">
      <c r="A31" s="6"/>
      <c r="B31" s="89" t="s">
        <v>144</v>
      </c>
      <c r="C31" s="96" t="b">
        <v>1</v>
      </c>
      <c r="D31" s="6"/>
      <c r="E31" s="129" t="b">
        <v>0</v>
      </c>
      <c r="F31" s="207" t="str">
        <f>IF($C$21,IF(LEN(AF39)&gt;0,AF39&amp;"x"&amp;(AF39+$AK$39),""),iText(H31,"mmm yy"))</f>
        <v>5x8</v>
      </c>
      <c r="G31" s="204">
        <f>IF(LEN(AF39)&gt;0,_xll.xlDateWorkFw($C$23,_xll.xlDateShiftMonth($C$25,AF39),$C$24),NA())</f>
        <v>42051</v>
      </c>
      <c r="H31" s="204">
        <f>_xll.xlDateNextFutLIFFE(H30)</f>
        <v>42263</v>
      </c>
      <c r="I31" s="79">
        <f t="shared" si="30"/>
        <v>98.106809999999996</v>
      </c>
      <c r="J31" s="50"/>
      <c r="K31" s="127"/>
      <c r="L31" s="50">
        <f t="shared" si="26"/>
        <v>98.106809999999996</v>
      </c>
      <c r="M31" s="29">
        <f t="shared" si="31"/>
        <v>5</v>
      </c>
      <c r="N31" s="30" t="str">
        <f t="shared" si="27"/>
        <v/>
      </c>
      <c r="O31" s="29" t="str">
        <f t="shared" si="32"/>
        <v/>
      </c>
      <c r="P31" s="30" t="str">
        <f t="shared" si="28"/>
        <v/>
      </c>
      <c r="Q31" s="7"/>
      <c r="R31" s="34" t="str">
        <f t="shared" si="33"/>
        <v/>
      </c>
      <c r="S31" s="41" t="str">
        <f t="shared" si="29"/>
        <v/>
      </c>
      <c r="T31"/>
      <c r="U31" s="133" t="e">
        <v>#N/A</v>
      </c>
      <c r="V31" s="134" t="e">
        <v>#N/A</v>
      </c>
      <c r="Y31" s="139">
        <v>6</v>
      </c>
      <c r="Z31" s="194" t="str">
        <f>_xll.RtGet($AD$30,$AD$31&amp;$Y31&amp;$AD$32,Z30)</f>
        <v>#N/A The record could not be found</v>
      </c>
      <c r="AA31" s="210" t="str">
        <f>_xll.RtGet($AD$30,$AD$31&amp;$Y31&amp;$AD$32,AA30)</f>
        <v>#N/A The record could not be found</v>
      </c>
      <c r="AC31" s="18" t="s">
        <v>20</v>
      </c>
      <c r="AD31" s="72"/>
      <c r="AN31" s="6">
        <f>_xll.xlShmInterpDisc(CurveName,DATE(YEAR(AU31)+IF(YEAR(AU31)&lt;2000,100,0),MONTH(AU31),DAY(AU31)))</f>
        <v>0.8035851464227376</v>
      </c>
      <c r="AO31" s="215">
        <f>_xll.xlShmInterpRate(CurveName,$AO$2,$C$50,DATE(YEAR(AU31)+IF(YEAR(AU31)&lt;2000,100,0),MONTH(AU31),DAY(AU31)))*100</f>
        <v>2.7046874772091183</v>
      </c>
      <c r="AP31" s="6">
        <f t="shared" si="6"/>
        <v>0.11709505521133956</v>
      </c>
      <c r="AQ31" s="215">
        <f t="shared" si="10"/>
        <v>-1.4698237114362014</v>
      </c>
      <c r="AR31" s="8" t="s">
        <v>72</v>
      </c>
      <c r="AS31" s="52">
        <v>41557</v>
      </c>
      <c r="AT31" s="8" t="s">
        <v>249</v>
      </c>
      <c r="AU31" s="52">
        <v>44844</v>
      </c>
      <c r="AV31" s="52" t="s">
        <v>50</v>
      </c>
      <c r="AW31" s="6">
        <v>0.68649009121139803</v>
      </c>
      <c r="AX31" s="6">
        <v>4.1745111886453197</v>
      </c>
      <c r="BA31" s="6">
        <v>4.2024999999999997</v>
      </c>
      <c r="BB31" s="6">
        <v>0</v>
      </c>
      <c r="BC31" s="21" t="s">
        <v>17</v>
      </c>
      <c r="BD31" s="52"/>
      <c r="BF31"/>
      <c r="BG31"/>
      <c r="BH31"/>
    </row>
    <row r="32" spans="1:60" ht="11.25" customHeight="1">
      <c r="A32" s="6"/>
      <c r="B32" s="120" t="s">
        <v>90</v>
      </c>
      <c r="C32" s="94" t="s">
        <v>128</v>
      </c>
      <c r="D32" s="6"/>
      <c r="E32" s="129" t="b">
        <v>1</v>
      </c>
      <c r="F32" s="207" t="str">
        <f>IF($C$21,IF(LEN(AF40)&gt;0,AF40&amp;"x"&amp;(AF40+$AK$39),""),iText(H32,"mmm yy"))</f>
        <v>6x9</v>
      </c>
      <c r="G32" s="204">
        <f>IF(LEN(AF40)&gt;0,_xll.xlDateWorkFw($C$23,_xll.xlDateShiftMonth($C$25,AF40),$C$24),NA())</f>
        <v>42079</v>
      </c>
      <c r="H32" s="204">
        <f>_xll.xlDateNextFutLIFFE(H31)</f>
        <v>42354</v>
      </c>
      <c r="I32" s="79">
        <f t="shared" si="30"/>
        <v>98.120260000000002</v>
      </c>
      <c r="J32" s="50"/>
      <c r="K32" s="127"/>
      <c r="L32" s="50">
        <f t="shared" si="26"/>
        <v>98.120260000000002</v>
      </c>
      <c r="M32" s="29">
        <f t="shared" si="31"/>
        <v>6</v>
      </c>
      <c r="N32" s="30">
        <f t="shared" si="27"/>
        <v>6</v>
      </c>
      <c r="O32" s="29" t="str">
        <f t="shared" si="32"/>
        <v/>
      </c>
      <c r="P32" s="30" t="str">
        <f t="shared" si="28"/>
        <v/>
      </c>
      <c r="Q32" s="7"/>
      <c r="R32" s="34" t="str">
        <f t="shared" si="33"/>
        <v/>
      </c>
      <c r="S32" s="41" t="str">
        <f t="shared" si="29"/>
        <v/>
      </c>
      <c r="T32"/>
      <c r="U32" s="133" t="e">
        <v>#N/A</v>
      </c>
      <c r="V32" s="134" t="e">
        <v>#N/A</v>
      </c>
      <c r="AC32" s="24" t="s">
        <v>24</v>
      </c>
      <c r="AD32" s="73"/>
      <c r="AN32" s="6">
        <f>_xll.xlShmInterpDisc(CurveName,DATE(YEAR(AU32)+IF(YEAR(AU32)&lt;2000,100,0),MONTH(AU32),DAY(AU32)))</f>
        <v>0.7760024729348598</v>
      </c>
      <c r="AO32" s="215">
        <f>_xll.xlShmInterpRate(CurveName,$AO$2,$C$50,DATE(YEAR(AU32)+IF(YEAR(AU32)&lt;2000,100,0),MONTH(AU32),DAY(AU32)))*100</f>
        <v>2.7914307536724476</v>
      </c>
      <c r="AP32" s="6">
        <f t="shared" si="6"/>
        <v>0.12050725852262978</v>
      </c>
      <c r="AQ32" s="215">
        <f t="shared" si="10"/>
        <v>-1.4275884283910121</v>
      </c>
      <c r="AR32" s="8" t="s">
        <v>72</v>
      </c>
      <c r="AS32" s="52">
        <v>41557</v>
      </c>
      <c r="AT32" s="8" t="s">
        <v>249</v>
      </c>
      <c r="AU32" s="52">
        <v>45209</v>
      </c>
      <c r="AV32" s="52" t="s">
        <v>51</v>
      </c>
      <c r="AW32" s="6">
        <v>0.65549521441223002</v>
      </c>
      <c r="AX32" s="6">
        <v>4.2190191820634597</v>
      </c>
      <c r="BA32" s="6">
        <v>4.2450000000000001</v>
      </c>
      <c r="BB32" s="6">
        <v>0</v>
      </c>
      <c r="BC32" s="21" t="s">
        <v>17</v>
      </c>
      <c r="BD32" s="52"/>
      <c r="BF32"/>
      <c r="BG32"/>
      <c r="BH32"/>
    </row>
    <row r="33" spans="1:60" ht="11.25" customHeight="1">
      <c r="A33" s="6"/>
      <c r="B33" s="121" t="s">
        <v>84</v>
      </c>
      <c r="C33" s="95" t="s">
        <v>12</v>
      </c>
      <c r="D33" s="6"/>
      <c r="E33" s="129" t="b">
        <v>1</v>
      </c>
      <c r="F33" s="207" t="str">
        <f>IF($C$21,IF(LEN(AF41)&gt;0,AF41&amp;"x"&amp;(AF41+$AK$39),""),iText(H33,"mmm yy"))</f>
        <v>9x12</v>
      </c>
      <c r="G33" s="204">
        <f>IF(LEN(AF41)&gt;0,_xll.xlDateWorkFw($C$23,_xll.xlDateShiftMonth($C$25,AF41),$C$24),NA())</f>
        <v>42170</v>
      </c>
      <c r="H33" s="204">
        <f>_xll.xlDateNextFutLIFFE(H32)</f>
        <v>42445</v>
      </c>
      <c r="I33" s="79">
        <f t="shared" si="30"/>
        <v>98.120519999999999</v>
      </c>
      <c r="J33" s="50"/>
      <c r="K33" s="127"/>
      <c r="L33" s="50">
        <f t="shared" si="26"/>
        <v>98.120519999999999</v>
      </c>
      <c r="M33" s="29">
        <f t="shared" si="31"/>
        <v>7</v>
      </c>
      <c r="N33" s="30">
        <f t="shared" si="27"/>
        <v>7</v>
      </c>
      <c r="O33" s="29" t="str">
        <f t="shared" si="32"/>
        <v/>
      </c>
      <c r="P33" s="30" t="str">
        <f t="shared" si="28"/>
        <v/>
      </c>
      <c r="Q33" s="7"/>
      <c r="R33" s="34" t="str">
        <f t="shared" si="33"/>
        <v/>
      </c>
      <c r="S33" s="41"/>
      <c r="T33"/>
      <c r="U33" s="133" t="e">
        <v>#N/A</v>
      </c>
      <c r="V33" s="134" t="e">
        <v>#N/A</v>
      </c>
      <c r="AN33" s="6">
        <f>_xll.xlShmInterpDisc(CurveName,DATE(YEAR(AU33)+IF(YEAR(AU33)&lt;2000,100,0),MONTH(AU33),DAY(AU33)))</f>
        <v>0.74902289302515934</v>
      </c>
      <c r="AO33" s="215">
        <f>_xll.xlShmInterpRate(CurveName,$AO$2,$C$50,DATE(YEAR(AU33)+IF(YEAR(AU33)&lt;2000,100,0),MONTH(AU33),DAY(AU33)))*100</f>
        <v>2.8647417671938364</v>
      </c>
      <c r="AP33" s="6">
        <f t="shared" si="6"/>
        <v>0.12210915992073634</v>
      </c>
      <c r="AQ33" s="215">
        <f t="shared" si="10"/>
        <v>-1.3749451014184335</v>
      </c>
      <c r="AR33" s="8" t="s">
        <v>72</v>
      </c>
      <c r="AS33" s="52">
        <v>41557</v>
      </c>
      <c r="AT33" s="8" t="s">
        <v>249</v>
      </c>
      <c r="AU33" s="52">
        <v>45575</v>
      </c>
      <c r="AV33" s="52" t="s">
        <v>52</v>
      </c>
      <c r="AW33" s="6">
        <v>0.626913733104423</v>
      </c>
      <c r="AX33" s="6">
        <v>4.23968686861227</v>
      </c>
      <c r="AY33" s="6" t="s">
        <v>193</v>
      </c>
      <c r="BA33" s="6">
        <v>4.2675307797537601</v>
      </c>
      <c r="BB33" s="6">
        <v>0</v>
      </c>
      <c r="BC33" s="21" t="s">
        <v>17</v>
      </c>
      <c r="BD33" s="52"/>
      <c r="BF33"/>
      <c r="BG33"/>
      <c r="BH33"/>
    </row>
    <row r="34" spans="1:60" ht="11.25" customHeight="1">
      <c r="A34" s="7"/>
      <c r="B34" s="122" t="s">
        <v>83</v>
      </c>
      <c r="C34" s="96" t="s">
        <v>29</v>
      </c>
      <c r="D34" s="6"/>
      <c r="E34" s="129" t="b">
        <v>0</v>
      </c>
      <c r="F34" s="207" t="str">
        <f>IF($C$21,IF(LEN(AF42)&gt;0,AF42&amp;"x"&amp;(AF42+$AK$39),""),iText(H34,"mmm yy"))</f>
        <v>12x15</v>
      </c>
      <c r="G34" s="204">
        <f>IF(LEN(AF42)&gt;0,_xll.xlDateWorkFw($C$23,_xll.xlDateShiftMonth($C$25,AF42),$C$24),NA())</f>
        <v>42262</v>
      </c>
      <c r="H34" s="204">
        <f>_xll.xlDateNextFutLIFFE(H33)</f>
        <v>42536</v>
      </c>
      <c r="I34" s="79">
        <f t="shared" si="30"/>
        <v>98.079830000000001</v>
      </c>
      <c r="J34" s="50"/>
      <c r="K34" s="127"/>
      <c r="L34" s="50">
        <f t="shared" si="26"/>
        <v>98.079830000000001</v>
      </c>
      <c r="M34" s="29">
        <f t="shared" si="31"/>
        <v>8</v>
      </c>
      <c r="N34" s="30" t="str">
        <f t="shared" si="27"/>
        <v/>
      </c>
      <c r="O34" s="29" t="str">
        <f t="shared" si="32"/>
        <v/>
      </c>
      <c r="P34" s="30" t="str">
        <f t="shared" si="28"/>
        <v/>
      </c>
      <c r="Q34" s="7"/>
      <c r="R34" s="34" t="str">
        <f t="shared" si="33"/>
        <v/>
      </c>
      <c r="S34" s="41"/>
      <c r="T34"/>
      <c r="U34" s="133" t="e">
        <v>#N/A</v>
      </c>
      <c r="V34" s="134" t="e">
        <v>#N/A</v>
      </c>
      <c r="Y34" s="10" t="s">
        <v>79</v>
      </c>
      <c r="Z34" s="11" t="s">
        <v>5</v>
      </c>
      <c r="AA34" s="12" t="s">
        <v>6</v>
      </c>
      <c r="AF34" s="10" t="s">
        <v>217</v>
      </c>
      <c r="AG34" s="11" t="s">
        <v>5</v>
      </c>
      <c r="AH34" s="12" t="s">
        <v>6</v>
      </c>
      <c r="AN34" s="6">
        <f>_xll.xlShmInterpDisc(CurveName,DATE(YEAR(AU34)+IF(YEAR(AU34)&lt;2000,100,0),MONTH(AU34),DAY(AU34)))</f>
        <v>0.72282467990180188</v>
      </c>
      <c r="AO34" s="215">
        <f>_xll.xlShmInterpRate(CurveName,$AO$2,$C$50,DATE(YEAR(AU34)+IF(YEAR(AU34)&lt;2000,100,0),MONTH(AU34),DAY(AU34)))*100</f>
        <v>2.9274729487711366</v>
      </c>
      <c r="AP34" s="6">
        <f t="shared" si="6"/>
        <v>0.12358206840490094</v>
      </c>
      <c r="AQ34" s="215">
        <f t="shared" si="10"/>
        <v>-1.3350672654711633</v>
      </c>
      <c r="AR34" s="8" t="s">
        <v>72</v>
      </c>
      <c r="AS34" s="52">
        <v>41557</v>
      </c>
      <c r="AT34" s="8" t="s">
        <v>249</v>
      </c>
      <c r="AU34" s="52">
        <v>45940</v>
      </c>
      <c r="AV34" s="52" t="s">
        <v>53</v>
      </c>
      <c r="AW34" s="6">
        <v>0.59924261149690095</v>
      </c>
      <c r="AX34" s="6">
        <v>4.2625402142422999</v>
      </c>
      <c r="BA34" s="6">
        <v>4.29</v>
      </c>
      <c r="BB34" s="6">
        <v>0</v>
      </c>
      <c r="BC34" s="21" t="s">
        <v>17</v>
      </c>
      <c r="BD34" s="52"/>
      <c r="BF34"/>
      <c r="BG34"/>
      <c r="BH34"/>
    </row>
    <row r="35" spans="1:60" ht="11.25" customHeight="1">
      <c r="A35" s="7"/>
      <c r="B35" s="104" t="s">
        <v>93</v>
      </c>
      <c r="C35" s="98">
        <f>IF(C21,AK39,AD39)</f>
        <v>3</v>
      </c>
      <c r="D35" s="6"/>
      <c r="E35" s="129" t="b">
        <v>0</v>
      </c>
      <c r="F35" s="207" t="str">
        <f>IF($C$21,IF(LEN(AF43)&gt;0,AF43&amp;"x"&amp;(AF43+$AK$39),""),iText(H35,"mmm yy"))</f>
        <v>15x18</v>
      </c>
      <c r="G35" s="204">
        <f>IF(LEN(AF43)&gt;0,_xll.xlDateWorkFw($C$23,_xll.xlDateShiftMonth($C$25,AF43),$C$24),NA())</f>
        <v>42353</v>
      </c>
      <c r="H35" s="204">
        <f>_xll.xlDateNextFutLIFFE(H34)</f>
        <v>42634</v>
      </c>
      <c r="I35" s="79">
        <f t="shared" si="30"/>
        <v>98.025019999999998</v>
      </c>
      <c r="J35" s="50"/>
      <c r="K35" s="127"/>
      <c r="L35" s="50">
        <f t="shared" si="26"/>
        <v>98.025019999999998</v>
      </c>
      <c r="M35" s="29">
        <f t="shared" si="31"/>
        <v>9</v>
      </c>
      <c r="N35" s="30" t="str">
        <f t="shared" si="27"/>
        <v/>
      </c>
      <c r="O35" s="29" t="str">
        <f t="shared" si="32"/>
        <v/>
      </c>
      <c r="P35" s="30" t="str">
        <f t="shared" si="28"/>
        <v/>
      </c>
      <c r="Q35" s="7"/>
      <c r="R35" s="34" t="str">
        <f t="shared" si="33"/>
        <v/>
      </c>
      <c r="S35" s="41"/>
      <c r="U35" s="133" t="e">
        <v>#N/A</v>
      </c>
      <c r="V35" s="134" t="e">
        <v>#N/A</v>
      </c>
      <c r="Y35" s="31" t="str">
        <f>_xll.xlFutCode(H27)</f>
        <v>U4</v>
      </c>
      <c r="Z35" s="16" t="str">
        <f>_xll.RtGet($AD$35,$AD$36&amp;$Y35&amp;$AD$37,Z$34)</f>
        <v>#N/A The record could not be found</v>
      </c>
      <c r="AA35" s="17" t="str">
        <f>_xll.RtGet($AD$35,$AD$36&amp;$Y35&amp;$AD$37,AA$34)</f>
        <v>#N/A The record could not be found</v>
      </c>
      <c r="AC35" s="13" t="s">
        <v>14</v>
      </c>
      <c r="AD35" s="71"/>
      <c r="AF35" s="31">
        <v>1</v>
      </c>
      <c r="AG35" s="16">
        <f>_xll.RtGet($AK$35,$AK$36&amp;$AF35&amp;"X"&amp;($AF35+$AK$39)&amp;$AK$37,AG$34)</f>
        <v>2.1688700000000001</v>
      </c>
      <c r="AH35" s="17">
        <f>_xll.RtGet($AK$35,$AK$36&amp;$AF35&amp;"X"&amp;($AF35+$AK$39)&amp;$AK$37,AH$34)</f>
        <v>2.2188699999999999</v>
      </c>
      <c r="AI35" s="6"/>
      <c r="AJ35" s="13" t="s">
        <v>14</v>
      </c>
      <c r="AK35" s="71" t="s">
        <v>62</v>
      </c>
      <c r="AN35" s="6">
        <f>_xll.xlShmInterpDisc(CurveName,DATE(YEAR(AU35)+IF(YEAR(AU35)&lt;2000,100,0),MONTH(AU35),DAY(AU35)))</f>
        <v>0.69665379970512109</v>
      </c>
      <c r="AO35" s="215">
        <f>_xll.xlShmInterpRate(CurveName,$AO$2,$C$50,DATE(YEAR(AU35)+IF(YEAR(AU35)&lt;2000,100,0),MONTH(AU35),DAY(AU35)))*100</f>
        <v>2.9890199965435236</v>
      </c>
      <c r="AP35" s="6">
        <f t="shared" ref="AP35:AP66" si="34">AN35-AW35</f>
        <v>0.12298640501581914</v>
      </c>
      <c r="AQ35" s="215">
        <f t="shared" si="10"/>
        <v>-1.2793408697275965</v>
      </c>
      <c r="AR35" s="8" t="s">
        <v>72</v>
      </c>
      <c r="AS35" s="52">
        <v>41557</v>
      </c>
      <c r="AT35" s="8" t="s">
        <v>249</v>
      </c>
      <c r="AU35" s="52">
        <v>46307</v>
      </c>
      <c r="AV35" s="52" t="s">
        <v>198</v>
      </c>
      <c r="AW35" s="6">
        <v>0.57366739468930195</v>
      </c>
      <c r="AX35" s="6">
        <v>4.2683608662711201</v>
      </c>
      <c r="AY35" s="6" t="s">
        <v>193</v>
      </c>
      <c r="BA35" s="6">
        <v>4.2983713503649499</v>
      </c>
      <c r="BB35" s="6">
        <v>0</v>
      </c>
      <c r="BC35" s="21" t="s">
        <v>17</v>
      </c>
      <c r="BD35" s="52"/>
      <c r="BF35"/>
      <c r="BG35"/>
      <c r="BH35"/>
    </row>
    <row r="36" spans="1:60" ht="11.25" customHeight="1">
      <c r="A36" s="7"/>
      <c r="B36" s="105" t="s">
        <v>95</v>
      </c>
      <c r="C36" s="99" t="s">
        <v>94</v>
      </c>
      <c r="D36" s="6"/>
      <c r="E36" s="129" t="b">
        <v>0</v>
      </c>
      <c r="F36" s="207" t="str">
        <f>IF($C$21,IF(LEN(AF44)&gt;0,AF44&amp;"x"&amp;(AF44+$AK$39),""),iText(H36,"mmm yy"))</f>
        <v>18x21</v>
      </c>
      <c r="G36" s="204">
        <f>IF(LEN(AF44)&gt;0,_xll.xlDateWorkFw($C$23,_xll.xlDateShiftMonth($C$25,AF44),$C$24),NA())</f>
        <v>42444</v>
      </c>
      <c r="H36" s="204">
        <f>_xll.xlDateNextFutLIFFE(H35)</f>
        <v>42725</v>
      </c>
      <c r="I36" s="79">
        <f t="shared" si="30"/>
        <v>97.979050000000001</v>
      </c>
      <c r="J36" s="50"/>
      <c r="K36" s="127"/>
      <c r="L36" s="50">
        <f t="shared" si="26"/>
        <v>97.979050000000001</v>
      </c>
      <c r="M36" s="29">
        <f t="shared" si="31"/>
        <v>10</v>
      </c>
      <c r="N36" s="30" t="str">
        <f t="shared" si="27"/>
        <v/>
      </c>
      <c r="O36" s="29" t="str">
        <f t="shared" si="32"/>
        <v/>
      </c>
      <c r="P36" s="30" t="str">
        <f t="shared" si="28"/>
        <v/>
      </c>
      <c r="Q36" s="7"/>
      <c r="R36" s="34" t="str">
        <f t="shared" si="33"/>
        <v/>
      </c>
      <c r="S36" s="41"/>
      <c r="U36" s="133" t="e">
        <v>#N/A</v>
      </c>
      <c r="V36" s="134" t="e">
        <v>#N/A</v>
      </c>
      <c r="Y36" s="32" t="str">
        <f>_xll.xlFutCode(H28)</f>
        <v>Z4</v>
      </c>
      <c r="Z36" s="29" t="str">
        <f>_xll.RtGet($AD$35,$AD$36&amp;$Y36&amp;$AD$37,Z$34)</f>
        <v>#N/A The record could not be found</v>
      </c>
      <c r="AA36" s="30" t="str">
        <f>_xll.RtGet($AD$35,$AD$36&amp;$Y36&amp;$AD$37,AA$34)</f>
        <v>#N/A The record could not be found</v>
      </c>
      <c r="AC36" s="18" t="s">
        <v>20</v>
      </c>
      <c r="AD36" s="72"/>
      <c r="AF36" s="32">
        <v>2</v>
      </c>
      <c r="AG36" s="29">
        <f>_xll.RtGet($AK$35,$AK$36&amp;$AF36&amp;"X"&amp;($AF36+$AK$39)&amp;$AK$37,AG$34)</f>
        <v>1.97485</v>
      </c>
      <c r="AH36" s="30">
        <f>_xll.RtGet($AK$35,$AK$36&amp;$AF36&amp;"X"&amp;($AF36+$AK$39)&amp;$AK$37,AH$34)</f>
        <v>2.0248499999999998</v>
      </c>
      <c r="AI36" s="6"/>
      <c r="AJ36" s="18" t="s">
        <v>20</v>
      </c>
      <c r="AK36" s="72" t="s">
        <v>227</v>
      </c>
      <c r="AN36" s="6">
        <f>_xll.xlShmInterpDisc(CurveName,DATE(YEAR(AU36)+IF(YEAR(AU36)&lt;2000,100,0),MONTH(AU36),DAY(AU36)))</f>
        <v>0.67249007718585718</v>
      </c>
      <c r="AO36" s="215">
        <f>_xll.xlShmInterpRate(CurveName,$AO$2,$C$50,DATE(YEAR(AU36)+IF(YEAR(AU36)&lt;2000,100,0),MONTH(AU36),DAY(AU36)))*100</f>
        <v>3.0309814105498782</v>
      </c>
      <c r="AP36" s="6">
        <f t="shared" si="34"/>
        <v>0.12323572084842616</v>
      </c>
      <c r="AQ36" s="215">
        <f t="shared" si="10"/>
        <v>-1.2439536413797221</v>
      </c>
      <c r="AR36" s="8" t="s">
        <v>72</v>
      </c>
      <c r="AS36" s="52">
        <v>41557</v>
      </c>
      <c r="AT36" s="8" t="s">
        <v>249</v>
      </c>
      <c r="AU36" s="52">
        <v>46671</v>
      </c>
      <c r="AV36" s="52" t="s">
        <v>199</v>
      </c>
      <c r="AW36" s="6">
        <v>0.54925435633743103</v>
      </c>
      <c r="AX36" s="6">
        <v>4.2749350519296003</v>
      </c>
      <c r="AY36" s="6" t="s">
        <v>193</v>
      </c>
      <c r="BA36" s="6">
        <v>4.3066742700729899</v>
      </c>
      <c r="BB36" s="6">
        <v>0</v>
      </c>
      <c r="BC36" s="21" t="s">
        <v>17</v>
      </c>
      <c r="BD36" s="52"/>
      <c r="BF36"/>
      <c r="BG36"/>
      <c r="BH36"/>
    </row>
    <row r="37" spans="1:60" ht="11.25" customHeight="1">
      <c r="A37" s="6"/>
      <c r="B37" s="46" t="s">
        <v>96</v>
      </c>
      <c r="C37" s="100" t="s">
        <v>97</v>
      </c>
      <c r="D37" s="6"/>
      <c r="E37" s="129" t="b">
        <v>0</v>
      </c>
      <c r="F37" s="207" t="str">
        <f>IF($C$21,IF(LEN(AF45)&gt;0,AF45&amp;"x"&amp;(AF45+$AK$39),""),iText(H37,"mmm yy"))</f>
        <v>21x24</v>
      </c>
      <c r="G37" s="204">
        <f>IF(LEN(AF45)&gt;0,_xll.xlDateWorkFw($C$23,_xll.xlDateShiftMonth($C$25,AF45),$C$24),NA())</f>
        <v>42536</v>
      </c>
      <c r="H37" s="204">
        <f>_xll.xlDateNextFutLIFFE(H36)</f>
        <v>42809</v>
      </c>
      <c r="I37" s="79">
        <f t="shared" si="30"/>
        <v>97.921620000000004</v>
      </c>
      <c r="J37" s="50"/>
      <c r="K37" s="127"/>
      <c r="L37" s="50">
        <f t="shared" si="26"/>
        <v>97.921620000000004</v>
      </c>
      <c r="M37" s="29">
        <f t="shared" si="31"/>
        <v>11</v>
      </c>
      <c r="N37" s="30" t="str">
        <f t="shared" si="27"/>
        <v/>
      </c>
      <c r="O37" s="29" t="str">
        <f t="shared" si="32"/>
        <v/>
      </c>
      <c r="P37" s="30" t="str">
        <f t="shared" si="28"/>
        <v/>
      </c>
      <c r="Q37" s="7"/>
      <c r="R37" s="34" t="str">
        <f t="shared" si="33"/>
        <v/>
      </c>
      <c r="S37" s="41"/>
      <c r="U37" s="133" t="e">
        <v>#N/A</v>
      </c>
      <c r="V37" s="134" t="e">
        <v>#N/A</v>
      </c>
      <c r="Y37" s="32" t="str">
        <f>_xll.xlFutCode(H29)</f>
        <v>H5</v>
      </c>
      <c r="Z37" s="29" t="str">
        <f>_xll.RtGet($AD$35,$AD$36&amp;$Y37&amp;$AD$37,Z$34)</f>
        <v>#N/A The record could not be found</v>
      </c>
      <c r="AA37" s="30" t="str">
        <f>_xll.RtGet($AD$35,$AD$36&amp;$Y37&amp;$AD$37,AA$34)</f>
        <v>#N/A The record could not be found</v>
      </c>
      <c r="AC37" s="24" t="s">
        <v>24</v>
      </c>
      <c r="AD37" s="25"/>
      <c r="AF37" s="32">
        <v>3</v>
      </c>
      <c r="AG37" s="29">
        <f>_xll.RtGet($AK$35,$AK$36&amp;$AF37&amp;"X"&amp;($AF37+$AK$39)&amp;$AK$37,AG$34)</f>
        <v>1.91852</v>
      </c>
      <c r="AH37" s="30">
        <f>_xll.RtGet($AK$35,$AK$36&amp;$AF37&amp;"X"&amp;($AF37+$AK$39)&amp;$AK$37,AH$34)</f>
        <v>1.96852</v>
      </c>
      <c r="AI37" s="6"/>
      <c r="AJ37" s="24" t="s">
        <v>24</v>
      </c>
      <c r="AK37" s="73" t="s">
        <v>223</v>
      </c>
      <c r="AN37" s="6">
        <f>_xll.xlShmInterpDisc(CurveName,DATE(YEAR(AU37)+IF(YEAR(AU37)&lt;2000,100,0),MONTH(AU37),DAY(AU37)))</f>
        <v>0.64855626596589921</v>
      </c>
      <c r="AO37" s="215">
        <f>_xll.xlShmInterpRate(CurveName,$AO$2,$C$50,DATE(YEAR(AU37)+IF(YEAR(AU37)&lt;2000,100,0),MONTH(AU37),DAY(AU37)))*100</f>
        <v>3.0730581031661397</v>
      </c>
      <c r="AP37" s="6">
        <f t="shared" si="34"/>
        <v>0.12279752941194422</v>
      </c>
      <c r="AQ37" s="215">
        <f t="shared" si="10"/>
        <v>-1.2083356066634905</v>
      </c>
      <c r="AR37" s="8" t="s">
        <v>72</v>
      </c>
      <c r="AS37" s="52">
        <v>41557</v>
      </c>
      <c r="AT37" s="8" t="s">
        <v>249</v>
      </c>
      <c r="AU37" s="52">
        <v>47036</v>
      </c>
      <c r="AV37" s="52" t="s">
        <v>54</v>
      </c>
      <c r="AW37" s="6">
        <v>0.525758736553955</v>
      </c>
      <c r="AX37" s="6">
        <v>4.2813937098296302</v>
      </c>
      <c r="BA37" s="6">
        <v>4.3150000000000004</v>
      </c>
      <c r="BB37" s="6">
        <v>0</v>
      </c>
      <c r="BC37" s="21" t="s">
        <v>17</v>
      </c>
      <c r="BD37" s="52"/>
      <c r="BF37"/>
      <c r="BG37"/>
      <c r="BH37"/>
    </row>
    <row r="38" spans="1:60" ht="11.25" customHeight="1">
      <c r="A38" s="6"/>
      <c r="B38" s="47" t="s">
        <v>102</v>
      </c>
      <c r="C38" s="101"/>
      <c r="D38" s="6"/>
      <c r="E38" s="130" t="b">
        <v>0</v>
      </c>
      <c r="F38" s="208" t="str">
        <f>IF($C$21,IF(LEN(AF46)&gt;0,AF46&amp;"x"&amp;(AF46+$AK$39),""),iText(H38,"mmm yy"))</f>
        <v/>
      </c>
      <c r="G38" s="204" t="e">
        <f>IF(LEN(AF46)&gt;0,_xll.xlDateWorkFw($C$23,_xll.xlDateShiftMonth($C$25,AF46),$C$24),NA())</f>
        <v>#N/A</v>
      </c>
      <c r="H38" s="204">
        <f>_xll.xlDateNextFutLIFFE(H37)</f>
        <v>42907</v>
      </c>
      <c r="I38" s="80" t="e">
        <f t="shared" si="30"/>
        <v>#DIV/0!</v>
      </c>
      <c r="J38" s="51"/>
      <c r="K38" s="126"/>
      <c r="L38" s="51" t="e">
        <f t="shared" si="26"/>
        <v>#DIV/0!</v>
      </c>
      <c r="M38" s="22">
        <f t="shared" si="31"/>
        <v>12</v>
      </c>
      <c r="N38" s="23" t="str">
        <f t="shared" si="27"/>
        <v/>
      </c>
      <c r="O38" s="22" t="str">
        <f t="shared" si="32"/>
        <v/>
      </c>
      <c r="P38" s="23" t="str">
        <f t="shared" si="28"/>
        <v/>
      </c>
      <c r="Q38" s="7"/>
      <c r="R38" s="195" t="str">
        <f t="shared" si="33"/>
        <v/>
      </c>
      <c r="S38" s="1"/>
      <c r="U38" s="133" t="e">
        <v>#N/A</v>
      </c>
      <c r="V38" s="134" t="e">
        <v>#N/A</v>
      </c>
      <c r="Y38" s="32" t="str">
        <f>_xll.xlFutCode(H30)</f>
        <v>M5</v>
      </c>
      <c r="Z38" s="29" t="str">
        <f>_xll.RtGet($AD$35,$AD$36&amp;$Y38&amp;$AD$37,Z$34)</f>
        <v>#N/A The record could not be found</v>
      </c>
      <c r="AA38" s="30" t="str">
        <f>_xll.RtGet($AD$35,$AD$36&amp;$Y38&amp;$AD$37,AA$34)</f>
        <v>#N/A The record could not be found</v>
      </c>
      <c r="AF38" s="32">
        <v>4</v>
      </c>
      <c r="AG38" s="29">
        <f>_xll.RtGet($AK$35,$AK$36&amp;$AF38&amp;"X"&amp;($AF38+$AK$39)&amp;$AK$37,AG$34)</f>
        <v>1.8913500000000001</v>
      </c>
      <c r="AH38" s="30">
        <f>_xll.RtGet($AK$35,$AK$36&amp;$AF38&amp;"X"&amp;($AF38+$AK$39)&amp;$AK$37,AH$34)</f>
        <v>1.9413499999999999</v>
      </c>
      <c r="AI38" s="6"/>
      <c r="AJ38" s="6"/>
      <c r="AK38" s="6"/>
      <c r="AN38" s="6">
        <f>_xll.xlShmInterpDisc(CurveName,DATE(YEAR(AU38)+IF(YEAR(AU38)&lt;2000,100,0),MONTH(AU38),DAY(AU38)))</f>
        <v>0.62520423825513172</v>
      </c>
      <c r="AO38" s="215">
        <f>_xll.xlShmInterpRate(CurveName,$AO$2,$C$50,DATE(YEAR(AU38)+IF(YEAR(AU38)&lt;2000,100,0),MONTH(AU38),DAY(AU38)))*100</f>
        <v>3.1124195537016939</v>
      </c>
      <c r="AP38" s="6">
        <f t="shared" si="34"/>
        <v>0.12031270346223777</v>
      </c>
      <c r="AQ38" s="215">
        <f t="shared" si="10"/>
        <v>-1.1545194508814265</v>
      </c>
      <c r="AR38" s="8" t="s">
        <v>72</v>
      </c>
      <c r="AS38" s="52">
        <v>41557</v>
      </c>
      <c r="AT38" s="8" t="s">
        <v>249</v>
      </c>
      <c r="AU38" s="52">
        <v>47401</v>
      </c>
      <c r="AV38" s="52" t="s">
        <v>200</v>
      </c>
      <c r="AW38" s="6">
        <v>0.50489153479289395</v>
      </c>
      <c r="AX38" s="6">
        <v>4.2669390045831204</v>
      </c>
      <c r="AY38" s="6" t="s">
        <v>193</v>
      </c>
      <c r="BA38" s="6">
        <v>4.3070043811610104</v>
      </c>
      <c r="BB38" s="6">
        <v>0</v>
      </c>
      <c r="BC38" s="21" t="s">
        <v>17</v>
      </c>
      <c r="BD38" s="52"/>
      <c r="BF38"/>
      <c r="BG38"/>
      <c r="BH38"/>
    </row>
    <row r="39" spans="1:60" ht="11.25" customHeight="1">
      <c r="A39" s="6"/>
      <c r="B39" s="47" t="s">
        <v>103</v>
      </c>
      <c r="C39" s="95"/>
      <c r="D39" s="6"/>
      <c r="M39"/>
      <c r="N39"/>
      <c r="O39"/>
      <c r="P39"/>
      <c r="Q39"/>
      <c r="R39"/>
      <c r="S39"/>
      <c r="U39" s="133" t="e">
        <v>#N/A</v>
      </c>
      <c r="V39" s="134" t="e">
        <v>#N/A</v>
      </c>
      <c r="Y39" s="32" t="str">
        <f>_xll.xlFutCode(H31)</f>
        <v>U5</v>
      </c>
      <c r="Z39" s="29" t="str">
        <f>_xll.RtGet($AD$35,$AD$36&amp;$Y39&amp;$AD$37,Z$34)</f>
        <v>#N/A The record could not be found</v>
      </c>
      <c r="AA39" s="30" t="str">
        <f>_xll.RtGet($AD$35,$AD$36&amp;$Y39&amp;$AD$37,AA$34)</f>
        <v>#N/A The record could not be found</v>
      </c>
      <c r="AC39" s="212" t="s">
        <v>225</v>
      </c>
      <c r="AD39" s="209">
        <v>3</v>
      </c>
      <c r="AF39" s="32">
        <v>5</v>
      </c>
      <c r="AG39" s="29">
        <f>_xll.RtGet($AK$35,$AK$36&amp;$AF39&amp;"X"&amp;($AF39+$AK$39)&amp;$AK$37,AG$34)</f>
        <v>1.86819</v>
      </c>
      <c r="AH39" s="30">
        <f>_xll.RtGet($AK$35,$AK$36&amp;$AF39&amp;"X"&amp;($AF39+$AK$39)&amp;$AK$37,AH$34)</f>
        <v>1.9181900000000001</v>
      </c>
      <c r="AI39" s="6"/>
      <c r="AJ39" s="212" t="s">
        <v>225</v>
      </c>
      <c r="AK39" s="209">
        <v>3</v>
      </c>
      <c r="AN39" s="6">
        <f>_xll.xlShmInterpDisc(CurveName,DATE(YEAR(AU39)+IF(YEAR(AU39)&lt;2000,100,0),MONTH(AU39),DAY(AU39)))</f>
        <v>0.60614375711137425</v>
      </c>
      <c r="AO39" s="215">
        <f>_xll.xlShmInterpRate(CurveName,$AO$2,$C$50,DATE(YEAR(AU39)+IF(YEAR(AU39)&lt;2000,100,0),MONTH(AU39),DAY(AU39)))*100</f>
        <v>3.1114065350371476</v>
      </c>
      <c r="AP39" s="6">
        <f t="shared" si="34"/>
        <v>0.12118190679236124</v>
      </c>
      <c r="AQ39" s="215">
        <f t="shared" si="10"/>
        <v>-1.1414519957983522</v>
      </c>
      <c r="AR39" s="8" t="s">
        <v>72</v>
      </c>
      <c r="AS39" s="52">
        <v>41557</v>
      </c>
      <c r="AT39" s="8" t="s">
        <v>249</v>
      </c>
      <c r="AU39" s="52">
        <v>47766</v>
      </c>
      <c r="AV39" s="52" t="s">
        <v>201</v>
      </c>
      <c r="AW39" s="6">
        <v>0.48496185031901301</v>
      </c>
      <c r="AX39" s="6">
        <v>4.2528585308354998</v>
      </c>
      <c r="AY39" s="6" t="s">
        <v>193</v>
      </c>
      <c r="BA39" s="6">
        <v>4.2990087623220203</v>
      </c>
      <c r="BB39" s="6">
        <v>0</v>
      </c>
      <c r="BC39" s="21" t="s">
        <v>17</v>
      </c>
      <c r="BD39" s="52"/>
      <c r="BF39"/>
      <c r="BG39"/>
      <c r="BH39"/>
    </row>
    <row r="40" spans="1:60" ht="11.25" customHeight="1">
      <c r="A40" s="6"/>
      <c r="B40" s="47" t="s">
        <v>98</v>
      </c>
      <c r="C40" s="102">
        <v>1</v>
      </c>
      <c r="D40" s="6"/>
      <c r="E40" s="86" t="s">
        <v>75</v>
      </c>
      <c r="F40" s="7"/>
      <c r="G40" s="7"/>
      <c r="H40" s="7"/>
      <c r="I40" s="86" t="s">
        <v>1</v>
      </c>
      <c r="J40" s="86" t="s">
        <v>2</v>
      </c>
      <c r="K40" s="86" t="s">
        <v>3</v>
      </c>
      <c r="L40" s="86" t="s">
        <v>4</v>
      </c>
      <c r="M40" s="2"/>
      <c r="N40" s="8"/>
      <c r="P40" s="8"/>
      <c r="Q40" s="2"/>
      <c r="R40"/>
      <c r="S40" s="44">
        <f t="array" ref="S40">SUM(1*E41:E82)</f>
        <v>12</v>
      </c>
      <c r="U40" s="133" t="e">
        <v>#N/A</v>
      </c>
      <c r="V40" s="134" t="e">
        <v>#N/A</v>
      </c>
      <c r="Y40" s="32" t="str">
        <f>_xll.xlFutCode(H32)</f>
        <v>Z5</v>
      </c>
      <c r="Z40" s="29" t="str">
        <f>_xll.RtGet($AD$35,$AD$36&amp;$Y40&amp;$AD$37,Z$34)</f>
        <v>#N/A The record could not be found</v>
      </c>
      <c r="AA40" s="30" t="str">
        <f>_xll.RtGet($AD$35,$AD$36&amp;$Y40&amp;$AD$37,AA$34)</f>
        <v>#N/A The record could not be found</v>
      </c>
      <c r="AF40" s="32">
        <v>6</v>
      </c>
      <c r="AG40" s="29">
        <f>_xll.RtGet($AK$35,$AK$36&amp;$AF40&amp;"X"&amp;($AF40+$AK$39)&amp;$AK$37,AG$34)</f>
        <v>1.8547400000000001</v>
      </c>
      <c r="AH40" s="30">
        <f>_xll.RtGet($AK$35,$AK$36&amp;$AF40&amp;"X"&amp;($AF40+$AK$39)&amp;$AK$37,AH$34)</f>
        <v>1.9047400000000001</v>
      </c>
      <c r="AI40" s="6"/>
      <c r="AN40" s="6">
        <f>_xll.xlShmInterpDisc(CurveName,DATE(YEAR(AU40)+IF(YEAR(AU40)&lt;2000,100,0),MONTH(AU40),DAY(AU40)))</f>
        <v>0.58767627560366731</v>
      </c>
      <c r="AO40" s="215">
        <f>_xll.xlShmInterpRate(CurveName,$AO$2,$C$50,DATE(YEAR(AU40)+IF(YEAR(AU40)&lt;2000,100,0),MONTH(AU40),DAY(AU40)))*100</f>
        <v>3.1103935163726018</v>
      </c>
      <c r="AP40" s="6">
        <f t="shared" si="34"/>
        <v>0.12174975006804428</v>
      </c>
      <c r="AQ40" s="215">
        <f t="shared" si="10"/>
        <v>-1.1286647964536884</v>
      </c>
      <c r="AR40" s="8" t="s">
        <v>72</v>
      </c>
      <c r="AS40" s="52">
        <v>41557</v>
      </c>
      <c r="AT40" s="8" t="s">
        <v>249</v>
      </c>
      <c r="AU40" s="52">
        <v>48131</v>
      </c>
      <c r="AV40" s="52" t="s">
        <v>202</v>
      </c>
      <c r="AW40" s="6">
        <v>0.46592652553562303</v>
      </c>
      <c r="AX40" s="6">
        <v>4.2390583128262902</v>
      </c>
      <c r="AY40" s="6" t="s">
        <v>193</v>
      </c>
      <c r="BA40" s="6">
        <v>4.2910131434830197</v>
      </c>
      <c r="BB40" s="6">
        <v>0</v>
      </c>
      <c r="BC40" s="21" t="s">
        <v>17</v>
      </c>
      <c r="BD40" s="52"/>
      <c r="BF40"/>
    </row>
    <row r="41" spans="1:60" ht="11.25" customHeight="1">
      <c r="A41" s="6"/>
      <c r="B41" s="47" t="s">
        <v>99</v>
      </c>
      <c r="C41" s="102" t="s">
        <v>112</v>
      </c>
      <c r="D41" s="6"/>
      <c r="E41" s="137" t="b">
        <v>0</v>
      </c>
      <c r="F41" s="106">
        <f>IF(LEN(Y49)&gt;0,Y49,"")</f>
        <v>1</v>
      </c>
      <c r="G41" s="7"/>
      <c r="H41" s="7"/>
      <c r="I41" s="78" t="e">
        <f t="shared" ref="I41:I82" si="35">AVERAGE(Z49:AA49)</f>
        <v>#DIV/0!</v>
      </c>
      <c r="J41" s="49"/>
      <c r="K41" s="125"/>
      <c r="L41" s="49" t="e">
        <f t="shared" ref="L41:L82" si="36">IF(ISNUMBER(J41),J41,I41)+K41</f>
        <v>#DIV/0!</v>
      </c>
      <c r="M41" s="16">
        <v>1</v>
      </c>
      <c r="N41" s="17" t="str">
        <f t="shared" ref="N41:N82" si="37">IF(E41,M41,"")</f>
        <v/>
      </c>
      <c r="O41" s="44">
        <f>IF($S$40&gt;0,1,"")</f>
        <v>1</v>
      </c>
      <c r="P41" s="17">
        <f t="shared" ref="P41:P82" si="38">IF(LEN(O41)&gt;0,SMALL($N$41:$N$82,O41),"")</f>
        <v>2</v>
      </c>
      <c r="Q41" s="2"/>
      <c r="R41" s="35">
        <f t="shared" ref="R41:R82" si="39">IF(LEN(P41)&gt;0,INDEX($F$41:$F$82,$P41),"")</f>
        <v>2</v>
      </c>
      <c r="S41" s="40">
        <f t="shared" ref="S41:S82" si="40">IF(LEN(P41)&gt;0,INDEX($L$41:$L$82,$P41),"")</f>
        <v>2.0999999999999996</v>
      </c>
      <c r="U41" s="133" t="e">
        <v>#N/A</v>
      </c>
      <c r="V41" s="134" t="e">
        <v>#N/A</v>
      </c>
      <c r="Y41" s="32" t="str">
        <f>_xll.xlFutCode(H33)</f>
        <v>H6</v>
      </c>
      <c r="Z41" s="29" t="str">
        <f>_xll.RtGet($AD$35,$AD$36&amp;$Y41&amp;$AD$37,Z$34)</f>
        <v>#N/A The record could not be found</v>
      </c>
      <c r="AA41" s="30" t="str">
        <f>_xll.RtGet($AD$35,$AD$36&amp;$Y41&amp;$AD$37,AA$34)</f>
        <v>#N/A The record could not be found</v>
      </c>
      <c r="AF41" s="32">
        <v>9</v>
      </c>
      <c r="AG41" s="29">
        <f>_xll.RtGet($AK$35,$AK$36&amp;$AF41&amp;"X"&amp;($AF41+$AK$39)&amp;$AK$37,AG$34)</f>
        <v>1.8544799999999999</v>
      </c>
      <c r="AH41" s="30">
        <f>_xll.RtGet($AK$35,$AK$36&amp;$AF41&amp;"X"&amp;($AF41+$AK$39)&amp;$AK$37,AH$34)</f>
        <v>1.90448</v>
      </c>
      <c r="AI41" s="6"/>
      <c r="AJ41" s="6"/>
      <c r="AK41" s="6"/>
      <c r="AN41" s="6">
        <f>_xll.xlShmInterpDisc(CurveName,DATE(YEAR(AU41)+IF(YEAR(AU41)&lt;2000,100,0),MONTH(AU41),DAY(AU41)))</f>
        <v>0.569686492365297</v>
      </c>
      <c r="AO41" s="215">
        <f>_xll.xlShmInterpRate(CurveName,$AO$2,$C$50,DATE(YEAR(AU41)+IF(YEAR(AU41)&lt;2000,100,0),MONTH(AU41),DAY(AU41)))*100</f>
        <v>3.1093749469208531</v>
      </c>
      <c r="AP41" s="6">
        <f t="shared" si="34"/>
        <v>0.12198686560969502</v>
      </c>
      <c r="AQ41" s="215">
        <f t="shared" si="10"/>
        <v>-1.1153975262385871</v>
      </c>
      <c r="AR41" s="8" t="s">
        <v>72</v>
      </c>
      <c r="AS41" s="52">
        <v>41557</v>
      </c>
      <c r="AT41" s="8" t="s">
        <v>249</v>
      </c>
      <c r="AU41" s="20">
        <v>48498</v>
      </c>
      <c r="AV41" s="52" t="s">
        <v>203</v>
      </c>
      <c r="AW41" s="6">
        <v>0.44769962675560199</v>
      </c>
      <c r="AX41" s="6">
        <v>4.2247724731594403</v>
      </c>
      <c r="AY41" s="6" t="s">
        <v>193</v>
      </c>
      <c r="BA41" s="6">
        <v>4.2829737130339502</v>
      </c>
      <c r="BB41" s="6">
        <v>0</v>
      </c>
      <c r="BC41" s="21" t="s">
        <v>17</v>
      </c>
      <c r="BD41" s="52"/>
    </row>
    <row r="42" spans="1:60" ht="11.25" customHeight="1">
      <c r="A42" s="6"/>
      <c r="B42" s="47" t="s">
        <v>100</v>
      </c>
      <c r="C42" s="102">
        <v>2</v>
      </c>
      <c r="D42" s="6"/>
      <c r="E42" s="129" t="b">
        <f>LEN(F42)&gt;0</f>
        <v>1</v>
      </c>
      <c r="F42" s="107">
        <f t="shared" ref="F42:F82" si="41">IF(LEN(Y50)&gt;0,Y50,"")</f>
        <v>2</v>
      </c>
      <c r="G42" s="7"/>
      <c r="I42" s="79">
        <f t="shared" si="35"/>
        <v>2.0999999999999996</v>
      </c>
      <c r="J42" s="50"/>
      <c r="K42" s="127"/>
      <c r="L42" s="50">
        <f t="shared" si="36"/>
        <v>2.0999999999999996</v>
      </c>
      <c r="M42" s="29">
        <f t="shared" ref="M42:M82" si="42">M41+1</f>
        <v>2</v>
      </c>
      <c r="N42" s="30">
        <f t="shared" si="37"/>
        <v>2</v>
      </c>
      <c r="O42" s="29">
        <f t="shared" ref="O42:O82" si="43">IF(O41&lt;$S$40,O41+1,"")</f>
        <v>2</v>
      </c>
      <c r="P42" s="30">
        <f t="shared" si="38"/>
        <v>3</v>
      </c>
      <c r="Q42" s="2"/>
      <c r="R42" s="26">
        <f t="shared" si="39"/>
        <v>3</v>
      </c>
      <c r="S42" s="41">
        <f t="shared" si="40"/>
        <v>2.165</v>
      </c>
      <c r="U42" s="133" t="e">
        <v>#N/A</v>
      </c>
      <c r="V42" s="134" t="e">
        <v>#N/A</v>
      </c>
      <c r="Y42" s="32" t="str">
        <f>_xll.xlFutCode(H34)</f>
        <v>M6</v>
      </c>
      <c r="Z42" s="29" t="str">
        <f>_xll.RtGet($AD$35,$AD$36&amp;$Y42&amp;$AD$37,Z$34)</f>
        <v>#N/A The record could not be found</v>
      </c>
      <c r="AA42" s="30" t="str">
        <f>_xll.RtGet($AD$35,$AD$36&amp;$Y42&amp;$AD$37,AA$34)</f>
        <v>#N/A The record could not be found</v>
      </c>
      <c r="AF42" s="32">
        <v>12</v>
      </c>
      <c r="AG42" s="29">
        <f>_xll.RtGet($AK$35,$AK$36&amp;$AF42&amp;"X"&amp;($AF42+$AK$39)&amp;$AK$37,AG$34)</f>
        <v>1.89517</v>
      </c>
      <c r="AH42" s="30">
        <f>_xll.RtGet($AK$35,$AK$36&amp;$AF42&amp;"X"&amp;($AF42+$AK$39)&amp;$AK$37,AH$34)</f>
        <v>1.9451700000000001</v>
      </c>
      <c r="AI42" s="6"/>
      <c r="AJ42" s="6"/>
      <c r="AK42" s="6"/>
      <c r="AN42" s="6">
        <f>_xll.xlShmInterpDisc(CurveName,DATE(YEAR(AU42)+IF(YEAR(AU42)&lt;2000,100,0),MONTH(AU42),DAY(AU42)))</f>
        <v>0.55239895085082091</v>
      </c>
      <c r="AO42" s="215">
        <f>_xll.xlShmInterpRate(CurveName,$AO$2,$C$50,DATE(YEAR(AU42)+IF(YEAR(AU42)&lt;2000,100,0),MONTH(AU42),DAY(AU42)))*100</f>
        <v>3.108364703649908</v>
      </c>
      <c r="AP42" s="6">
        <f t="shared" si="34"/>
        <v>0.12201966373351092</v>
      </c>
      <c r="AQ42" s="215">
        <f t="shared" si="10"/>
        <v>-1.1030389441852115</v>
      </c>
      <c r="AR42" s="8" t="s">
        <v>72</v>
      </c>
      <c r="AS42" s="52">
        <v>41557</v>
      </c>
      <c r="AT42" s="8" t="s">
        <v>249</v>
      </c>
      <c r="AU42" s="20">
        <v>48862</v>
      </c>
      <c r="AV42" s="52" t="s">
        <v>55</v>
      </c>
      <c r="AW42" s="6">
        <v>0.43037928711730999</v>
      </c>
      <c r="AX42" s="6">
        <v>4.2114036478351196</v>
      </c>
      <c r="BA42" s="6">
        <v>4.2750000000000004</v>
      </c>
      <c r="BB42" s="6">
        <v>0</v>
      </c>
      <c r="BC42" s="21" t="s">
        <v>17</v>
      </c>
      <c r="BD42" s="52"/>
    </row>
    <row r="43" spans="1:60" ht="11.25" customHeight="1">
      <c r="A43" s="6"/>
      <c r="B43" s="48" t="s">
        <v>101</v>
      </c>
      <c r="C43" s="103" t="s">
        <v>116</v>
      </c>
      <c r="D43" s="6"/>
      <c r="E43" s="129" t="b">
        <f t="shared" ref="E43:E82" si="44">LEN(F43)&gt;0</f>
        <v>1</v>
      </c>
      <c r="F43" s="107">
        <f t="shared" si="41"/>
        <v>3</v>
      </c>
      <c r="G43" s="7"/>
      <c r="I43" s="79">
        <f t="shared" si="35"/>
        <v>2.165</v>
      </c>
      <c r="J43" s="50"/>
      <c r="K43" s="127"/>
      <c r="L43" s="50">
        <f t="shared" si="36"/>
        <v>2.165</v>
      </c>
      <c r="M43" s="29">
        <f t="shared" si="42"/>
        <v>3</v>
      </c>
      <c r="N43" s="30">
        <f t="shared" si="37"/>
        <v>3</v>
      </c>
      <c r="O43" s="29">
        <f t="shared" si="43"/>
        <v>3</v>
      </c>
      <c r="P43" s="30">
        <f t="shared" si="38"/>
        <v>4</v>
      </c>
      <c r="Q43" s="7"/>
      <c r="R43" s="26">
        <f t="shared" si="39"/>
        <v>4</v>
      </c>
      <c r="S43" s="41">
        <f t="shared" si="40"/>
        <v>2.29</v>
      </c>
      <c r="U43" s="133" t="e">
        <v>#N/A</v>
      </c>
      <c r="V43" s="134" t="e">
        <v>#N/A</v>
      </c>
      <c r="Y43" s="32" t="str">
        <f>_xll.xlFutCode(H35)</f>
        <v>U6</v>
      </c>
      <c r="Z43" s="29" t="str">
        <f>_xll.RtGet($AD$35,$AD$36&amp;$Y43&amp;$AD$37,Z$34)</f>
        <v>#N/A The record could not be found</v>
      </c>
      <c r="AA43" s="30" t="str">
        <f>_xll.RtGet($AD$35,$AD$36&amp;$Y43&amp;$AD$37,AA$34)</f>
        <v>#N/A The record could not be found</v>
      </c>
      <c r="AF43" s="32">
        <v>15</v>
      </c>
      <c r="AG43" s="29">
        <f>_xll.RtGet($AK$35,$AK$36&amp;$AF43&amp;"X"&amp;($AF43+$AK$39)&amp;$AK$37,AG$34)</f>
        <v>1.94998</v>
      </c>
      <c r="AH43" s="30">
        <f>_xll.RtGet($AK$35,$AK$36&amp;$AF43&amp;"X"&amp;($AF43+$AK$39)&amp;$AK$37,AH$34)</f>
        <v>1.9999800000000001</v>
      </c>
      <c r="AI43" s="6"/>
      <c r="AJ43" s="6"/>
      <c r="AK43" s="6"/>
      <c r="AN43" s="6">
        <f>_xll.xlShmInterpDisc(CurveName,DATE(YEAR(AU43)+IF(YEAR(AU43)&lt;2000,100,0),MONTH(AU43),DAY(AU43)))</f>
        <v>0.53559403730004307</v>
      </c>
      <c r="AO43" s="215">
        <f>_xll.xlShmInterpRate(CurveName,$AO$2,$C$50,DATE(YEAR(AU43)+IF(YEAR(AU43)&lt;2000,100,0),MONTH(AU43),DAY(AU43)))*100</f>
        <v>3.1074210698254001</v>
      </c>
      <c r="AP43" s="6">
        <f t="shared" si="34"/>
        <v>0.11970089945165807</v>
      </c>
      <c r="AQ43" s="215">
        <f t="shared" si="10"/>
        <v>-1.0665144116751399</v>
      </c>
      <c r="AR43" s="8" t="s">
        <v>72</v>
      </c>
      <c r="AS43" s="52">
        <v>41557</v>
      </c>
      <c r="AT43" s="8" t="s">
        <v>249</v>
      </c>
      <c r="AU43" s="20">
        <v>49227</v>
      </c>
      <c r="AV43" s="52" t="s">
        <v>204</v>
      </c>
      <c r="AW43" s="6">
        <v>0.415893137848385</v>
      </c>
      <c r="AX43" s="6">
        <v>4.1739354815005401</v>
      </c>
      <c r="AY43" s="6" t="s">
        <v>193</v>
      </c>
      <c r="BA43" s="6">
        <v>4.2510262725780104</v>
      </c>
      <c r="BB43" s="6">
        <v>0</v>
      </c>
      <c r="BC43" s="21" t="s">
        <v>17</v>
      </c>
      <c r="BD43" s="52"/>
    </row>
    <row r="44" spans="1:60" ht="11.25" customHeight="1">
      <c r="A44" s="6"/>
      <c r="B44" s="140" t="s">
        <v>143</v>
      </c>
      <c r="C44" s="93" t="b">
        <v>0</v>
      </c>
      <c r="D44" s="6"/>
      <c r="E44" s="129" t="b">
        <f t="shared" si="44"/>
        <v>1</v>
      </c>
      <c r="F44" s="107">
        <f t="shared" si="41"/>
        <v>4</v>
      </c>
      <c r="G44" s="7"/>
      <c r="I44" s="79">
        <f t="shared" si="35"/>
        <v>2.29</v>
      </c>
      <c r="J44" s="50"/>
      <c r="K44" s="127"/>
      <c r="L44" s="50">
        <f t="shared" si="36"/>
        <v>2.29</v>
      </c>
      <c r="M44" s="29">
        <f t="shared" si="42"/>
        <v>4</v>
      </c>
      <c r="N44" s="30">
        <f t="shared" si="37"/>
        <v>4</v>
      </c>
      <c r="O44" s="29">
        <f t="shared" si="43"/>
        <v>4</v>
      </c>
      <c r="P44" s="30">
        <f t="shared" si="38"/>
        <v>5</v>
      </c>
      <c r="Q44" s="7"/>
      <c r="R44" s="26">
        <f t="shared" si="39"/>
        <v>5</v>
      </c>
      <c r="S44" s="41">
        <f t="shared" si="40"/>
        <v>2.41</v>
      </c>
      <c r="U44" s="133" t="e">
        <v>#N/A</v>
      </c>
      <c r="V44" s="134" t="e">
        <v>#N/A</v>
      </c>
      <c r="Y44" s="32" t="str">
        <f>_xll.xlFutCode(H36)</f>
        <v>Z6</v>
      </c>
      <c r="Z44" s="29" t="str">
        <f>_xll.RtGet($AD$35,$AD$36&amp;$Y44&amp;$AD$37,Z$34)</f>
        <v>#N/A The record could not be found</v>
      </c>
      <c r="AA44" s="30" t="str">
        <f>_xll.RtGet($AD$35,$AD$36&amp;$Y44&amp;$AD$37,AA$34)</f>
        <v>#N/A The record could not be found</v>
      </c>
      <c r="AF44" s="32">
        <v>18</v>
      </c>
      <c r="AG44" s="29">
        <f>_xll.RtGet($AK$35,$AK$36&amp;$AF44&amp;"X"&amp;($AF44+$AK$39)&amp;$AK$37,AG$34)</f>
        <v>1.9959499999999999</v>
      </c>
      <c r="AH44" s="30">
        <f>_xll.RtGet($AK$35,$AK$36&amp;$AF44&amp;"X"&amp;($AF44+$AK$39)&amp;$AK$37,AH$34)</f>
        <v>2.0459499999999999</v>
      </c>
      <c r="AI44" s="6"/>
      <c r="AJ44" s="6"/>
      <c r="AK44" s="6"/>
      <c r="AN44" s="6">
        <f>_xll.xlShmInterpDisc(CurveName,DATE(YEAR(AU44)+IF(YEAR(AU44)&lt;2000,100,0),MONTH(AU44),DAY(AU44)))</f>
        <v>0.5192068041183594</v>
      </c>
      <c r="AO44" s="215">
        <f>_xll.xlShmInterpRate(CurveName,$AO$2,$C$50,DATE(YEAR(AU44)+IF(YEAR(AU44)&lt;2000,100,0),MONTH(AU44),DAY(AU44)))*100</f>
        <v>3.1074210698254001</v>
      </c>
      <c r="AP44" s="6">
        <f t="shared" si="34"/>
        <v>0.11702098960454238</v>
      </c>
      <c r="AQ44" s="215">
        <f t="shared" si="10"/>
        <v>-1.0291596354015597</v>
      </c>
      <c r="AR44" s="8" t="s">
        <v>72</v>
      </c>
      <c r="AS44" s="52">
        <v>41557</v>
      </c>
      <c r="AT44" s="8" t="s">
        <v>249</v>
      </c>
      <c r="AU44" s="20">
        <v>49592</v>
      </c>
      <c r="AV44" s="52" t="s">
        <v>205</v>
      </c>
      <c r="AW44" s="6">
        <v>0.40218581451381702</v>
      </c>
      <c r="AX44" s="6">
        <v>4.1365807052269599</v>
      </c>
      <c r="AY44" s="6" t="s">
        <v>193</v>
      </c>
      <c r="BA44" s="6">
        <v>4.2270525451559999</v>
      </c>
      <c r="BB44" s="6">
        <v>0</v>
      </c>
      <c r="BC44" s="21" t="s">
        <v>17</v>
      </c>
      <c r="BD44" s="52"/>
    </row>
    <row r="45" spans="1:60" ht="11.25" customHeight="1">
      <c r="A45" s="6"/>
      <c r="D45" s="6"/>
      <c r="E45" s="129" t="b">
        <v>1</v>
      </c>
      <c r="F45" s="107">
        <f t="shared" si="41"/>
        <v>5</v>
      </c>
      <c r="G45" s="7"/>
      <c r="I45" s="79">
        <f t="shared" si="35"/>
        <v>2.41</v>
      </c>
      <c r="J45" s="50"/>
      <c r="K45" s="127"/>
      <c r="L45" s="50">
        <f t="shared" si="36"/>
        <v>2.41</v>
      </c>
      <c r="M45" s="29">
        <f t="shared" si="42"/>
        <v>5</v>
      </c>
      <c r="N45" s="30">
        <f t="shared" si="37"/>
        <v>5</v>
      </c>
      <c r="O45" s="29">
        <f t="shared" si="43"/>
        <v>5</v>
      </c>
      <c r="P45" s="30">
        <f t="shared" si="38"/>
        <v>6</v>
      </c>
      <c r="Q45" s="7"/>
      <c r="R45" s="26">
        <f t="shared" si="39"/>
        <v>6</v>
      </c>
      <c r="S45" s="41">
        <f t="shared" si="40"/>
        <v>2.52</v>
      </c>
      <c r="U45" s="133" t="e">
        <v>#N/A</v>
      </c>
      <c r="V45" s="134" t="e">
        <v>#N/A</v>
      </c>
      <c r="Y45" s="32" t="str">
        <f>_xll.xlFutCode(H37)</f>
        <v>H7</v>
      </c>
      <c r="Z45" s="29" t="str">
        <f>_xll.RtGet($AD$35,$AD$36&amp;$Y45&amp;$AD$37,Z$34)</f>
        <v>#N/A The record could not be found</v>
      </c>
      <c r="AA45" s="30" t="str">
        <f>_xll.RtGet($AD$35,$AD$36&amp;$Y45&amp;$AD$37,AA$34)</f>
        <v>#N/A The record could not be found</v>
      </c>
      <c r="AF45" s="32">
        <v>21</v>
      </c>
      <c r="AG45" s="29">
        <f>_xll.RtGet($AK$35,$AK$36&amp;$AF45&amp;"X"&amp;($AF45+$AK$39)&amp;$AK$37,AG$34)</f>
        <v>2.0533800000000002</v>
      </c>
      <c r="AH45" s="30">
        <f>_xll.RtGet($AK$35,$AK$36&amp;$AF45&amp;"X"&amp;($AF45+$AK$39)&amp;$AK$37,AH$34)</f>
        <v>2.10338</v>
      </c>
      <c r="AI45" s="6"/>
      <c r="AJ45" s="6"/>
      <c r="AK45" s="6"/>
      <c r="AN45" s="6">
        <f>_xll.xlShmInterpDisc(CurveName,DATE(YEAR(AU45)+IF(YEAR(AU45)&lt;2000,100,0),MONTH(AU45),DAY(AU45)))</f>
        <v>0.50327811246432841</v>
      </c>
      <c r="AO45" s="215">
        <f>_xll.xlShmInterpRate(CurveName,$AO$2,$C$50,DATE(YEAR(AU45)+IF(YEAR(AU45)&lt;2000,100,0),MONTH(AU45),DAY(AU45)))*100</f>
        <v>3.1074210698254001</v>
      </c>
      <c r="AP45" s="6">
        <f t="shared" si="34"/>
        <v>0.11405251287323842</v>
      </c>
      <c r="AQ45" s="215">
        <f t="shared" si="10"/>
        <v>-0.99126507697534993</v>
      </c>
      <c r="AR45" s="8" t="s">
        <v>72</v>
      </c>
      <c r="AS45" s="52">
        <v>41557</v>
      </c>
      <c r="AT45" s="8" t="s">
        <v>249</v>
      </c>
      <c r="AU45" s="20">
        <v>49958</v>
      </c>
      <c r="AV45" s="52" t="s">
        <v>206</v>
      </c>
      <c r="AW45" s="6">
        <v>0.38922559959108999</v>
      </c>
      <c r="AX45" s="6">
        <v>4.0986861468007501</v>
      </c>
      <c r="AY45" s="6" t="s">
        <v>193</v>
      </c>
      <c r="BA45" s="6">
        <v>4.203013136289</v>
      </c>
      <c r="BB45" s="6">
        <v>0</v>
      </c>
      <c r="BC45" s="21" t="s">
        <v>17</v>
      </c>
      <c r="BD45" s="52"/>
    </row>
    <row r="46" spans="1:60" ht="11.25" customHeight="1">
      <c r="A46" s="6"/>
      <c r="D46" s="6"/>
      <c r="E46" s="129" t="b">
        <f t="shared" si="44"/>
        <v>1</v>
      </c>
      <c r="F46" s="107">
        <f t="shared" si="41"/>
        <v>6</v>
      </c>
      <c r="G46" s="7"/>
      <c r="I46" s="79">
        <f t="shared" si="35"/>
        <v>2.52</v>
      </c>
      <c r="J46" s="50"/>
      <c r="K46" s="127"/>
      <c r="L46" s="50">
        <f t="shared" si="36"/>
        <v>2.52</v>
      </c>
      <c r="M46" s="29">
        <f t="shared" si="42"/>
        <v>6</v>
      </c>
      <c r="N46" s="30">
        <f t="shared" si="37"/>
        <v>6</v>
      </c>
      <c r="O46" s="29">
        <f t="shared" si="43"/>
        <v>6</v>
      </c>
      <c r="P46" s="30">
        <f t="shared" si="38"/>
        <v>7</v>
      </c>
      <c r="Q46" s="7"/>
      <c r="R46" s="26">
        <f t="shared" si="39"/>
        <v>7</v>
      </c>
      <c r="S46" s="41">
        <f t="shared" si="40"/>
        <v>2.62</v>
      </c>
      <c r="U46" s="133" t="e">
        <v>#N/A</v>
      </c>
      <c r="V46" s="134" t="e">
        <v>#N/A</v>
      </c>
      <c r="Y46" s="33" t="str">
        <f>_xll.xlFutCode(H38)</f>
        <v>M7</v>
      </c>
      <c r="Z46" s="22" t="str">
        <f>_xll.RtGet($AD$35,$AD$36&amp;$Y46&amp;$AD$37,Z$34)</f>
        <v>#N/A The record could not be found</v>
      </c>
      <c r="AA46" s="23" t="str">
        <f>_xll.RtGet($AD$35,$AD$36&amp;$Y46&amp;$AD$37,AA$34)</f>
        <v>#N/A The record could not be found</v>
      </c>
      <c r="AF46" s="33"/>
      <c r="AG46" s="22" t="str">
        <f>_xll.RtGet($AK$35,$AK$36&amp;$AF46&amp;"X"&amp;($AF46+$AK$39)&amp;$AK$37,AG$34)</f>
        <v>#N/A The record could not be found</v>
      </c>
      <c r="AH46" s="23" t="str">
        <f>_xll.RtGet($AK$35,$AK$36&amp;$AF46&amp;"X"&amp;($AF46+$AK$39)&amp;$AK$37,AH$34)</f>
        <v>#N/A The record could not be found</v>
      </c>
      <c r="AI46" s="6"/>
      <c r="AJ46" s="6"/>
      <c r="AK46" s="6"/>
      <c r="AN46" s="6">
        <f>_xll.xlShmInterpDisc(CurveName,DATE(YEAR(AU46)+IF(YEAR(AU46)&lt;2000,100,0),MONTH(AU46),DAY(AU46)))</f>
        <v>0.48779656524582327</v>
      </c>
      <c r="AO46" s="215">
        <f>_xll.xlShmInterpRate(CurveName,$AO$2,$C$50,DATE(YEAR(AU46)+IF(YEAR(AU46)&lt;2000,100,0),MONTH(AU46),DAY(AU46)))*100</f>
        <v>3.1074210698253997</v>
      </c>
      <c r="AP46" s="6">
        <f t="shared" si="34"/>
        <v>0.11090511565333927</v>
      </c>
      <c r="AQ46" s="215">
        <f t="shared" si="10"/>
        <v>-0.9537681407234806</v>
      </c>
      <c r="AR46" s="8" t="s">
        <v>72</v>
      </c>
      <c r="AS46" s="52">
        <v>41557</v>
      </c>
      <c r="AT46" s="8" t="s">
        <v>249</v>
      </c>
      <c r="AU46" s="20">
        <v>50325</v>
      </c>
      <c r="AV46" s="52" t="s">
        <v>207</v>
      </c>
      <c r="AW46" s="6">
        <v>0.376891449592484</v>
      </c>
      <c r="AX46" s="6">
        <v>4.0611892105488803</v>
      </c>
      <c r="AY46" s="6" t="s">
        <v>193</v>
      </c>
      <c r="BA46" s="6">
        <v>4.1789080459770096</v>
      </c>
      <c r="BB46" s="6">
        <v>0</v>
      </c>
      <c r="BC46" s="21" t="s">
        <v>17</v>
      </c>
      <c r="BD46" s="52"/>
    </row>
    <row r="47" spans="1:60" ht="11.25" customHeight="1">
      <c r="A47" s="6"/>
      <c r="D47" s="6"/>
      <c r="E47" s="129" t="b">
        <f t="shared" si="44"/>
        <v>1</v>
      </c>
      <c r="F47" s="107">
        <f t="shared" si="41"/>
        <v>7</v>
      </c>
      <c r="G47" s="7"/>
      <c r="I47" s="79">
        <f t="shared" si="35"/>
        <v>2.62</v>
      </c>
      <c r="J47" s="50"/>
      <c r="K47" s="127"/>
      <c r="L47" s="50">
        <f t="shared" si="36"/>
        <v>2.62</v>
      </c>
      <c r="M47" s="29">
        <f t="shared" si="42"/>
        <v>7</v>
      </c>
      <c r="N47" s="30">
        <f t="shared" si="37"/>
        <v>7</v>
      </c>
      <c r="O47" s="29">
        <f t="shared" si="43"/>
        <v>7</v>
      </c>
      <c r="P47" s="30">
        <f t="shared" si="38"/>
        <v>8</v>
      </c>
      <c r="Q47" s="7"/>
      <c r="R47" s="26">
        <f t="shared" si="39"/>
        <v>8</v>
      </c>
      <c r="S47" s="41">
        <f t="shared" si="40"/>
        <v>2.7075</v>
      </c>
      <c r="U47" s="133" t="e">
        <v>#N/A</v>
      </c>
      <c r="V47" s="134" t="e">
        <v>#N/A</v>
      </c>
      <c r="AI47" s="6"/>
      <c r="AJ47" s="6"/>
      <c r="AK47" s="6"/>
      <c r="AN47" s="6">
        <f>_xll.xlShmInterpDisc(CurveName,DATE(YEAR(AU47)+IF(YEAR(AU47)&lt;2000,100,0),MONTH(AU47),DAY(AU47)))</f>
        <v>0.47291202075829541</v>
      </c>
      <c r="AO47" s="215">
        <f>_xll.xlShmInterpRate(CurveName,$AO$2,$C$50,DATE(YEAR(AU47)+IF(YEAR(AU47)&lt;2000,100,0),MONTH(AU47),DAY(AU47)))*100</f>
        <v>3.1074210698254001</v>
      </c>
      <c r="AP47" s="6">
        <f t="shared" si="34"/>
        <v>0.10759388181578944</v>
      </c>
      <c r="AQ47" s="215">
        <f t="shared" si="10"/>
        <v>-0.91655684122078007</v>
      </c>
      <c r="AR47" s="8" t="s">
        <v>72</v>
      </c>
      <c r="AS47" s="52">
        <v>41557</v>
      </c>
      <c r="AT47" s="8" t="s">
        <v>249</v>
      </c>
      <c r="AU47" s="20">
        <v>50689</v>
      </c>
      <c r="AV47" s="52" t="s">
        <v>56</v>
      </c>
      <c r="AW47" s="6">
        <v>0.36531813894250598</v>
      </c>
      <c r="AX47" s="6">
        <v>4.0239779110461802</v>
      </c>
      <c r="BA47" s="6">
        <v>4.1550000000000002</v>
      </c>
      <c r="BB47" s="6">
        <v>0</v>
      </c>
      <c r="BC47" s="21" t="s">
        <v>17</v>
      </c>
      <c r="BD47" s="52"/>
    </row>
    <row r="48" spans="1:60" ht="11.25" customHeight="1">
      <c r="A48" s="6"/>
      <c r="D48" s="6"/>
      <c r="E48" s="129" t="b">
        <f t="shared" si="44"/>
        <v>1</v>
      </c>
      <c r="F48" s="107">
        <f t="shared" si="41"/>
        <v>8</v>
      </c>
      <c r="G48" s="7"/>
      <c r="I48" s="79">
        <f t="shared" si="35"/>
        <v>2.7075</v>
      </c>
      <c r="J48" s="50"/>
      <c r="K48" s="127"/>
      <c r="L48" s="50">
        <f t="shared" si="36"/>
        <v>2.7075</v>
      </c>
      <c r="M48" s="29">
        <f t="shared" si="42"/>
        <v>8</v>
      </c>
      <c r="N48" s="30">
        <f t="shared" si="37"/>
        <v>8</v>
      </c>
      <c r="O48" s="29">
        <f t="shared" si="43"/>
        <v>8</v>
      </c>
      <c r="P48" s="30">
        <f t="shared" si="38"/>
        <v>9</v>
      </c>
      <c r="Q48" s="7"/>
      <c r="R48" s="26">
        <f t="shared" si="39"/>
        <v>9</v>
      </c>
      <c r="S48" s="41">
        <f t="shared" si="40"/>
        <v>2.79</v>
      </c>
      <c r="U48" s="133" t="e">
        <v>#N/A</v>
      </c>
      <c r="V48" s="134" t="e">
        <v>#N/A</v>
      </c>
      <c r="Y48" s="10" t="s">
        <v>80</v>
      </c>
      <c r="Z48" s="11" t="s">
        <v>5</v>
      </c>
      <c r="AA48" s="12" t="s">
        <v>6</v>
      </c>
      <c r="AN48" s="6">
        <f>_xll.xlShmInterpDisc(CurveName,DATE(YEAR(AU48)+IF(YEAR(AU48)&lt;2000,100,0),MONTH(AU48),DAY(AU48)))</f>
        <v>0.45848166082307068</v>
      </c>
      <c r="AO48" s="215">
        <f>_xll.xlShmInterpRate(CurveName,$AO$2,$C$50,DATE(YEAR(AU48)+IF(YEAR(AU48)&lt;2000,100,0),MONTH(AU48),DAY(AU48)))*100</f>
        <v>3.1074210698254001</v>
      </c>
      <c r="AP48" s="6">
        <f t="shared" si="34"/>
        <v>0.1035135961969687</v>
      </c>
      <c r="AQ48" s="215">
        <f t="shared" si="10"/>
        <v>-0.87279076539079004</v>
      </c>
      <c r="AR48" s="8" t="s">
        <v>72</v>
      </c>
      <c r="AS48" s="52">
        <v>41557</v>
      </c>
      <c r="AT48" s="8" t="s">
        <v>249</v>
      </c>
      <c r="AU48" s="20">
        <v>51053</v>
      </c>
      <c r="AV48" s="52" t="s">
        <v>208</v>
      </c>
      <c r="AW48" s="6">
        <v>0.35496806462610198</v>
      </c>
      <c r="AX48" s="6">
        <v>3.9802118352161902</v>
      </c>
      <c r="AY48" s="6" t="s">
        <v>193</v>
      </c>
      <c r="BA48" s="6">
        <v>4.1271072796934902</v>
      </c>
      <c r="BB48" s="6">
        <v>0</v>
      </c>
      <c r="BC48" s="21" t="s">
        <v>17</v>
      </c>
      <c r="BD48" s="52"/>
    </row>
    <row r="49" spans="1:56" ht="11.25" customHeight="1">
      <c r="A49" s="6"/>
      <c r="D49" s="6"/>
      <c r="E49" s="129" t="b">
        <f t="shared" si="44"/>
        <v>1</v>
      </c>
      <c r="F49" s="107">
        <f t="shared" si="41"/>
        <v>9</v>
      </c>
      <c r="G49" s="7"/>
      <c r="I49" s="79">
        <f t="shared" si="35"/>
        <v>2.79</v>
      </c>
      <c r="J49" s="50"/>
      <c r="K49" s="127"/>
      <c r="L49" s="50">
        <f t="shared" si="36"/>
        <v>2.79</v>
      </c>
      <c r="M49" s="29">
        <f t="shared" si="42"/>
        <v>9</v>
      </c>
      <c r="N49" s="30">
        <f t="shared" si="37"/>
        <v>9</v>
      </c>
      <c r="O49" s="29">
        <f t="shared" si="43"/>
        <v>9</v>
      </c>
      <c r="P49" s="30">
        <f t="shared" si="38"/>
        <v>10</v>
      </c>
      <c r="Q49" s="7"/>
      <c r="R49" s="26">
        <f t="shared" si="39"/>
        <v>10</v>
      </c>
      <c r="S49" s="41">
        <f t="shared" si="40"/>
        <v>2.8600000000000003</v>
      </c>
      <c r="U49" s="133" t="e">
        <v>#N/A</v>
      </c>
      <c r="V49" s="134" t="e">
        <v>#N/A</v>
      </c>
      <c r="Y49" s="36">
        <v>1</v>
      </c>
      <c r="Z49" s="16" t="str">
        <f>_xll.RtGet($AD$50,$AD$51&amp;$Y49&amp;$AD$52,Z$48)</f>
        <v>#N/A The record could not be found</v>
      </c>
      <c r="AA49" s="17" t="str">
        <f>_xll.RtGet($AD$50,$AD$51&amp;$Y49&amp;$AD$52,AA$48)</f>
        <v>#N/A The record could not be found</v>
      </c>
      <c r="AN49" s="6">
        <f>_xll.xlShmInterpDisc(CurveName,DATE(YEAR(AU49)+IF(YEAR(AU49)&lt;2000,100,0),MONTH(AU49),DAY(AU49)))</f>
        <v>0.44441594953741143</v>
      </c>
      <c r="AO49" s="215">
        <f>_xll.xlShmInterpRate(CurveName,$AO$2,$C$50,DATE(YEAR(AU49)+IF(YEAR(AU49)&lt;2000,100,0),MONTH(AU49),DAY(AU49)))*100</f>
        <v>3.1074210698254001</v>
      </c>
      <c r="AP49" s="6">
        <f t="shared" si="34"/>
        <v>9.9215475713419432E-2</v>
      </c>
      <c r="AQ49" s="215">
        <f t="shared" si="10"/>
        <v>-0.82835478901305981</v>
      </c>
      <c r="AR49" s="8" t="s">
        <v>72</v>
      </c>
      <c r="AS49" s="52">
        <v>41557</v>
      </c>
      <c r="AT49" s="8" t="s">
        <v>249</v>
      </c>
      <c r="AU49" s="20">
        <v>51419</v>
      </c>
      <c r="AV49" s="52" t="s">
        <v>209</v>
      </c>
      <c r="AW49" s="6">
        <v>0.34520047382399199</v>
      </c>
      <c r="AX49" s="6">
        <v>3.9357758588384599</v>
      </c>
      <c r="AY49" s="6" t="s">
        <v>193</v>
      </c>
      <c r="BA49" s="6">
        <v>4.0990613026819904</v>
      </c>
      <c r="BB49" s="6">
        <v>0</v>
      </c>
      <c r="BC49" s="21" t="s">
        <v>17</v>
      </c>
      <c r="BD49" s="52"/>
    </row>
    <row r="50" spans="1:56" ht="11.25" customHeight="1">
      <c r="A50" s="6"/>
      <c r="B50" s="56" t="s">
        <v>87</v>
      </c>
      <c r="C50" s="57">
        <f>VLOOKUP(C10,dvCurveBootstrapperDayCount,2,FALSE)</f>
        <v>5</v>
      </c>
      <c r="D50" s="6"/>
      <c r="E50" s="129" t="b">
        <f t="shared" si="44"/>
        <v>1</v>
      </c>
      <c r="F50" s="107">
        <f t="shared" si="41"/>
        <v>10</v>
      </c>
      <c r="G50" s="7"/>
      <c r="I50" s="79">
        <f t="shared" si="35"/>
        <v>2.8600000000000003</v>
      </c>
      <c r="J50" s="50"/>
      <c r="K50" s="127"/>
      <c r="L50" s="50">
        <f t="shared" si="36"/>
        <v>2.8600000000000003</v>
      </c>
      <c r="M50" s="29">
        <f t="shared" si="42"/>
        <v>10</v>
      </c>
      <c r="N50" s="30">
        <f t="shared" si="37"/>
        <v>10</v>
      </c>
      <c r="O50" s="29">
        <f t="shared" si="43"/>
        <v>10</v>
      </c>
      <c r="P50" s="30">
        <f t="shared" si="38"/>
        <v>11</v>
      </c>
      <c r="Q50" s="7"/>
      <c r="R50" s="26">
        <f t="shared" si="39"/>
        <v>12</v>
      </c>
      <c r="S50" s="41">
        <f t="shared" si="40"/>
        <v>2.9749999999999996</v>
      </c>
      <c r="U50" s="133" t="e">
        <v>#N/A</v>
      </c>
      <c r="V50" s="134" t="e">
        <v>#N/A</v>
      </c>
      <c r="Y50" s="37">
        <v>2</v>
      </c>
      <c r="Z50" s="29">
        <f>_xll.RtGet($AD$50,$AD$51&amp;$Y50&amp;$AD$52,Z$48)</f>
        <v>2.0699999999999998</v>
      </c>
      <c r="AA50" s="30">
        <f>_xll.RtGet($AD$50,$AD$51&amp;$Y50&amp;$AD$52,AA$48)</f>
        <v>2.13</v>
      </c>
      <c r="AC50" s="13" t="s">
        <v>14</v>
      </c>
      <c r="AD50" s="71" t="s">
        <v>62</v>
      </c>
      <c r="AN50" s="6">
        <f>_xll.xlShmInterpDisc(CurveName,DATE(YEAR(AU50)+IF(YEAR(AU50)&lt;2000,100,0),MONTH(AU50),DAY(AU50)))</f>
        <v>0.43081843483870114</v>
      </c>
      <c r="AO50" s="215">
        <f>_xll.xlShmInterpRate(CurveName,$AO$2,$C$50,DATE(YEAR(AU50)+IF(YEAR(AU50)&lt;2000,100,0),MONTH(AU50),DAY(AU50)))*100</f>
        <v>3.1074210698253997</v>
      </c>
      <c r="AP50" s="6">
        <f t="shared" si="34"/>
        <v>9.4829418021862122E-2</v>
      </c>
      <c r="AQ50" s="215">
        <f t="shared" si="10"/>
        <v>-0.7844259804570104</v>
      </c>
      <c r="AR50" s="8" t="s">
        <v>72</v>
      </c>
      <c r="AS50" s="52">
        <v>41557</v>
      </c>
      <c r="AT50" s="8" t="s">
        <v>249</v>
      </c>
      <c r="AU50" s="20">
        <v>51784</v>
      </c>
      <c r="AV50" s="52" t="s">
        <v>210</v>
      </c>
      <c r="AW50" s="6">
        <v>0.33598901681683901</v>
      </c>
      <c r="AX50" s="6">
        <v>3.8918470502824101</v>
      </c>
      <c r="AY50" s="6" t="s">
        <v>193</v>
      </c>
      <c r="BA50" s="6">
        <v>4.0710919540229904</v>
      </c>
      <c r="BB50" s="6">
        <v>0</v>
      </c>
      <c r="BC50" s="21" t="s">
        <v>17</v>
      </c>
      <c r="BD50" s="52"/>
    </row>
    <row r="51" spans="1:56" ht="11.25" customHeight="1">
      <c r="A51" s="6"/>
      <c r="D51" s="6"/>
      <c r="E51" s="129" t="b">
        <f t="shared" si="44"/>
        <v>1</v>
      </c>
      <c r="F51" s="107">
        <f t="shared" si="41"/>
        <v>12</v>
      </c>
      <c r="G51" s="7"/>
      <c r="I51" s="79">
        <f t="shared" si="35"/>
        <v>2.9749999999999996</v>
      </c>
      <c r="J51" s="50"/>
      <c r="K51" s="127"/>
      <c r="L51" s="50">
        <f t="shared" si="36"/>
        <v>2.9749999999999996</v>
      </c>
      <c r="M51" s="29">
        <f t="shared" si="42"/>
        <v>11</v>
      </c>
      <c r="N51" s="30">
        <f t="shared" si="37"/>
        <v>11</v>
      </c>
      <c r="O51" s="29">
        <f t="shared" si="43"/>
        <v>11</v>
      </c>
      <c r="P51" s="30">
        <f t="shared" si="38"/>
        <v>12</v>
      </c>
      <c r="Q51" s="7"/>
      <c r="R51" s="26">
        <f t="shared" si="39"/>
        <v>15</v>
      </c>
      <c r="S51" s="41">
        <f t="shared" si="40"/>
        <v>3.09</v>
      </c>
      <c r="U51" s="133" t="e">
        <v>#N/A</v>
      </c>
      <c r="V51" s="134" t="e">
        <v>#N/A</v>
      </c>
      <c r="Y51" s="37">
        <v>3</v>
      </c>
      <c r="Z51" s="29">
        <f>_xll.RtGet($AD$50,$AD$51&amp;$Y51&amp;$AD$52,Z$48)</f>
        <v>2.1349999999999998</v>
      </c>
      <c r="AA51" s="30">
        <f>_xll.RtGet($AD$50,$AD$51&amp;$Y51&amp;$AD$52,AA$48)</f>
        <v>2.1949999999999998</v>
      </c>
      <c r="AC51" s="18" t="s">
        <v>20</v>
      </c>
      <c r="AD51" s="72" t="s">
        <v>231</v>
      </c>
      <c r="AN51" s="6">
        <f>_xll.xlShmInterpDisc(CurveName,DATE(YEAR(AU51)+IF(YEAR(AU51)&lt;2000,100,0),MONTH(AU51),DAY(AU51)))</f>
        <v>0.41763695472689999</v>
      </c>
      <c r="AO51" s="215">
        <f>_xll.xlShmInterpRate(CurveName,$AO$2,$C$50,DATE(YEAR(AU51)+IF(YEAR(AU51)&lt;2000,100,0),MONTH(AU51),DAY(AU51)))*100</f>
        <v>3.1074210698254001</v>
      </c>
      <c r="AP51" s="6">
        <f t="shared" si="34"/>
        <v>9.0320792878216982E-2</v>
      </c>
      <c r="AQ51" s="215">
        <f t="shared" si="10"/>
        <v>-0.74044076304814999</v>
      </c>
      <c r="AR51" s="8" t="s">
        <v>72</v>
      </c>
      <c r="AS51" s="52">
        <v>41557</v>
      </c>
      <c r="AT51" s="8" t="s">
        <v>249</v>
      </c>
      <c r="AU51" s="20">
        <v>52149</v>
      </c>
      <c r="AV51" s="52" t="s">
        <v>211</v>
      </c>
      <c r="AW51" s="6">
        <v>0.32731616184868301</v>
      </c>
      <c r="AX51" s="6">
        <v>3.8478618328735501</v>
      </c>
      <c r="AY51" s="6" t="s">
        <v>193</v>
      </c>
      <c r="BA51" s="6">
        <v>4.0431226053639797</v>
      </c>
      <c r="BB51" s="6">
        <v>0</v>
      </c>
      <c r="BC51" s="21" t="s">
        <v>17</v>
      </c>
      <c r="BD51" s="52"/>
    </row>
    <row r="52" spans="1:56" ht="11.25" customHeight="1">
      <c r="B52" s="64" t="s">
        <v>81</v>
      </c>
      <c r="C52" s="64" t="s">
        <v>82</v>
      </c>
      <c r="E52" s="129" t="b">
        <f t="shared" si="44"/>
        <v>1</v>
      </c>
      <c r="F52" s="107">
        <f t="shared" si="41"/>
        <v>15</v>
      </c>
      <c r="G52" s="7"/>
      <c r="I52" s="79">
        <f t="shared" si="35"/>
        <v>3.09</v>
      </c>
      <c r="J52" s="50"/>
      <c r="K52" s="127"/>
      <c r="L52" s="50">
        <f t="shared" si="36"/>
        <v>3.09</v>
      </c>
      <c r="M52" s="29">
        <f t="shared" si="42"/>
        <v>12</v>
      </c>
      <c r="N52" s="30">
        <f t="shared" si="37"/>
        <v>12</v>
      </c>
      <c r="O52" s="29">
        <f t="shared" si="43"/>
        <v>12</v>
      </c>
      <c r="P52" s="30">
        <f t="shared" si="38"/>
        <v>13</v>
      </c>
      <c r="Q52" s="7"/>
      <c r="R52" s="26">
        <f t="shared" si="39"/>
        <v>20</v>
      </c>
      <c r="S52" s="41">
        <f t="shared" si="40"/>
        <v>3.0999999999999996</v>
      </c>
      <c r="U52" s="133" t="e">
        <v>#N/A</v>
      </c>
      <c r="V52" s="134" t="e">
        <v>#N/A</v>
      </c>
      <c r="Y52" s="37">
        <v>4</v>
      </c>
      <c r="Z52" s="29">
        <f>_xll.RtGet($AD$50,$AD$51&amp;$Y52&amp;$AD$52,Z$48)</f>
        <v>2.2599999999999998</v>
      </c>
      <c r="AA52" s="30">
        <f>_xll.RtGet($AD$50,$AD$51&amp;$Y52&amp;$AD$52,AA$48)</f>
        <v>2.3199999999999998</v>
      </c>
      <c r="AC52" s="24" t="s">
        <v>24</v>
      </c>
      <c r="AD52" s="73" t="s">
        <v>155</v>
      </c>
      <c r="AN52" s="6">
        <f>_xll.xlShmInterpDisc(CurveName,DATE(YEAR(AU52)+IF(YEAR(AU52)&lt;2000,100,0),MONTH(AU52),DAY(AU52)))</f>
        <v>0.40478985076059054</v>
      </c>
      <c r="AO52" s="215">
        <f>_xll.xlShmInterpRate(CurveName,$AO$2,$C$50,DATE(YEAR(AU52)+IF(YEAR(AU52)&lt;2000,100,0),MONTH(AU52),DAY(AU52)))*100</f>
        <v>3.1074210698254001</v>
      </c>
      <c r="AP52" s="6">
        <f t="shared" si="34"/>
        <v>8.5678244419321536E-2</v>
      </c>
      <c r="AQ52" s="215">
        <f t="shared" si="10"/>
        <v>-0.69613924948779982</v>
      </c>
      <c r="AR52" s="8" t="s">
        <v>72</v>
      </c>
      <c r="AS52" s="52">
        <v>41557</v>
      </c>
      <c r="AT52" s="8" t="s">
        <v>249</v>
      </c>
      <c r="AU52" s="20">
        <v>52516</v>
      </c>
      <c r="AV52" s="52" t="s">
        <v>57</v>
      </c>
      <c r="AW52" s="6">
        <v>0.31911160634126901</v>
      </c>
      <c r="AX52" s="6">
        <v>3.8035603193131999</v>
      </c>
      <c r="BA52" s="6">
        <v>4.0149999999999997</v>
      </c>
      <c r="BB52" s="6">
        <v>0</v>
      </c>
      <c r="BC52" s="21" t="s">
        <v>17</v>
      </c>
      <c r="BD52" s="52"/>
    </row>
    <row r="53" spans="1:56" ht="11.25" customHeight="1">
      <c r="B53" s="58" t="str">
        <f>"DiscCurveName"&amp;IF(ISBLANK(C6),"","#"&amp;C6)</f>
        <v>DiscCurveName</v>
      </c>
      <c r="C53" s="59"/>
      <c r="E53" s="129" t="b">
        <f t="shared" si="44"/>
        <v>1</v>
      </c>
      <c r="F53" s="107">
        <f t="shared" si="41"/>
        <v>20</v>
      </c>
      <c r="G53" s="7"/>
      <c r="I53" s="79">
        <f t="shared" si="35"/>
        <v>3.0999999999999996</v>
      </c>
      <c r="J53" s="50"/>
      <c r="K53" s="127"/>
      <c r="L53" s="50">
        <f t="shared" si="36"/>
        <v>3.0999999999999996</v>
      </c>
      <c r="M53" s="29">
        <f t="shared" si="42"/>
        <v>13</v>
      </c>
      <c r="N53" s="30">
        <f t="shared" si="37"/>
        <v>13</v>
      </c>
      <c r="O53" s="29" t="str">
        <f t="shared" si="43"/>
        <v/>
      </c>
      <c r="P53" s="30" t="str">
        <f t="shared" si="38"/>
        <v/>
      </c>
      <c r="Q53" s="7"/>
      <c r="R53" s="26" t="str">
        <f t="shared" si="39"/>
        <v/>
      </c>
      <c r="S53" s="41" t="str">
        <f t="shared" si="40"/>
        <v/>
      </c>
      <c r="U53" s="133" t="e">
        <v>#N/A</v>
      </c>
      <c r="V53" s="134" t="e">
        <v>#N/A</v>
      </c>
      <c r="Y53" s="37">
        <v>5</v>
      </c>
      <c r="Z53" s="29">
        <f>_xll.RtGet($AD$50,$AD$51&amp;$Y53&amp;$AD$52,Z$48)</f>
        <v>2.38</v>
      </c>
      <c r="AA53" s="30">
        <f>_xll.RtGet($AD$50,$AD$51&amp;$Y53&amp;$AD$52,AA$48)</f>
        <v>2.44</v>
      </c>
      <c r="AN53" s="6" t="str">
        <f>_xll.xlShmInterpDisc(CurveName,DATE(YEAR(AU53)+IF(YEAR(AU53)&lt;2000,100,0),MONTH(AU53),DAY(AU53)))</f>
        <v>Date before first TermStructure's date.</v>
      </c>
      <c r="AO53" s="215" t="e">
        <f>_xll.xlShmInterpRate(CurveName,$AO$2,$C$50,DATE(YEAR(AU53)+IF(YEAR(AU53)&lt;2000,100,0),MONTH(AU53),DAY(AU53)))*100</f>
        <v>#VALUE!</v>
      </c>
      <c r="AP53" s="6" t="e">
        <f t="shared" si="34"/>
        <v>#VALUE!</v>
      </c>
      <c r="AQ53" s="215" t="e">
        <f t="shared" si="10"/>
        <v>#VALUE!</v>
      </c>
      <c r="AR53" s="8"/>
      <c r="AS53" s="52"/>
      <c r="AT53" s="8"/>
      <c r="AU53" s="20"/>
      <c r="AV53" s="52"/>
      <c r="BC53" s="21"/>
      <c r="BD53" s="52"/>
    </row>
    <row r="54" spans="1:56" ht="11.25" customHeight="1">
      <c r="B54" s="58" t="str">
        <f>"BlockOrder"&amp;IF(ISBLANK(C30),"","#"&amp;C30)</f>
        <v>BlockOrder#213</v>
      </c>
      <c r="C54" s="59"/>
      <c r="E54" s="129" t="b">
        <f t="shared" si="44"/>
        <v>0</v>
      </c>
      <c r="F54" s="107" t="str">
        <f t="shared" si="41"/>
        <v/>
      </c>
      <c r="G54" s="7"/>
      <c r="H54" s="7"/>
      <c r="I54" s="79" t="e">
        <f t="shared" si="35"/>
        <v>#DIV/0!</v>
      </c>
      <c r="J54" s="50"/>
      <c r="K54" s="127"/>
      <c r="L54" s="50" t="e">
        <f t="shared" si="36"/>
        <v>#DIV/0!</v>
      </c>
      <c r="M54" s="29">
        <f t="shared" si="42"/>
        <v>14</v>
      </c>
      <c r="N54" s="30" t="str">
        <f t="shared" si="37"/>
        <v/>
      </c>
      <c r="O54" s="29" t="str">
        <f t="shared" si="43"/>
        <v/>
      </c>
      <c r="P54" s="30" t="str">
        <f t="shared" si="38"/>
        <v/>
      </c>
      <c r="Q54" s="7"/>
      <c r="R54" s="26" t="str">
        <f t="shared" si="39"/>
        <v/>
      </c>
      <c r="S54" s="41" t="str">
        <f t="shared" si="40"/>
        <v/>
      </c>
      <c r="U54" s="133" t="e">
        <v>#N/A</v>
      </c>
      <c r="V54" s="134" t="e">
        <v>#N/A</v>
      </c>
      <c r="Y54" s="37">
        <v>6</v>
      </c>
      <c r="Z54" s="29">
        <f>_xll.RtGet($AD$50,$AD$51&amp;$Y54&amp;$AD$52,Z$48)</f>
        <v>2.4900000000000002</v>
      </c>
      <c r="AA54" s="30">
        <f>_xll.RtGet($AD$50,$AD$51&amp;$Y54&amp;$AD$52,AA$48)</f>
        <v>2.5499999999999998</v>
      </c>
      <c r="AN54" s="6" t="str">
        <f>_xll.xlShmInterpDisc(CurveName,DATE(YEAR(AU54)+IF(YEAR(AU54)&lt;2000,100,0),MONTH(AU54),DAY(AU54)))</f>
        <v>Date before first TermStructure's date.</v>
      </c>
      <c r="AO54" s="215" t="e">
        <f>_xll.xlShmInterpRate(CurveName,$AO$2,$C$50,DATE(YEAR(AU54)+IF(YEAR(AU54)&lt;2000,100,0),MONTH(AU54),DAY(AU54)))*100</f>
        <v>#VALUE!</v>
      </c>
      <c r="AP54" s="6" t="e">
        <f t="shared" si="34"/>
        <v>#VALUE!</v>
      </c>
      <c r="AQ54" s="215" t="e">
        <f t="shared" si="10"/>
        <v>#VALUE!</v>
      </c>
      <c r="AR54" s="8"/>
      <c r="AS54" s="52"/>
      <c r="AT54" s="8"/>
      <c r="AU54" s="20"/>
      <c r="AV54" s="52"/>
      <c r="BC54" s="21"/>
      <c r="BD54" s="52"/>
    </row>
    <row r="55" spans="1:56" ht="11.25" customHeight="1">
      <c r="B55" s="58" t="str">
        <f>"MatBlockCons"&amp;IF(ISBLANK(C33),"","#"&amp;C33)</f>
        <v>MatBlockCons#on</v>
      </c>
      <c r="C55" s="59"/>
      <c r="E55" s="129" t="b">
        <f t="shared" si="44"/>
        <v>0</v>
      </c>
      <c r="F55" s="107" t="str">
        <f t="shared" si="41"/>
        <v/>
      </c>
      <c r="G55" s="7"/>
      <c r="H55" s="7"/>
      <c r="I55" s="79" t="e">
        <f t="shared" si="35"/>
        <v>#DIV/0!</v>
      </c>
      <c r="J55" s="50"/>
      <c r="K55" s="127"/>
      <c r="L55" s="50" t="e">
        <f t="shared" si="36"/>
        <v>#DIV/0!</v>
      </c>
      <c r="M55" s="29">
        <f t="shared" si="42"/>
        <v>15</v>
      </c>
      <c r="N55" s="30" t="str">
        <f t="shared" si="37"/>
        <v/>
      </c>
      <c r="O55" s="29" t="str">
        <f t="shared" si="43"/>
        <v/>
      </c>
      <c r="P55" s="30" t="str">
        <f t="shared" si="38"/>
        <v/>
      </c>
      <c r="Q55" s="7"/>
      <c r="R55" s="26" t="str">
        <f t="shared" si="39"/>
        <v/>
      </c>
      <c r="S55" s="41" t="str">
        <f t="shared" si="40"/>
        <v/>
      </c>
      <c r="U55" s="133" t="e">
        <v>#N/A</v>
      </c>
      <c r="V55" s="134" t="e">
        <v>#N/A</v>
      </c>
      <c r="Y55" s="37">
        <v>7</v>
      </c>
      <c r="Z55" s="29">
        <f>_xll.RtGet($AD$50,$AD$51&amp;$Y55&amp;$AD$52,Z$48)</f>
        <v>2.59</v>
      </c>
      <c r="AA55" s="30">
        <f>_xll.RtGet($AD$50,$AD$51&amp;$Y55&amp;$AD$52,AA$48)</f>
        <v>2.65</v>
      </c>
      <c r="AN55" s="6" t="str">
        <f>_xll.xlShmInterpDisc(CurveName,DATE(YEAR(AU55)+IF(YEAR(AU55)&lt;2000,100,0),MONTH(AU55),DAY(AU55)))</f>
        <v>Date before first TermStructure's date.</v>
      </c>
      <c r="AO55" s="215" t="e">
        <f>_xll.xlShmInterpRate(CurveName,$AO$2,$C$50,DATE(YEAR(AU55)+IF(YEAR(AU55)&lt;2000,100,0),MONTH(AU55),DAY(AU55)))*100</f>
        <v>#VALUE!</v>
      </c>
      <c r="AP55" s="6" t="e">
        <f t="shared" si="34"/>
        <v>#VALUE!</v>
      </c>
      <c r="AQ55" s="215" t="e">
        <f t="shared" si="10"/>
        <v>#VALUE!</v>
      </c>
      <c r="AR55" s="8"/>
      <c r="AS55" s="52"/>
      <c r="AT55" s="8"/>
      <c r="AU55" s="20"/>
      <c r="AV55" s="52"/>
      <c r="BC55" s="21"/>
      <c r="BD55" s="52"/>
    </row>
    <row r="56" spans="1:56" ht="11.25" customHeight="1">
      <c r="B56" s="58" t="str">
        <f>"FutEndDate"&amp;IF(ISBLANK(C34),"","#"&amp;C34)</f>
        <v>FutEndDate#standard</v>
      </c>
      <c r="C56" s="59"/>
      <c r="E56" s="129" t="b">
        <f t="shared" si="44"/>
        <v>0</v>
      </c>
      <c r="F56" s="107" t="str">
        <f t="shared" si="41"/>
        <v/>
      </c>
      <c r="G56" s="7"/>
      <c r="H56" s="7"/>
      <c r="I56" s="79" t="e">
        <f t="shared" si="35"/>
        <v>#DIV/0!</v>
      </c>
      <c r="J56" s="50"/>
      <c r="K56" s="127"/>
      <c r="L56" s="50" t="e">
        <f t="shared" si="36"/>
        <v>#DIV/0!</v>
      </c>
      <c r="M56" s="29">
        <f t="shared" si="42"/>
        <v>16</v>
      </c>
      <c r="N56" s="30" t="str">
        <f t="shared" si="37"/>
        <v/>
      </c>
      <c r="O56" s="29" t="str">
        <f t="shared" si="43"/>
        <v/>
      </c>
      <c r="P56" s="30" t="str">
        <f t="shared" si="38"/>
        <v/>
      </c>
      <c r="Q56" s="7"/>
      <c r="R56" s="26" t="str">
        <f t="shared" si="39"/>
        <v/>
      </c>
      <c r="S56" s="41" t="str">
        <f t="shared" si="40"/>
        <v/>
      </c>
      <c r="U56" s="133" t="e">
        <v>#N/A</v>
      </c>
      <c r="V56" s="134" t="e">
        <v>#N/A</v>
      </c>
      <c r="Y56" s="37">
        <v>8</v>
      </c>
      <c r="Z56" s="29">
        <f>_xll.RtGet($AD$50,$AD$51&amp;$Y56&amp;$AD$52,Z$48)</f>
        <v>2.6775000000000002</v>
      </c>
      <c r="AA56" s="30">
        <f>_xll.RtGet($AD$50,$AD$51&amp;$Y56&amp;$AD$52,AA$48)</f>
        <v>2.7374999999999998</v>
      </c>
      <c r="AN56" s="6" t="str">
        <f>_xll.xlShmInterpDisc(CurveName,DATE(YEAR(AU56)+IF(YEAR(AU56)&lt;2000,100,0),MONTH(AU56),DAY(AU56)))</f>
        <v>Date before first TermStructure's date.</v>
      </c>
      <c r="AO56" s="215" t="e">
        <f>_xll.xlShmInterpRate(CurveName,$AO$2,$C$50,DATE(YEAR(AU56)+IF(YEAR(AU56)&lt;2000,100,0),MONTH(AU56),DAY(AU56)))*100</f>
        <v>#VALUE!</v>
      </c>
      <c r="AP56" s="6" t="e">
        <f t="shared" si="34"/>
        <v>#VALUE!</v>
      </c>
      <c r="AQ56" s="215" t="e">
        <f t="shared" si="10"/>
        <v>#VALUE!</v>
      </c>
      <c r="AR56" s="8"/>
      <c r="AS56" s="52"/>
      <c r="AT56" s="8"/>
      <c r="AU56" s="20"/>
      <c r="AV56" s="52"/>
      <c r="BC56" s="21"/>
      <c r="BD56" s="52"/>
    </row>
    <row r="57" spans="1:56" ht="11.25" customHeight="1">
      <c r="B57" s="58" t="str">
        <f>"FutBlockCons"&amp;IF(ISBLANK(C32),"","#"&amp;C32)</f>
        <v>FutBlockCons#end</v>
      </c>
      <c r="C57" s="59"/>
      <c r="E57" s="129" t="b">
        <f t="shared" si="44"/>
        <v>0</v>
      </c>
      <c r="F57" s="107" t="str">
        <f t="shared" si="41"/>
        <v/>
      </c>
      <c r="G57" s="7"/>
      <c r="H57" s="7"/>
      <c r="I57" s="79" t="e">
        <f t="shared" si="35"/>
        <v>#DIV/0!</v>
      </c>
      <c r="J57" s="50"/>
      <c r="K57" s="127"/>
      <c r="L57" s="50" t="e">
        <f t="shared" si="36"/>
        <v>#DIV/0!</v>
      </c>
      <c r="M57" s="29">
        <f t="shared" si="42"/>
        <v>17</v>
      </c>
      <c r="N57" s="30" t="str">
        <f t="shared" si="37"/>
        <v/>
      </c>
      <c r="O57" s="29" t="str">
        <f t="shared" si="43"/>
        <v/>
      </c>
      <c r="P57" s="30" t="str">
        <f t="shared" si="38"/>
        <v/>
      </c>
      <c r="Q57" s="7"/>
      <c r="R57" s="26" t="str">
        <f t="shared" si="39"/>
        <v/>
      </c>
      <c r="S57" s="41" t="str">
        <f t="shared" si="40"/>
        <v/>
      </c>
      <c r="U57" s="133" t="e">
        <v>#N/A</v>
      </c>
      <c r="V57" s="134" t="e">
        <v>#N/A</v>
      </c>
      <c r="Y57" s="37">
        <v>9</v>
      </c>
      <c r="Z57" s="29">
        <f>_xll.RtGet($AD$50,$AD$51&amp;$Y57&amp;$AD$52,Z$48)</f>
        <v>2.76</v>
      </c>
      <c r="AA57" s="30">
        <f>_xll.RtGet($AD$50,$AD$51&amp;$Y57&amp;$AD$52,AA$48)</f>
        <v>2.82</v>
      </c>
      <c r="AN57" s="6" t="str">
        <f>_xll.xlShmInterpDisc(CurveName,DATE(YEAR(AU57)+IF(YEAR(AU57)&lt;2000,100,0),MONTH(AU57),DAY(AU57)))</f>
        <v>Date before first TermStructure's date.</v>
      </c>
      <c r="AO57" s="215" t="e">
        <f>_xll.xlShmInterpRate(CurveName,$AO$2,$C$50,DATE(YEAR(AU57)+IF(YEAR(AU57)&lt;2000,100,0),MONTH(AU57),DAY(AU57)))*100</f>
        <v>#VALUE!</v>
      </c>
      <c r="AP57" s="6" t="e">
        <f t="shared" si="34"/>
        <v>#VALUE!</v>
      </c>
      <c r="AQ57" s="215" t="e">
        <f t="shared" si="10"/>
        <v>#VALUE!</v>
      </c>
      <c r="AR57" s="8"/>
      <c r="AS57" s="52"/>
      <c r="AT57" s="8"/>
      <c r="AU57" s="20"/>
      <c r="AV57" s="52"/>
      <c r="BC57" s="21"/>
      <c r="BD57" s="52"/>
    </row>
    <row r="58" spans="1:56" ht="11.25" customHeight="1">
      <c r="B58" s="65" t="str">
        <f>IF(E23,"FutBlockStubRate","")</f>
        <v/>
      </c>
      <c r="C58" s="66">
        <f>IF(E23,L23,0)</f>
        <v>0</v>
      </c>
      <c r="E58" s="129" t="b">
        <f t="shared" si="44"/>
        <v>0</v>
      </c>
      <c r="F58" s="107" t="str">
        <f t="shared" si="41"/>
        <v/>
      </c>
      <c r="G58" s="7"/>
      <c r="H58" s="7"/>
      <c r="I58" s="79" t="e">
        <f t="shared" si="35"/>
        <v>#DIV/0!</v>
      </c>
      <c r="J58" s="50"/>
      <c r="K58" s="127"/>
      <c r="L58" s="50" t="e">
        <f t="shared" si="36"/>
        <v>#DIV/0!</v>
      </c>
      <c r="M58" s="29">
        <f t="shared" si="42"/>
        <v>18</v>
      </c>
      <c r="N58" s="30" t="str">
        <f t="shared" si="37"/>
        <v/>
      </c>
      <c r="O58" s="29" t="str">
        <f t="shared" si="43"/>
        <v/>
      </c>
      <c r="P58" s="30" t="str">
        <f t="shared" si="38"/>
        <v/>
      </c>
      <c r="Q58" s="7"/>
      <c r="R58" s="26" t="str">
        <f t="shared" si="39"/>
        <v/>
      </c>
      <c r="S58" s="41" t="str">
        <f t="shared" si="40"/>
        <v/>
      </c>
      <c r="U58" s="133" t="e">
        <v>#N/A</v>
      </c>
      <c r="V58" s="134" t="e">
        <v>#N/A</v>
      </c>
      <c r="Y58" s="37">
        <v>10</v>
      </c>
      <c r="Z58" s="29">
        <f>_xll.RtGet($AD$50,$AD$51&amp;$Y58&amp;$AD$52,Z$48)</f>
        <v>2.83</v>
      </c>
      <c r="AA58" s="30">
        <f>_xll.RtGet($AD$50,$AD$51&amp;$Y58&amp;$AD$52,AA$48)</f>
        <v>2.89</v>
      </c>
      <c r="AN58" s="6" t="str">
        <f>_xll.xlShmInterpDisc(CurveName,DATE(YEAR(AU58)+IF(YEAR(AU58)&lt;2000,100,0),MONTH(AU58),DAY(AU58)))</f>
        <v>Date before first TermStructure's date.</v>
      </c>
      <c r="AO58" s="215" t="e">
        <f>_xll.xlShmInterpRate(CurveName,$AO$2,$C$50,DATE(YEAR(AU58)+IF(YEAR(AU58)&lt;2000,100,0),MONTH(AU58),DAY(AU58)))*100</f>
        <v>#VALUE!</v>
      </c>
      <c r="AP58" s="6" t="e">
        <f t="shared" si="34"/>
        <v>#VALUE!</v>
      </c>
      <c r="AQ58" s="215" t="e">
        <f t="shared" si="10"/>
        <v>#VALUE!</v>
      </c>
      <c r="AR58" s="8"/>
      <c r="AS58" s="52"/>
      <c r="AT58" s="8"/>
      <c r="AU58" s="20"/>
      <c r="AV58" s="52"/>
      <c r="BC58" s="21"/>
      <c r="BD58" s="52"/>
    </row>
    <row r="59" spans="1:56" ht="11.25" customHeight="1">
      <c r="B59" s="58" t="str">
        <f>IF(ISBLANK(C35),"","FraFutTenor")</f>
        <v>FraFutTenor</v>
      </c>
      <c r="C59" s="59">
        <f>C35</f>
        <v>3</v>
      </c>
      <c r="E59" s="129" t="b">
        <f t="shared" si="44"/>
        <v>0</v>
      </c>
      <c r="F59" s="107" t="str">
        <f t="shared" si="41"/>
        <v/>
      </c>
      <c r="G59" s="7"/>
      <c r="H59" s="7"/>
      <c r="I59" s="79" t="e">
        <f t="shared" si="35"/>
        <v>#DIV/0!</v>
      </c>
      <c r="J59" s="50"/>
      <c r="K59" s="127"/>
      <c r="L59" s="50" t="e">
        <f t="shared" si="36"/>
        <v>#DIV/0!</v>
      </c>
      <c r="M59" s="29">
        <f t="shared" si="42"/>
        <v>19</v>
      </c>
      <c r="N59" s="30" t="str">
        <f t="shared" si="37"/>
        <v/>
      </c>
      <c r="O59" s="29" t="str">
        <f t="shared" si="43"/>
        <v/>
      </c>
      <c r="P59" s="30" t="str">
        <f t="shared" si="38"/>
        <v/>
      </c>
      <c r="Q59" s="7"/>
      <c r="R59" s="26" t="str">
        <f t="shared" si="39"/>
        <v/>
      </c>
      <c r="S59" s="41" t="str">
        <f t="shared" si="40"/>
        <v/>
      </c>
      <c r="U59" s="133" t="e">
        <v>#N/A</v>
      </c>
      <c r="V59" s="134" t="e">
        <v>#N/A</v>
      </c>
      <c r="Y59" s="37">
        <v>12</v>
      </c>
      <c r="Z59" s="29">
        <f>_xll.RtGet($AD$50,$AD$51&amp;$Y59&amp;$AD$52,Z$48)</f>
        <v>2.9449999999999998</v>
      </c>
      <c r="AA59" s="30">
        <f>_xll.RtGet($AD$50,$AD$51&amp;$Y59&amp;$AD$52,AA$48)</f>
        <v>3.0049999999999999</v>
      </c>
      <c r="AN59" s="6" t="str">
        <f>_xll.xlShmInterpDisc(CurveName,DATE(YEAR(AU59)+IF(YEAR(AU59)&lt;2000,100,0),MONTH(AU59),DAY(AU59)))</f>
        <v>Date before first TermStructure's date.</v>
      </c>
      <c r="AO59" s="215" t="e">
        <f>_xll.xlShmInterpRate(CurveName,$AO$2,$C$50,DATE(YEAR(AU59)+IF(YEAR(AU59)&lt;2000,100,0),MONTH(AU59),DAY(AU59)))*100</f>
        <v>#VALUE!</v>
      </c>
      <c r="AP59" s="6" t="e">
        <f t="shared" si="34"/>
        <v>#VALUE!</v>
      </c>
      <c r="AQ59" s="215" t="e">
        <f t="shared" si="10"/>
        <v>#VALUE!</v>
      </c>
      <c r="AR59" s="8"/>
      <c r="AS59" s="52"/>
      <c r="AT59" s="8"/>
      <c r="AU59" s="20"/>
      <c r="AV59" s="52"/>
      <c r="BC59" s="21"/>
      <c r="BD59" s="52"/>
    </row>
    <row r="60" spans="1:56" ht="11.25" customHeight="1">
      <c r="B60" s="61" t="str">
        <f>IF(ISBLANK(C36),"","FraFutAdjType")</f>
        <v>FraFutAdjType</v>
      </c>
      <c r="C60" s="59">
        <f>IF(ISBLANK(C36),0,VLOOKUP(C36,dvCurveBootstrapperFraFutAdjust,2,FALSE))</f>
        <v>2</v>
      </c>
      <c r="E60" s="129" t="b">
        <f t="shared" si="44"/>
        <v>0</v>
      </c>
      <c r="F60" s="107" t="str">
        <f t="shared" si="41"/>
        <v/>
      </c>
      <c r="G60" s="7"/>
      <c r="H60" s="7"/>
      <c r="I60" s="79" t="e">
        <f t="shared" si="35"/>
        <v>#DIV/0!</v>
      </c>
      <c r="J60" s="50"/>
      <c r="K60" s="127"/>
      <c r="L60" s="50" t="e">
        <f t="shared" si="36"/>
        <v>#DIV/0!</v>
      </c>
      <c r="M60" s="29">
        <f t="shared" si="42"/>
        <v>20</v>
      </c>
      <c r="N60" s="30" t="str">
        <f t="shared" si="37"/>
        <v/>
      </c>
      <c r="O60" s="29" t="str">
        <f t="shared" si="43"/>
        <v/>
      </c>
      <c r="P60" s="30" t="str">
        <f t="shared" si="38"/>
        <v/>
      </c>
      <c r="Q60" s="7"/>
      <c r="R60" s="26" t="str">
        <f t="shared" si="39"/>
        <v/>
      </c>
      <c r="S60" s="41" t="str">
        <f t="shared" si="40"/>
        <v/>
      </c>
      <c r="U60" s="133" t="e">
        <v>#N/A</v>
      </c>
      <c r="V60" s="134" t="e">
        <v>#N/A</v>
      </c>
      <c r="Y60" s="37">
        <v>15</v>
      </c>
      <c r="Z60" s="29">
        <f>_xll.RtGet($AD$50,$AD$51&amp;$Y60&amp;$AD$52,Z$48)</f>
        <v>3.06</v>
      </c>
      <c r="AA60" s="30">
        <f>_xll.RtGet($AD$50,$AD$51&amp;$Y60&amp;$AD$52,AA$48)</f>
        <v>3.12</v>
      </c>
      <c r="AN60" s="6" t="str">
        <f>_xll.xlShmInterpDisc(CurveName,DATE(YEAR(AU60)+IF(YEAR(AU60)&lt;2000,100,0),MONTH(AU60),DAY(AU60)))</f>
        <v>Date before first TermStructure's date.</v>
      </c>
      <c r="AO60" s="215" t="e">
        <f>_xll.xlShmInterpRate(CurveName,$AO$2,$C$50,DATE(YEAR(AU60)+IF(YEAR(AU60)&lt;2000,100,0),MONTH(AU60),DAY(AU60)))*100</f>
        <v>#VALUE!</v>
      </c>
      <c r="AP60" s="6" t="e">
        <f t="shared" si="34"/>
        <v>#VALUE!</v>
      </c>
      <c r="AQ60" s="215" t="e">
        <f t="shared" si="10"/>
        <v>#VALUE!</v>
      </c>
      <c r="AR60" s="8"/>
      <c r="AS60" s="52"/>
      <c r="AT60" s="8"/>
      <c r="AU60" s="20"/>
      <c r="AV60" s="52"/>
      <c r="BC60" s="21"/>
      <c r="BD60" s="52"/>
    </row>
    <row r="61" spans="1:56" ht="11.25" customHeight="1">
      <c r="A61" s="2"/>
      <c r="B61" s="58" t="str">
        <f>IF(ISBLANK(C37),"","SwapMatType")</f>
        <v>SwapMatType</v>
      </c>
      <c r="C61" s="59">
        <f>IF(ISBLANK(C37),0,VLOOKUP(C37,dvCurveBootstrapperSwapMatType,2,FALSE))</f>
        <v>0</v>
      </c>
      <c r="D61" s="2"/>
      <c r="E61" s="129" t="b">
        <f t="shared" si="44"/>
        <v>0</v>
      </c>
      <c r="F61" s="107" t="str">
        <f t="shared" si="41"/>
        <v/>
      </c>
      <c r="G61" s="7"/>
      <c r="H61" s="7"/>
      <c r="I61" s="79" t="e">
        <f t="shared" si="35"/>
        <v>#DIV/0!</v>
      </c>
      <c r="J61" s="50"/>
      <c r="K61" s="127"/>
      <c r="L61" s="50" t="e">
        <f t="shared" si="36"/>
        <v>#DIV/0!</v>
      </c>
      <c r="M61" s="29">
        <f t="shared" si="42"/>
        <v>21</v>
      </c>
      <c r="N61" s="30" t="str">
        <f t="shared" si="37"/>
        <v/>
      </c>
      <c r="O61" s="29" t="str">
        <f t="shared" si="43"/>
        <v/>
      </c>
      <c r="P61" s="30" t="str">
        <f t="shared" si="38"/>
        <v/>
      </c>
      <c r="Q61" s="7"/>
      <c r="R61" s="26" t="str">
        <f t="shared" si="39"/>
        <v/>
      </c>
      <c r="S61" s="41" t="str">
        <f t="shared" si="40"/>
        <v/>
      </c>
      <c r="U61" s="133" t="e">
        <v>#N/A</v>
      </c>
      <c r="V61" s="134" t="e">
        <v>#N/A</v>
      </c>
      <c r="Y61" s="37">
        <v>20</v>
      </c>
      <c r="Z61" s="29">
        <f>_xll.RtGet($AD$50,$AD$51&amp;$Y61&amp;$AD$52,Z$48)</f>
        <v>3.07</v>
      </c>
      <c r="AA61" s="30">
        <f>_xll.RtGet($AD$50,$AD$51&amp;$Y61&amp;$AD$52,AA$48)</f>
        <v>3.13</v>
      </c>
      <c r="AN61" s="6" t="str">
        <f>_xll.xlShmInterpDisc(CurveName,DATE(YEAR(AU61)+IF(YEAR(AU61)&lt;2000,100,0),MONTH(AU61),DAY(AU61)))</f>
        <v>Date before first TermStructure's date.</v>
      </c>
      <c r="AO61" s="215" t="e">
        <f>_xll.xlShmInterpRate(CurveName,$AO$2,$C$50,DATE(YEAR(AU61)+IF(YEAR(AU61)&lt;2000,100,0),MONTH(AU61),DAY(AU61)))*100</f>
        <v>#VALUE!</v>
      </c>
      <c r="AP61" s="6" t="e">
        <f t="shared" si="34"/>
        <v>#VALUE!</v>
      </c>
      <c r="AQ61" s="215" t="e">
        <f t="shared" si="10"/>
        <v>#VALUE!</v>
      </c>
      <c r="AR61" s="8"/>
      <c r="AS61" s="52"/>
      <c r="AT61" s="8"/>
      <c r="AU61" s="20"/>
      <c r="AV61" s="52"/>
      <c r="BC61" s="21"/>
      <c r="BD61" s="52"/>
    </row>
    <row r="62" spans="1:56" ht="11.25" customHeight="1">
      <c r="A62" s="2"/>
      <c r="B62" s="58" t="str">
        <f>IF(ISBLANK(C38),"","MSwapFixFreq")</f>
        <v/>
      </c>
      <c r="C62" s="59">
        <f>C38</f>
        <v>0</v>
      </c>
      <c r="D62" s="2"/>
      <c r="E62" s="129" t="b">
        <f t="shared" si="44"/>
        <v>0</v>
      </c>
      <c r="F62" s="107" t="str">
        <f t="shared" si="41"/>
        <v/>
      </c>
      <c r="G62" s="7"/>
      <c r="H62" s="7"/>
      <c r="I62" s="79" t="e">
        <f t="shared" si="35"/>
        <v>#DIV/0!</v>
      </c>
      <c r="J62" s="50"/>
      <c r="K62" s="127"/>
      <c r="L62" s="50" t="e">
        <f t="shared" si="36"/>
        <v>#DIV/0!</v>
      </c>
      <c r="M62" s="29">
        <f t="shared" si="42"/>
        <v>22</v>
      </c>
      <c r="N62" s="30" t="str">
        <f t="shared" si="37"/>
        <v/>
      </c>
      <c r="O62" s="29" t="str">
        <f t="shared" si="43"/>
        <v/>
      </c>
      <c r="P62" s="30" t="str">
        <f t="shared" si="38"/>
        <v/>
      </c>
      <c r="Q62" s="7"/>
      <c r="R62" s="26" t="str">
        <f t="shared" si="39"/>
        <v/>
      </c>
      <c r="S62" s="41" t="str">
        <f t="shared" si="40"/>
        <v/>
      </c>
      <c r="U62" s="133" t="e">
        <v>#N/A</v>
      </c>
      <c r="V62" s="134" t="e">
        <v>#N/A</v>
      </c>
      <c r="Y62" s="37"/>
      <c r="Z62" s="29" t="str">
        <f>_xll.RtGet($AD$50,$AD$51&amp;$Y62&amp;$AD$52,Z$48)</f>
        <v>#N/A The record could not be found</v>
      </c>
      <c r="AA62" s="30" t="str">
        <f>_xll.RtGet($AD$50,$AD$51&amp;$Y62&amp;$AD$52,AA$48)</f>
        <v>#N/A The record could not be found</v>
      </c>
      <c r="AN62" s="6" t="str">
        <f>_xll.xlShmInterpDisc(CurveName,DATE(YEAR(AU62)+IF(YEAR(AU62)&lt;2000,100,0),MONTH(AU62),DAY(AU62)))</f>
        <v>Date before first TermStructure's date.</v>
      </c>
      <c r="AO62" s="215" t="e">
        <f>_xll.xlShmInterpRate(CurveName,$AO$2,$C$50,DATE(YEAR(AU62)+IF(YEAR(AU62)&lt;2000,100,0),MONTH(AU62),DAY(AU62)))*100</f>
        <v>#VALUE!</v>
      </c>
      <c r="AP62" s="6" t="e">
        <f t="shared" si="34"/>
        <v>#VALUE!</v>
      </c>
      <c r="AQ62" s="215" t="e">
        <f t="shared" si="10"/>
        <v>#VALUE!</v>
      </c>
      <c r="AR62" s="8"/>
      <c r="AS62" s="52"/>
      <c r="AT62" s="8"/>
      <c r="AU62" s="20"/>
      <c r="AV62" s="52"/>
      <c r="BC62" s="21"/>
      <c r="BD62" s="52"/>
    </row>
    <row r="63" spans="1:56" ht="11.25" customHeight="1">
      <c r="A63" s="2"/>
      <c r="B63" s="58" t="str">
        <f>IF(ISBLANK(C39),"","MSwapFixYrf")</f>
        <v/>
      </c>
      <c r="C63" s="59">
        <f>IF(ISBLANK(C39),0,VLOOKUP(C39,dvCurveBootstrapperDayCount,2,FALSE))</f>
        <v>0</v>
      </c>
      <c r="D63" s="2"/>
      <c r="E63" s="129" t="b">
        <f t="shared" si="44"/>
        <v>0</v>
      </c>
      <c r="F63" s="107" t="str">
        <f t="shared" si="41"/>
        <v/>
      </c>
      <c r="G63" s="7"/>
      <c r="H63" s="7"/>
      <c r="I63" s="79" t="e">
        <f t="shared" si="35"/>
        <v>#DIV/0!</v>
      </c>
      <c r="J63" s="50"/>
      <c r="K63" s="127"/>
      <c r="L63" s="50" t="e">
        <f t="shared" si="36"/>
        <v>#DIV/0!</v>
      </c>
      <c r="M63" s="29">
        <f t="shared" si="42"/>
        <v>23</v>
      </c>
      <c r="N63" s="30" t="str">
        <f t="shared" si="37"/>
        <v/>
      </c>
      <c r="O63" s="29" t="str">
        <f t="shared" si="43"/>
        <v/>
      </c>
      <c r="P63" s="30" t="str">
        <f t="shared" si="38"/>
        <v/>
      </c>
      <c r="Q63" s="7"/>
      <c r="R63" s="26" t="str">
        <f t="shared" si="39"/>
        <v/>
      </c>
      <c r="S63" s="41" t="str">
        <f t="shared" si="40"/>
        <v/>
      </c>
      <c r="U63" s="133" t="e">
        <v>#N/A</v>
      </c>
      <c r="V63" s="134" t="e">
        <v>#N/A</v>
      </c>
      <c r="Y63" s="37"/>
      <c r="Z63" s="29" t="str">
        <f>_xll.RtGet($AD$50,$AD$51&amp;$Y63&amp;$AD$52,Z$48)</f>
        <v>#N/A The record could not be found</v>
      </c>
      <c r="AA63" s="30" t="str">
        <f>_xll.RtGet($AD$50,$AD$51&amp;$Y63&amp;$AD$52,AA$48)</f>
        <v>#N/A The record could not be found</v>
      </c>
      <c r="AN63" s="6" t="str">
        <f>_xll.xlShmInterpDisc(CurveName,DATE(YEAR(AU63)+IF(YEAR(AU63)&lt;2000,100,0),MONTH(AU63),DAY(AU63)))</f>
        <v>Date before first TermStructure's date.</v>
      </c>
      <c r="AO63" s="215" t="e">
        <f>_xll.xlShmInterpRate(CurveName,$AO$2,$C$50,DATE(YEAR(AU63)+IF(YEAR(AU63)&lt;2000,100,0),MONTH(AU63),DAY(AU63)))*100</f>
        <v>#VALUE!</v>
      </c>
      <c r="AP63" s="6" t="e">
        <f t="shared" si="34"/>
        <v>#VALUE!</v>
      </c>
      <c r="AQ63" s="215" t="e">
        <f t="shared" si="10"/>
        <v>#VALUE!</v>
      </c>
      <c r="AR63" s="8"/>
      <c r="AS63" s="52"/>
      <c r="AT63" s="8"/>
      <c r="AU63" s="20"/>
      <c r="AV63" s="52"/>
      <c r="BC63" s="21"/>
      <c r="BD63" s="52"/>
    </row>
    <row r="64" spans="1:56" ht="11.25" customHeight="1">
      <c r="B64" s="58" t="str">
        <f>IF(ISBLANK(C40),"","SwapFixFreq")</f>
        <v>SwapFixFreq</v>
      </c>
      <c r="C64" s="59">
        <f>C40</f>
        <v>1</v>
      </c>
      <c r="E64" s="129" t="b">
        <f t="shared" si="44"/>
        <v>0</v>
      </c>
      <c r="F64" s="107" t="str">
        <f t="shared" si="41"/>
        <v/>
      </c>
      <c r="G64" s="7"/>
      <c r="H64" s="7"/>
      <c r="I64" s="79" t="e">
        <f t="shared" si="35"/>
        <v>#DIV/0!</v>
      </c>
      <c r="J64" s="50"/>
      <c r="K64" s="127"/>
      <c r="L64" s="50" t="e">
        <f t="shared" si="36"/>
        <v>#DIV/0!</v>
      </c>
      <c r="M64" s="29">
        <f t="shared" si="42"/>
        <v>24</v>
      </c>
      <c r="N64" s="30" t="str">
        <f t="shared" si="37"/>
        <v/>
      </c>
      <c r="O64" s="29" t="str">
        <f t="shared" si="43"/>
        <v/>
      </c>
      <c r="P64" s="30" t="str">
        <f t="shared" si="38"/>
        <v/>
      </c>
      <c r="Q64" s="7"/>
      <c r="R64" s="26" t="str">
        <f t="shared" si="39"/>
        <v/>
      </c>
      <c r="S64" s="41" t="str">
        <f t="shared" si="40"/>
        <v/>
      </c>
      <c r="U64" s="133" t="e">
        <v>#N/A</v>
      </c>
      <c r="V64" s="134" t="e">
        <v>#N/A</v>
      </c>
      <c r="Y64" s="37"/>
      <c r="Z64" s="29" t="str">
        <f>_xll.RtGet($AD$50,$AD$51&amp;$Y64&amp;$AD$52,Z$48)</f>
        <v>#N/A The record could not be found</v>
      </c>
      <c r="AA64" s="30" t="str">
        <f>_xll.RtGet($AD$50,$AD$51&amp;$Y64&amp;$AD$52,AA$48)</f>
        <v>#N/A The record could not be found</v>
      </c>
      <c r="AN64" s="6" t="str">
        <f>_xll.xlShmInterpDisc(CurveName,DATE(YEAR(AU64)+IF(YEAR(AU64)&lt;2000,100,0),MONTH(AU64),DAY(AU64)))</f>
        <v>Date before first TermStructure's date.</v>
      </c>
      <c r="AO64" s="215" t="e">
        <f>_xll.xlShmInterpRate(CurveName,$AO$2,$C$50,DATE(YEAR(AU64)+IF(YEAR(AU64)&lt;2000,100,0),MONTH(AU64),DAY(AU64)))*100</f>
        <v>#VALUE!</v>
      </c>
      <c r="AP64" s="6" t="e">
        <f t="shared" si="34"/>
        <v>#VALUE!</v>
      </c>
      <c r="AQ64" s="215" t="e">
        <f t="shared" si="10"/>
        <v>#VALUE!</v>
      </c>
      <c r="AR64" s="8"/>
      <c r="AS64" s="52"/>
      <c r="AT64" s="8"/>
      <c r="AU64" s="20"/>
      <c r="AV64" s="52"/>
      <c r="BC64" s="21"/>
      <c r="BD64" s="52"/>
    </row>
    <row r="65" spans="2:56" ht="11.25" customHeight="1">
      <c r="B65" s="58" t="str">
        <f>IF(ISBLANK(C41),"","SwapFixYrf")</f>
        <v>SwapFixYrf</v>
      </c>
      <c r="C65" s="59">
        <f>IF(ISBLANK(C41),0,VLOOKUP(C41,dvCurveBootstrapperDayCount,2,FALSE))</f>
        <v>0</v>
      </c>
      <c r="E65" s="129" t="b">
        <f t="shared" si="44"/>
        <v>0</v>
      </c>
      <c r="F65" s="107" t="str">
        <f t="shared" si="41"/>
        <v/>
      </c>
      <c r="G65" s="7"/>
      <c r="H65" s="7"/>
      <c r="I65" s="79" t="e">
        <f t="shared" si="35"/>
        <v>#DIV/0!</v>
      </c>
      <c r="J65" s="50"/>
      <c r="K65" s="127"/>
      <c r="L65" s="50" t="e">
        <f t="shared" si="36"/>
        <v>#DIV/0!</v>
      </c>
      <c r="M65" s="29">
        <f t="shared" si="42"/>
        <v>25</v>
      </c>
      <c r="N65" s="30" t="str">
        <f t="shared" si="37"/>
        <v/>
      </c>
      <c r="O65" s="29" t="str">
        <f t="shared" si="43"/>
        <v/>
      </c>
      <c r="P65" s="30" t="str">
        <f t="shared" si="38"/>
        <v/>
      </c>
      <c r="Q65" s="7"/>
      <c r="R65" s="26" t="str">
        <f t="shared" si="39"/>
        <v/>
      </c>
      <c r="S65" s="41" t="str">
        <f t="shared" si="40"/>
        <v/>
      </c>
      <c r="U65" s="133" t="e">
        <v>#N/A</v>
      </c>
      <c r="V65" s="134" t="e">
        <v>#N/A</v>
      </c>
      <c r="Y65" s="37"/>
      <c r="Z65" s="29" t="str">
        <f>_xll.RtGet($AD$50,$AD$51&amp;$Y65&amp;$AD$52,Z$48)</f>
        <v>#N/A The record could not be found</v>
      </c>
      <c r="AA65" s="30" t="str">
        <f>_xll.RtGet($AD$50,$AD$51&amp;$Y65&amp;$AD$52,AA$48)</f>
        <v>#N/A The record could not be found</v>
      </c>
      <c r="AN65" s="6" t="str">
        <f>_xll.xlShmInterpDisc(CurveName,DATE(YEAR(AU65)+IF(YEAR(AU65)&lt;2000,100,0),MONTH(AU65),DAY(AU65)))</f>
        <v>Date before first TermStructure's date.</v>
      </c>
      <c r="AO65" s="215" t="e">
        <f>_xll.xlShmInterpRate(CurveName,$AO$2,$C$50,DATE(YEAR(AU65)+IF(YEAR(AU65)&lt;2000,100,0),MONTH(AU65),DAY(AU65)))*100</f>
        <v>#VALUE!</v>
      </c>
      <c r="AP65" s="6" t="e">
        <f t="shared" si="34"/>
        <v>#VALUE!</v>
      </c>
      <c r="AQ65" s="215" t="e">
        <f t="shared" si="10"/>
        <v>#VALUE!</v>
      </c>
      <c r="AR65" s="8"/>
      <c r="AS65" s="52"/>
      <c r="AT65" s="8"/>
      <c r="AU65" s="20"/>
      <c r="AV65" s="52"/>
      <c r="BC65" s="21"/>
      <c r="BD65" s="52"/>
    </row>
    <row r="66" spans="2:56" ht="11.25" customHeight="1">
      <c r="B66" s="58" t="str">
        <f>IF(ISBLANK(C42),"","SwapFltFreq")</f>
        <v>SwapFltFreq</v>
      </c>
      <c r="C66" s="59">
        <f>C42</f>
        <v>2</v>
      </c>
      <c r="E66" s="129" t="b">
        <f t="shared" si="44"/>
        <v>0</v>
      </c>
      <c r="F66" s="107" t="str">
        <f t="shared" si="41"/>
        <v/>
      </c>
      <c r="G66" s="7"/>
      <c r="H66" s="7"/>
      <c r="I66" s="79" t="e">
        <f t="shared" si="35"/>
        <v>#DIV/0!</v>
      </c>
      <c r="J66" s="50"/>
      <c r="K66" s="127"/>
      <c r="L66" s="50" t="e">
        <f t="shared" si="36"/>
        <v>#DIV/0!</v>
      </c>
      <c r="M66" s="29">
        <f t="shared" si="42"/>
        <v>26</v>
      </c>
      <c r="N66" s="30" t="str">
        <f t="shared" si="37"/>
        <v/>
      </c>
      <c r="O66" s="29" t="str">
        <f t="shared" si="43"/>
        <v/>
      </c>
      <c r="P66" s="30" t="str">
        <f t="shared" si="38"/>
        <v/>
      </c>
      <c r="Q66" s="7"/>
      <c r="R66" s="26" t="str">
        <f t="shared" si="39"/>
        <v/>
      </c>
      <c r="S66" s="41" t="str">
        <f t="shared" si="40"/>
        <v/>
      </c>
      <c r="U66" s="133" t="e">
        <v>#N/A</v>
      </c>
      <c r="V66" s="134" t="e">
        <v>#N/A</v>
      </c>
      <c r="Y66" s="37"/>
      <c r="Z66" s="29" t="str">
        <f>_xll.RtGet($AD$50,$AD$51&amp;$Y66&amp;$AD$52,Z$48)</f>
        <v>#N/A The record could not be found</v>
      </c>
      <c r="AA66" s="30" t="str">
        <f>_xll.RtGet($AD$50,$AD$51&amp;$Y66&amp;$AD$52,AA$48)</f>
        <v>#N/A The record could not be found</v>
      </c>
      <c r="AN66" s="6" t="str">
        <f>_xll.xlShmInterpDisc(CurveName,DATE(YEAR(AU66)+IF(YEAR(AU66)&lt;2000,100,0),MONTH(AU66),DAY(AU66)))</f>
        <v>Date before first TermStructure's date.</v>
      </c>
      <c r="AO66" s="215" t="e">
        <f>_xll.xlShmInterpRate(CurveName,$AO$2,$C$50,DATE(YEAR(AU66)+IF(YEAR(AU66)&lt;2000,100,0),MONTH(AU66),DAY(AU66)))*100</f>
        <v>#VALUE!</v>
      </c>
      <c r="AP66" s="6" t="e">
        <f t="shared" si="34"/>
        <v>#VALUE!</v>
      </c>
      <c r="AQ66" s="215" t="e">
        <f t="shared" si="10"/>
        <v>#VALUE!</v>
      </c>
      <c r="AR66" s="8"/>
      <c r="AS66" s="52"/>
      <c r="AT66" s="8"/>
      <c r="AU66" s="20"/>
      <c r="AV66" s="52"/>
      <c r="BC66" s="21"/>
      <c r="BD66" s="52"/>
    </row>
    <row r="67" spans="2:56" ht="11.25" customHeight="1">
      <c r="B67" s="58" t="str">
        <f>IF(ISBLANK(C43),"","SwapFltYrf")</f>
        <v>SwapFltYrf</v>
      </c>
      <c r="C67" s="59">
        <f>IF(ISBLANK(C43),0,VLOOKUP(C43,dvCurveBootstrapperDayCount,2,FALSE))</f>
        <v>5</v>
      </c>
      <c r="E67" s="129" t="b">
        <f t="shared" si="44"/>
        <v>0</v>
      </c>
      <c r="F67" s="107" t="str">
        <f t="shared" si="41"/>
        <v/>
      </c>
      <c r="G67" s="7"/>
      <c r="H67" s="7"/>
      <c r="I67" s="79" t="e">
        <f t="shared" si="35"/>
        <v>#DIV/0!</v>
      </c>
      <c r="J67" s="50"/>
      <c r="K67" s="127"/>
      <c r="L67" s="50" t="e">
        <f t="shared" si="36"/>
        <v>#DIV/0!</v>
      </c>
      <c r="M67" s="29">
        <f t="shared" si="42"/>
        <v>27</v>
      </c>
      <c r="N67" s="30" t="str">
        <f t="shared" si="37"/>
        <v/>
      </c>
      <c r="O67" s="29" t="str">
        <f t="shared" si="43"/>
        <v/>
      </c>
      <c r="P67" s="30" t="str">
        <f t="shared" si="38"/>
        <v/>
      </c>
      <c r="Q67" s="7"/>
      <c r="R67" s="26" t="str">
        <f t="shared" si="39"/>
        <v/>
      </c>
      <c r="S67" s="41" t="str">
        <f t="shared" si="40"/>
        <v/>
      </c>
      <c r="U67" s="133" t="e">
        <v>#N/A</v>
      </c>
      <c r="V67" s="134" t="e">
        <v>#N/A</v>
      </c>
      <c r="Y67" s="37"/>
      <c r="Z67" s="29" t="str">
        <f>_xll.RtGet($AD$50,$AD$51&amp;$Y67&amp;$AD$52,Z$48)</f>
        <v>#N/A The record could not be found</v>
      </c>
      <c r="AA67" s="30" t="str">
        <f>_xll.RtGet($AD$50,$AD$51&amp;$Y67&amp;$AD$52,AA$48)</f>
        <v>#N/A The record could not be found</v>
      </c>
      <c r="BD67" s="52"/>
    </row>
    <row r="68" spans="2:56" ht="11.25" customHeight="1">
      <c r="B68" s="58" t="str">
        <f>IF(E24,"SwapFirstCpn","")</f>
        <v/>
      </c>
      <c r="C68" s="60">
        <f>IF(E24,L24,0)</f>
        <v>0</v>
      </c>
      <c r="E68" s="129" t="b">
        <f t="shared" si="44"/>
        <v>0</v>
      </c>
      <c r="F68" s="107" t="str">
        <f t="shared" si="41"/>
        <v/>
      </c>
      <c r="G68" s="7"/>
      <c r="H68" s="7"/>
      <c r="I68" s="79" t="e">
        <f t="shared" si="35"/>
        <v>#DIV/0!</v>
      </c>
      <c r="J68" s="50"/>
      <c r="K68" s="127"/>
      <c r="L68" s="50" t="e">
        <f t="shared" si="36"/>
        <v>#DIV/0!</v>
      </c>
      <c r="M68" s="29">
        <f t="shared" si="42"/>
        <v>28</v>
      </c>
      <c r="N68" s="30" t="str">
        <f t="shared" si="37"/>
        <v/>
      </c>
      <c r="O68" s="29" t="str">
        <f t="shared" si="43"/>
        <v/>
      </c>
      <c r="P68" s="30" t="str">
        <f t="shared" si="38"/>
        <v/>
      </c>
      <c r="Q68" s="7"/>
      <c r="R68" s="26" t="str">
        <f t="shared" si="39"/>
        <v/>
      </c>
      <c r="S68" s="41" t="str">
        <f t="shared" si="40"/>
        <v/>
      </c>
      <c r="U68" s="133" t="e">
        <v>#N/A</v>
      </c>
      <c r="V68" s="134" t="e">
        <v>#N/A</v>
      </c>
      <c r="Y68" s="37"/>
      <c r="Z68" s="29" t="str">
        <f>_xll.RtGet($AD$50,$AD$51&amp;$Y68&amp;$AD$52,Z$48)</f>
        <v>#N/A The record could not be found</v>
      </c>
      <c r="AA68" s="30" t="str">
        <f>_xll.RtGet($AD$50,$AD$51&amp;$Y68&amp;$AD$52,AA$48)</f>
        <v>#N/A The record could not be found</v>
      </c>
    </row>
    <row r="69" spans="2:56" ht="11.25" customHeight="1">
      <c r="B69" s="58" t="str">
        <f>IF(ISBLANK(C31),"","StubPriority")</f>
        <v>StubPriority</v>
      </c>
      <c r="C69" s="59">
        <f>IF(C31,1,0)</f>
        <v>1</v>
      </c>
      <c r="E69" s="129" t="b">
        <f t="shared" si="44"/>
        <v>0</v>
      </c>
      <c r="F69" s="107" t="str">
        <f t="shared" si="41"/>
        <v/>
      </c>
      <c r="G69" s="7"/>
      <c r="H69" s="7"/>
      <c r="I69" s="79" t="e">
        <f t="shared" si="35"/>
        <v>#DIV/0!</v>
      </c>
      <c r="J69" s="50"/>
      <c r="K69" s="127"/>
      <c r="L69" s="50" t="e">
        <f t="shared" si="36"/>
        <v>#DIV/0!</v>
      </c>
      <c r="M69" s="29">
        <f t="shared" si="42"/>
        <v>29</v>
      </c>
      <c r="N69" s="30" t="str">
        <f t="shared" si="37"/>
        <v/>
      </c>
      <c r="O69" s="29" t="str">
        <f t="shared" si="43"/>
        <v/>
      </c>
      <c r="P69" s="30" t="str">
        <f t="shared" si="38"/>
        <v/>
      </c>
      <c r="Q69" s="7"/>
      <c r="R69" s="26" t="str">
        <f t="shared" si="39"/>
        <v/>
      </c>
      <c r="S69" s="41" t="str">
        <f t="shared" si="40"/>
        <v/>
      </c>
      <c r="U69" s="133" t="e">
        <v>#N/A</v>
      </c>
      <c r="V69" s="134" t="e">
        <v>#N/A</v>
      </c>
      <c r="Y69" s="37"/>
      <c r="Z69" s="29" t="str">
        <f>_xll.RtGet($AD$50,$AD$51&amp;$Y69&amp;$AD$52,Z$48)</f>
        <v>#N/A The record could not be found</v>
      </c>
      <c r="AA69" s="30" t="str">
        <f>_xll.RtGet($AD$50,$AD$51&amp;$Y69&amp;$AD$52,AA$48)</f>
        <v>#N/A The record could not be found</v>
      </c>
    </row>
    <row r="70" spans="2:56" ht="11.25" customHeight="1">
      <c r="B70" s="62" t="str">
        <f>IF(ISBLANK(C11),"","OutputType")</f>
        <v>OutputType</v>
      </c>
      <c r="C70" s="63">
        <f>IF(ISBLANK(C11),0,VLOOKUP(C11,dvCurveBootstrapperOutputType,2,FALSE))</f>
        <v>0</v>
      </c>
      <c r="E70" s="129" t="b">
        <f t="shared" si="44"/>
        <v>0</v>
      </c>
      <c r="F70" s="107" t="str">
        <f t="shared" si="41"/>
        <v/>
      </c>
      <c r="G70" s="7"/>
      <c r="H70" s="7"/>
      <c r="I70" s="79" t="e">
        <f t="shared" si="35"/>
        <v>#DIV/0!</v>
      </c>
      <c r="J70" s="50"/>
      <c r="K70" s="127"/>
      <c r="L70" s="50" t="e">
        <f t="shared" si="36"/>
        <v>#DIV/0!</v>
      </c>
      <c r="M70" s="29">
        <f t="shared" si="42"/>
        <v>30</v>
      </c>
      <c r="N70" s="30" t="str">
        <f t="shared" si="37"/>
        <v/>
      </c>
      <c r="O70" s="29" t="str">
        <f t="shared" si="43"/>
        <v/>
      </c>
      <c r="P70" s="30" t="str">
        <f t="shared" si="38"/>
        <v/>
      </c>
      <c r="Q70" s="7"/>
      <c r="R70" s="26" t="str">
        <f t="shared" si="39"/>
        <v/>
      </c>
      <c r="S70" s="41" t="str">
        <f t="shared" si="40"/>
        <v/>
      </c>
      <c r="U70" s="133" t="e">
        <v>#N/A</v>
      </c>
      <c r="V70" s="134" t="e">
        <v>#N/A</v>
      </c>
      <c r="Y70" s="37"/>
      <c r="Z70" s="29" t="str">
        <f>_xll.RtGet($AD$50,$AD$51&amp;$Y70&amp;$AD$52,Z$48)</f>
        <v>#N/A The record could not be found</v>
      </c>
      <c r="AA70" s="30" t="str">
        <f>_xll.RtGet($AD$50,$AD$51&amp;$Y70&amp;$AD$52,AA$48)</f>
        <v>#N/A The record could not be found</v>
      </c>
    </row>
    <row r="71" spans="2:56" ht="11.25" customHeight="1">
      <c r="E71" s="129" t="b">
        <f t="shared" si="44"/>
        <v>0</v>
      </c>
      <c r="F71" s="107" t="str">
        <f t="shared" si="41"/>
        <v/>
      </c>
      <c r="G71" s="7"/>
      <c r="H71" s="7"/>
      <c r="I71" s="79" t="e">
        <f t="shared" si="35"/>
        <v>#DIV/0!</v>
      </c>
      <c r="J71" s="50"/>
      <c r="K71" s="127"/>
      <c r="L71" s="50" t="e">
        <f t="shared" si="36"/>
        <v>#DIV/0!</v>
      </c>
      <c r="M71" s="29">
        <f t="shared" si="42"/>
        <v>31</v>
      </c>
      <c r="N71" s="30" t="str">
        <f t="shared" si="37"/>
        <v/>
      </c>
      <c r="O71" s="29" t="str">
        <f t="shared" si="43"/>
        <v/>
      </c>
      <c r="P71" s="30" t="str">
        <f t="shared" si="38"/>
        <v/>
      </c>
      <c r="Q71" s="7"/>
      <c r="R71" s="26" t="str">
        <f t="shared" si="39"/>
        <v/>
      </c>
      <c r="S71" s="41" t="str">
        <f t="shared" si="40"/>
        <v/>
      </c>
      <c r="U71" s="133" t="e">
        <v>#N/A</v>
      </c>
      <c r="V71" s="134" t="e">
        <v>#N/A</v>
      </c>
      <c r="Y71" s="37"/>
      <c r="Z71" s="29" t="str">
        <f>_xll.RtGet($AD$50,$AD$51&amp;$Y71&amp;$AD$52,Z$48)</f>
        <v>#N/A The record could not be found</v>
      </c>
      <c r="AA71" s="30" t="str">
        <f>_xll.RtGet($AD$50,$AD$51&amp;$Y71&amp;$AD$52,AA$48)</f>
        <v>#N/A The record could not be found</v>
      </c>
    </row>
    <row r="72" spans="2:56" ht="11.25" customHeight="1">
      <c r="E72" s="129" t="b">
        <f t="shared" si="44"/>
        <v>0</v>
      </c>
      <c r="F72" s="107" t="str">
        <f t="shared" si="41"/>
        <v/>
      </c>
      <c r="G72" s="7"/>
      <c r="H72" s="7"/>
      <c r="I72" s="79" t="e">
        <f t="shared" si="35"/>
        <v>#DIV/0!</v>
      </c>
      <c r="J72" s="50"/>
      <c r="K72" s="127"/>
      <c r="L72" s="50" t="e">
        <f t="shared" si="36"/>
        <v>#DIV/0!</v>
      </c>
      <c r="M72" s="29">
        <f t="shared" si="42"/>
        <v>32</v>
      </c>
      <c r="N72" s="30" t="str">
        <f t="shared" si="37"/>
        <v/>
      </c>
      <c r="O72" s="29" t="str">
        <f t="shared" si="43"/>
        <v/>
      </c>
      <c r="P72" s="30" t="str">
        <f t="shared" si="38"/>
        <v/>
      </c>
      <c r="Q72" s="7"/>
      <c r="R72" s="26" t="str">
        <f t="shared" si="39"/>
        <v/>
      </c>
      <c r="S72" s="41" t="str">
        <f t="shared" si="40"/>
        <v/>
      </c>
      <c r="U72" s="133" t="e">
        <v>#N/A</v>
      </c>
      <c r="V72" s="134" t="e">
        <v>#N/A</v>
      </c>
      <c r="Y72" s="37"/>
      <c r="Z72" s="29" t="str">
        <f>_xll.RtGet($AD$50,$AD$51&amp;$Y72&amp;$AD$52,Z$48)</f>
        <v>#N/A The record could not be found</v>
      </c>
      <c r="AA72" s="30" t="str">
        <f>_xll.RtGet($AD$50,$AD$51&amp;$Y72&amp;$AD$52,AA$48)</f>
        <v>#N/A The record could not be found</v>
      </c>
    </row>
    <row r="73" spans="2:56" ht="11.25" customHeight="1">
      <c r="E73" s="129" t="b">
        <f t="shared" si="44"/>
        <v>0</v>
      </c>
      <c r="F73" s="107" t="str">
        <f t="shared" si="41"/>
        <v/>
      </c>
      <c r="G73" s="7"/>
      <c r="H73" s="7"/>
      <c r="I73" s="79" t="e">
        <f t="shared" si="35"/>
        <v>#DIV/0!</v>
      </c>
      <c r="J73" s="50"/>
      <c r="K73" s="127"/>
      <c r="L73" s="50" t="e">
        <f t="shared" si="36"/>
        <v>#DIV/0!</v>
      </c>
      <c r="M73" s="29">
        <f t="shared" si="42"/>
        <v>33</v>
      </c>
      <c r="N73" s="30" t="str">
        <f t="shared" si="37"/>
        <v/>
      </c>
      <c r="O73" s="29" t="str">
        <f t="shared" si="43"/>
        <v/>
      </c>
      <c r="P73" s="30" t="str">
        <f t="shared" si="38"/>
        <v/>
      </c>
      <c r="Q73" s="7"/>
      <c r="R73" s="26" t="str">
        <f t="shared" si="39"/>
        <v/>
      </c>
      <c r="S73" s="41" t="str">
        <f t="shared" si="40"/>
        <v/>
      </c>
      <c r="U73" s="133" t="e">
        <v>#N/A</v>
      </c>
      <c r="V73" s="134" t="e">
        <v>#N/A</v>
      </c>
      <c r="Y73" s="37"/>
      <c r="Z73" s="29" t="str">
        <f>_xll.RtGet($AD$50,$AD$51&amp;$Y73&amp;$AD$52,Z$48)</f>
        <v>#N/A The record could not be found</v>
      </c>
      <c r="AA73" s="30" t="str">
        <f>_xll.RtGet($AD$50,$AD$51&amp;$Y73&amp;$AD$52,AA$48)</f>
        <v>#N/A The record could not be found</v>
      </c>
    </row>
    <row r="74" spans="2:56" ht="11.25" customHeight="1">
      <c r="E74" s="129" t="b">
        <f t="shared" si="44"/>
        <v>0</v>
      </c>
      <c r="F74" s="107" t="str">
        <f t="shared" si="41"/>
        <v/>
      </c>
      <c r="G74" s="7"/>
      <c r="H74" s="7"/>
      <c r="I74" s="79" t="e">
        <f t="shared" si="35"/>
        <v>#DIV/0!</v>
      </c>
      <c r="J74" s="50"/>
      <c r="K74" s="127"/>
      <c r="L74" s="50" t="e">
        <f t="shared" si="36"/>
        <v>#DIV/0!</v>
      </c>
      <c r="M74" s="29">
        <f t="shared" si="42"/>
        <v>34</v>
      </c>
      <c r="N74" s="30" t="str">
        <f t="shared" si="37"/>
        <v/>
      </c>
      <c r="O74" s="29" t="str">
        <f t="shared" si="43"/>
        <v/>
      </c>
      <c r="P74" s="30" t="str">
        <f t="shared" si="38"/>
        <v/>
      </c>
      <c r="Q74" s="7"/>
      <c r="R74" s="26" t="str">
        <f t="shared" si="39"/>
        <v/>
      </c>
      <c r="S74" s="41" t="str">
        <f t="shared" si="40"/>
        <v/>
      </c>
      <c r="U74" s="133" t="e">
        <v>#N/A</v>
      </c>
      <c r="V74" s="134" t="e">
        <v>#N/A</v>
      </c>
      <c r="Y74" s="37"/>
      <c r="Z74" s="29" t="str">
        <f>_xll.RtGet($AD$50,$AD$51&amp;$Y74&amp;$AD$52,Z$48)</f>
        <v>#N/A The record could not be found</v>
      </c>
      <c r="AA74" s="30" t="str">
        <f>_xll.RtGet($AD$50,$AD$51&amp;$Y74&amp;$AD$52,AA$48)</f>
        <v>#N/A The record could not be found</v>
      </c>
    </row>
    <row r="75" spans="2:56" ht="11.25" customHeight="1">
      <c r="E75" s="129" t="b">
        <f t="shared" si="44"/>
        <v>0</v>
      </c>
      <c r="F75" s="107" t="str">
        <f t="shared" si="41"/>
        <v/>
      </c>
      <c r="G75" s="7"/>
      <c r="H75" s="7"/>
      <c r="I75" s="79" t="e">
        <f t="shared" si="35"/>
        <v>#DIV/0!</v>
      </c>
      <c r="J75" s="50"/>
      <c r="K75" s="127"/>
      <c r="L75" s="50" t="e">
        <f t="shared" si="36"/>
        <v>#DIV/0!</v>
      </c>
      <c r="M75" s="29">
        <f t="shared" si="42"/>
        <v>35</v>
      </c>
      <c r="N75" s="30" t="str">
        <f t="shared" si="37"/>
        <v/>
      </c>
      <c r="O75" s="29" t="str">
        <f t="shared" si="43"/>
        <v/>
      </c>
      <c r="P75" s="30" t="str">
        <f t="shared" si="38"/>
        <v/>
      </c>
      <c r="Q75" s="7"/>
      <c r="R75" s="26" t="str">
        <f t="shared" si="39"/>
        <v/>
      </c>
      <c r="S75" s="41" t="str">
        <f t="shared" si="40"/>
        <v/>
      </c>
      <c r="U75" s="133" t="e">
        <v>#N/A</v>
      </c>
      <c r="V75" s="134" t="e">
        <v>#N/A</v>
      </c>
      <c r="Y75" s="37"/>
      <c r="Z75" s="29" t="str">
        <f>_xll.RtGet($AD$50,$AD$51&amp;$Y75&amp;$AD$52,Z$48)</f>
        <v>#N/A The record could not be found</v>
      </c>
      <c r="AA75" s="30" t="str">
        <f>_xll.RtGet($AD$50,$AD$51&amp;$Y75&amp;$AD$52,AA$48)</f>
        <v>#N/A The record could not be found</v>
      </c>
    </row>
    <row r="76" spans="2:56" ht="11.25" customHeight="1">
      <c r="E76" s="129" t="b">
        <f t="shared" si="44"/>
        <v>0</v>
      </c>
      <c r="F76" s="107" t="str">
        <f t="shared" si="41"/>
        <v/>
      </c>
      <c r="G76" s="7"/>
      <c r="H76" s="7"/>
      <c r="I76" s="79" t="e">
        <f t="shared" si="35"/>
        <v>#DIV/0!</v>
      </c>
      <c r="J76" s="50"/>
      <c r="K76" s="127"/>
      <c r="L76" s="50" t="e">
        <f t="shared" si="36"/>
        <v>#DIV/0!</v>
      </c>
      <c r="M76" s="29">
        <f t="shared" si="42"/>
        <v>36</v>
      </c>
      <c r="N76" s="30" t="str">
        <f t="shared" si="37"/>
        <v/>
      </c>
      <c r="O76" s="29" t="str">
        <f t="shared" si="43"/>
        <v/>
      </c>
      <c r="P76" s="30" t="str">
        <f t="shared" si="38"/>
        <v/>
      </c>
      <c r="Q76" s="7"/>
      <c r="R76" s="26" t="str">
        <f t="shared" si="39"/>
        <v/>
      </c>
      <c r="S76" s="41" t="str">
        <f t="shared" si="40"/>
        <v/>
      </c>
      <c r="U76" s="133" t="e">
        <v>#N/A</v>
      </c>
      <c r="V76" s="134" t="e">
        <v>#N/A</v>
      </c>
      <c r="Y76" s="37"/>
      <c r="Z76" s="29" t="str">
        <f>_xll.RtGet($AD$50,$AD$51&amp;$Y76&amp;$AD$52,Z$48)</f>
        <v>#N/A The record could not be found</v>
      </c>
      <c r="AA76" s="30" t="str">
        <f>_xll.RtGet($AD$50,$AD$51&amp;$Y76&amp;$AD$52,AA$48)</f>
        <v>#N/A The record could not be found</v>
      </c>
    </row>
    <row r="77" spans="2:56" ht="11.25" customHeight="1">
      <c r="E77" s="129" t="b">
        <f t="shared" si="44"/>
        <v>0</v>
      </c>
      <c r="F77" s="107" t="str">
        <f t="shared" si="41"/>
        <v/>
      </c>
      <c r="G77" s="7"/>
      <c r="H77" s="7"/>
      <c r="I77" s="79" t="e">
        <f t="shared" si="35"/>
        <v>#DIV/0!</v>
      </c>
      <c r="J77" s="50"/>
      <c r="K77" s="127"/>
      <c r="L77" s="50" t="e">
        <f t="shared" si="36"/>
        <v>#DIV/0!</v>
      </c>
      <c r="M77" s="29">
        <f t="shared" si="42"/>
        <v>37</v>
      </c>
      <c r="N77" s="30" t="str">
        <f t="shared" si="37"/>
        <v/>
      </c>
      <c r="O77" s="29" t="str">
        <f t="shared" si="43"/>
        <v/>
      </c>
      <c r="P77" s="30" t="str">
        <f t="shared" si="38"/>
        <v/>
      </c>
      <c r="Q77" s="7"/>
      <c r="R77" s="26" t="str">
        <f t="shared" si="39"/>
        <v/>
      </c>
      <c r="S77" s="41" t="str">
        <f t="shared" si="40"/>
        <v/>
      </c>
      <c r="U77" s="133" t="e">
        <v>#N/A</v>
      </c>
      <c r="V77" s="134" t="e">
        <v>#N/A</v>
      </c>
      <c r="Y77" s="37"/>
      <c r="Z77" s="29" t="str">
        <f>_xll.RtGet($AD$50,$AD$51&amp;$Y77&amp;$AD$52,Z$48)</f>
        <v>#N/A The record could not be found</v>
      </c>
      <c r="AA77" s="30" t="str">
        <f>_xll.RtGet($AD$50,$AD$51&amp;$Y77&amp;$AD$52,AA$48)</f>
        <v>#N/A The record could not be found</v>
      </c>
    </row>
    <row r="78" spans="2:56" ht="11.25" customHeight="1">
      <c r="E78" s="129" t="b">
        <f t="shared" si="44"/>
        <v>0</v>
      </c>
      <c r="F78" s="107" t="str">
        <f t="shared" si="41"/>
        <v/>
      </c>
      <c r="G78" s="7"/>
      <c r="H78" s="7"/>
      <c r="I78" s="79" t="e">
        <f t="shared" si="35"/>
        <v>#DIV/0!</v>
      </c>
      <c r="J78" s="50"/>
      <c r="K78" s="127"/>
      <c r="L78" s="50" t="e">
        <f t="shared" si="36"/>
        <v>#DIV/0!</v>
      </c>
      <c r="M78" s="29">
        <f t="shared" si="42"/>
        <v>38</v>
      </c>
      <c r="N78" s="30" t="str">
        <f t="shared" si="37"/>
        <v/>
      </c>
      <c r="O78" s="29" t="str">
        <f t="shared" si="43"/>
        <v/>
      </c>
      <c r="P78" s="30" t="str">
        <f t="shared" si="38"/>
        <v/>
      </c>
      <c r="Q78" s="7"/>
      <c r="R78" s="26" t="str">
        <f t="shared" si="39"/>
        <v/>
      </c>
      <c r="S78" s="41" t="str">
        <f t="shared" si="40"/>
        <v/>
      </c>
      <c r="U78" s="133" t="e">
        <v>#N/A</v>
      </c>
      <c r="V78" s="134" t="e">
        <v>#N/A</v>
      </c>
      <c r="Y78" s="37"/>
      <c r="Z78" s="29" t="str">
        <f>_xll.RtGet($AD$50,$AD$51&amp;$Y78&amp;$AD$52,Z$48)</f>
        <v>#N/A The record could not be found</v>
      </c>
      <c r="AA78" s="30" t="str">
        <f>_xll.RtGet($AD$50,$AD$51&amp;$Y78&amp;$AD$52,AA$48)</f>
        <v>#N/A The record could not be found</v>
      </c>
    </row>
    <row r="79" spans="2:56" ht="11.25" customHeight="1">
      <c r="E79" s="129" t="b">
        <f t="shared" si="44"/>
        <v>0</v>
      </c>
      <c r="F79" s="107" t="str">
        <f t="shared" si="41"/>
        <v/>
      </c>
      <c r="G79" s="7"/>
      <c r="H79" s="7"/>
      <c r="I79" s="79" t="e">
        <f t="shared" si="35"/>
        <v>#DIV/0!</v>
      </c>
      <c r="J79" s="50"/>
      <c r="K79" s="127"/>
      <c r="L79" s="50" t="e">
        <f t="shared" si="36"/>
        <v>#DIV/0!</v>
      </c>
      <c r="M79" s="29">
        <f t="shared" si="42"/>
        <v>39</v>
      </c>
      <c r="N79" s="30" t="str">
        <f t="shared" si="37"/>
        <v/>
      </c>
      <c r="O79" s="29" t="str">
        <f t="shared" si="43"/>
        <v/>
      </c>
      <c r="P79" s="30" t="str">
        <f t="shared" si="38"/>
        <v/>
      </c>
      <c r="Q79" s="7"/>
      <c r="R79" s="26" t="str">
        <f t="shared" si="39"/>
        <v/>
      </c>
      <c r="S79" s="41" t="str">
        <f t="shared" si="40"/>
        <v/>
      </c>
      <c r="U79" s="135" t="e">
        <v>#N/A</v>
      </c>
      <c r="V79" s="136" t="e">
        <v>#N/A</v>
      </c>
      <c r="Y79" s="37"/>
      <c r="Z79" s="29" t="str">
        <f>_xll.RtGet($AD$50,$AD$51&amp;$Y79&amp;$AD$52,Z$48)</f>
        <v>#N/A The record could not be found</v>
      </c>
      <c r="AA79" s="30" t="str">
        <f>_xll.RtGet($AD$50,$AD$51&amp;$Y79&amp;$AD$52,AA$48)</f>
        <v>#N/A The record could not be found</v>
      </c>
    </row>
    <row r="80" spans="2:56" ht="11.25" customHeight="1">
      <c r="E80" s="129" t="b">
        <f t="shared" si="44"/>
        <v>0</v>
      </c>
      <c r="F80" s="107" t="str">
        <f t="shared" si="41"/>
        <v/>
      </c>
      <c r="G80" s="7"/>
      <c r="H80" s="7"/>
      <c r="I80" s="79" t="e">
        <f t="shared" si="35"/>
        <v>#DIV/0!</v>
      </c>
      <c r="J80" s="50"/>
      <c r="K80" s="127"/>
      <c r="L80" s="50" t="e">
        <f t="shared" si="36"/>
        <v>#DIV/0!</v>
      </c>
      <c r="M80" s="29">
        <f t="shared" si="42"/>
        <v>40</v>
      </c>
      <c r="N80" s="30" t="str">
        <f t="shared" si="37"/>
        <v/>
      </c>
      <c r="O80" s="29" t="str">
        <f t="shared" si="43"/>
        <v/>
      </c>
      <c r="P80" s="30" t="str">
        <f t="shared" si="38"/>
        <v/>
      </c>
      <c r="Q80" s="7"/>
      <c r="R80" s="26" t="str">
        <f t="shared" si="39"/>
        <v/>
      </c>
      <c r="S80" s="41" t="str">
        <f t="shared" si="40"/>
        <v/>
      </c>
      <c r="Y80" s="37"/>
      <c r="Z80" s="29" t="str">
        <f>_xll.RtGet($AD$50,$AD$51&amp;$Y80&amp;$AD$52,Z$48)</f>
        <v>#N/A The record could not be found</v>
      </c>
      <c r="AA80" s="30" t="str">
        <f>_xll.RtGet($AD$50,$AD$51&amp;$Y80&amp;$AD$52,AA$48)</f>
        <v>#N/A The record could not be found</v>
      </c>
    </row>
    <row r="81" spans="5:27" ht="11.25" customHeight="1">
      <c r="E81" s="129" t="b">
        <f t="shared" si="44"/>
        <v>0</v>
      </c>
      <c r="F81" s="107" t="str">
        <f t="shared" si="41"/>
        <v/>
      </c>
      <c r="G81" s="7"/>
      <c r="H81" s="7"/>
      <c r="I81" s="79" t="e">
        <f t="shared" si="35"/>
        <v>#DIV/0!</v>
      </c>
      <c r="J81" s="50"/>
      <c r="K81" s="127"/>
      <c r="L81" s="50" t="e">
        <f t="shared" si="36"/>
        <v>#DIV/0!</v>
      </c>
      <c r="M81" s="29">
        <f t="shared" si="42"/>
        <v>41</v>
      </c>
      <c r="N81" s="30" t="str">
        <f t="shared" si="37"/>
        <v/>
      </c>
      <c r="O81" s="29" t="str">
        <f t="shared" si="43"/>
        <v/>
      </c>
      <c r="P81" s="30" t="str">
        <f t="shared" si="38"/>
        <v/>
      </c>
      <c r="Q81" s="7"/>
      <c r="R81" s="26" t="str">
        <f t="shared" si="39"/>
        <v/>
      </c>
      <c r="S81" s="41" t="str">
        <f t="shared" si="40"/>
        <v/>
      </c>
      <c r="Y81" s="37"/>
      <c r="Z81" s="29" t="str">
        <f>_xll.RtGet($AD$50,$AD$51&amp;$Y81&amp;$AD$52,Z$48)</f>
        <v>#N/A The record could not be found</v>
      </c>
      <c r="AA81" s="30" t="str">
        <f>_xll.RtGet($AD$50,$AD$51&amp;$Y81&amp;$AD$52,AA$48)</f>
        <v>#N/A The record could not be found</v>
      </c>
    </row>
    <row r="82" spans="5:27" ht="11.25" customHeight="1">
      <c r="E82" s="130" t="b">
        <f t="shared" si="44"/>
        <v>0</v>
      </c>
      <c r="F82" s="108" t="str">
        <f t="shared" si="41"/>
        <v/>
      </c>
      <c r="I82" s="80" t="e">
        <f t="shared" si="35"/>
        <v>#DIV/0!</v>
      </c>
      <c r="J82" s="51"/>
      <c r="K82" s="126"/>
      <c r="L82" s="51" t="e">
        <f t="shared" si="36"/>
        <v>#DIV/0!</v>
      </c>
      <c r="M82" s="22">
        <f t="shared" si="42"/>
        <v>42</v>
      </c>
      <c r="N82" s="23" t="str">
        <f t="shared" si="37"/>
        <v/>
      </c>
      <c r="O82" s="22" t="str">
        <f t="shared" si="43"/>
        <v/>
      </c>
      <c r="P82" s="23" t="str">
        <f t="shared" si="38"/>
        <v/>
      </c>
      <c r="R82" s="9" t="str">
        <f t="shared" si="39"/>
        <v/>
      </c>
      <c r="S82" s="43" t="str">
        <f t="shared" si="40"/>
        <v/>
      </c>
      <c r="Y82" s="37"/>
      <c r="Z82" s="29" t="str">
        <f>_xll.RtGet($AD$50,$AD$51&amp;$Y82&amp;$AD$52,Z$48)</f>
        <v>#N/A The record could not be found</v>
      </c>
      <c r="AA82" s="30" t="str">
        <f>_xll.RtGet($AD$50,$AD$51&amp;$Y82&amp;$AD$52,AA$48)</f>
        <v>#N/A The record could not be found</v>
      </c>
    </row>
    <row r="83" spans="5:27" ht="11.25" customHeight="1">
      <c r="I83" s="7"/>
      <c r="J83" s="7"/>
      <c r="K83" s="7"/>
      <c r="L83" s="7"/>
      <c r="N83"/>
      <c r="O83"/>
      <c r="Y83" s="37"/>
      <c r="Z83" s="29" t="str">
        <f>_xll.RtGet($AD$50,$AD$51&amp;$Y83&amp;$AD$52,Z$48)</f>
        <v>#N/A The record could not be found</v>
      </c>
      <c r="AA83" s="30" t="str">
        <f>_xll.RtGet($AD$50,$AD$51&amp;$Y83&amp;$AD$52,AA$48)</f>
        <v>#N/A The record could not be found</v>
      </c>
    </row>
    <row r="84" spans="5:27" ht="11.25" customHeight="1">
      <c r="N84"/>
      <c r="O84"/>
      <c r="Y84" s="37"/>
      <c r="Z84" s="29" t="str">
        <f>_xll.RtGet($AD$50,$AD$51&amp;$Y84&amp;$AD$52,Z$48)</f>
        <v>#N/A The record could not be found</v>
      </c>
      <c r="AA84" s="30" t="str">
        <f>_xll.RtGet($AD$50,$AD$51&amp;$Y84&amp;$AD$52,AA$48)</f>
        <v>#N/A The record could not be found</v>
      </c>
    </row>
    <row r="85" spans="5:27" ht="11.25" customHeight="1">
      <c r="N85"/>
      <c r="O85"/>
      <c r="Y85" s="37"/>
      <c r="Z85" s="29" t="str">
        <f>_xll.RtGet($AD$50,$AD$51&amp;$Y85&amp;$AD$52,Z$48)</f>
        <v>#N/A The record could not be found</v>
      </c>
      <c r="AA85" s="30" t="str">
        <f>_xll.RtGet($AD$50,$AD$51&amp;$Y85&amp;$AD$52,AA$48)</f>
        <v>#N/A The record could not be found</v>
      </c>
    </row>
    <row r="86" spans="5:27" ht="11.25" customHeight="1">
      <c r="N86"/>
      <c r="O86"/>
      <c r="Y86" s="37"/>
      <c r="Z86" s="29" t="str">
        <f>_xll.RtGet($AD$50,$AD$51&amp;$Y86&amp;$AD$52,Z$48)</f>
        <v>#N/A The record could not be found</v>
      </c>
      <c r="AA86" s="30" t="str">
        <f>_xll.RtGet($AD$50,$AD$51&amp;$Y86&amp;$AD$52,AA$48)</f>
        <v>#N/A The record could not be found</v>
      </c>
    </row>
    <row r="87" spans="5:27" ht="11.25" customHeight="1">
      <c r="N87"/>
      <c r="O87"/>
      <c r="Y87" s="37"/>
      <c r="Z87" s="29" t="str">
        <f>_xll.RtGet($AD$50,$AD$51&amp;$Y87&amp;$AD$52,Z$48)</f>
        <v>#N/A The record could not be found</v>
      </c>
      <c r="AA87" s="30" t="str">
        <f>_xll.RtGet($AD$50,$AD$51&amp;$Y87&amp;$AD$52,AA$48)</f>
        <v>#N/A The record could not be found</v>
      </c>
    </row>
    <row r="88" spans="5:27" ht="11.25" customHeight="1">
      <c r="N88"/>
      <c r="O88"/>
      <c r="Y88" s="37"/>
      <c r="Z88" s="29" t="str">
        <f>_xll.RtGet($AD$50,$AD$51&amp;$Y88&amp;$AD$52,Z$48)</f>
        <v>#N/A The record could not be found</v>
      </c>
      <c r="AA88" s="30" t="str">
        <f>_xll.RtGet($AD$50,$AD$51&amp;$Y88&amp;$AD$52,AA$48)</f>
        <v>#N/A The record could not be found</v>
      </c>
    </row>
    <row r="89" spans="5:27" ht="11.25" customHeight="1">
      <c r="N89"/>
      <c r="O89"/>
      <c r="Y89" s="37"/>
      <c r="Z89" s="29" t="str">
        <f>_xll.RtGet($AD$50,$AD$51&amp;$Y89&amp;$AD$52,Z$48)</f>
        <v>#N/A The record could not be found</v>
      </c>
      <c r="AA89" s="30" t="str">
        <f>_xll.RtGet($AD$50,$AD$51&amp;$Y89&amp;$AD$52,AA$48)</f>
        <v>#N/A The record could not be found</v>
      </c>
    </row>
    <row r="90" spans="5:27" ht="11.25" customHeight="1">
      <c r="N90"/>
      <c r="O90"/>
      <c r="Y90" s="38"/>
      <c r="Z90" s="22" t="str">
        <f>_xll.RtGet($AD$50,$AD$51&amp;$Y90&amp;$AD$52,Z$48)</f>
        <v>#N/A The record could not be found</v>
      </c>
      <c r="AA90" s="23" t="str">
        <f>_xll.RtGet($AD$50,$AD$51&amp;$Y90&amp;$AD$52,AA$48)</f>
        <v>#N/A The record could not be found</v>
      </c>
    </row>
    <row r="91" spans="5:27" ht="11.25" customHeight="1">
      <c r="N91"/>
      <c r="O91"/>
    </row>
    <row r="92" spans="5:27" ht="11.25" customHeight="1">
      <c r="N92"/>
      <c r="O92"/>
    </row>
    <row r="93" spans="5:27" ht="11.25" customHeight="1">
      <c r="N93"/>
      <c r="O93"/>
    </row>
    <row r="94" spans="5:27" ht="11.25" customHeight="1">
      <c r="N94"/>
      <c r="O94"/>
    </row>
    <row r="95" spans="5:27" ht="11.25" customHeight="1">
      <c r="N95"/>
      <c r="O95"/>
    </row>
    <row r="96" spans="5:27" ht="11.25" customHeight="1">
      <c r="N96"/>
      <c r="O96"/>
    </row>
    <row r="97" spans="14:15" ht="11.25" customHeight="1">
      <c r="N97"/>
      <c r="O97"/>
    </row>
    <row r="98" spans="14:15" ht="11.25" customHeight="1">
      <c r="N98"/>
      <c r="O98"/>
    </row>
    <row r="99" spans="14:15" ht="11.25" customHeight="1">
      <c r="N99"/>
      <c r="O99"/>
    </row>
    <row r="100" spans="14:15" ht="11.25" customHeight="1">
      <c r="N100"/>
      <c r="O100"/>
    </row>
    <row r="101" spans="14:15" ht="11.25" customHeight="1">
      <c r="N101"/>
      <c r="O101"/>
    </row>
    <row r="102" spans="14:15" ht="11.25" customHeight="1">
      <c r="N102"/>
      <c r="O102"/>
    </row>
    <row r="103" spans="14:15" ht="11.25" customHeight="1">
      <c r="N103"/>
      <c r="O103"/>
    </row>
    <row r="104" spans="14:15" ht="11.25" customHeight="1">
      <c r="N104"/>
      <c r="O104"/>
    </row>
    <row r="105" spans="14:15" ht="11.25" customHeight="1">
      <c r="N105"/>
      <c r="O105"/>
    </row>
    <row r="106" spans="14:15" ht="11.25" customHeight="1">
      <c r="N106"/>
      <c r="O106"/>
    </row>
    <row r="107" spans="14:15" ht="11.25" customHeight="1">
      <c r="N107"/>
      <c r="O107"/>
    </row>
    <row r="108" spans="14:15" ht="11.25" customHeight="1">
      <c r="N108"/>
      <c r="O108"/>
    </row>
    <row r="109" spans="14:15" ht="11.25" customHeight="1">
      <c r="N109"/>
      <c r="O109"/>
    </row>
    <row r="110" spans="14:15" ht="11.25" customHeight="1">
      <c r="N110"/>
      <c r="O110"/>
    </row>
    <row r="111" spans="14:15" ht="11.25" customHeight="1">
      <c r="N111"/>
      <c r="O111"/>
    </row>
    <row r="112" spans="14:15" ht="11.25" customHeight="1">
      <c r="N112"/>
      <c r="O112"/>
    </row>
  </sheetData>
  <sheetProtection formatCells="0" formatColumns="0" formatRows="0"/>
  <mergeCells count="4">
    <mergeCell ref="B2:C2"/>
    <mergeCell ref="AU2:AV2"/>
    <mergeCell ref="B20:C20"/>
    <mergeCell ref="B29:C29"/>
  </mergeCells>
  <conditionalFormatting sqref="AP3:AQ66">
    <cfRule type="expression" dxfId="18" priority="14" stopIfTrue="1">
      <formula>AW3=0</formula>
    </cfRule>
  </conditionalFormatting>
  <conditionalFormatting sqref="E3:E20 E27:E38 E41:E82 E23:E24">
    <cfRule type="cellIs" dxfId="17" priority="13" stopIfTrue="1" operator="equal">
      <formula>FALSE</formula>
    </cfRule>
  </conditionalFormatting>
  <conditionalFormatting sqref="I3:L20">
    <cfRule type="expression" dxfId="16" priority="7" stopIfTrue="1">
      <formula>NOT($E3)</formula>
    </cfRule>
  </conditionalFormatting>
  <conditionalFormatting sqref="I23:L24">
    <cfRule type="expression" dxfId="15" priority="5" stopIfTrue="1">
      <formula>NOT($E23)</formula>
    </cfRule>
  </conditionalFormatting>
  <conditionalFormatting sqref="I27:L38">
    <cfRule type="expression" dxfId="14" priority="3" stopIfTrue="1">
      <formula>NOT($E27)</formula>
    </cfRule>
  </conditionalFormatting>
  <conditionalFormatting sqref="I41:L82">
    <cfRule type="expression" dxfId="13" priority="1" stopIfTrue="1">
      <formula>NOT($E41)</formula>
    </cfRule>
  </conditionalFormatting>
  <conditionalFormatting sqref="L3:L20">
    <cfRule type="expression" dxfId="12" priority="8" stopIfTrue="1">
      <formula>ISNUMBER(J3)</formula>
    </cfRule>
    <cfRule type="expression" dxfId="11" priority="12" stopIfTrue="1">
      <formula>ISNUMBER(K3)</formula>
    </cfRule>
  </conditionalFormatting>
  <conditionalFormatting sqref="L23:L24">
    <cfRule type="expression" dxfId="10" priority="6" stopIfTrue="1">
      <formula>ISNUMBER(J23)</formula>
    </cfRule>
    <cfRule type="expression" dxfId="9" priority="11" stopIfTrue="1">
      <formula>ISNUMBER(K23)</formula>
    </cfRule>
  </conditionalFormatting>
  <conditionalFormatting sqref="L27:L38">
    <cfRule type="expression" dxfId="8" priority="4" stopIfTrue="1">
      <formula>ISNUMBER(J27)</formula>
    </cfRule>
    <cfRule type="expression" dxfId="7" priority="10" stopIfTrue="1">
      <formula>ISNUMBER(K27)</formula>
    </cfRule>
  </conditionalFormatting>
  <conditionalFormatting sqref="L41:L82">
    <cfRule type="expression" dxfId="6" priority="2" stopIfTrue="1">
      <formula>ISNUMBER(J41)</formula>
    </cfRule>
    <cfRule type="expression" dxfId="5" priority="9" stopIfTrue="1">
      <formula>ISNUMBER(K41)</formula>
    </cfRule>
  </conditionalFormatting>
  <dataValidations count="11">
    <dataValidation type="list" allowBlank="1" showInputMessage="1" showErrorMessage="1" sqref="C34">
      <formula1>dvCurveBootstrapperFutEndDate</formula1>
    </dataValidation>
    <dataValidation type="list" allowBlank="1" showInputMessage="1" showErrorMessage="1" sqref="C33">
      <formula1>dvCurveBootstrapperMatCons</formula1>
    </dataValidation>
    <dataValidation type="list" allowBlank="1" showInputMessage="1" showErrorMessage="1" sqref="C32">
      <formula1>dvCurveBootstrapperFutCons</formula1>
    </dataValidation>
    <dataValidation type="list" allowBlank="1" showInputMessage="1" showErrorMessage="1" sqref="C36">
      <formula1>INDEX(dvCurveBootstrapperFraFutAdjust,0,1)</formula1>
    </dataValidation>
    <dataValidation type="list" allowBlank="1" showInputMessage="1" showErrorMessage="1" sqref="C37">
      <formula1>INDEX(dvCurveBootstrapperSwapMatType,0,1)</formula1>
    </dataValidation>
    <dataValidation type="list" allowBlank="1" showInputMessage="1" showErrorMessage="1" sqref="E41:E82 E3:E20 C31 E27:E38 C21 E23:E24 C24 C44">
      <formula1>dvBool</formula1>
    </dataValidation>
    <dataValidation type="list" allowBlank="1" showInputMessage="1" showErrorMessage="1" sqref="C7">
      <formula1>dvCurveBootstrapperInterpType</formula1>
    </dataValidation>
    <dataValidation type="list" allowBlank="1" showInputMessage="1" showErrorMessage="1" sqref="C8">
      <formula1>dvCurveBootstrapperInterpOn</formula1>
    </dataValidation>
    <dataValidation type="list" allowBlank="1" showInputMessage="1" showErrorMessage="1" sqref="C9">
      <formula1>dvCurveBootstrapperCompounding</formula1>
    </dataValidation>
    <dataValidation type="list" allowBlank="1" showInputMessage="1" showErrorMessage="1" sqref="C11">
      <formula1>INDEX(dvCurveBootstrapperOutputType,0,1)</formula1>
    </dataValidation>
    <dataValidation type="list" allowBlank="1" showInputMessage="1" showErrorMessage="1" sqref="C43 C10 C41 C39">
      <formula1>INDEX(dvCurveBootstrapperDayCount,0,1)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8" r:id="rId4" name="btnFreeze">
          <controlPr defaultSize="0" autoLine="0" r:id="rId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1</xdr:col>
                <xdr:colOff>914400</xdr:colOff>
                <xdr:row>17</xdr:row>
                <xdr:rowOff>9525</xdr:rowOff>
              </to>
            </anchor>
          </controlPr>
        </control>
      </mc:Choice>
      <mc:Fallback>
        <control shapeId="29698" r:id="rId4" name="btnFreeze"/>
      </mc:Fallback>
    </mc:AlternateContent>
    <mc:AlternateContent xmlns:mc="http://schemas.openxmlformats.org/markup-compatibility/2006">
      <mc:Choice Requires="x14">
        <control shapeId="29697" r:id="rId6" name="btnRun">
          <controlPr defaultSize="0" autoLine="0" r:id="rId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1</xdr:col>
                <xdr:colOff>914400</xdr:colOff>
                <xdr:row>15</xdr:row>
                <xdr:rowOff>9525</xdr:rowOff>
              </to>
            </anchor>
          </controlPr>
        </control>
      </mc:Choice>
      <mc:Fallback>
        <control shapeId="29697" r:id="rId6" name="btnRu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  <outlinePr summaryRight="0"/>
  </sheetPr>
  <dimension ref="A1:AB19"/>
  <sheetViews>
    <sheetView showGridLines="0" workbookViewId="0">
      <selection activeCell="B19" sqref="B19:C19"/>
    </sheetView>
  </sheetViews>
  <sheetFormatPr defaultRowHeight="11.25" outlineLevelCol="1"/>
  <cols>
    <col min="1" max="1" width="3.83203125" customWidth="1"/>
    <col min="2" max="3" width="21.83203125" customWidth="1"/>
    <col min="4" max="4" width="2.83203125" customWidth="1"/>
    <col min="11" max="12" width="9.33203125" customWidth="1" outlineLevel="1"/>
    <col min="13" max="13" width="12.83203125" customWidth="1" outlineLevel="1"/>
    <col min="14" max="14" width="14.83203125" customWidth="1" outlineLevel="1"/>
    <col min="15" max="15" width="9.33203125" customWidth="1" outlineLevel="1"/>
    <col min="17" max="17" width="55.83203125" customWidth="1"/>
    <col min="18" max="18" width="2.83203125" customWidth="1"/>
    <col min="20" max="20" width="13.83203125" customWidth="1"/>
    <col min="23" max="23" width="11.83203125" customWidth="1"/>
    <col min="24" max="25" width="9.5" bestFit="1" customWidth="1"/>
    <col min="26" max="26" width="2.83203125" customWidth="1"/>
    <col min="27" max="27" width="10.33203125" customWidth="1"/>
  </cols>
  <sheetData>
    <row r="1" spans="1:28">
      <c r="A1" s="234"/>
      <c r="B1" s="6"/>
      <c r="C1" s="6" t="b">
        <f>_xll.pdgSettingsSetEvaluationDate(C3)</f>
        <v>1</v>
      </c>
      <c r="D1" s="6"/>
      <c r="E1" s="53"/>
      <c r="F1" s="7"/>
      <c r="P1" s="190" t="b">
        <f>NOT(ISERROR(SUM(P3:P17)))</f>
        <v>1</v>
      </c>
      <c r="Q1" t="b">
        <f>Summary!L9</f>
        <v>0</v>
      </c>
    </row>
    <row r="2" spans="1:28" ht="12.75">
      <c r="A2" s="6"/>
      <c r="B2" s="231" t="s">
        <v>0</v>
      </c>
      <c r="C2" s="232"/>
      <c r="D2" s="6"/>
      <c r="E2" s="86" t="s">
        <v>75</v>
      </c>
      <c r="F2" s="6"/>
      <c r="G2" s="86" t="s">
        <v>1</v>
      </c>
      <c r="H2" s="86" t="s">
        <v>2</v>
      </c>
      <c r="I2" s="86" t="s">
        <v>3</v>
      </c>
      <c r="J2" s="86" t="s">
        <v>4</v>
      </c>
      <c r="K2" s="86" t="s">
        <v>173</v>
      </c>
      <c r="L2" s="86" t="s">
        <v>174</v>
      </c>
      <c r="M2" s="86" t="s">
        <v>176</v>
      </c>
      <c r="N2" s="86" t="s">
        <v>181</v>
      </c>
      <c r="O2" s="86" t="s">
        <v>179</v>
      </c>
      <c r="P2" s="171" t="s">
        <v>179</v>
      </c>
      <c r="Q2" s="86" t="s">
        <v>184</v>
      </c>
      <c r="W2" s="10" t="s">
        <v>161</v>
      </c>
      <c r="X2" s="11" t="s">
        <v>5</v>
      </c>
      <c r="Y2" s="12" t="s">
        <v>6</v>
      </c>
      <c r="Z2" s="6"/>
      <c r="AA2" s="6"/>
      <c r="AB2" s="6"/>
    </row>
    <row r="3" spans="1:28">
      <c r="A3" s="6"/>
      <c r="B3" s="235" t="s">
        <v>73</v>
      </c>
      <c r="C3" s="236">
        <f>Today</f>
        <v>41893</v>
      </c>
      <c r="D3" s="6"/>
      <c r="E3" s="216" t="b">
        <v>1</v>
      </c>
      <c r="F3" s="217">
        <f>W3</f>
        <v>6</v>
      </c>
      <c r="G3" s="218">
        <f>AVERAGE(X3:Y3)</f>
        <v>15</v>
      </c>
      <c r="H3" s="219"/>
      <c r="I3" s="220"/>
      <c r="J3" s="219">
        <f t="shared" ref="J3:J16" si="0">IF(ISNUMBER(H3),H3,G3)+I3</f>
        <v>15</v>
      </c>
      <c r="K3" s="221">
        <f>-_xll.xlShmSwapNPV($C$8,$C$7,$C$6,,F3,-J3/100,$C$14,$C$19,$C$14,$C$19,$C$16,$C$17,,$C$11)</f>
        <v>1.1700182324124744</v>
      </c>
      <c r="L3" s="221">
        <f t="shared" ref="L3" si="1">Notional-K3</f>
        <v>98.829981767587526</v>
      </c>
      <c r="M3" s="222">
        <f>_xll.xlDateWorkFw($C$4,_xll.xlDateShiftMonth($C$6,F3),TRUE)</f>
        <v>42079</v>
      </c>
      <c r="N3" s="223" t="str">
        <f>_xll.pdgDefaultableLoan(,EvaluationDate,Currency,pdgDiscCurve,EntityName,M3,Notional,Notional*Recovery,,FloatingFlag)</f>
        <v>obj_001ef#0004</v>
      </c>
      <c r="O3" s="224">
        <f t="array" ref="O3:O17">_xll.pdgLoanCalibration3(C3,C8,M3:M17,N3:N17,L3:L17,E3:E17,C9,C12)</f>
        <v>9.0203051320903772E-4</v>
      </c>
      <c r="P3" s="225">
        <f>IF(E3,ROUND(O3*(10^4),2),NA())</f>
        <v>9.02</v>
      </c>
      <c r="Q3" s="223" t="str">
        <f>IF(AND($P$1,$Q$1),_xll.RtContribute($T$3,$T$4&amp;F3&amp;$T$5,CHOOSE({1,2},"BID","ASK"),CHOOSE({1,2},P3,P3),"SCOPE:SERVER FTC:ALL"),"--")</f>
        <v>--</v>
      </c>
      <c r="S3" s="13" t="s">
        <v>14</v>
      </c>
      <c r="T3" s="71" t="s">
        <v>162</v>
      </c>
      <c r="W3" s="44">
        <v>6</v>
      </c>
      <c r="X3" s="143">
        <f>_xll.RtGet($AB$3,$AB$4&amp;$W3&amp;$AB$5,X$2)</f>
        <v>15</v>
      </c>
      <c r="Y3" s="144">
        <f>_xll.RtGet($AB$3,$AB$4&amp;$W3&amp;$AB$5,Y$2)</f>
        <v>15</v>
      </c>
      <c r="Z3" s="6"/>
      <c r="AA3" s="13" t="s">
        <v>14</v>
      </c>
      <c r="AB3" s="71" t="s">
        <v>162</v>
      </c>
    </row>
    <row r="4" spans="1:28">
      <c r="A4" s="6"/>
      <c r="B4" s="156" t="s">
        <v>166</v>
      </c>
      <c r="C4" s="237" t="s">
        <v>227</v>
      </c>
      <c r="D4" s="6"/>
      <c r="E4" s="129" t="b">
        <v>1</v>
      </c>
      <c r="F4" s="149">
        <f>W4</f>
        <v>1</v>
      </c>
      <c r="G4" s="151">
        <f t="shared" ref="G4:G17" si="2">AVERAGE(X4:Y4)</f>
        <v>31</v>
      </c>
      <c r="H4" s="152"/>
      <c r="I4" s="153"/>
      <c r="J4" s="152">
        <f t="shared" si="0"/>
        <v>31</v>
      </c>
      <c r="K4" s="162">
        <f>-_xll.xlShmSwapNPV($C$8,$C$7,$C$6,,12*F4,-J4/100,$C$14,$C$19,$C$14,$C$19,$C$16,$C$17,,$C$11)</f>
        <v>2.3272161708041157</v>
      </c>
      <c r="L4" s="162">
        <f t="shared" ref="L4:L17" si="3">Notional-K4</f>
        <v>97.672783829195879</v>
      </c>
      <c r="M4" s="164">
        <f>_xll.xlDateWorkFw($C$4,_xll.xlDateShiftMonth($C$6,12*F4),TRUE)</f>
        <v>42262</v>
      </c>
      <c r="N4" s="169" t="str">
        <f>_xll.pdgDefaultableLoan(,EvaluationDate,Currency,pdgDiscCurve,EntityName,M4,Notional,Notional*Recovery,,FloatingFlag)</f>
        <v>obj_00204#0003</v>
      </c>
      <c r="O4" s="167">
        <v>2.7898255920365575E-3</v>
      </c>
      <c r="P4" s="172">
        <f>IF(E4,ROUND(O4*(10^4),2),P3)</f>
        <v>27.9</v>
      </c>
      <c r="Q4" s="169" t="str">
        <f>IF(AND($P$1,$Q$1),_xll.RtContribute($T$3,$T$4&amp;F4&amp;$T$6,CHOOSE({1,2},"BID","ASK"),CHOOSE({1,2},P4,P4),"SCOPE:SERVER FTC:ALL"),"--")</f>
        <v>--</v>
      </c>
      <c r="S4" s="18" t="s">
        <v>20</v>
      </c>
      <c r="T4" s="72" t="str">
        <f>C9&amp;"ISPTITCDS"</f>
        <v>PLNISPTITCDS</v>
      </c>
      <c r="W4" s="32">
        <v>1</v>
      </c>
      <c r="X4" s="145">
        <f>_xll.RtGet($AB$3,$AB$4&amp;$W4&amp;$AB$6,X$2)</f>
        <v>31</v>
      </c>
      <c r="Y4" s="146">
        <f>_xll.RtGet($AB$3,$AB$4&amp;$W4&amp;$AB$6,Y$2)</f>
        <v>31</v>
      </c>
      <c r="Z4" s="6"/>
      <c r="AA4" s="18" t="s">
        <v>20</v>
      </c>
      <c r="AB4" s="72" t="str">
        <f>C9&amp;"ISPTIT"</f>
        <v>PLNISPTIT</v>
      </c>
    </row>
    <row r="5" spans="1:28">
      <c r="A5" s="6"/>
      <c r="B5" s="200" t="s">
        <v>167</v>
      </c>
      <c r="C5" s="238">
        <v>2</v>
      </c>
      <c r="D5" s="6"/>
      <c r="E5" s="129" t="b">
        <v>1</v>
      </c>
      <c r="F5" s="149">
        <f t="shared" ref="F5:F16" si="4">W5</f>
        <v>2</v>
      </c>
      <c r="G5" s="151">
        <f t="shared" si="2"/>
        <v>45</v>
      </c>
      <c r="H5" s="152"/>
      <c r="I5" s="153"/>
      <c r="J5" s="152">
        <f t="shared" si="0"/>
        <v>45</v>
      </c>
      <c r="K5" s="162">
        <f>-_xll.xlShmSwapNPV($C$8,$C$7,$C$6,,12*F5,-J5/100,$C$14,$C$19,$C$14,$C$19,$C$16,$C$17,,$C$11)</f>
        <v>4.9509677904868505</v>
      </c>
      <c r="L5" s="162">
        <f t="shared" si="3"/>
        <v>95.049032209513143</v>
      </c>
      <c r="M5" s="164">
        <f>_xll.xlDateWorkFw($C$4,_xll.xlDateShiftMonth($C$6,12*F5),TRUE)</f>
        <v>42628</v>
      </c>
      <c r="N5" s="169" t="str">
        <f>_xll.pdgDefaultableLoan(,EvaluationDate,Currency,pdgDiscCurve,EntityName,M5,Notional,Notional*Recovery,,FloatingFlag)</f>
        <v>obj_001fc#0003</v>
      </c>
      <c r="O5" s="167">
        <v>4.4237903439125672E-3</v>
      </c>
      <c r="P5" s="172">
        <f t="shared" ref="P5:P16" si="5">IF(E5,ROUND(O5*(10^4),2),P4)</f>
        <v>44.24</v>
      </c>
      <c r="Q5" s="169" t="str">
        <f>IF(AND($P$1,$Q$1),_xll.RtContribute($T$3,$T$4&amp;F5&amp;$T$6,CHOOSE({1,2},"BID","ASK"),CHOOSE({1,2},P5,P5),"SCOPE:SERVER FTC:ALL"),"--")</f>
        <v>--</v>
      </c>
      <c r="S5" s="18" t="s">
        <v>24</v>
      </c>
      <c r="T5" s="141" t="s">
        <v>183</v>
      </c>
      <c r="W5" s="32">
        <v>2</v>
      </c>
      <c r="X5" s="145">
        <f>_xll.RtGet($AB$3,$AB$4&amp;$W5&amp;$AB$6,X$2)</f>
        <v>45</v>
      </c>
      <c r="Y5" s="146">
        <f>_xll.RtGet($AB$3,$AB$4&amp;$W5&amp;$AB$6,Y$2)</f>
        <v>45</v>
      </c>
      <c r="Z5" s="6"/>
      <c r="AA5" s="18" t="s">
        <v>24</v>
      </c>
      <c r="AB5" s="141" t="s">
        <v>164</v>
      </c>
    </row>
    <row r="6" spans="1:28">
      <c r="A6" s="7"/>
      <c r="B6" s="157" t="s">
        <v>172</v>
      </c>
      <c r="C6" s="239">
        <f>_xll.xlDateSettle(Calendar,EvaluationDate,SettlementDays)</f>
        <v>41897</v>
      </c>
      <c r="D6" s="6"/>
      <c r="E6" s="129" t="b">
        <v>1</v>
      </c>
      <c r="F6" s="149">
        <f t="shared" si="4"/>
        <v>3</v>
      </c>
      <c r="G6" s="151">
        <f t="shared" si="2"/>
        <v>54</v>
      </c>
      <c r="H6" s="152"/>
      <c r="I6" s="153"/>
      <c r="J6" s="152">
        <f t="shared" si="0"/>
        <v>54</v>
      </c>
      <c r="K6" s="162">
        <f>-_xll.xlShmSwapNPV($C$8,$C$7,$C$6,,12*F6,-J6/100,$C$14,$C$19,$C$14,$C$19,$C$16,$C$17,,$C$11)</f>
        <v>7.7931849473747805</v>
      </c>
      <c r="L6" s="162">
        <f t="shared" si="3"/>
        <v>92.206815052625217</v>
      </c>
      <c r="M6" s="164">
        <f>_xll.xlDateWorkFw($C$4,_xll.xlDateShiftMonth($C$6,12*F6),TRUE)</f>
        <v>42993</v>
      </c>
      <c r="N6" s="169" t="str">
        <f>_xll.pdgDefaultableLoan(,EvaluationDate,Currency,pdgDiscCurve,EntityName,M6,Notional,Notional*Recovery,,FloatingFlag)</f>
        <v>obj_001f7#0003</v>
      </c>
      <c r="O6" s="167">
        <v>5.5150373398135145E-3</v>
      </c>
      <c r="P6" s="172">
        <f t="shared" si="5"/>
        <v>55.15</v>
      </c>
      <c r="Q6" s="169" t="str">
        <f>IF(AND($P$1,$Q$1),_xll.RtContribute($T$3,$T$4&amp;F6&amp;$T$6,CHOOSE({1,2},"BID","ASK"),CHOOSE({1,2},P6,P6),"SCOPE:SERVER FTC:ALL"),"--")</f>
        <v>--</v>
      </c>
      <c r="S6" s="24" t="s">
        <v>24</v>
      </c>
      <c r="T6" s="142" t="s">
        <v>17</v>
      </c>
      <c r="W6" s="32">
        <v>3</v>
      </c>
      <c r="X6" s="145">
        <f>_xll.RtGet($AB$3,$AB$4&amp;$W6&amp;$AB$6,X$2)</f>
        <v>54</v>
      </c>
      <c r="Y6" s="146">
        <f>_xll.RtGet($AB$3,$AB$4&amp;$W6&amp;$AB$6,Y$2)</f>
        <v>54</v>
      </c>
      <c r="Z6" s="6"/>
      <c r="AA6" s="24" t="s">
        <v>24</v>
      </c>
      <c r="AB6" s="142" t="s">
        <v>165</v>
      </c>
    </row>
    <row r="7" spans="1:28">
      <c r="A7" s="7"/>
      <c r="B7" s="242" t="s">
        <v>168</v>
      </c>
      <c r="C7" s="243" t="str">
        <f>C8</f>
        <v>PLNSTD</v>
      </c>
      <c r="D7" s="6"/>
      <c r="E7" s="129" t="b">
        <v>1</v>
      </c>
      <c r="F7" s="149">
        <f t="shared" si="4"/>
        <v>4</v>
      </c>
      <c r="G7" s="151">
        <f t="shared" si="2"/>
        <v>65</v>
      </c>
      <c r="H7" s="152"/>
      <c r="I7" s="153"/>
      <c r="J7" s="152">
        <f t="shared" si="0"/>
        <v>65</v>
      </c>
      <c r="K7" s="162">
        <f>-_xll.xlShmSwapNPV($C$8,$C$7,$C$6,,12*F7,-J7/100,$C$14,$C$19,$C$14,$C$19,$C$16,$C$17,,$C$11)</f>
        <v>11.176387839721025</v>
      </c>
      <c r="L7" s="162">
        <f t="shared" si="3"/>
        <v>88.823612160278969</v>
      </c>
      <c r="M7" s="164">
        <f>_xll.xlDateWorkFw($C$4,_xll.xlDateShiftMonth($C$6,12*F7),TRUE)</f>
        <v>43360</v>
      </c>
      <c r="N7" s="169" t="str">
        <f>_xll.pdgDefaultableLoan(,EvaluationDate,Currency,pdgDiscCurve,EntityName,M7,Notional,Notional*Recovery,,FloatingFlag)</f>
        <v>obj_001f3#0003</v>
      </c>
      <c r="O7" s="167">
        <v>6.8611026123080688E-3</v>
      </c>
      <c r="P7" s="172">
        <f t="shared" si="5"/>
        <v>68.61</v>
      </c>
      <c r="Q7" s="169" t="str">
        <f>IF(AND($P$1,$Q$1),_xll.RtContribute($T$3,$T$4&amp;F7&amp;$T$6,CHOOSE({1,2},"BID","ASK"),CHOOSE({1,2},P7,P7),"SCOPE:SERVER FTC:ALL"),"--")</f>
        <v>--</v>
      </c>
      <c r="W7" s="32">
        <v>4</v>
      </c>
      <c r="X7" s="145">
        <f>_xll.RtGet($AB$3,$AB$4&amp;$W7&amp;$AB$6,X$2)</f>
        <v>65</v>
      </c>
      <c r="Y7" s="146">
        <f>_xll.RtGet($AB$3,$AB$4&amp;$W7&amp;$AB$6,Y$2)</f>
        <v>65</v>
      </c>
      <c r="Z7" s="6"/>
      <c r="AA7" s="6"/>
      <c r="AB7" s="6"/>
    </row>
    <row r="8" spans="1:28">
      <c r="A8" s="7"/>
      <c r="B8" s="240" t="s">
        <v>169</v>
      </c>
      <c r="C8" s="241" t="str">
        <f>PLNSTD!CurveName</f>
        <v>PLNSTD</v>
      </c>
      <c r="D8" s="6"/>
      <c r="E8" s="129" t="b">
        <v>1</v>
      </c>
      <c r="F8" s="149">
        <f t="shared" si="4"/>
        <v>5</v>
      </c>
      <c r="G8" s="151">
        <f t="shared" si="2"/>
        <v>69</v>
      </c>
      <c r="H8" s="152"/>
      <c r="I8" s="153"/>
      <c r="J8" s="152">
        <f t="shared" si="0"/>
        <v>69</v>
      </c>
      <c r="K8" s="162">
        <f>-_xll.xlShmSwapNPV($C$8,$C$7,$C$6,,12*F8,-J8/100,$C$14,$C$19,$C$14,$C$19,$C$16,$C$17,,$C$11)</f>
        <v>14.533596051422949</v>
      </c>
      <c r="L8" s="162">
        <f t="shared" si="3"/>
        <v>85.466403948577053</v>
      </c>
      <c r="M8" s="164">
        <f>_xll.xlDateWorkFw($C$4,_xll.xlDateShiftMonth($C$6,12*F8),TRUE)</f>
        <v>43724</v>
      </c>
      <c r="N8" s="169" t="str">
        <f>_xll.pdgDefaultableLoan(,EvaluationDate,Currency,pdgDiscCurve,EntityName,M8,Notional,Notional*Recovery,,FloatingFlag)</f>
        <v>obj_001f9#0003</v>
      </c>
      <c r="O8" s="167">
        <v>7.5536302541765318E-3</v>
      </c>
      <c r="P8" s="172">
        <f t="shared" si="5"/>
        <v>75.540000000000006</v>
      </c>
      <c r="Q8" s="169" t="str">
        <f>IF(AND($P$1,$Q$1),_xll.RtContribute($T$3,$T$4&amp;F8&amp;$T$6,CHOOSE({1,2},"BID","ASK"),CHOOSE({1,2},P8,P8),"SCOPE:SERVER FTC:ALL"),"--")</f>
        <v>--</v>
      </c>
      <c r="W8" s="32">
        <v>5</v>
      </c>
      <c r="X8" s="145">
        <f>_xll.RtGet($AB$3,$AB$4&amp;$W8&amp;$AB$6,X$2)</f>
        <v>69</v>
      </c>
      <c r="Y8" s="146">
        <f>_xll.RtGet($AB$3,$AB$4&amp;$W8&amp;$AB$6,Y$2)</f>
        <v>69</v>
      </c>
      <c r="Z8" s="6"/>
      <c r="AA8" s="6"/>
      <c r="AB8" s="6"/>
    </row>
    <row r="9" spans="1:28">
      <c r="A9" s="7"/>
      <c r="B9" s="245" t="s">
        <v>76</v>
      </c>
      <c r="C9" s="246" t="s">
        <v>227</v>
      </c>
      <c r="D9" s="6"/>
      <c r="E9" s="129" t="b">
        <v>1</v>
      </c>
      <c r="F9" s="149">
        <f t="shared" si="4"/>
        <v>6</v>
      </c>
      <c r="G9" s="151">
        <f t="shared" si="2"/>
        <v>80</v>
      </c>
      <c r="H9" s="152"/>
      <c r="I9" s="153"/>
      <c r="J9" s="152">
        <f t="shared" si="0"/>
        <v>80</v>
      </c>
      <c r="K9" s="162">
        <f>-_xll.xlShmSwapNPV($C$8,$C$7,$C$6,,12*F9,-J9/100,$C$14,$C$19,$C$14,$C$19,$C$16,$C$17,,$C$11)</f>
        <v>18.425780008024216</v>
      </c>
      <c r="L9" s="162">
        <f t="shared" si="3"/>
        <v>81.574219991975781</v>
      </c>
      <c r="M9" s="164">
        <f>_xll.xlDateWorkFw($C$4,_xll.xlDateShiftMonth($C$6,12*F9),TRUE)</f>
        <v>44089</v>
      </c>
      <c r="N9" s="169" t="str">
        <f>_xll.pdgDefaultableLoan(,EvaluationDate,Currency,pdgDiscCurve,EntityName,M9,Notional,Notional*Recovery,,FloatingFlag)</f>
        <v>obj_00217#0003</v>
      </c>
      <c r="O9" s="167">
        <v>9.0215432694643952E-3</v>
      </c>
      <c r="P9" s="172">
        <f t="shared" si="5"/>
        <v>90.22</v>
      </c>
      <c r="Q9" s="169" t="str">
        <f>IF(AND($P$1,$Q$1),_xll.RtContribute($T$3,$T$4&amp;F9&amp;$T$6,CHOOSE({1,2},"BID","ASK"),CHOOSE({1,2},P9,P9),"SCOPE:SERVER FTC:ALL"),"--")</f>
        <v>--</v>
      </c>
      <c r="W9" s="32">
        <v>6</v>
      </c>
      <c r="X9" s="145">
        <f>_xll.RtGet($AB$3,$AB$4&amp;$W9&amp;$AB$6,X$2)</f>
        <v>80</v>
      </c>
      <c r="Y9" s="146">
        <f>_xll.RtGet($AB$3,$AB$4&amp;$W9&amp;$AB$6,Y$2)</f>
        <v>80</v>
      </c>
      <c r="Z9" s="6"/>
      <c r="AA9" s="6"/>
      <c r="AB9" s="6"/>
    </row>
    <row r="10" spans="1:28">
      <c r="A10" s="7"/>
      <c r="B10" s="244" t="s">
        <v>250</v>
      </c>
      <c r="C10" s="241" t="str">
        <f>UPPER("UNICA_"&amp;Currency)</f>
        <v>UNICA_PLN</v>
      </c>
      <c r="D10" s="6"/>
      <c r="E10" s="129" t="b">
        <v>1</v>
      </c>
      <c r="F10" s="149">
        <f t="shared" si="4"/>
        <v>7</v>
      </c>
      <c r="G10" s="151">
        <f t="shared" si="2"/>
        <v>83</v>
      </c>
      <c r="H10" s="152"/>
      <c r="I10" s="153"/>
      <c r="J10" s="152">
        <f t="shared" si="0"/>
        <v>83</v>
      </c>
      <c r="K10" s="162">
        <f>-_xll.xlShmSwapNPV($C$8,$C$7,$C$6,,12*F10,-J10/100,$C$14,$C$19,$C$14,$C$19,$C$16,$C$17,,$C$11)</f>
        <v>22.029077604655022</v>
      </c>
      <c r="L10" s="162">
        <f t="shared" si="3"/>
        <v>77.970922395344985</v>
      </c>
      <c r="M10" s="164">
        <f>_xll.xlDateWorkFw($C$4,_xll.xlDateShiftMonth($C$6,12*F10),TRUE)</f>
        <v>44454</v>
      </c>
      <c r="N10" s="169" t="str">
        <f>_xll.pdgDefaultableLoan(,EvaluationDate,Currency,pdgDiscCurve,EntityName,M10,Notional,Notional*Recovery,,FloatingFlag)</f>
        <v>obj_00214#0003</v>
      </c>
      <c r="O10" s="167">
        <v>9.7449556040195146E-3</v>
      </c>
      <c r="P10" s="172">
        <f t="shared" si="5"/>
        <v>97.45</v>
      </c>
      <c r="Q10" s="169" t="str">
        <f>IF(AND($P$1,$Q$1),_xll.RtContribute($T$3,$T$4&amp;F10&amp;$T$6,CHOOSE({1,2},"BID","ASK"),CHOOSE({1,2},P10,P10),"SCOPE:SERVER FTC:ALL"),"--")</f>
        <v>--</v>
      </c>
      <c r="W10" s="32">
        <v>7</v>
      </c>
      <c r="X10" s="145">
        <f>_xll.RtGet($AB$3,$AB$4&amp;$W10&amp;$AB$6,X$2)</f>
        <v>83</v>
      </c>
      <c r="Y10" s="146">
        <f>_xll.RtGet($AB$3,$AB$4&amp;$W10&amp;$AB$6,Y$2)</f>
        <v>83</v>
      </c>
      <c r="Z10" s="6"/>
      <c r="AA10" s="6"/>
      <c r="AB10" s="6"/>
    </row>
    <row r="11" spans="1:28">
      <c r="B11" s="244" t="s">
        <v>175</v>
      </c>
      <c r="C11" s="249">
        <v>100</v>
      </c>
      <c r="E11" s="129" t="b">
        <v>1</v>
      </c>
      <c r="F11" s="149">
        <f t="shared" si="4"/>
        <v>8</v>
      </c>
      <c r="G11" s="151">
        <f t="shared" si="2"/>
        <v>89</v>
      </c>
      <c r="H11" s="152"/>
      <c r="I11" s="153"/>
      <c r="J11" s="152">
        <f t="shared" si="0"/>
        <v>89</v>
      </c>
      <c r="K11" s="162">
        <f>-_xll.xlShmSwapNPV($C$8,$C$7,$C$6,,12*F11,-J11/100,$C$14,$C$19,$C$14,$C$19,$C$16,$C$17,,$C$11)</f>
        <v>25.879385765335009</v>
      </c>
      <c r="L11" s="162">
        <f t="shared" si="3"/>
        <v>74.120614234664998</v>
      </c>
      <c r="M11" s="164">
        <f>_xll.xlDateWorkFw($C$4,_xll.xlDateShiftMonth($C$6,12*F11),TRUE)</f>
        <v>44819</v>
      </c>
      <c r="N11" s="169" t="str">
        <f>_xll.pdgDefaultableLoan(,EvaluationDate,Currency,pdgDiscCurve,EntityName,M11,Notional,Notional*Recovery,,FloatingFlag)</f>
        <v>obj_00212#0003</v>
      </c>
      <c r="O11" s="167">
        <v>1.0832550599108043E-2</v>
      </c>
      <c r="P11" s="172">
        <f t="shared" si="5"/>
        <v>108.33</v>
      </c>
      <c r="Q11" s="169" t="str">
        <f>IF(AND($P$1,$Q$1),_xll.RtContribute($T$3,$T$4&amp;F11&amp;$T$6,CHOOSE({1,2},"BID","ASK"),CHOOSE({1,2},P11,P11),"SCOPE:SERVER FTC:ALL"),"--")</f>
        <v>--</v>
      </c>
      <c r="W11" s="32">
        <v>8</v>
      </c>
      <c r="X11" s="145">
        <f>_xll.RtGet($AB$3,$AB$4&amp;$W11&amp;$AB$6,X$2)</f>
        <v>89</v>
      </c>
      <c r="Y11" s="146">
        <f>_xll.RtGet($AB$3,$AB$4&amp;$W11&amp;$AB$6,Y$2)</f>
        <v>89</v>
      </c>
      <c r="Z11" s="6"/>
      <c r="AA11" s="6"/>
      <c r="AB11" s="6"/>
    </row>
    <row r="12" spans="1:28">
      <c r="B12" s="244" t="s">
        <v>180</v>
      </c>
      <c r="C12" s="248">
        <v>0.4</v>
      </c>
      <c r="E12" s="129" t="b">
        <v>1</v>
      </c>
      <c r="F12" s="149">
        <f t="shared" si="4"/>
        <v>9</v>
      </c>
      <c r="G12" s="151">
        <f t="shared" si="2"/>
        <v>93</v>
      </c>
      <c r="H12" s="152"/>
      <c r="I12" s="153"/>
      <c r="J12" s="152">
        <f t="shared" si="0"/>
        <v>93</v>
      </c>
      <c r="K12" s="162">
        <f>-_xll.xlShmSwapNPV($C$8,$C$7,$C$6,,12*F12,-J12/100,$C$14,$C$19,$C$14,$C$19,$C$16,$C$17,,$C$11)</f>
        <v>29.664605720424028</v>
      </c>
      <c r="L12" s="162">
        <f t="shared" si="3"/>
        <v>70.335394279575979</v>
      </c>
      <c r="M12" s="164">
        <f>_xll.xlDateWorkFw($C$4,_xll.xlDateShiftMonth($C$6,12*F12),TRUE)</f>
        <v>45184</v>
      </c>
      <c r="N12" s="169" t="str">
        <f>_xll.pdgDefaultableLoan(,EvaluationDate,Currency,pdgDiscCurve,EntityName,M12,Notional,Notional*Recovery,,FloatingFlag)</f>
        <v>obj_00200#0003</v>
      </c>
      <c r="O12" s="167">
        <v>1.1787438676775746E-2</v>
      </c>
      <c r="P12" s="172">
        <f t="shared" si="5"/>
        <v>117.87</v>
      </c>
      <c r="Q12" s="169" t="str">
        <f>IF(AND($P$1,$Q$1),_xll.RtContribute($T$3,$T$4&amp;F12&amp;$T$6,CHOOSE({1,2},"BID","ASK"),CHOOSE({1,2},P12,P12),"SCOPE:SERVER FTC:ALL"),"--")</f>
        <v>--</v>
      </c>
      <c r="W12" s="32">
        <v>9</v>
      </c>
      <c r="X12" s="145">
        <f>_xll.RtGet($AB$3,$AB$4&amp;$W12&amp;$AB$6,X$2)</f>
        <v>93</v>
      </c>
      <c r="Y12" s="146">
        <f>_xll.RtGet($AB$3,$AB$4&amp;$W12&amp;$AB$6,Y$2)</f>
        <v>93</v>
      </c>
      <c r="Z12" s="6"/>
      <c r="AA12" s="6"/>
      <c r="AB12" s="6"/>
    </row>
    <row r="13" spans="1:28">
      <c r="B13" s="247" t="s">
        <v>251</v>
      </c>
      <c r="C13" s="248" t="s">
        <v>252</v>
      </c>
      <c r="E13" s="129" t="b">
        <v>1</v>
      </c>
      <c r="F13" s="149">
        <f t="shared" si="4"/>
        <v>10</v>
      </c>
      <c r="G13" s="151">
        <f t="shared" si="2"/>
        <v>100.875</v>
      </c>
      <c r="H13" s="152"/>
      <c r="I13" s="153"/>
      <c r="J13" s="152">
        <f t="shared" si="0"/>
        <v>100.875</v>
      </c>
      <c r="K13" s="162">
        <f>-_xll.xlShmSwapNPV($C$8,$C$7,$C$6,,12*F13,-J13/100,$C$14,$C$19,$C$14,$C$19,$C$16,$C$17,,$C$11)</f>
        <v>33.779253605270668</v>
      </c>
      <c r="L13" s="162">
        <f t="shared" si="3"/>
        <v>66.220746394729332</v>
      </c>
      <c r="M13" s="164">
        <f>_xll.xlDateWorkFw($C$4,_xll.xlDateShiftMonth($C$6,12*F13),TRUE)</f>
        <v>45551</v>
      </c>
      <c r="N13" s="169" t="str">
        <f>_xll.pdgDefaultableLoan(,EvaluationDate,Currency,pdgDiscCurve,EntityName,M13,Notional,Notional*Recovery,,FloatingFlag)</f>
        <v>obj_001ff#0003</v>
      </c>
      <c r="O13" s="167">
        <v>1.3231797909511107E-2</v>
      </c>
      <c r="P13" s="172">
        <f>IF(E13,ROUND(O13*(10^4),2),P12)</f>
        <v>132.32</v>
      </c>
      <c r="Q13" s="169" t="str">
        <f>IF(AND($P$1,$Q$1),_xll.RtContribute($T$3,$T$4&amp;F13&amp;$T$6,CHOOSE({1,2},"BID","ASK"),CHOOSE({1,2},P13,P13),"SCOPE:SERVER FTC:ALL"),"--")</f>
        <v>--</v>
      </c>
      <c r="W13" s="32">
        <v>10</v>
      </c>
      <c r="X13" s="145">
        <f>_xll.RtGet($AB$3,$AB$4&amp;$W13&amp;$AB$6,X$2)</f>
        <v>101</v>
      </c>
      <c r="Y13" s="146">
        <f>_xll.RtGet($AB$3,$AB$4&amp;$W13&amp;$AB$6,Y$2)</f>
        <v>100.75</v>
      </c>
      <c r="Z13" s="6"/>
      <c r="AA13" s="6"/>
      <c r="AB13" s="6"/>
    </row>
    <row r="14" spans="1:28">
      <c r="B14" s="160" t="s">
        <v>170</v>
      </c>
      <c r="C14" s="94">
        <v>4</v>
      </c>
      <c r="E14" s="129" t="b">
        <v>1</v>
      </c>
      <c r="F14" s="149">
        <f t="shared" si="4"/>
        <v>15</v>
      </c>
      <c r="G14" s="151">
        <f t="shared" si="2"/>
        <v>139.75</v>
      </c>
      <c r="H14" s="152"/>
      <c r="I14" s="153"/>
      <c r="J14" s="152">
        <f t="shared" si="0"/>
        <v>139.75</v>
      </c>
      <c r="K14" s="162">
        <f>-_xll.xlShmSwapNPV($C$8,$C$7,$C$6,,12*F14,-J14/100,$C$14,$C$19,$C$14,$C$19,$C$16,$C$17,,$C$11)</f>
        <v>54.419028309997103</v>
      </c>
      <c r="L14" s="162">
        <f t="shared" si="3"/>
        <v>45.580971690002897</v>
      </c>
      <c r="M14" s="164">
        <f>_xll.xlDateWorkFw($C$4,_xll.xlDateShiftMonth($C$6,12*F14),TRUE)</f>
        <v>47378</v>
      </c>
      <c r="N14" s="169" t="str">
        <f>_xll.pdgDefaultableLoan(,EvaluationDate,Currency,pdgDiscCurve,EntityName,M14,Notional,Notional*Recovery,,FloatingFlag)</f>
        <v>obj_00206#0003</v>
      </c>
      <c r="O14" s="167">
        <v>2.2897301544517655E-2</v>
      </c>
      <c r="P14" s="172">
        <f t="shared" si="5"/>
        <v>228.97</v>
      </c>
      <c r="Q14" s="169" t="str">
        <f>IF(AND($P$1,$Q$1),_xll.RtContribute($T$3,$T$4&amp;F14&amp;$T$6,CHOOSE({1,2},"BID","ASK"),CHOOSE({1,2},P14,P14),"SCOPE:SERVER FTC:ALL"),"--")</f>
        <v>--</v>
      </c>
      <c r="W14" s="32">
        <v>15</v>
      </c>
      <c r="X14" s="145">
        <f>_xll.RtGet($AB$3,$AB$4&amp;$W14&amp;$AB$6,X$2)</f>
        <v>140</v>
      </c>
      <c r="Y14" s="146">
        <f>_xll.RtGet($AB$3,$AB$4&amp;$W14&amp;$AB$6,Y$2)</f>
        <v>139.5</v>
      </c>
      <c r="Z14" s="6"/>
      <c r="AA14" s="6"/>
      <c r="AB14" s="6"/>
    </row>
    <row r="15" spans="1:28">
      <c r="B15" s="158" t="s">
        <v>171</v>
      </c>
      <c r="C15" s="102" t="s">
        <v>116</v>
      </c>
      <c r="E15" s="129" t="b">
        <v>0</v>
      </c>
      <c r="F15" s="149">
        <f t="shared" si="4"/>
        <v>20</v>
      </c>
      <c r="G15" s="151">
        <f t="shared" si="2"/>
        <v>165.6</v>
      </c>
      <c r="H15" s="152"/>
      <c r="I15" s="153"/>
      <c r="J15" s="152">
        <f t="shared" si="0"/>
        <v>165.6</v>
      </c>
      <c r="K15" s="162">
        <f>-_xll.xlShmSwapNPV($C$8,$C$7,$C$6,,12*F15,-J15/100,$C$14,$C$19,$C$14,$C$19,$C$16,$C$17,,$C$11)</f>
        <v>71.333894956966773</v>
      </c>
      <c r="L15" s="162">
        <f t="shared" si="3"/>
        <v>28.666105043033227</v>
      </c>
      <c r="M15" s="164">
        <f>_xll.xlDateWorkFw($C$4,_xll.xlDateShiftMonth($C$6,12*F15),TRUE)</f>
        <v>49202</v>
      </c>
      <c r="N15" s="169" t="str">
        <f>_xll.pdgDefaultableLoan(,EvaluationDate,Currency,pdgDiscCurve,EntityName,M15,Notional,Notional*Recovery,,FloatingFlag)</f>
        <v>obj_0020c#0003</v>
      </c>
      <c r="O15" s="167">
        <v>0</v>
      </c>
      <c r="P15" s="172">
        <f t="shared" si="5"/>
        <v>228.97</v>
      </c>
      <c r="Q15" s="169" t="str">
        <f>IF(AND($P$1,$Q$1),_xll.RtContribute($T$3,$T$4&amp;F15&amp;$T$6,CHOOSE({1,2},"BID","ASK"),CHOOSE({1,2},P15,P15),"SCOPE:SERVER FTC:ALL"),"--")</f>
        <v>--</v>
      </c>
      <c r="W15" s="32">
        <v>20</v>
      </c>
      <c r="X15" s="145">
        <f>_xll.RtGet($AB$3,$AB$4&amp;$W15&amp;$AB$6,X$2)</f>
        <v>166</v>
      </c>
      <c r="Y15" s="146">
        <f>_xll.RtGet($AB$3,$AB$4&amp;$W15&amp;$AB$6,Y$2)</f>
        <v>165.2</v>
      </c>
      <c r="AA15" s="6"/>
      <c r="AB15" s="6"/>
    </row>
    <row r="16" spans="1:28">
      <c r="B16" s="158" t="s">
        <v>177</v>
      </c>
      <c r="C16" s="95" t="b">
        <v>1</v>
      </c>
      <c r="E16" s="129" t="b">
        <v>0</v>
      </c>
      <c r="F16" s="149">
        <f t="shared" si="4"/>
        <v>25</v>
      </c>
      <c r="G16" s="151">
        <f t="shared" si="2"/>
        <v>187.5</v>
      </c>
      <c r="H16" s="152"/>
      <c r="I16" s="153"/>
      <c r="J16" s="152">
        <f t="shared" si="0"/>
        <v>187.5</v>
      </c>
      <c r="K16" s="162">
        <f>-_xll.xlShmSwapNPV($C$8,$C$7,$C$6,,12*F16,-J16/100,$C$14,$C$19,$C$14,$C$19,$C$16,$C$17,,$C$11)</f>
        <v>87.017243246902225</v>
      </c>
      <c r="L16" s="162">
        <f t="shared" si="3"/>
        <v>12.982756753097775</v>
      </c>
      <c r="M16" s="164">
        <f>_xll.xlDateWorkFw($C$4,_xll.xlDateShiftMonth($C$6,12*F16),TRUE)</f>
        <v>51028</v>
      </c>
      <c r="N16" s="169" t="str">
        <f>_xll.pdgDefaultableLoan(,EvaluationDate,Currency,pdgDiscCurve,EntityName,M16,Notional,Notional*Recovery,,FloatingFlag)</f>
        <v>obj_00203#0003</v>
      </c>
      <c r="O16" s="167">
        <v>0</v>
      </c>
      <c r="P16" s="172">
        <f t="shared" si="5"/>
        <v>228.97</v>
      </c>
      <c r="Q16" s="169" t="str">
        <f>IF(AND($P$1,$Q$1),_xll.RtContribute($T$3,$T$4&amp;F16&amp;$T$6,CHOOSE({1,2},"BID","ASK"),CHOOSE({1,2},P16,P16),"SCOPE:SERVER FTC:ALL"),"--")</f>
        <v>--</v>
      </c>
      <c r="W16" s="32">
        <v>25</v>
      </c>
      <c r="X16" s="145">
        <f>_xll.RtGet($AB$3,$AB$4&amp;$W16&amp;$AB$6,X$2)</f>
        <v>188</v>
      </c>
      <c r="Y16" s="146">
        <f>_xll.RtGet($AB$3,$AB$4&amp;$W16&amp;$AB$6,Y$2)</f>
        <v>187</v>
      </c>
    </row>
    <row r="17" spans="2:25">
      <c r="B17" s="166" t="s">
        <v>178</v>
      </c>
      <c r="C17" s="96" t="b">
        <v>1</v>
      </c>
      <c r="E17" s="130" t="b">
        <v>0</v>
      </c>
      <c r="F17" s="150">
        <f>W17</f>
        <v>30</v>
      </c>
      <c r="G17" s="154">
        <f t="shared" si="2"/>
        <v>194.5</v>
      </c>
      <c r="H17" s="155"/>
      <c r="I17" s="174"/>
      <c r="J17" s="155">
        <f>IF(ISNUMBER(H17),H17,G17)+I17</f>
        <v>194.5</v>
      </c>
      <c r="K17" s="163">
        <f>-_xll.xlShmSwapNPV($C$8,$C$7,$C$6,,12*F17,-J17/100,$C$14,$C$19,$C$14,$C$19,$C$16,$C$17,,$C$11)</f>
        <v>98.993880991079692</v>
      </c>
      <c r="L17" s="163">
        <f t="shared" si="3"/>
        <v>1.006119008920308</v>
      </c>
      <c r="M17" s="165">
        <f>_xll.xlDateWorkFw($C$4,_xll.xlDateShiftMonth($C$6,12*F17),TRUE)</f>
        <v>52855</v>
      </c>
      <c r="N17" s="170" t="str">
        <f>_xll.pdgDefaultableLoan(,EvaluationDate,Currency,pdgDiscCurve,EntityName,M17,Notional,Notional*Recovery,,FloatingFlag)</f>
        <v>obj_001fb#0003</v>
      </c>
      <c r="O17" s="168">
        <v>0</v>
      </c>
      <c r="P17" s="173">
        <f>IF(E17,ROUND(O17*(10^4),2),P16)</f>
        <v>228.97</v>
      </c>
      <c r="Q17" s="170" t="str">
        <f>IF(AND($P$1,$Q$1),_xll.RtContribute($T$3,$T$4&amp;F17&amp;$T$6,CHOOSE({1,2},"BID","ASK"),CHOOSE({1,2},P17,P17),"SCOPE:SERVER FTC:ALL"),"--")</f>
        <v>--</v>
      </c>
      <c r="W17" s="33">
        <v>30</v>
      </c>
      <c r="X17" s="147">
        <f>_xll.RtGet($AB$3,$AB$4&amp;$W17&amp;$AB$6,X$2)</f>
        <v>195</v>
      </c>
      <c r="Y17" s="148">
        <f>_xll.RtGet($AB$3,$AB$4&amp;$W17&amp;$AB$6,Y$2)</f>
        <v>194</v>
      </c>
    </row>
    <row r="19" spans="2:25">
      <c r="B19" s="56" t="s">
        <v>87</v>
      </c>
      <c r="C19" s="57">
        <f>VLOOKUP(C15,dvCurveBootstrapperDayCount,2,FALSE)</f>
        <v>5</v>
      </c>
    </row>
  </sheetData>
  <dataConsolidate/>
  <mergeCells count="1">
    <mergeCell ref="B2:C2"/>
  </mergeCells>
  <conditionalFormatting sqref="E3:E17">
    <cfRule type="cellIs" dxfId="4" priority="4" stopIfTrue="1" operator="equal">
      <formula>FALSE</formula>
    </cfRule>
  </conditionalFormatting>
  <conditionalFormatting sqref="G3:J17">
    <cfRule type="expression" dxfId="3" priority="1" stopIfTrue="1">
      <formula>NOT($E3)</formula>
    </cfRule>
  </conditionalFormatting>
  <conditionalFormatting sqref="J3:J17">
    <cfRule type="expression" dxfId="2" priority="2" stopIfTrue="1">
      <formula>ISNUMBER(H3)</formula>
    </cfRule>
    <cfRule type="expression" dxfId="1" priority="3" stopIfTrue="1">
      <formula>ISNUMBER(I3)</formula>
    </cfRule>
  </conditionalFormatting>
  <conditionalFormatting sqref="P1">
    <cfRule type="cellIs" dxfId="0" priority="5" operator="equal">
      <formula>FALSE</formula>
    </cfRule>
  </conditionalFormatting>
  <dataValidations count="2">
    <dataValidation type="list" allowBlank="1" showInputMessage="1" showErrorMessage="1" sqref="C15">
      <formula1>INDEX(dvCurveBootstrapperDayCount,0,1)</formula1>
    </dataValidation>
    <dataValidation type="list" allowBlank="1" showInputMessage="1" showErrorMessage="1" sqref="E3:E17 C16:C17 Q1">
      <formula1>dvBool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62</vt:i4>
      </vt:variant>
    </vt:vector>
  </HeadingPairs>
  <TitlesOfParts>
    <vt:vector size="71" baseType="lpstr">
      <vt:lpstr>dvCurveBootstrapperOptions</vt:lpstr>
      <vt:lpstr>Summary</vt:lpstr>
      <vt:lpstr>STD</vt:lpstr>
      <vt:lpstr>3M</vt:lpstr>
      <vt:lpstr>UNICA</vt:lpstr>
      <vt:lpstr>HUFSTD</vt:lpstr>
      <vt:lpstr>UNICAHUF</vt:lpstr>
      <vt:lpstr>PLNSTD</vt:lpstr>
      <vt:lpstr>UNICAPLN</vt:lpstr>
      <vt:lpstr>UNICA!Calendar</vt:lpstr>
      <vt:lpstr>UNICAHUF!Calendar</vt:lpstr>
      <vt:lpstr>UNICAPLN!Calendar</vt:lpstr>
      <vt:lpstr>UNICA!Currency</vt:lpstr>
      <vt:lpstr>UNICAHUF!Currency</vt:lpstr>
      <vt:lpstr>UNICAPLN!Currency</vt:lpstr>
      <vt:lpstr>'3M'!CurveTrigger</vt:lpstr>
      <vt:lpstr>HUFSTD!CurveTrigger</vt:lpstr>
      <vt:lpstr>PLNSTD!CurveTrigger</vt:lpstr>
      <vt:lpstr>STD!CurveTrigger</vt:lpstr>
      <vt:lpstr>dvBool</vt:lpstr>
      <vt:lpstr>dvCurveBootstrapperCompounding</vt:lpstr>
      <vt:lpstr>dvCurveBootstrapperDayCount</vt:lpstr>
      <vt:lpstr>dvCurveBootstrapperFraFutAdjust</vt:lpstr>
      <vt:lpstr>dvCurveBootstrapperFutCons</vt:lpstr>
      <vt:lpstr>dvCurveBootstrapperFutEndDate</vt:lpstr>
      <vt:lpstr>dvCurveBootstrapperInterpOn</vt:lpstr>
      <vt:lpstr>dvCurveBootstrapperInterpType</vt:lpstr>
      <vt:lpstr>dvCurveBootstrapperMatCons</vt:lpstr>
      <vt:lpstr>dvCurveBootstrapperOutputType</vt:lpstr>
      <vt:lpstr>dvCurveBootstrapperSwapMatType</vt:lpstr>
      <vt:lpstr>UNICA!EntityName</vt:lpstr>
      <vt:lpstr>UNICAHUF!EntityName</vt:lpstr>
      <vt:lpstr>UNICAPLN!EntityName</vt:lpstr>
      <vt:lpstr>UNICA!EvaluationDate</vt:lpstr>
      <vt:lpstr>UNICAHUF!EvaluationDate</vt:lpstr>
      <vt:lpstr>UNICAPLN!EvaluationDate</vt:lpstr>
      <vt:lpstr>UNICA!FloatingFlag</vt:lpstr>
      <vt:lpstr>UNICAHUF!FloatingFlag</vt:lpstr>
      <vt:lpstr>UNICAPLN!FloatingFlag</vt:lpstr>
      <vt:lpstr>UNICA!IsOK</vt:lpstr>
      <vt:lpstr>UNICAHUF!IsOK</vt:lpstr>
      <vt:lpstr>UNICAPLN!IsOK</vt:lpstr>
      <vt:lpstr>UNICA!Notional</vt:lpstr>
      <vt:lpstr>UNICAHUF!Notional</vt:lpstr>
      <vt:lpstr>UNICAPLN!Notional</vt:lpstr>
      <vt:lpstr>'3M'!Override</vt:lpstr>
      <vt:lpstr>HUFSTD!Override</vt:lpstr>
      <vt:lpstr>PLNSTD!Override</vt:lpstr>
      <vt:lpstr>STD!Override</vt:lpstr>
      <vt:lpstr>UNICA!pdgDiscCurve</vt:lpstr>
      <vt:lpstr>UNICAHUF!pdgDiscCurve</vt:lpstr>
      <vt:lpstr>UNICAPLN!pdgDiscCurve</vt:lpstr>
      <vt:lpstr>'3M'!RealTime</vt:lpstr>
      <vt:lpstr>HUFSTD!RealTime</vt:lpstr>
      <vt:lpstr>PLNSTD!RealTime</vt:lpstr>
      <vt:lpstr>STD!RealTime</vt:lpstr>
      <vt:lpstr>UNICA!Recovery</vt:lpstr>
      <vt:lpstr>UNICAHUF!Recovery</vt:lpstr>
      <vt:lpstr>UNICAPLN!Recovery</vt:lpstr>
      <vt:lpstr>UNICA!SettlementDays</vt:lpstr>
      <vt:lpstr>UNICAHUF!SettlementDays</vt:lpstr>
      <vt:lpstr>UNICAPLN!SettlementDays</vt:lpstr>
      <vt:lpstr>Today</vt:lpstr>
      <vt:lpstr>'3M'!Used</vt:lpstr>
      <vt:lpstr>HUFSTD!Used</vt:lpstr>
      <vt:lpstr>PLNSTD!Used</vt:lpstr>
      <vt:lpstr>STD!Used</vt:lpstr>
      <vt:lpstr>'3M'!YCName</vt:lpstr>
      <vt:lpstr>HUFSTD!YCName</vt:lpstr>
      <vt:lpstr>PLNSTD!YCName</vt:lpstr>
      <vt:lpstr>STD!YCName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Federico Targetti</cp:lastModifiedBy>
  <dcterms:created xsi:type="dcterms:W3CDTF">2012-06-21T08:56:32Z</dcterms:created>
  <dcterms:modified xsi:type="dcterms:W3CDTF">2014-09-11T14:08:22Z</dcterms:modified>
</cp:coreProperties>
</file>